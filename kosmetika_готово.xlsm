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tgor\YandexDisk\Объёмные объекты\ПРОЕКТЫ - ПетрГУ\1 курс, 1 семестр\Офисные технологии\Лабораторная работа 5\"/>
    </mc:Choice>
  </mc:AlternateContent>
  <xr:revisionPtr revIDLastSave="0" documentId="8_{BAC1098F-ABAD-4ACD-9D0C-B9F1A4A8A99D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Данные" sheetId="2" r:id="rId1"/>
    <sheet name="Вариант 1" sheetId="3" r:id="rId2"/>
    <sheet name="Вариант 2" sheetId="4" r:id="rId3"/>
  </sheets>
  <definedNames>
    <definedName name="_xlnm._FilterDatabase" localSheetId="1" hidden="1">'Вариант 1'!$I$61:$J$1952</definedName>
  </definedNames>
  <calcPr calcId="191029"/>
  <pivotCaches>
    <pivotCache cacheId="4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1" i="3" l="1"/>
  <c r="G45" i="3"/>
  <c r="G39" i="3"/>
  <c r="G33" i="3"/>
  <c r="G27" i="3"/>
  <c r="G21" i="3"/>
  <c r="G15" i="3"/>
  <c r="G9" i="3"/>
  <c r="G3" i="3"/>
  <c r="O4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" i="4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5" i="2"/>
  <c r="AH306" i="2"/>
  <c r="AH307" i="2"/>
  <c r="AH308" i="2"/>
  <c r="AH309" i="2"/>
  <c r="AH310" i="2"/>
  <c r="AH311" i="2"/>
  <c r="AH312" i="2"/>
  <c r="AH313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7" i="2"/>
  <c r="AH338" i="2"/>
  <c r="AH339" i="2"/>
  <c r="AH340" i="2"/>
  <c r="AH341" i="2"/>
  <c r="AH342" i="2"/>
  <c r="AH343" i="2"/>
  <c r="AH344" i="2"/>
  <c r="AH345" i="2"/>
  <c r="AH346" i="2"/>
  <c r="AH347" i="2"/>
  <c r="AH348" i="2"/>
  <c r="AH349" i="2"/>
  <c r="AH350" i="2"/>
  <c r="AH351" i="2"/>
  <c r="AH352" i="2"/>
  <c r="AH353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4" i="2"/>
  <c r="AH385" i="2"/>
  <c r="AH386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08" i="2"/>
  <c r="AH409" i="2"/>
  <c r="AH410" i="2"/>
  <c r="AH411" i="2"/>
  <c r="AH412" i="2"/>
  <c r="AH413" i="2"/>
  <c r="AH414" i="2"/>
  <c r="AH415" i="2"/>
  <c r="AH416" i="2"/>
  <c r="AH417" i="2"/>
  <c r="AH418" i="2"/>
  <c r="AH419" i="2"/>
  <c r="AH420" i="2"/>
  <c r="AH421" i="2"/>
  <c r="AH422" i="2"/>
  <c r="AH423" i="2"/>
  <c r="AH424" i="2"/>
  <c r="AH425" i="2"/>
  <c r="AH426" i="2"/>
  <c r="AH427" i="2"/>
  <c r="AH428" i="2"/>
  <c r="AH429" i="2"/>
  <c r="AH430" i="2"/>
  <c r="AH431" i="2"/>
  <c r="AH432" i="2"/>
  <c r="AH433" i="2"/>
  <c r="AH434" i="2"/>
  <c r="AH435" i="2"/>
  <c r="AH436" i="2"/>
  <c r="AH437" i="2"/>
  <c r="AH438" i="2"/>
  <c r="AH439" i="2"/>
  <c r="AH440" i="2"/>
  <c r="AH441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0" i="2"/>
  <c r="AH461" i="2"/>
  <c r="AH462" i="2"/>
  <c r="AH463" i="2"/>
  <c r="AH464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0" i="2"/>
  <c r="AH491" i="2"/>
  <c r="AH492" i="2"/>
  <c r="AH493" i="2"/>
  <c r="AH494" i="2"/>
  <c r="AH495" i="2"/>
  <c r="AH496" i="2"/>
  <c r="AH497" i="2"/>
  <c r="AH498" i="2"/>
  <c r="AH499" i="2"/>
  <c r="AH500" i="2"/>
  <c r="AH501" i="2"/>
  <c r="AH502" i="2"/>
  <c r="AH503" i="2"/>
  <c r="AH504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H582" i="2"/>
  <c r="AH583" i="2"/>
  <c r="AH584" i="2"/>
  <c r="AH585" i="2"/>
  <c r="AH586" i="2"/>
  <c r="AH587" i="2"/>
  <c r="AH588" i="2"/>
  <c r="AH589" i="2"/>
  <c r="AH590" i="2"/>
  <c r="AH591" i="2"/>
  <c r="AH592" i="2"/>
  <c r="AH593" i="2"/>
  <c r="AH594" i="2"/>
  <c r="AH595" i="2"/>
  <c r="AH596" i="2"/>
  <c r="AH597" i="2"/>
  <c r="AH598" i="2"/>
  <c r="AH599" i="2"/>
  <c r="AH600" i="2"/>
  <c r="AH601" i="2"/>
  <c r="AH602" i="2"/>
  <c r="AH603" i="2"/>
  <c r="AH604" i="2"/>
  <c r="AH605" i="2"/>
  <c r="AH606" i="2"/>
  <c r="AH607" i="2"/>
  <c r="AH608" i="2"/>
  <c r="AH609" i="2"/>
  <c r="AH610" i="2"/>
  <c r="AH611" i="2"/>
  <c r="AH612" i="2"/>
  <c r="AH613" i="2"/>
  <c r="AH614" i="2"/>
  <c r="AH615" i="2"/>
  <c r="AH616" i="2"/>
  <c r="AH617" i="2"/>
  <c r="AH618" i="2"/>
  <c r="AH619" i="2"/>
  <c r="AH620" i="2"/>
  <c r="AH621" i="2"/>
  <c r="AH622" i="2"/>
  <c r="AH623" i="2"/>
  <c r="AH624" i="2"/>
  <c r="AH625" i="2"/>
  <c r="AH626" i="2"/>
  <c r="AH627" i="2"/>
  <c r="AH628" i="2"/>
  <c r="AH629" i="2"/>
  <c r="AH630" i="2"/>
  <c r="AH631" i="2"/>
  <c r="AH632" i="2"/>
  <c r="AH633" i="2"/>
  <c r="AH634" i="2"/>
  <c r="AH635" i="2"/>
  <c r="AH636" i="2"/>
  <c r="AH637" i="2"/>
  <c r="AH638" i="2"/>
  <c r="AH639" i="2"/>
  <c r="AH640" i="2"/>
  <c r="AH641" i="2"/>
  <c r="AH642" i="2"/>
  <c r="AH643" i="2"/>
  <c r="AH644" i="2"/>
  <c r="AH645" i="2"/>
  <c r="AH646" i="2"/>
  <c r="AH647" i="2"/>
  <c r="AH648" i="2"/>
  <c r="AH649" i="2"/>
  <c r="AH650" i="2"/>
  <c r="AH651" i="2"/>
  <c r="AH652" i="2"/>
  <c r="AH653" i="2"/>
  <c r="AH654" i="2"/>
  <c r="AH655" i="2"/>
  <c r="AH656" i="2"/>
  <c r="AH657" i="2"/>
  <c r="AH658" i="2"/>
  <c r="AH659" i="2"/>
  <c r="AH660" i="2"/>
  <c r="AH661" i="2"/>
  <c r="AH662" i="2"/>
  <c r="AH663" i="2"/>
  <c r="AH664" i="2"/>
  <c r="AH665" i="2"/>
  <c r="AH666" i="2"/>
  <c r="AH667" i="2"/>
  <c r="AH668" i="2"/>
  <c r="AH669" i="2"/>
  <c r="AH670" i="2"/>
  <c r="AH671" i="2"/>
  <c r="AH672" i="2"/>
  <c r="AH673" i="2"/>
  <c r="AH674" i="2"/>
  <c r="AH675" i="2"/>
  <c r="AH676" i="2"/>
  <c r="AH677" i="2"/>
  <c r="AH678" i="2"/>
  <c r="AH679" i="2"/>
  <c r="AH680" i="2"/>
  <c r="AH681" i="2"/>
  <c r="AH682" i="2"/>
  <c r="AH683" i="2"/>
  <c r="AH684" i="2"/>
  <c r="AH685" i="2"/>
  <c r="AH686" i="2"/>
  <c r="AH687" i="2"/>
  <c r="AH688" i="2"/>
  <c r="AH689" i="2"/>
  <c r="AH690" i="2"/>
  <c r="AH691" i="2"/>
  <c r="AH692" i="2"/>
  <c r="AH693" i="2"/>
  <c r="AH694" i="2"/>
  <c r="AH695" i="2"/>
  <c r="AH696" i="2"/>
  <c r="AH697" i="2"/>
  <c r="AH698" i="2"/>
  <c r="AH699" i="2"/>
  <c r="AH700" i="2"/>
  <c r="AH701" i="2"/>
  <c r="AH702" i="2"/>
  <c r="AH703" i="2"/>
  <c r="AH704" i="2"/>
  <c r="AH705" i="2"/>
  <c r="AH706" i="2"/>
  <c r="AH707" i="2"/>
  <c r="AH708" i="2"/>
  <c r="AH709" i="2"/>
  <c r="AH710" i="2"/>
  <c r="AH711" i="2"/>
  <c r="AH712" i="2"/>
  <c r="AH713" i="2"/>
  <c r="AH714" i="2"/>
  <c r="AH715" i="2"/>
  <c r="AH716" i="2"/>
  <c r="AH717" i="2"/>
  <c r="AH718" i="2"/>
  <c r="AH719" i="2"/>
  <c r="AH720" i="2"/>
  <c r="AH721" i="2"/>
  <c r="AH722" i="2"/>
  <c r="AH723" i="2"/>
  <c r="AH724" i="2"/>
  <c r="AH725" i="2"/>
  <c r="AH726" i="2"/>
  <c r="AH727" i="2"/>
  <c r="AH728" i="2"/>
  <c r="AH729" i="2"/>
  <c r="AH730" i="2"/>
  <c r="AH731" i="2"/>
  <c r="AH732" i="2"/>
  <c r="AH733" i="2"/>
  <c r="AH734" i="2"/>
  <c r="AH735" i="2"/>
  <c r="AH736" i="2"/>
  <c r="AH737" i="2"/>
  <c r="AH738" i="2"/>
  <c r="AH739" i="2"/>
  <c r="AH740" i="2"/>
  <c r="AH741" i="2"/>
  <c r="AH742" i="2"/>
  <c r="AH743" i="2"/>
  <c r="AH744" i="2"/>
  <c r="AH745" i="2"/>
  <c r="AH746" i="2"/>
  <c r="AH747" i="2"/>
  <c r="AH748" i="2"/>
  <c r="AH749" i="2"/>
  <c r="AH750" i="2"/>
  <c r="AH751" i="2"/>
  <c r="AH752" i="2"/>
  <c r="AH753" i="2"/>
  <c r="AH754" i="2"/>
  <c r="AH755" i="2"/>
  <c r="AH756" i="2"/>
  <c r="AH757" i="2"/>
  <c r="AH758" i="2"/>
  <c r="AH759" i="2"/>
  <c r="AH760" i="2"/>
  <c r="AH761" i="2"/>
  <c r="AH762" i="2"/>
  <c r="AH763" i="2"/>
  <c r="AH764" i="2"/>
  <c r="AH765" i="2"/>
  <c r="AH766" i="2"/>
  <c r="AH767" i="2"/>
  <c r="AH768" i="2"/>
  <c r="AH769" i="2"/>
  <c r="AH770" i="2"/>
  <c r="AH771" i="2"/>
  <c r="AH772" i="2"/>
  <c r="AH773" i="2"/>
  <c r="AH774" i="2"/>
  <c r="AH775" i="2"/>
  <c r="AH776" i="2"/>
  <c r="AH777" i="2"/>
  <c r="AH778" i="2"/>
  <c r="AH779" i="2"/>
  <c r="AH780" i="2"/>
  <c r="AH781" i="2"/>
  <c r="AH782" i="2"/>
  <c r="AH783" i="2"/>
  <c r="AH784" i="2"/>
  <c r="AH785" i="2"/>
  <c r="AH786" i="2"/>
  <c r="AH787" i="2"/>
  <c r="AH788" i="2"/>
  <c r="AH789" i="2"/>
  <c r="AH790" i="2"/>
  <c r="AH791" i="2"/>
  <c r="AH792" i="2"/>
  <c r="AH793" i="2"/>
  <c r="AH794" i="2"/>
  <c r="AH795" i="2"/>
  <c r="AH796" i="2"/>
  <c r="AH797" i="2"/>
  <c r="AH798" i="2"/>
  <c r="AH799" i="2"/>
  <c r="AH800" i="2"/>
  <c r="AH801" i="2"/>
  <c r="AH802" i="2"/>
  <c r="AH803" i="2"/>
  <c r="AH804" i="2"/>
  <c r="AH805" i="2"/>
  <c r="AH806" i="2"/>
  <c r="AH807" i="2"/>
  <c r="AH808" i="2"/>
  <c r="AH809" i="2"/>
  <c r="AH810" i="2"/>
  <c r="AH811" i="2"/>
  <c r="AH812" i="2"/>
  <c r="AH813" i="2"/>
  <c r="AH814" i="2"/>
  <c r="AH815" i="2"/>
  <c r="AH816" i="2"/>
  <c r="AH817" i="2"/>
  <c r="AH818" i="2"/>
  <c r="AH819" i="2"/>
  <c r="AH820" i="2"/>
  <c r="AH821" i="2"/>
  <c r="AH822" i="2"/>
  <c r="AH823" i="2"/>
  <c r="AH824" i="2"/>
  <c r="AH825" i="2"/>
  <c r="AH826" i="2"/>
  <c r="AH827" i="2"/>
  <c r="AH828" i="2"/>
  <c r="AH829" i="2"/>
  <c r="AH830" i="2"/>
  <c r="AH831" i="2"/>
  <c r="AH832" i="2"/>
  <c r="AH833" i="2"/>
  <c r="AH834" i="2"/>
  <c r="AH835" i="2"/>
  <c r="AH836" i="2"/>
  <c r="AH837" i="2"/>
  <c r="AH838" i="2"/>
  <c r="AH839" i="2"/>
  <c r="AH840" i="2"/>
  <c r="AH841" i="2"/>
  <c r="AH842" i="2"/>
  <c r="AH843" i="2"/>
  <c r="AH844" i="2"/>
  <c r="AH845" i="2"/>
  <c r="AH846" i="2"/>
  <c r="AH847" i="2"/>
  <c r="AH848" i="2"/>
  <c r="AH849" i="2"/>
  <c r="AH850" i="2"/>
  <c r="AH851" i="2"/>
  <c r="AH852" i="2"/>
  <c r="AH853" i="2"/>
  <c r="AH854" i="2"/>
  <c r="AH855" i="2"/>
  <c r="AH856" i="2"/>
  <c r="AH857" i="2"/>
  <c r="AH858" i="2"/>
  <c r="AH859" i="2"/>
  <c r="AH860" i="2"/>
  <c r="AH861" i="2"/>
  <c r="AH862" i="2"/>
  <c r="AH863" i="2"/>
  <c r="AH864" i="2"/>
  <c r="AH865" i="2"/>
  <c r="AH866" i="2"/>
  <c r="AH867" i="2"/>
  <c r="AH868" i="2"/>
  <c r="AH869" i="2"/>
  <c r="AH870" i="2"/>
  <c r="AH871" i="2"/>
  <c r="AH872" i="2"/>
  <c r="AH873" i="2"/>
  <c r="AH874" i="2"/>
  <c r="AH875" i="2"/>
  <c r="AH876" i="2"/>
  <c r="AH877" i="2"/>
  <c r="AH878" i="2"/>
  <c r="AH879" i="2"/>
  <c r="AH880" i="2"/>
  <c r="AH881" i="2"/>
  <c r="AH882" i="2"/>
  <c r="AH883" i="2"/>
  <c r="AH884" i="2"/>
  <c r="AH885" i="2"/>
  <c r="AH886" i="2"/>
  <c r="AH887" i="2"/>
  <c r="AH888" i="2"/>
  <c r="AH889" i="2"/>
  <c r="AH890" i="2"/>
  <c r="AH891" i="2"/>
  <c r="AH892" i="2"/>
  <c r="AH893" i="2"/>
  <c r="AH894" i="2"/>
  <c r="AH895" i="2"/>
  <c r="AH896" i="2"/>
  <c r="AH897" i="2"/>
  <c r="AH898" i="2"/>
  <c r="AH899" i="2"/>
  <c r="AH900" i="2"/>
  <c r="AH901" i="2"/>
  <c r="AH902" i="2"/>
  <c r="AH903" i="2"/>
  <c r="AH904" i="2"/>
  <c r="AH905" i="2"/>
  <c r="AH906" i="2"/>
  <c r="AH907" i="2"/>
  <c r="AH908" i="2"/>
  <c r="AH909" i="2"/>
  <c r="AH910" i="2"/>
  <c r="AH911" i="2"/>
  <c r="AH912" i="2"/>
  <c r="AH913" i="2"/>
  <c r="AH914" i="2"/>
  <c r="AH915" i="2"/>
  <c r="AH916" i="2"/>
  <c r="AH917" i="2"/>
  <c r="AH918" i="2"/>
  <c r="AH919" i="2"/>
  <c r="AH920" i="2"/>
  <c r="AH921" i="2"/>
  <c r="AH922" i="2"/>
  <c r="AH923" i="2"/>
  <c r="AH924" i="2"/>
  <c r="AH925" i="2"/>
  <c r="AH926" i="2"/>
  <c r="AH927" i="2"/>
  <c r="AH928" i="2"/>
  <c r="AH929" i="2"/>
  <c r="AH930" i="2"/>
  <c r="AH931" i="2"/>
  <c r="AH932" i="2"/>
  <c r="AH933" i="2"/>
  <c r="AH934" i="2"/>
  <c r="AH935" i="2"/>
  <c r="AH936" i="2"/>
  <c r="AH937" i="2"/>
  <c r="AH938" i="2"/>
  <c r="AH939" i="2"/>
  <c r="AH940" i="2"/>
  <c r="AH941" i="2"/>
  <c r="AH942" i="2"/>
  <c r="AH943" i="2"/>
  <c r="AH944" i="2"/>
  <c r="AH945" i="2"/>
  <c r="AH946" i="2"/>
  <c r="AH947" i="2"/>
  <c r="AH948" i="2"/>
  <c r="AH949" i="2"/>
  <c r="AH950" i="2"/>
  <c r="AH951" i="2"/>
  <c r="AH952" i="2"/>
  <c r="AH953" i="2"/>
  <c r="AH954" i="2"/>
  <c r="AH955" i="2"/>
  <c r="AH956" i="2"/>
  <c r="AH957" i="2"/>
  <c r="AH958" i="2"/>
  <c r="AH959" i="2"/>
  <c r="AH960" i="2"/>
  <c r="AH961" i="2"/>
  <c r="AH962" i="2"/>
  <c r="AH963" i="2"/>
  <c r="AH964" i="2"/>
  <c r="AH965" i="2"/>
  <c r="AH966" i="2"/>
  <c r="AH967" i="2"/>
  <c r="AH968" i="2"/>
  <c r="AH969" i="2"/>
  <c r="AH970" i="2"/>
  <c r="AH971" i="2"/>
  <c r="AH972" i="2"/>
  <c r="AH973" i="2"/>
  <c r="AH974" i="2"/>
  <c r="AH975" i="2"/>
  <c r="AH976" i="2"/>
  <c r="AH977" i="2"/>
  <c r="AH978" i="2"/>
  <c r="AH979" i="2"/>
  <c r="AH980" i="2"/>
  <c r="AH981" i="2"/>
  <c r="AH982" i="2"/>
  <c r="AH983" i="2"/>
  <c r="AH984" i="2"/>
  <c r="AH985" i="2"/>
  <c r="AH986" i="2"/>
  <c r="AH987" i="2"/>
  <c r="AH988" i="2"/>
  <c r="AH989" i="2"/>
  <c r="AH990" i="2"/>
  <c r="AH991" i="2"/>
  <c r="AH992" i="2"/>
  <c r="AH993" i="2"/>
  <c r="AH994" i="2"/>
  <c r="AH995" i="2"/>
  <c r="AH996" i="2"/>
  <c r="AH997" i="2"/>
  <c r="AH998" i="2"/>
  <c r="AH999" i="2"/>
  <c r="AH1000" i="2"/>
  <c r="AH1001" i="2"/>
  <c r="AH1002" i="2"/>
  <c r="AH1003" i="2"/>
  <c r="AH1004" i="2"/>
  <c r="AH1005" i="2"/>
  <c r="AH1006" i="2"/>
  <c r="AH1007" i="2"/>
  <c r="AH1008" i="2"/>
  <c r="AH1009" i="2"/>
  <c r="AH1010" i="2"/>
  <c r="AH1011" i="2"/>
  <c r="AH1012" i="2"/>
  <c r="AH1013" i="2"/>
  <c r="AH1014" i="2"/>
  <c r="AH1015" i="2"/>
  <c r="AH1016" i="2"/>
  <c r="AH1017" i="2"/>
  <c r="AH1018" i="2"/>
  <c r="AH1019" i="2"/>
  <c r="AH1020" i="2"/>
  <c r="AH1021" i="2"/>
  <c r="AH1022" i="2"/>
  <c r="AH1023" i="2"/>
  <c r="AH1024" i="2"/>
  <c r="AH1025" i="2"/>
  <c r="AH1026" i="2"/>
  <c r="AH1027" i="2"/>
  <c r="AH1028" i="2"/>
  <c r="AH1029" i="2"/>
  <c r="AH1030" i="2"/>
  <c r="AH1031" i="2"/>
  <c r="AH1032" i="2"/>
  <c r="AH1033" i="2"/>
  <c r="AH1034" i="2"/>
  <c r="AH1035" i="2"/>
  <c r="AH1036" i="2"/>
  <c r="AH1037" i="2"/>
  <c r="AH1038" i="2"/>
  <c r="AH1039" i="2"/>
  <c r="AH1040" i="2"/>
  <c r="AH1041" i="2"/>
  <c r="AH1042" i="2"/>
  <c r="AH1043" i="2"/>
  <c r="AH1044" i="2"/>
  <c r="AH1045" i="2"/>
  <c r="AH1046" i="2"/>
  <c r="AH1047" i="2"/>
  <c r="AH1048" i="2"/>
  <c r="AH1049" i="2"/>
  <c r="AH1050" i="2"/>
  <c r="AH1051" i="2"/>
  <c r="AH1052" i="2"/>
  <c r="AH1053" i="2"/>
  <c r="AH1054" i="2"/>
  <c r="AH1055" i="2"/>
  <c r="AH1056" i="2"/>
  <c r="AH1057" i="2"/>
  <c r="AH1058" i="2"/>
  <c r="AH1059" i="2"/>
  <c r="AH1060" i="2"/>
  <c r="AH1061" i="2"/>
  <c r="AH1062" i="2"/>
  <c r="AH1063" i="2"/>
  <c r="AH1064" i="2"/>
  <c r="AH1065" i="2"/>
  <c r="AH1066" i="2"/>
  <c r="AH1067" i="2"/>
  <c r="AH1068" i="2"/>
  <c r="AH1069" i="2"/>
  <c r="AH1070" i="2"/>
  <c r="AH1071" i="2"/>
  <c r="AH1072" i="2"/>
  <c r="AH1073" i="2"/>
  <c r="AH1074" i="2"/>
  <c r="AH1075" i="2"/>
  <c r="AH1076" i="2"/>
  <c r="AH1077" i="2"/>
  <c r="AH1078" i="2"/>
  <c r="AH1079" i="2"/>
  <c r="AH1080" i="2"/>
  <c r="AH1081" i="2"/>
  <c r="AH1082" i="2"/>
  <c r="AH1083" i="2"/>
  <c r="AH1084" i="2"/>
  <c r="AH1085" i="2"/>
  <c r="AH1086" i="2"/>
  <c r="AH1087" i="2"/>
  <c r="AH1088" i="2"/>
  <c r="AH1089" i="2"/>
  <c r="AH1090" i="2"/>
  <c r="AH1091" i="2"/>
  <c r="AH1092" i="2"/>
  <c r="AH1093" i="2"/>
  <c r="AH1094" i="2"/>
  <c r="AH1095" i="2"/>
  <c r="AH1096" i="2"/>
  <c r="AH1097" i="2"/>
  <c r="AH1098" i="2"/>
  <c r="AH1099" i="2"/>
  <c r="AH1100" i="2"/>
  <c r="AH1101" i="2"/>
  <c r="AH1102" i="2"/>
  <c r="AH1103" i="2"/>
  <c r="AH1104" i="2"/>
  <c r="AH1105" i="2"/>
  <c r="AH1106" i="2"/>
  <c r="AH1107" i="2"/>
  <c r="AH1108" i="2"/>
  <c r="AH1109" i="2"/>
  <c r="AH1110" i="2"/>
  <c r="AH1111" i="2"/>
  <c r="AH1112" i="2"/>
  <c r="AH1113" i="2"/>
  <c r="AH1114" i="2"/>
  <c r="AH1115" i="2"/>
  <c r="AH1116" i="2"/>
  <c r="AH1117" i="2"/>
  <c r="AH1118" i="2"/>
  <c r="AH1119" i="2"/>
  <c r="AH1120" i="2"/>
  <c r="AH1121" i="2"/>
  <c r="AH1122" i="2"/>
  <c r="AH1123" i="2"/>
  <c r="AH1124" i="2"/>
  <c r="AH1125" i="2"/>
  <c r="AH1126" i="2"/>
  <c r="AH1127" i="2"/>
  <c r="AH1128" i="2"/>
  <c r="AH1129" i="2"/>
  <c r="AH1130" i="2"/>
  <c r="AH1131" i="2"/>
  <c r="AH1132" i="2"/>
  <c r="AH1133" i="2"/>
  <c r="AH1134" i="2"/>
  <c r="AH1135" i="2"/>
  <c r="AH1136" i="2"/>
  <c r="AH1137" i="2"/>
  <c r="AH1138" i="2"/>
  <c r="AH1139" i="2"/>
  <c r="AH1140" i="2"/>
  <c r="AH1141" i="2"/>
  <c r="AH1142" i="2"/>
  <c r="AH1143" i="2"/>
  <c r="AH1144" i="2"/>
  <c r="AH1145" i="2"/>
  <c r="AH1146" i="2"/>
  <c r="AH1147" i="2"/>
  <c r="AH1148" i="2"/>
  <c r="AH1149" i="2"/>
  <c r="AH1150" i="2"/>
  <c r="AH1151" i="2"/>
  <c r="AH1152" i="2"/>
  <c r="AH1153" i="2"/>
  <c r="AH1154" i="2"/>
  <c r="AH1155" i="2"/>
  <c r="AH1156" i="2"/>
  <c r="AH1157" i="2"/>
  <c r="AH1158" i="2"/>
  <c r="AH1159" i="2"/>
  <c r="AH1160" i="2"/>
  <c r="AH1161" i="2"/>
  <c r="AH1162" i="2"/>
  <c r="AH1163" i="2"/>
  <c r="AH1164" i="2"/>
  <c r="AH1165" i="2"/>
  <c r="AH1166" i="2"/>
  <c r="AH1167" i="2"/>
  <c r="AH1168" i="2"/>
  <c r="AH1169" i="2"/>
  <c r="AH1170" i="2"/>
  <c r="AH1171" i="2"/>
  <c r="AH1172" i="2"/>
  <c r="AH1173" i="2"/>
  <c r="AH1174" i="2"/>
  <c r="AH1175" i="2"/>
  <c r="AH1176" i="2"/>
  <c r="AH1177" i="2"/>
  <c r="AH1178" i="2"/>
  <c r="AH1179" i="2"/>
  <c r="AH1180" i="2"/>
  <c r="AH1181" i="2"/>
  <c r="AH1182" i="2"/>
  <c r="AH1183" i="2"/>
  <c r="AH1184" i="2"/>
  <c r="AH1185" i="2"/>
  <c r="AH1186" i="2"/>
  <c r="AH1187" i="2"/>
  <c r="AH1188" i="2"/>
  <c r="AH1189" i="2"/>
  <c r="AH1190" i="2"/>
  <c r="AH1191" i="2"/>
  <c r="AH1192" i="2"/>
  <c r="AH1193" i="2"/>
  <c r="AH1194" i="2"/>
  <c r="AH1195" i="2"/>
  <c r="AH1196" i="2"/>
  <c r="AH1197" i="2"/>
  <c r="AH1198" i="2"/>
  <c r="AH1199" i="2"/>
  <c r="AH1200" i="2"/>
  <c r="AH1201" i="2"/>
  <c r="AH1202" i="2"/>
  <c r="AH1203" i="2"/>
  <c r="AH1204" i="2"/>
  <c r="AH1205" i="2"/>
  <c r="AH1206" i="2"/>
  <c r="AH1207" i="2"/>
  <c r="AH1208" i="2"/>
  <c r="AH1209" i="2"/>
  <c r="AH1210" i="2"/>
  <c r="AH1211" i="2"/>
  <c r="AH1212" i="2"/>
  <c r="AH1213" i="2"/>
  <c r="AH1214" i="2"/>
  <c r="AH1215" i="2"/>
  <c r="AH1216" i="2"/>
  <c r="AH1217" i="2"/>
  <c r="AH1218" i="2"/>
  <c r="AH1219" i="2"/>
  <c r="AH1220" i="2"/>
  <c r="AH1221" i="2"/>
  <c r="AH1222" i="2"/>
  <c r="AH1223" i="2"/>
  <c r="AH1224" i="2"/>
  <c r="AH1225" i="2"/>
  <c r="AH1226" i="2"/>
  <c r="AH1227" i="2"/>
  <c r="AH1228" i="2"/>
  <c r="AH1229" i="2"/>
  <c r="AH1230" i="2"/>
  <c r="AH1231" i="2"/>
  <c r="AH1232" i="2"/>
  <c r="AH1233" i="2"/>
  <c r="AH1234" i="2"/>
  <c r="AH1235" i="2"/>
  <c r="AH1236" i="2"/>
  <c r="AH1237" i="2"/>
  <c r="AH1238" i="2"/>
  <c r="AH1239" i="2"/>
  <c r="AH1240" i="2"/>
  <c r="AH1241" i="2"/>
  <c r="AH1242" i="2"/>
  <c r="AH1243" i="2"/>
  <c r="AH1244" i="2"/>
  <c r="AH1245" i="2"/>
  <c r="AH1246" i="2"/>
  <c r="AH1247" i="2"/>
  <c r="AH1248" i="2"/>
  <c r="AH1249" i="2"/>
  <c r="AH1250" i="2"/>
  <c r="AH1251" i="2"/>
  <c r="AH1252" i="2"/>
  <c r="AH1253" i="2"/>
  <c r="AH1254" i="2"/>
  <c r="AH1255" i="2"/>
  <c r="AH1256" i="2"/>
  <c r="AH1257" i="2"/>
  <c r="AH1258" i="2"/>
  <c r="AH1259" i="2"/>
  <c r="AH1260" i="2"/>
  <c r="AH1261" i="2"/>
  <c r="AH1262" i="2"/>
  <c r="AH1263" i="2"/>
  <c r="AH1264" i="2"/>
  <c r="AH1265" i="2"/>
  <c r="AH1266" i="2"/>
  <c r="AH1267" i="2"/>
  <c r="AH1268" i="2"/>
  <c r="AH1269" i="2"/>
  <c r="AH1270" i="2"/>
  <c r="AH1271" i="2"/>
  <c r="AH1272" i="2"/>
  <c r="AH1273" i="2"/>
  <c r="AH1274" i="2"/>
  <c r="AH1275" i="2"/>
  <c r="AH1276" i="2"/>
  <c r="AH1277" i="2"/>
  <c r="AH1278" i="2"/>
  <c r="AH1279" i="2"/>
  <c r="AH1280" i="2"/>
  <c r="AH1281" i="2"/>
  <c r="AH1282" i="2"/>
  <c r="AH1283" i="2"/>
  <c r="AH1284" i="2"/>
  <c r="AH1285" i="2"/>
  <c r="AH1286" i="2"/>
  <c r="AH1287" i="2"/>
  <c r="AH1288" i="2"/>
  <c r="AH1289" i="2"/>
  <c r="AH1290" i="2"/>
  <c r="AH1291" i="2"/>
  <c r="AH1292" i="2"/>
  <c r="AH1293" i="2"/>
  <c r="AH1294" i="2"/>
  <c r="AH1295" i="2"/>
  <c r="AH1296" i="2"/>
  <c r="AH1297" i="2"/>
  <c r="AH1298" i="2"/>
  <c r="AH1299" i="2"/>
  <c r="AH1300" i="2"/>
  <c r="AH1301" i="2"/>
  <c r="AH1302" i="2"/>
  <c r="AH1303" i="2"/>
  <c r="AH1304" i="2"/>
  <c r="AH1305" i="2"/>
  <c r="AH1306" i="2"/>
  <c r="AH1307" i="2"/>
  <c r="AH1308" i="2"/>
  <c r="AH1309" i="2"/>
  <c r="AH1310" i="2"/>
  <c r="AH1311" i="2"/>
  <c r="AH1312" i="2"/>
  <c r="AH1313" i="2"/>
  <c r="AH1314" i="2"/>
  <c r="AH1315" i="2"/>
  <c r="AH1316" i="2"/>
  <c r="AH1317" i="2"/>
  <c r="AH1318" i="2"/>
  <c r="AH1319" i="2"/>
  <c r="AH1320" i="2"/>
  <c r="AH1321" i="2"/>
  <c r="AH1322" i="2"/>
  <c r="AH1323" i="2"/>
  <c r="AH1324" i="2"/>
  <c r="AH1325" i="2"/>
  <c r="AH1326" i="2"/>
  <c r="AH1327" i="2"/>
  <c r="AH1328" i="2"/>
  <c r="AH1329" i="2"/>
  <c r="AH1330" i="2"/>
  <c r="AH1331" i="2"/>
  <c r="AH1332" i="2"/>
  <c r="AH1333" i="2"/>
  <c r="AH1334" i="2"/>
  <c r="AH1335" i="2"/>
  <c r="AH1336" i="2"/>
  <c r="AH1337" i="2"/>
  <c r="AH1338" i="2"/>
  <c r="AH1339" i="2"/>
  <c r="AH1340" i="2"/>
  <c r="AH1341" i="2"/>
  <c r="AH1342" i="2"/>
  <c r="AH1343" i="2"/>
  <c r="AH1344" i="2"/>
  <c r="AH1345" i="2"/>
  <c r="AH1346" i="2"/>
  <c r="AH1347" i="2"/>
  <c r="AH1348" i="2"/>
  <c r="AH1349" i="2"/>
  <c r="AH1350" i="2"/>
  <c r="AH1351" i="2"/>
  <c r="AH1352" i="2"/>
  <c r="AH1353" i="2"/>
  <c r="AH1354" i="2"/>
  <c r="AH1355" i="2"/>
  <c r="AH1356" i="2"/>
  <c r="AH1357" i="2"/>
  <c r="AH1358" i="2"/>
  <c r="AH1359" i="2"/>
  <c r="AH1360" i="2"/>
  <c r="AH1361" i="2"/>
  <c r="AH1362" i="2"/>
  <c r="AH1363" i="2"/>
  <c r="AH1364" i="2"/>
  <c r="AH1365" i="2"/>
  <c r="AH1366" i="2"/>
  <c r="AH1367" i="2"/>
  <c r="AH1368" i="2"/>
  <c r="AH1369" i="2"/>
  <c r="AH1370" i="2"/>
  <c r="AH1371" i="2"/>
  <c r="AH1372" i="2"/>
  <c r="AH1373" i="2"/>
  <c r="AH1374" i="2"/>
  <c r="AH1375" i="2"/>
  <c r="AH1376" i="2"/>
  <c r="AH1377" i="2"/>
  <c r="AH1378" i="2"/>
  <c r="AH1379" i="2"/>
  <c r="AH1380" i="2"/>
  <c r="AH1381" i="2"/>
  <c r="AH1382" i="2"/>
  <c r="AH1383" i="2"/>
  <c r="AH1384" i="2"/>
  <c r="AH1385" i="2"/>
  <c r="AH1386" i="2"/>
  <c r="AH1387" i="2"/>
  <c r="AH1388" i="2"/>
  <c r="AH1389" i="2"/>
  <c r="AH1390" i="2"/>
  <c r="AH1391" i="2"/>
  <c r="AH1392" i="2"/>
  <c r="AH1393" i="2"/>
  <c r="AH1394" i="2"/>
  <c r="AH1395" i="2"/>
  <c r="AH1396" i="2"/>
  <c r="AH1397" i="2"/>
  <c r="AH1398" i="2"/>
  <c r="AH1399" i="2"/>
  <c r="AH1400" i="2"/>
  <c r="AH1401" i="2"/>
  <c r="AH1402" i="2"/>
  <c r="AH1403" i="2"/>
  <c r="AH1404" i="2"/>
  <c r="AH1405" i="2"/>
  <c r="AH1406" i="2"/>
  <c r="AH1407" i="2"/>
  <c r="AH1408" i="2"/>
  <c r="AH1409" i="2"/>
  <c r="AH1410" i="2"/>
  <c r="AH1411" i="2"/>
  <c r="AH1412" i="2"/>
  <c r="AH1413" i="2"/>
  <c r="AH1414" i="2"/>
  <c r="AH1415" i="2"/>
  <c r="AH1416" i="2"/>
  <c r="AH1417" i="2"/>
  <c r="AH1418" i="2"/>
  <c r="AH1419" i="2"/>
  <c r="AH1420" i="2"/>
  <c r="AH1421" i="2"/>
  <c r="AH1422" i="2"/>
  <c r="AH1423" i="2"/>
  <c r="AH1424" i="2"/>
  <c r="AH1425" i="2"/>
  <c r="AH1426" i="2"/>
  <c r="AH1427" i="2"/>
  <c r="AH1428" i="2"/>
  <c r="AH1429" i="2"/>
  <c r="AH1430" i="2"/>
  <c r="AH1431" i="2"/>
  <c r="AH1432" i="2"/>
  <c r="AH1433" i="2"/>
  <c r="AH1434" i="2"/>
  <c r="AH1435" i="2"/>
  <c r="AH1436" i="2"/>
  <c r="AH1437" i="2"/>
  <c r="AH1438" i="2"/>
  <c r="AH1439" i="2"/>
  <c r="AH1440" i="2"/>
  <c r="AH1441" i="2"/>
  <c r="AH1442" i="2"/>
  <c r="AH1443" i="2"/>
  <c r="AH1444" i="2"/>
  <c r="AH1445" i="2"/>
  <c r="AH1446" i="2"/>
  <c r="AH1447" i="2"/>
  <c r="AH1448" i="2"/>
  <c r="AH1449" i="2"/>
  <c r="AH1450" i="2"/>
  <c r="AH1451" i="2"/>
  <c r="AH1452" i="2"/>
  <c r="AH1453" i="2"/>
  <c r="AH1454" i="2"/>
  <c r="AH1455" i="2"/>
  <c r="AH1456" i="2"/>
  <c r="AH1457" i="2"/>
  <c r="AH1458" i="2"/>
  <c r="AH1459" i="2"/>
  <c r="AH1460" i="2"/>
  <c r="AH1461" i="2"/>
  <c r="AH1462" i="2"/>
  <c r="AH1463" i="2"/>
  <c r="AH1464" i="2"/>
  <c r="AH1465" i="2"/>
  <c r="AH1466" i="2"/>
  <c r="AH1467" i="2"/>
  <c r="AH1468" i="2"/>
  <c r="AH1469" i="2"/>
  <c r="AH1470" i="2"/>
  <c r="AH1471" i="2"/>
  <c r="AH1472" i="2"/>
  <c r="AH1473" i="2"/>
  <c r="AH1474" i="2"/>
  <c r="AH1475" i="2"/>
  <c r="AH1476" i="2"/>
  <c r="AH1477" i="2"/>
  <c r="AH1478" i="2"/>
  <c r="AH1479" i="2"/>
  <c r="AH1480" i="2"/>
  <c r="AH1481" i="2"/>
  <c r="AH1482" i="2"/>
  <c r="AH1483" i="2"/>
  <c r="AH1484" i="2"/>
  <c r="AH1485" i="2"/>
  <c r="AH1486" i="2"/>
  <c r="AH1487" i="2"/>
  <c r="AH1488" i="2"/>
  <c r="AH1489" i="2"/>
  <c r="AH1490" i="2"/>
  <c r="AH1491" i="2"/>
  <c r="AH1492" i="2"/>
  <c r="AH1493" i="2"/>
  <c r="AH1494" i="2"/>
  <c r="AH1495" i="2"/>
  <c r="AH1496" i="2"/>
  <c r="AH1497" i="2"/>
  <c r="AH1498" i="2"/>
  <c r="AH1499" i="2"/>
  <c r="AH1500" i="2"/>
  <c r="AH1501" i="2"/>
  <c r="AH1502" i="2"/>
  <c r="AH1503" i="2"/>
  <c r="AH1504" i="2"/>
  <c r="AH1505" i="2"/>
  <c r="AH1506" i="2"/>
  <c r="AH1507" i="2"/>
  <c r="AH1508" i="2"/>
  <c r="AH1509" i="2"/>
  <c r="AH1510" i="2"/>
  <c r="AH1511" i="2"/>
  <c r="AH1512" i="2"/>
  <c r="AH1513" i="2"/>
  <c r="AH1514" i="2"/>
  <c r="AH1515" i="2"/>
  <c r="AH1516" i="2"/>
  <c r="AH1517" i="2"/>
  <c r="AH1518" i="2"/>
  <c r="AH1519" i="2"/>
  <c r="AH1520" i="2"/>
  <c r="AH1521" i="2"/>
  <c r="AH1522" i="2"/>
  <c r="AH1523" i="2"/>
  <c r="AH1524" i="2"/>
  <c r="AH1525" i="2"/>
  <c r="AH1526" i="2"/>
  <c r="AH1527" i="2"/>
  <c r="AH1528" i="2"/>
  <c r="AH1529" i="2"/>
  <c r="AH1530" i="2"/>
  <c r="AH1531" i="2"/>
  <c r="AH1532" i="2"/>
  <c r="AH1533" i="2"/>
  <c r="AH1534" i="2"/>
  <c r="AH1535" i="2"/>
  <c r="AH1536" i="2"/>
  <c r="AH1537" i="2"/>
  <c r="AH1538" i="2"/>
  <c r="AH1539" i="2"/>
  <c r="AH1540" i="2"/>
  <c r="AH1541" i="2"/>
  <c r="AH1542" i="2"/>
  <c r="AH1543" i="2"/>
  <c r="AH1544" i="2"/>
  <c r="AH1545" i="2"/>
  <c r="AH1546" i="2"/>
  <c r="AH1547" i="2"/>
  <c r="AH1548" i="2"/>
  <c r="AH1549" i="2"/>
  <c r="AH1550" i="2"/>
  <c r="AH1551" i="2"/>
  <c r="AH1552" i="2"/>
  <c r="AH1553" i="2"/>
  <c r="AH1554" i="2"/>
  <c r="AH1555" i="2"/>
  <c r="AH1556" i="2"/>
  <c r="AH1557" i="2"/>
  <c r="AH1558" i="2"/>
  <c r="AH1559" i="2"/>
  <c r="AH1560" i="2"/>
  <c r="AH1561" i="2"/>
  <c r="AH1562" i="2"/>
  <c r="AH1563" i="2"/>
  <c r="AH1564" i="2"/>
  <c r="AH1565" i="2"/>
  <c r="AH1566" i="2"/>
  <c r="AH1567" i="2"/>
  <c r="AH1568" i="2"/>
  <c r="AH1569" i="2"/>
  <c r="AH1570" i="2"/>
  <c r="AH1571" i="2"/>
  <c r="AH1572" i="2"/>
  <c r="AH1573" i="2"/>
  <c r="AH1574" i="2"/>
  <c r="AH1575" i="2"/>
  <c r="AH1576" i="2"/>
  <c r="AH1577" i="2"/>
  <c r="AH1578" i="2"/>
  <c r="AH1579" i="2"/>
  <c r="AH1580" i="2"/>
  <c r="AH1581" i="2"/>
  <c r="AH1582" i="2"/>
  <c r="AH1583" i="2"/>
  <c r="AH1584" i="2"/>
  <c r="AH1585" i="2"/>
  <c r="AH1586" i="2"/>
  <c r="AH1587" i="2"/>
  <c r="AH1588" i="2"/>
  <c r="AH1589" i="2"/>
  <c r="AH1590" i="2"/>
  <c r="AH1591" i="2"/>
  <c r="AH1592" i="2"/>
  <c r="AH1593" i="2"/>
  <c r="AH1594" i="2"/>
  <c r="AH1595" i="2"/>
  <c r="AH1596" i="2"/>
  <c r="AH1597" i="2"/>
  <c r="AH1598" i="2"/>
  <c r="AH1599" i="2"/>
  <c r="AH1600" i="2"/>
  <c r="AH1601" i="2"/>
  <c r="AH1602" i="2"/>
  <c r="AH1603" i="2"/>
  <c r="AH1604" i="2"/>
  <c r="AH1605" i="2"/>
  <c r="AH1606" i="2"/>
  <c r="AH1607" i="2"/>
  <c r="AH1608" i="2"/>
  <c r="AH1609" i="2"/>
  <c r="AH1610" i="2"/>
  <c r="AH1611" i="2"/>
  <c r="AH1612" i="2"/>
  <c r="AH1613" i="2"/>
  <c r="AH1614" i="2"/>
  <c r="AH1615" i="2"/>
  <c r="AH1616" i="2"/>
  <c r="AH1617" i="2"/>
  <c r="AH1618" i="2"/>
  <c r="AH1619" i="2"/>
  <c r="AH1620" i="2"/>
  <c r="AH1621" i="2"/>
  <c r="AH1622" i="2"/>
  <c r="AH1623" i="2"/>
  <c r="AH1624" i="2"/>
  <c r="AH1625" i="2"/>
  <c r="AH1626" i="2"/>
  <c r="AH1627" i="2"/>
  <c r="AH1628" i="2"/>
  <c r="AH1629" i="2"/>
  <c r="AH1630" i="2"/>
  <c r="AH1631" i="2"/>
  <c r="AH1632" i="2"/>
  <c r="AH1633" i="2"/>
  <c r="AH1634" i="2"/>
  <c r="AH1635" i="2"/>
  <c r="AH1636" i="2"/>
  <c r="AH1637" i="2"/>
  <c r="AH1638" i="2"/>
  <c r="AH1639" i="2"/>
  <c r="AH1640" i="2"/>
  <c r="AH1641" i="2"/>
  <c r="AH1642" i="2"/>
  <c r="AH1643" i="2"/>
  <c r="AH1644" i="2"/>
  <c r="AH1645" i="2"/>
  <c r="AH1646" i="2"/>
  <c r="AH1647" i="2"/>
  <c r="AH1648" i="2"/>
  <c r="AH1649" i="2"/>
  <c r="AH1650" i="2"/>
  <c r="AH1651" i="2"/>
  <c r="AH1652" i="2"/>
  <c r="AH1653" i="2"/>
  <c r="AH1654" i="2"/>
  <c r="AH1655" i="2"/>
  <c r="AH1656" i="2"/>
  <c r="AH1657" i="2"/>
  <c r="AH1658" i="2"/>
  <c r="AH1659" i="2"/>
  <c r="AH1660" i="2"/>
  <c r="AH1661" i="2"/>
  <c r="AH1662" i="2"/>
  <c r="AH1663" i="2"/>
  <c r="AH1664" i="2"/>
  <c r="AH1665" i="2"/>
  <c r="AH1666" i="2"/>
  <c r="AH1667" i="2"/>
  <c r="AH1668" i="2"/>
  <c r="AH1669" i="2"/>
  <c r="AH1670" i="2"/>
  <c r="AH1671" i="2"/>
  <c r="AH1672" i="2"/>
  <c r="AH1673" i="2"/>
  <c r="AH1674" i="2"/>
  <c r="AH1675" i="2"/>
  <c r="AH1676" i="2"/>
  <c r="AH1677" i="2"/>
  <c r="AH1678" i="2"/>
  <c r="AH1679" i="2"/>
  <c r="AH1680" i="2"/>
  <c r="AH1681" i="2"/>
  <c r="AH1682" i="2"/>
  <c r="AH1683" i="2"/>
  <c r="AH1684" i="2"/>
  <c r="AH1685" i="2"/>
  <c r="AH1686" i="2"/>
  <c r="AH1687" i="2"/>
  <c r="AH1688" i="2"/>
  <c r="AH1689" i="2"/>
  <c r="AH1690" i="2"/>
  <c r="AH1691" i="2"/>
  <c r="AH1692" i="2"/>
  <c r="AH1693" i="2"/>
  <c r="AH1694" i="2"/>
  <c r="AH1695" i="2"/>
  <c r="AH1696" i="2"/>
  <c r="AH1697" i="2"/>
  <c r="AH1698" i="2"/>
  <c r="AH1699" i="2"/>
  <c r="AH1700" i="2"/>
  <c r="AH1701" i="2"/>
  <c r="AH1702" i="2"/>
  <c r="AH1703" i="2"/>
  <c r="AH1704" i="2"/>
  <c r="AH1705" i="2"/>
  <c r="AH1706" i="2"/>
  <c r="AH1707" i="2"/>
  <c r="AH1708" i="2"/>
  <c r="AH1709" i="2"/>
  <c r="AH1710" i="2"/>
  <c r="AH1711" i="2"/>
  <c r="AH1712" i="2"/>
  <c r="AH1713" i="2"/>
  <c r="AH1714" i="2"/>
  <c r="AH1715" i="2"/>
  <c r="AH1716" i="2"/>
  <c r="AH1717" i="2"/>
  <c r="AH1718" i="2"/>
  <c r="AH1719" i="2"/>
  <c r="AH1720" i="2"/>
  <c r="AH1721" i="2"/>
  <c r="AH1722" i="2"/>
  <c r="AH1723" i="2"/>
  <c r="AH1724" i="2"/>
  <c r="AH1725" i="2"/>
  <c r="AH1726" i="2"/>
  <c r="AH1727" i="2"/>
  <c r="AH1728" i="2"/>
  <c r="AH1729" i="2"/>
  <c r="AH1730" i="2"/>
  <c r="AH1731" i="2"/>
  <c r="AH1732" i="2"/>
  <c r="AH1733" i="2"/>
  <c r="AH1734" i="2"/>
  <c r="AH1735" i="2"/>
  <c r="AH1736" i="2"/>
  <c r="AH1737" i="2"/>
  <c r="AH1738" i="2"/>
  <c r="AH1739" i="2"/>
  <c r="AH1740" i="2"/>
  <c r="AH1741" i="2"/>
  <c r="AH1742" i="2"/>
  <c r="AH1743" i="2"/>
  <c r="AH1744" i="2"/>
  <c r="AH1745" i="2"/>
  <c r="AH1746" i="2"/>
  <c r="AH1747" i="2"/>
  <c r="AH1748" i="2"/>
  <c r="AH1749" i="2"/>
  <c r="AH1750" i="2"/>
  <c r="AH1751" i="2"/>
  <c r="AH1752" i="2"/>
  <c r="AH1753" i="2"/>
  <c r="AH1754" i="2"/>
  <c r="AH1755" i="2"/>
  <c r="AH1756" i="2"/>
  <c r="AH1757" i="2"/>
  <c r="AH1758" i="2"/>
  <c r="AH1759" i="2"/>
  <c r="AH1760" i="2"/>
  <c r="AH1761" i="2"/>
  <c r="AH1762" i="2"/>
  <c r="AH1763" i="2"/>
  <c r="AH1764" i="2"/>
  <c r="AH1765" i="2"/>
  <c r="AH1766" i="2"/>
  <c r="AH1767" i="2"/>
  <c r="AH1768" i="2"/>
  <c r="AH1769" i="2"/>
  <c r="AH1770" i="2"/>
  <c r="AH1771" i="2"/>
  <c r="AH1772" i="2"/>
  <c r="AH1773" i="2"/>
  <c r="AH1774" i="2"/>
  <c r="AH1775" i="2"/>
  <c r="AH1776" i="2"/>
  <c r="AH1777" i="2"/>
  <c r="AH1778" i="2"/>
  <c r="AH1779" i="2"/>
  <c r="AH1780" i="2"/>
  <c r="AH1781" i="2"/>
  <c r="AH1782" i="2"/>
  <c r="AH1783" i="2"/>
  <c r="AH1784" i="2"/>
  <c r="AH1785" i="2"/>
  <c r="AH1786" i="2"/>
  <c r="AH1787" i="2"/>
  <c r="AH1788" i="2"/>
  <c r="AH1789" i="2"/>
  <c r="AH1790" i="2"/>
  <c r="AH1791" i="2"/>
  <c r="AH1792" i="2"/>
  <c r="AH1793" i="2"/>
  <c r="AH1794" i="2"/>
  <c r="AH1795" i="2"/>
  <c r="AH1796" i="2"/>
  <c r="AH1797" i="2"/>
  <c r="AH1798" i="2"/>
  <c r="AH1799" i="2"/>
  <c r="AH1800" i="2"/>
  <c r="AH1801" i="2"/>
  <c r="AH1802" i="2"/>
  <c r="AH1803" i="2"/>
  <c r="AH1804" i="2"/>
  <c r="AH1805" i="2"/>
  <c r="AH1806" i="2"/>
  <c r="AH1807" i="2"/>
  <c r="AH1808" i="2"/>
  <c r="AH1809" i="2"/>
  <c r="AH1810" i="2"/>
  <c r="AH1811" i="2"/>
  <c r="AH1812" i="2"/>
  <c r="AH1813" i="2"/>
  <c r="AH1814" i="2"/>
  <c r="AH1815" i="2"/>
  <c r="AH1816" i="2"/>
  <c r="AH1817" i="2"/>
  <c r="AH1818" i="2"/>
  <c r="AH1819" i="2"/>
  <c r="AH1820" i="2"/>
  <c r="AH1821" i="2"/>
  <c r="AH1822" i="2"/>
  <c r="AH1823" i="2"/>
  <c r="AH1824" i="2"/>
  <c r="AH1825" i="2"/>
  <c r="AH1826" i="2"/>
  <c r="AH1827" i="2"/>
  <c r="AH1828" i="2"/>
  <c r="AH1829" i="2"/>
  <c r="AH1830" i="2"/>
  <c r="AH1831" i="2"/>
  <c r="AH1832" i="2"/>
  <c r="AH1833" i="2"/>
  <c r="AH1834" i="2"/>
  <c r="AH1835" i="2"/>
  <c r="AH1836" i="2"/>
  <c r="AH1837" i="2"/>
  <c r="AH1838" i="2"/>
  <c r="AH1839" i="2"/>
  <c r="AH1840" i="2"/>
  <c r="AH1841" i="2"/>
  <c r="AH1842" i="2"/>
  <c r="AH1843" i="2"/>
  <c r="AH1844" i="2"/>
  <c r="AH1845" i="2"/>
  <c r="AH1846" i="2"/>
  <c r="AH1847" i="2"/>
  <c r="AH1848" i="2"/>
  <c r="AH1849" i="2"/>
  <c r="AH1850" i="2"/>
  <c r="AH1851" i="2"/>
  <c r="AH1852" i="2"/>
  <c r="AH1853" i="2"/>
  <c r="AH1854" i="2"/>
  <c r="AH1855" i="2"/>
  <c r="AH1856" i="2"/>
  <c r="AH1857" i="2"/>
  <c r="AH1858" i="2"/>
  <c r="AH1859" i="2"/>
  <c r="AH1860" i="2"/>
  <c r="AH1861" i="2"/>
  <c r="AH1862" i="2"/>
  <c r="AH1863" i="2"/>
  <c r="AH1864" i="2"/>
  <c r="AH1865" i="2"/>
  <c r="AH1866" i="2"/>
  <c r="AH1867" i="2"/>
  <c r="AH1868" i="2"/>
  <c r="AH1869" i="2"/>
  <c r="AH1870" i="2"/>
  <c r="AH1871" i="2"/>
  <c r="AH1872" i="2"/>
  <c r="AH1873" i="2"/>
  <c r="AH1874" i="2"/>
  <c r="AH1875" i="2"/>
  <c r="AH1876" i="2"/>
  <c r="AH1877" i="2"/>
  <c r="AH1878" i="2"/>
  <c r="AH1879" i="2"/>
  <c r="AH1880" i="2"/>
  <c r="AH1881" i="2"/>
  <c r="AH1882" i="2"/>
  <c r="AH1883" i="2"/>
  <c r="AH1884" i="2"/>
  <c r="AH1885" i="2"/>
  <c r="AH1886" i="2"/>
  <c r="AH1887" i="2"/>
  <c r="AH1888" i="2"/>
  <c r="AH1889" i="2"/>
  <c r="AH1890" i="2"/>
  <c r="AH1891" i="2"/>
  <c r="AH1892" i="2"/>
  <c r="AH1893" i="2"/>
  <c r="AH3" i="2"/>
  <c r="O7" i="4"/>
  <c r="Y3" i="2"/>
  <c r="O6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G582" i="2"/>
  <c r="AG583" i="2"/>
  <c r="AG584" i="2"/>
  <c r="AG585" i="2"/>
  <c r="AG586" i="2"/>
  <c r="AG587" i="2"/>
  <c r="AG588" i="2"/>
  <c r="AG589" i="2"/>
  <c r="AG590" i="2"/>
  <c r="AG591" i="2"/>
  <c r="AG592" i="2"/>
  <c r="AG593" i="2"/>
  <c r="AG594" i="2"/>
  <c r="AG595" i="2"/>
  <c r="AG596" i="2"/>
  <c r="AG597" i="2"/>
  <c r="AG598" i="2"/>
  <c r="AG599" i="2"/>
  <c r="AG600" i="2"/>
  <c r="AG601" i="2"/>
  <c r="AG602" i="2"/>
  <c r="AG603" i="2"/>
  <c r="AG604" i="2"/>
  <c r="AG605" i="2"/>
  <c r="AG606" i="2"/>
  <c r="AG607" i="2"/>
  <c r="AG608" i="2"/>
  <c r="AG609" i="2"/>
  <c r="AG610" i="2"/>
  <c r="AG611" i="2"/>
  <c r="AG612" i="2"/>
  <c r="AG613" i="2"/>
  <c r="AG614" i="2"/>
  <c r="AG615" i="2"/>
  <c r="AG616" i="2"/>
  <c r="AG617" i="2"/>
  <c r="AG618" i="2"/>
  <c r="AG619" i="2"/>
  <c r="AG620" i="2"/>
  <c r="AG621" i="2"/>
  <c r="AG622" i="2"/>
  <c r="AG623" i="2"/>
  <c r="AG624" i="2"/>
  <c r="AG625" i="2"/>
  <c r="AG626" i="2"/>
  <c r="AG627" i="2"/>
  <c r="AG628" i="2"/>
  <c r="AG629" i="2"/>
  <c r="AG630" i="2"/>
  <c r="AG631" i="2"/>
  <c r="AG632" i="2"/>
  <c r="AG633" i="2"/>
  <c r="AG634" i="2"/>
  <c r="AG635" i="2"/>
  <c r="AG636" i="2"/>
  <c r="AG637" i="2"/>
  <c r="AG638" i="2"/>
  <c r="AG639" i="2"/>
  <c r="AG640" i="2"/>
  <c r="AG641" i="2"/>
  <c r="AG642" i="2"/>
  <c r="AG643" i="2"/>
  <c r="AG644" i="2"/>
  <c r="AG645" i="2"/>
  <c r="AG646" i="2"/>
  <c r="AG647" i="2"/>
  <c r="AG648" i="2"/>
  <c r="AG649" i="2"/>
  <c r="AG650" i="2"/>
  <c r="AG651" i="2"/>
  <c r="AG652" i="2"/>
  <c r="AG653" i="2"/>
  <c r="AG654" i="2"/>
  <c r="AG655" i="2"/>
  <c r="AG656" i="2"/>
  <c r="AG657" i="2"/>
  <c r="AG658" i="2"/>
  <c r="AG659" i="2"/>
  <c r="AG660" i="2"/>
  <c r="AG661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G1746" i="2"/>
  <c r="AG1747" i="2"/>
  <c r="AG1748" i="2"/>
  <c r="AG1749" i="2"/>
  <c r="AG1750" i="2"/>
  <c r="AG1751" i="2"/>
  <c r="AG1752" i="2"/>
  <c r="AG1753" i="2"/>
  <c r="AG1754" i="2"/>
  <c r="AG1755" i="2"/>
  <c r="AG1756" i="2"/>
  <c r="AG1757" i="2"/>
  <c r="AG1758" i="2"/>
  <c r="AG1759" i="2"/>
  <c r="AG1760" i="2"/>
  <c r="AG1761" i="2"/>
  <c r="AG1762" i="2"/>
  <c r="AG1763" i="2"/>
  <c r="AG1764" i="2"/>
  <c r="AG1765" i="2"/>
  <c r="AG1766" i="2"/>
  <c r="AG1767" i="2"/>
  <c r="AG1768" i="2"/>
  <c r="AG1769" i="2"/>
  <c r="AG1770" i="2"/>
  <c r="AG1771" i="2"/>
  <c r="AG1772" i="2"/>
  <c r="AG1773" i="2"/>
  <c r="AG1774" i="2"/>
  <c r="AG1775" i="2"/>
  <c r="AG1776" i="2"/>
  <c r="AG1777" i="2"/>
  <c r="AG1778" i="2"/>
  <c r="AG1779" i="2"/>
  <c r="AG1780" i="2"/>
  <c r="AG1781" i="2"/>
  <c r="AG1782" i="2"/>
  <c r="AG1783" i="2"/>
  <c r="AG1784" i="2"/>
  <c r="AG1785" i="2"/>
  <c r="AG1786" i="2"/>
  <c r="AG1787" i="2"/>
  <c r="AG1788" i="2"/>
  <c r="AG1789" i="2"/>
  <c r="AG1790" i="2"/>
  <c r="AG1791" i="2"/>
  <c r="AG1792" i="2"/>
  <c r="AG1793" i="2"/>
  <c r="AG1794" i="2"/>
  <c r="AG1795" i="2"/>
  <c r="AG1796" i="2"/>
  <c r="AG1797" i="2"/>
  <c r="AG1798" i="2"/>
  <c r="AG1799" i="2"/>
  <c r="AG1800" i="2"/>
  <c r="AG1801" i="2"/>
  <c r="AG1802" i="2"/>
  <c r="AG1803" i="2"/>
  <c r="AG1804" i="2"/>
  <c r="AG1805" i="2"/>
  <c r="AG1806" i="2"/>
  <c r="AG1807" i="2"/>
  <c r="AG1808" i="2"/>
  <c r="AG1809" i="2"/>
  <c r="AG1810" i="2"/>
  <c r="AG1811" i="2"/>
  <c r="AG1812" i="2"/>
  <c r="AG1813" i="2"/>
  <c r="AG1814" i="2"/>
  <c r="AG1815" i="2"/>
  <c r="AG1816" i="2"/>
  <c r="AG1817" i="2"/>
  <c r="AG1818" i="2"/>
  <c r="AG1819" i="2"/>
  <c r="AG1820" i="2"/>
  <c r="AG1821" i="2"/>
  <c r="AG1822" i="2"/>
  <c r="AG1823" i="2"/>
  <c r="AG1824" i="2"/>
  <c r="AG1825" i="2"/>
  <c r="AG1826" i="2"/>
  <c r="AG1827" i="2"/>
  <c r="AG1828" i="2"/>
  <c r="AG1829" i="2"/>
  <c r="AG1830" i="2"/>
  <c r="AG1831" i="2"/>
  <c r="AG1832" i="2"/>
  <c r="AG1833" i="2"/>
  <c r="AG1834" i="2"/>
  <c r="AG1835" i="2"/>
  <c r="AG1836" i="2"/>
  <c r="AG1837" i="2"/>
  <c r="AG1838" i="2"/>
  <c r="AG1839" i="2"/>
  <c r="AG1840" i="2"/>
  <c r="AG1841" i="2"/>
  <c r="AG1842" i="2"/>
  <c r="AG1843" i="2"/>
  <c r="AG1844" i="2"/>
  <c r="AG1845" i="2"/>
  <c r="AG1846" i="2"/>
  <c r="AG1847" i="2"/>
  <c r="AG1848" i="2"/>
  <c r="AG1849" i="2"/>
  <c r="AG1850" i="2"/>
  <c r="AG1851" i="2"/>
  <c r="AG1852" i="2"/>
  <c r="AG1853" i="2"/>
  <c r="AG1854" i="2"/>
  <c r="AG1855" i="2"/>
  <c r="AG1856" i="2"/>
  <c r="AG1857" i="2"/>
  <c r="AG1858" i="2"/>
  <c r="AG1859" i="2"/>
  <c r="AG1860" i="2"/>
  <c r="AG1861" i="2"/>
  <c r="AG1862" i="2"/>
  <c r="AG1863" i="2"/>
  <c r="AG1864" i="2"/>
  <c r="AG1865" i="2"/>
  <c r="AG1866" i="2"/>
  <c r="AG1867" i="2"/>
  <c r="AG1868" i="2"/>
  <c r="AG1869" i="2"/>
  <c r="AG1870" i="2"/>
  <c r="AG1871" i="2"/>
  <c r="AG1872" i="2"/>
  <c r="AG1873" i="2"/>
  <c r="AG1874" i="2"/>
  <c r="AG1875" i="2"/>
  <c r="AG1876" i="2"/>
  <c r="AG1877" i="2"/>
  <c r="AG1878" i="2"/>
  <c r="AG1879" i="2"/>
  <c r="AG1880" i="2"/>
  <c r="AG1881" i="2"/>
  <c r="AG1882" i="2"/>
  <c r="AG1883" i="2"/>
  <c r="AG1884" i="2"/>
  <c r="AG1885" i="2"/>
  <c r="AG1886" i="2"/>
  <c r="AG1887" i="2"/>
  <c r="AG1888" i="2"/>
  <c r="AG1889" i="2"/>
  <c r="AG1890" i="2"/>
  <c r="AG1891" i="2"/>
  <c r="AG1892" i="2"/>
  <c r="AG1893" i="2"/>
  <c r="AG3" i="2"/>
  <c r="AF17" i="2"/>
  <c r="AF32" i="2"/>
  <c r="AF58" i="2"/>
  <c r="AF61" i="2"/>
  <c r="AF68" i="2"/>
  <c r="AF69" i="2"/>
  <c r="AF79" i="2"/>
  <c r="AF83" i="2"/>
  <c r="AF97" i="2"/>
  <c r="AF99" i="2"/>
  <c r="AF101" i="2"/>
  <c r="AF122" i="2"/>
  <c r="AF123" i="2"/>
  <c r="AF135" i="2"/>
  <c r="AF143" i="2"/>
  <c r="AF144" i="2"/>
  <c r="AF151" i="2"/>
  <c r="AF155" i="2"/>
  <c r="AF156" i="2"/>
  <c r="AF190" i="2"/>
  <c r="AF191" i="2"/>
  <c r="AF195" i="2"/>
  <c r="AF203" i="2"/>
  <c r="AF219" i="2"/>
  <c r="AF228" i="2"/>
  <c r="AF230" i="2"/>
  <c r="AF236" i="2"/>
  <c r="AF254" i="2"/>
  <c r="AF269" i="2"/>
  <c r="AF278" i="2"/>
  <c r="AF281" i="2"/>
  <c r="AF287" i="2"/>
  <c r="AF299" i="2"/>
  <c r="AF306" i="2"/>
  <c r="AF307" i="2"/>
  <c r="AF310" i="2"/>
  <c r="AF332" i="2"/>
  <c r="AF343" i="2"/>
  <c r="AF354" i="2"/>
  <c r="AF359" i="2"/>
  <c r="AF360" i="2"/>
  <c r="AF387" i="2"/>
  <c r="AF395" i="2"/>
  <c r="AF397" i="2"/>
  <c r="AF410" i="2"/>
  <c r="AF412" i="2"/>
  <c r="AF416" i="2"/>
  <c r="AF419" i="2"/>
  <c r="AF422" i="2"/>
  <c r="AF436" i="2"/>
  <c r="AF440" i="2"/>
  <c r="AF468" i="2"/>
  <c r="AF470" i="2"/>
  <c r="AF486" i="2"/>
  <c r="AF494" i="2"/>
  <c r="AF498" i="2"/>
  <c r="AF548" i="2"/>
  <c r="AF555" i="2"/>
  <c r="AF559" i="2"/>
  <c r="AF566" i="2"/>
  <c r="AF572" i="2"/>
  <c r="AF576" i="2"/>
  <c r="AF584" i="2"/>
  <c r="AF614" i="2"/>
  <c r="AF616" i="2"/>
  <c r="AF620" i="2"/>
  <c r="AF622" i="2"/>
  <c r="AF629" i="2"/>
  <c r="AF633" i="2"/>
  <c r="AF634" i="2"/>
  <c r="AF649" i="2"/>
  <c r="AF665" i="2"/>
  <c r="AF688" i="2"/>
  <c r="AF698" i="2"/>
  <c r="AF723" i="2"/>
  <c r="AF724" i="2"/>
  <c r="AF735" i="2"/>
  <c r="AF743" i="2"/>
  <c r="AF745" i="2"/>
  <c r="AF750" i="2"/>
  <c r="AF758" i="2"/>
  <c r="AF761" i="2"/>
  <c r="AF770" i="2"/>
  <c r="AF781" i="2"/>
  <c r="AF798" i="2"/>
  <c r="AF805" i="2"/>
  <c r="AF813" i="2"/>
  <c r="AF832" i="2"/>
  <c r="AF834" i="2"/>
  <c r="AF858" i="2"/>
  <c r="AF877" i="2"/>
  <c r="AF878" i="2"/>
  <c r="AF887" i="2"/>
  <c r="AF894" i="2"/>
  <c r="AF902" i="2"/>
  <c r="AF913" i="2"/>
  <c r="AF933" i="2"/>
  <c r="AF937" i="2"/>
  <c r="AF939" i="2"/>
  <c r="AF940" i="2"/>
  <c r="AF948" i="2"/>
  <c r="AF974" i="2"/>
  <c r="AF982" i="2"/>
  <c r="AF984" i="2"/>
  <c r="AF995" i="2"/>
  <c r="AF1010" i="2"/>
  <c r="AF1021" i="2"/>
  <c r="AF1025" i="2"/>
  <c r="AF1033" i="2"/>
  <c r="AF1055" i="2"/>
  <c r="AF1077" i="2"/>
  <c r="AF1096" i="2"/>
  <c r="AF1098" i="2"/>
  <c r="AF1100" i="2"/>
  <c r="AF1103" i="2"/>
  <c r="AF1112" i="2"/>
  <c r="AF1128" i="2"/>
  <c r="AF1134" i="2"/>
  <c r="AF1146" i="2"/>
  <c r="AF1148" i="2"/>
  <c r="AF1150" i="2"/>
  <c r="AF1157" i="2"/>
  <c r="AF1171" i="2"/>
  <c r="AF1178" i="2"/>
  <c r="AF1180" i="2"/>
  <c r="AF1184" i="2"/>
  <c r="AF1209" i="2"/>
  <c r="AF1217" i="2"/>
  <c r="AF1232" i="2"/>
  <c r="AF1238" i="2"/>
  <c r="AF1253" i="2"/>
  <c r="AF1265" i="2"/>
  <c r="AF1269" i="2"/>
  <c r="AF1278" i="2"/>
  <c r="AF1383" i="2"/>
  <c r="AF1389" i="2"/>
  <c r="AF1403" i="2"/>
  <c r="AF1420" i="2"/>
  <c r="AF1425" i="2"/>
  <c r="AF1430" i="2"/>
  <c r="AF1433" i="2"/>
  <c r="AF1448" i="2"/>
  <c r="AF1453" i="2"/>
  <c r="AF1469" i="2"/>
  <c r="AF1500" i="2"/>
  <c r="AF1506" i="2"/>
  <c r="AF1508" i="2"/>
  <c r="AF1518" i="2"/>
  <c r="AF1521" i="2"/>
  <c r="AF1546" i="2"/>
  <c r="AF1554" i="2"/>
  <c r="AF1567" i="2"/>
  <c r="AF1568" i="2"/>
  <c r="AF1570" i="2"/>
  <c r="AF1585" i="2"/>
  <c r="AF1611" i="2"/>
  <c r="AF1620" i="2"/>
  <c r="AF1624" i="2"/>
  <c r="AF1639" i="2"/>
  <c r="AF1657" i="2"/>
  <c r="AF1664" i="2"/>
  <c r="AF1670" i="2"/>
  <c r="AF1675" i="2"/>
  <c r="AF1690" i="2"/>
  <c r="AF1698" i="2"/>
  <c r="AF1700" i="2"/>
  <c r="AF1702" i="2"/>
  <c r="AF1705" i="2"/>
  <c r="AF1710" i="2"/>
  <c r="AF1716" i="2"/>
  <c r="AF1721" i="2"/>
  <c r="AF1726" i="2"/>
  <c r="AF1739" i="2"/>
  <c r="AF1747" i="2"/>
  <c r="AF1756" i="2"/>
  <c r="AF1760" i="2"/>
  <c r="AF1761" i="2"/>
  <c r="AF1763" i="2"/>
  <c r="AF1766" i="2"/>
  <c r="AF1777" i="2"/>
  <c r="AF1779" i="2"/>
  <c r="AF1789" i="2"/>
  <c r="AF1790" i="2"/>
  <c r="AF1801" i="2"/>
  <c r="AF1822" i="2"/>
  <c r="AF1823" i="2"/>
  <c r="AF1852" i="2"/>
  <c r="AF1853" i="2"/>
  <c r="AF1858" i="2"/>
  <c r="AF1859" i="2"/>
  <c r="AF1874" i="2"/>
  <c r="AF1876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3" i="2"/>
  <c r="AC4" i="2"/>
  <c r="AC5" i="2"/>
  <c r="AC6" i="2"/>
  <c r="AC7" i="2"/>
  <c r="AC8" i="2"/>
  <c r="AD8" i="2" s="1"/>
  <c r="AC9" i="2"/>
  <c r="AC10" i="2"/>
  <c r="AC11" i="2"/>
  <c r="AC12" i="2"/>
  <c r="AC13" i="2"/>
  <c r="AC14" i="2"/>
  <c r="AD14" i="2" s="1"/>
  <c r="AC15" i="2"/>
  <c r="AC16" i="2"/>
  <c r="AD16" i="2" s="1"/>
  <c r="AC17" i="2"/>
  <c r="AC18" i="2"/>
  <c r="AC19" i="2"/>
  <c r="AC20" i="2"/>
  <c r="AD20" i="2" s="1"/>
  <c r="AC21" i="2"/>
  <c r="AC22" i="2"/>
  <c r="AC23" i="2"/>
  <c r="AC24" i="2"/>
  <c r="AD24" i="2" s="1"/>
  <c r="AC25" i="2"/>
  <c r="AC26" i="2"/>
  <c r="AD26" i="2" s="1"/>
  <c r="AC27" i="2"/>
  <c r="AC28" i="2"/>
  <c r="AC29" i="2"/>
  <c r="AC30" i="2"/>
  <c r="AC31" i="2"/>
  <c r="AC32" i="2"/>
  <c r="AC33" i="2"/>
  <c r="AC34" i="2"/>
  <c r="AC35" i="2"/>
  <c r="AC36" i="2"/>
  <c r="AD36" i="2" s="1"/>
  <c r="AC37" i="2"/>
  <c r="AC38" i="2"/>
  <c r="AD38" i="2" s="1"/>
  <c r="AC39" i="2"/>
  <c r="AC40" i="2"/>
  <c r="AC41" i="2"/>
  <c r="AC42" i="2"/>
  <c r="AC43" i="2"/>
  <c r="AC44" i="2"/>
  <c r="AD44" i="2" s="1"/>
  <c r="AC45" i="2"/>
  <c r="AC46" i="2"/>
  <c r="AC47" i="2"/>
  <c r="AC48" i="2"/>
  <c r="AD48" i="2" s="1"/>
  <c r="AC49" i="2"/>
  <c r="AC50" i="2"/>
  <c r="AD50" i="2" s="1"/>
  <c r="AC51" i="2"/>
  <c r="AC52" i="2"/>
  <c r="AD52" i="2" s="1"/>
  <c r="AC53" i="2"/>
  <c r="AC54" i="2"/>
  <c r="AC55" i="2"/>
  <c r="AC56" i="2"/>
  <c r="AD56" i="2" s="1"/>
  <c r="AC57" i="2"/>
  <c r="AC58" i="2"/>
  <c r="AC59" i="2"/>
  <c r="AC60" i="2"/>
  <c r="AD60" i="2" s="1"/>
  <c r="AC61" i="2"/>
  <c r="AC62" i="2"/>
  <c r="AD62" i="2" s="1"/>
  <c r="AC63" i="2"/>
  <c r="AC64" i="2"/>
  <c r="AD64" i="2" s="1"/>
  <c r="AC65" i="2"/>
  <c r="AC66" i="2"/>
  <c r="AC67" i="2"/>
  <c r="AC68" i="2"/>
  <c r="AD68" i="2" s="1"/>
  <c r="AC69" i="2"/>
  <c r="AC70" i="2"/>
  <c r="AC71" i="2"/>
  <c r="AC72" i="2"/>
  <c r="AC73" i="2"/>
  <c r="AC74" i="2"/>
  <c r="AD74" i="2" s="1"/>
  <c r="AC75" i="2"/>
  <c r="AC76" i="2"/>
  <c r="AD76" i="2" s="1"/>
  <c r="AC77" i="2"/>
  <c r="AC78" i="2"/>
  <c r="AC79" i="2"/>
  <c r="AC80" i="2"/>
  <c r="AD80" i="2" s="1"/>
  <c r="AC81" i="2"/>
  <c r="AC82" i="2"/>
  <c r="AC83" i="2"/>
  <c r="AC84" i="2"/>
  <c r="AD84" i="2" s="1"/>
  <c r="AC85" i="2"/>
  <c r="AC86" i="2"/>
  <c r="AD86" i="2" s="1"/>
  <c r="AC87" i="2"/>
  <c r="AC88" i="2"/>
  <c r="AD88" i="2" s="1"/>
  <c r="AC89" i="2"/>
  <c r="AC90" i="2"/>
  <c r="AC91" i="2"/>
  <c r="AC92" i="2"/>
  <c r="AD92" i="2" s="1"/>
  <c r="AC93" i="2"/>
  <c r="AC94" i="2"/>
  <c r="AC95" i="2"/>
  <c r="AC96" i="2"/>
  <c r="AD96" i="2" s="1"/>
  <c r="AC97" i="2"/>
  <c r="AC98" i="2"/>
  <c r="AD98" i="2" s="1"/>
  <c r="AC99" i="2"/>
  <c r="AC100" i="2"/>
  <c r="AD100" i="2" s="1"/>
  <c r="AC101" i="2"/>
  <c r="AC102" i="2"/>
  <c r="AC103" i="2"/>
  <c r="AC104" i="2"/>
  <c r="AD104" i="2" s="1"/>
  <c r="AC105" i="2"/>
  <c r="AC106" i="2"/>
  <c r="AC107" i="2"/>
  <c r="AC108" i="2"/>
  <c r="AD108" i="2" s="1"/>
  <c r="AC109" i="2"/>
  <c r="AC110" i="2"/>
  <c r="AD110" i="2" s="1"/>
  <c r="AC111" i="2"/>
  <c r="AC112" i="2"/>
  <c r="AC113" i="2"/>
  <c r="AC114" i="2"/>
  <c r="AC115" i="2"/>
  <c r="AC116" i="2"/>
  <c r="AD116" i="2" s="1"/>
  <c r="AC117" i="2"/>
  <c r="AC118" i="2"/>
  <c r="AC119" i="2"/>
  <c r="AC120" i="2"/>
  <c r="AD120" i="2" s="1"/>
  <c r="AC121" i="2"/>
  <c r="AC122" i="2"/>
  <c r="AD122" i="2" s="1"/>
  <c r="AC123" i="2"/>
  <c r="AC124" i="2"/>
  <c r="AC125" i="2"/>
  <c r="AC126" i="2"/>
  <c r="AC127" i="2"/>
  <c r="AC128" i="2"/>
  <c r="AD128" i="2" s="1"/>
  <c r="AC129" i="2"/>
  <c r="AC130" i="2"/>
  <c r="AC131" i="2"/>
  <c r="AC132" i="2"/>
  <c r="AD132" i="2" s="1"/>
  <c r="AC133" i="2"/>
  <c r="AC134" i="2"/>
  <c r="AD134" i="2" s="1"/>
  <c r="AC135" i="2"/>
  <c r="AC136" i="2"/>
  <c r="AD136" i="2" s="1"/>
  <c r="AC137" i="2"/>
  <c r="AC138" i="2"/>
  <c r="AC139" i="2"/>
  <c r="AC140" i="2"/>
  <c r="AD140" i="2" s="1"/>
  <c r="AC141" i="2"/>
  <c r="AC142" i="2"/>
  <c r="AC143" i="2"/>
  <c r="AC144" i="2"/>
  <c r="AD144" i="2" s="1"/>
  <c r="AC145" i="2"/>
  <c r="AC146" i="2"/>
  <c r="AD146" i="2" s="1"/>
  <c r="AC147" i="2"/>
  <c r="AC148" i="2"/>
  <c r="AD148" i="2" s="1"/>
  <c r="AC149" i="2"/>
  <c r="AC150" i="2"/>
  <c r="AC151" i="2"/>
  <c r="AC152" i="2"/>
  <c r="AD152" i="2" s="1"/>
  <c r="AC153" i="2"/>
  <c r="AC154" i="2"/>
  <c r="AC155" i="2"/>
  <c r="AC156" i="2"/>
  <c r="AD156" i="2" s="1"/>
  <c r="AC157" i="2"/>
  <c r="AC158" i="2"/>
  <c r="AD158" i="2" s="1"/>
  <c r="AC159" i="2"/>
  <c r="AC160" i="2"/>
  <c r="AD160" i="2" s="1"/>
  <c r="AC161" i="2"/>
  <c r="AC162" i="2"/>
  <c r="AC163" i="2"/>
  <c r="AC164" i="2"/>
  <c r="AC165" i="2"/>
  <c r="AC166" i="2"/>
  <c r="AC167" i="2"/>
  <c r="AC168" i="2"/>
  <c r="AD168" i="2" s="1"/>
  <c r="AC169" i="2"/>
  <c r="AC170" i="2"/>
  <c r="AD170" i="2" s="1"/>
  <c r="AC171" i="2"/>
  <c r="AC172" i="2"/>
  <c r="AC173" i="2"/>
  <c r="AC174" i="2"/>
  <c r="AC175" i="2"/>
  <c r="AC176" i="2"/>
  <c r="AC177" i="2"/>
  <c r="AC178" i="2"/>
  <c r="AC179" i="2"/>
  <c r="AC180" i="2"/>
  <c r="AD180" i="2" s="1"/>
  <c r="AC181" i="2"/>
  <c r="AC182" i="2"/>
  <c r="AD182" i="2" s="1"/>
  <c r="AC183" i="2"/>
  <c r="AC184" i="2"/>
  <c r="AC185" i="2"/>
  <c r="AC186" i="2"/>
  <c r="AC187" i="2"/>
  <c r="AC188" i="2"/>
  <c r="AD188" i="2" s="1"/>
  <c r="AC189" i="2"/>
  <c r="AC190" i="2"/>
  <c r="AC191" i="2"/>
  <c r="AC192" i="2"/>
  <c r="AC193" i="2"/>
  <c r="AC194" i="2"/>
  <c r="AD194" i="2" s="1"/>
  <c r="AC195" i="2"/>
  <c r="AC196" i="2"/>
  <c r="AD196" i="2" s="1"/>
  <c r="AC197" i="2"/>
  <c r="AC198" i="2"/>
  <c r="AC199" i="2"/>
  <c r="AC200" i="2"/>
  <c r="AD200" i="2" s="1"/>
  <c r="AC201" i="2"/>
  <c r="AC202" i="2"/>
  <c r="AC203" i="2"/>
  <c r="AC204" i="2"/>
  <c r="AD204" i="2" s="1"/>
  <c r="AC205" i="2"/>
  <c r="AC206" i="2"/>
  <c r="AD206" i="2" s="1"/>
  <c r="AC207" i="2"/>
  <c r="AC208" i="2"/>
  <c r="AD208" i="2" s="1"/>
  <c r="AC209" i="2"/>
  <c r="AC210" i="2"/>
  <c r="AC211" i="2"/>
  <c r="AC212" i="2"/>
  <c r="AD212" i="2" s="1"/>
  <c r="AC213" i="2"/>
  <c r="AC214" i="2"/>
  <c r="AC215" i="2"/>
  <c r="AC216" i="2"/>
  <c r="AD216" i="2" s="1"/>
  <c r="AC217" i="2"/>
  <c r="AC218" i="2"/>
  <c r="AD218" i="2" s="1"/>
  <c r="AC219" i="2"/>
  <c r="AC220" i="2"/>
  <c r="AD220" i="2" s="1"/>
  <c r="AC221" i="2"/>
  <c r="AC222" i="2"/>
  <c r="AC223" i="2"/>
  <c r="AC224" i="2"/>
  <c r="AD224" i="2" s="1"/>
  <c r="AC225" i="2"/>
  <c r="AC226" i="2"/>
  <c r="AC227" i="2"/>
  <c r="AC228" i="2"/>
  <c r="AD228" i="2" s="1"/>
  <c r="AC229" i="2"/>
  <c r="AC230" i="2"/>
  <c r="AD230" i="2" s="1"/>
  <c r="AC231" i="2"/>
  <c r="AC232" i="2"/>
  <c r="AD232" i="2" s="1"/>
  <c r="AC233" i="2"/>
  <c r="AC234" i="2"/>
  <c r="AC235" i="2"/>
  <c r="AC236" i="2"/>
  <c r="AC237" i="2"/>
  <c r="AC238" i="2"/>
  <c r="AC239" i="2"/>
  <c r="AC240" i="2"/>
  <c r="AD240" i="2" s="1"/>
  <c r="AC241" i="2"/>
  <c r="AC242" i="2"/>
  <c r="AD242" i="2" s="1"/>
  <c r="AC243" i="2"/>
  <c r="AC244" i="2"/>
  <c r="AD244" i="2" s="1"/>
  <c r="AC245" i="2"/>
  <c r="AC246" i="2"/>
  <c r="AC247" i="2"/>
  <c r="AC248" i="2"/>
  <c r="AD248" i="2" s="1"/>
  <c r="AC249" i="2"/>
  <c r="AC250" i="2"/>
  <c r="AC251" i="2"/>
  <c r="AC252" i="2"/>
  <c r="AD252" i="2" s="1"/>
  <c r="AC253" i="2"/>
  <c r="AC254" i="2"/>
  <c r="AD254" i="2" s="1"/>
  <c r="AC255" i="2"/>
  <c r="AC256" i="2"/>
  <c r="AC257" i="2"/>
  <c r="AC258" i="2"/>
  <c r="AC259" i="2"/>
  <c r="AC260" i="2"/>
  <c r="AD260" i="2" s="1"/>
  <c r="AC261" i="2"/>
  <c r="AC262" i="2"/>
  <c r="AC263" i="2"/>
  <c r="AC264" i="2"/>
  <c r="AD264" i="2" s="1"/>
  <c r="AC265" i="2"/>
  <c r="AC266" i="2"/>
  <c r="AD266" i="2" s="1"/>
  <c r="AC267" i="2"/>
  <c r="AC268" i="2"/>
  <c r="AD268" i="2" s="1"/>
  <c r="AC269" i="2"/>
  <c r="AC270" i="2"/>
  <c r="AC271" i="2"/>
  <c r="AC272" i="2"/>
  <c r="AD272" i="2" s="1"/>
  <c r="AC273" i="2"/>
  <c r="AC274" i="2"/>
  <c r="AC275" i="2"/>
  <c r="AC276" i="2"/>
  <c r="AD276" i="2" s="1"/>
  <c r="AC277" i="2"/>
  <c r="AC278" i="2"/>
  <c r="AD278" i="2" s="1"/>
  <c r="AC279" i="2"/>
  <c r="AC280" i="2"/>
  <c r="AD280" i="2" s="1"/>
  <c r="AC281" i="2"/>
  <c r="AC282" i="2"/>
  <c r="AC283" i="2"/>
  <c r="AC284" i="2"/>
  <c r="AD284" i="2" s="1"/>
  <c r="AC285" i="2"/>
  <c r="AC286" i="2"/>
  <c r="AC287" i="2"/>
  <c r="AC288" i="2"/>
  <c r="AD288" i="2" s="1"/>
  <c r="AC289" i="2"/>
  <c r="AC290" i="2"/>
  <c r="AD290" i="2" s="1"/>
  <c r="AC291" i="2"/>
  <c r="AC292" i="2"/>
  <c r="AD292" i="2" s="1"/>
  <c r="AC293" i="2"/>
  <c r="AC294" i="2"/>
  <c r="AC295" i="2"/>
  <c r="AC296" i="2"/>
  <c r="AD296" i="2" s="1"/>
  <c r="AC297" i="2"/>
  <c r="AC298" i="2"/>
  <c r="AC299" i="2"/>
  <c r="AC300" i="2"/>
  <c r="AD300" i="2" s="1"/>
  <c r="AC301" i="2"/>
  <c r="AC302" i="2"/>
  <c r="AD302" i="2" s="1"/>
  <c r="AC303" i="2"/>
  <c r="AC304" i="2"/>
  <c r="AD304" i="2" s="1"/>
  <c r="AC305" i="2"/>
  <c r="AC306" i="2"/>
  <c r="AC307" i="2"/>
  <c r="AC308" i="2"/>
  <c r="AD308" i="2" s="1"/>
  <c r="AC309" i="2"/>
  <c r="AC310" i="2"/>
  <c r="AC311" i="2"/>
  <c r="AC312" i="2"/>
  <c r="AD312" i="2" s="1"/>
  <c r="AC313" i="2"/>
  <c r="AC314" i="2"/>
  <c r="AD314" i="2" s="1"/>
  <c r="AC315" i="2"/>
  <c r="AC316" i="2"/>
  <c r="AD316" i="2" s="1"/>
  <c r="AC317" i="2"/>
  <c r="AC318" i="2"/>
  <c r="AC319" i="2"/>
  <c r="AC320" i="2"/>
  <c r="AC321" i="2"/>
  <c r="AC322" i="2"/>
  <c r="AC323" i="2"/>
  <c r="AC324" i="2"/>
  <c r="AD324" i="2" s="1"/>
  <c r="AC325" i="2"/>
  <c r="AC326" i="2"/>
  <c r="AD326" i="2" s="1"/>
  <c r="AC327" i="2"/>
  <c r="AC328" i="2"/>
  <c r="AC329" i="2"/>
  <c r="AC330" i="2"/>
  <c r="AC331" i="2"/>
  <c r="AC332" i="2"/>
  <c r="AD332" i="2" s="1"/>
  <c r="AC333" i="2"/>
  <c r="AC334" i="2"/>
  <c r="AC335" i="2"/>
  <c r="AC336" i="2"/>
  <c r="AD336" i="2" s="1"/>
  <c r="AC337" i="2"/>
  <c r="AC338" i="2"/>
  <c r="AD338" i="2" s="1"/>
  <c r="AC339" i="2"/>
  <c r="AC340" i="2"/>
  <c r="AD340" i="2" s="1"/>
  <c r="AC341" i="2"/>
  <c r="AC342" i="2"/>
  <c r="AC343" i="2"/>
  <c r="AC344" i="2"/>
  <c r="AD344" i="2" s="1"/>
  <c r="AC345" i="2"/>
  <c r="AC346" i="2"/>
  <c r="AC347" i="2"/>
  <c r="AC348" i="2"/>
  <c r="AD348" i="2" s="1"/>
  <c r="AC349" i="2"/>
  <c r="AC350" i="2"/>
  <c r="AD350" i="2" s="1"/>
  <c r="AC351" i="2"/>
  <c r="AC352" i="2"/>
  <c r="AD352" i="2" s="1"/>
  <c r="AC353" i="2"/>
  <c r="AC354" i="2"/>
  <c r="AC355" i="2"/>
  <c r="AC356" i="2"/>
  <c r="AD356" i="2" s="1"/>
  <c r="AC357" i="2"/>
  <c r="AC358" i="2"/>
  <c r="AC359" i="2"/>
  <c r="AC360" i="2"/>
  <c r="AD360" i="2" s="1"/>
  <c r="AC361" i="2"/>
  <c r="AC362" i="2"/>
  <c r="AD362" i="2" s="1"/>
  <c r="AC363" i="2"/>
  <c r="AC364" i="2"/>
  <c r="AD364" i="2" s="1"/>
  <c r="AC365" i="2"/>
  <c r="AC366" i="2"/>
  <c r="AC367" i="2"/>
  <c r="AC368" i="2"/>
  <c r="AC369" i="2"/>
  <c r="AC370" i="2"/>
  <c r="AC371" i="2"/>
  <c r="AC372" i="2"/>
  <c r="AD372" i="2" s="1"/>
  <c r="AC373" i="2"/>
  <c r="AC374" i="2"/>
  <c r="AD374" i="2" s="1"/>
  <c r="AC375" i="2"/>
  <c r="AC376" i="2"/>
  <c r="AC377" i="2"/>
  <c r="AC378" i="2"/>
  <c r="AC379" i="2"/>
  <c r="AC380" i="2"/>
  <c r="AD380" i="2" s="1"/>
  <c r="AC381" i="2"/>
  <c r="AC382" i="2"/>
  <c r="AC383" i="2"/>
  <c r="AC384" i="2"/>
  <c r="AD384" i="2" s="1"/>
  <c r="AC385" i="2"/>
  <c r="AC386" i="2"/>
  <c r="AD386" i="2" s="1"/>
  <c r="AC387" i="2"/>
  <c r="AC388" i="2"/>
  <c r="AD388" i="2" s="1"/>
  <c r="AC389" i="2"/>
  <c r="AC390" i="2"/>
  <c r="AC391" i="2"/>
  <c r="AC392" i="2"/>
  <c r="AD392" i="2" s="1"/>
  <c r="AC393" i="2"/>
  <c r="AC394" i="2"/>
  <c r="AC395" i="2"/>
  <c r="AC396" i="2"/>
  <c r="AD396" i="2" s="1"/>
  <c r="AC397" i="2"/>
  <c r="AC398" i="2"/>
  <c r="AD398" i="2" s="1"/>
  <c r="AC399" i="2"/>
  <c r="AC400" i="2"/>
  <c r="AD400" i="2" s="1"/>
  <c r="AC401" i="2"/>
  <c r="AC402" i="2"/>
  <c r="AC403" i="2"/>
  <c r="AC404" i="2"/>
  <c r="AD404" i="2" s="1"/>
  <c r="AC405" i="2"/>
  <c r="AC406" i="2"/>
  <c r="AC407" i="2"/>
  <c r="AC408" i="2"/>
  <c r="AC409" i="2"/>
  <c r="AC410" i="2"/>
  <c r="AD410" i="2" s="1"/>
  <c r="AC411" i="2"/>
  <c r="AC412" i="2"/>
  <c r="AD412" i="2" s="1"/>
  <c r="AC413" i="2"/>
  <c r="AC414" i="2"/>
  <c r="AC415" i="2"/>
  <c r="AC416" i="2"/>
  <c r="AD416" i="2" s="1"/>
  <c r="AC417" i="2"/>
  <c r="AC418" i="2"/>
  <c r="AC419" i="2"/>
  <c r="AC420" i="2"/>
  <c r="AD420" i="2" s="1"/>
  <c r="AC421" i="2"/>
  <c r="AC422" i="2"/>
  <c r="AD422" i="2" s="1"/>
  <c r="AC423" i="2"/>
  <c r="AC424" i="2"/>
  <c r="AD424" i="2" s="1"/>
  <c r="AC425" i="2"/>
  <c r="AC426" i="2"/>
  <c r="AC427" i="2"/>
  <c r="AC428" i="2"/>
  <c r="AD428" i="2" s="1"/>
  <c r="AC429" i="2"/>
  <c r="AC430" i="2"/>
  <c r="AC431" i="2"/>
  <c r="AC432" i="2"/>
  <c r="AD432" i="2" s="1"/>
  <c r="AC433" i="2"/>
  <c r="AC434" i="2"/>
  <c r="AD434" i="2" s="1"/>
  <c r="AC435" i="2"/>
  <c r="AC436" i="2"/>
  <c r="AD436" i="2" s="1"/>
  <c r="AC437" i="2"/>
  <c r="AC438" i="2"/>
  <c r="AC439" i="2"/>
  <c r="AC440" i="2"/>
  <c r="AD440" i="2" s="1"/>
  <c r="AC441" i="2"/>
  <c r="AC442" i="2"/>
  <c r="AC443" i="2"/>
  <c r="AC444" i="2"/>
  <c r="AD444" i="2" s="1"/>
  <c r="AC445" i="2"/>
  <c r="AC446" i="2"/>
  <c r="AD446" i="2" s="1"/>
  <c r="AC447" i="2"/>
  <c r="AC448" i="2"/>
  <c r="AD448" i="2" s="1"/>
  <c r="AC449" i="2"/>
  <c r="AC450" i="2"/>
  <c r="AC451" i="2"/>
  <c r="AC452" i="2"/>
  <c r="AD452" i="2" s="1"/>
  <c r="AC453" i="2"/>
  <c r="AC454" i="2"/>
  <c r="AC455" i="2"/>
  <c r="AC456" i="2"/>
  <c r="AC457" i="2"/>
  <c r="AC458" i="2"/>
  <c r="AD458" i="2" s="1"/>
  <c r="AC459" i="2"/>
  <c r="AC460" i="2"/>
  <c r="AC461" i="2"/>
  <c r="AC462" i="2"/>
  <c r="AC463" i="2"/>
  <c r="AC464" i="2"/>
  <c r="AD464" i="2" s="1"/>
  <c r="AC465" i="2"/>
  <c r="AC466" i="2"/>
  <c r="AC467" i="2"/>
  <c r="AC468" i="2"/>
  <c r="AD468" i="2" s="1"/>
  <c r="AC469" i="2"/>
  <c r="AC470" i="2"/>
  <c r="AD470" i="2" s="1"/>
  <c r="AC471" i="2"/>
  <c r="AC472" i="2"/>
  <c r="AD472" i="2" s="1"/>
  <c r="AC473" i="2"/>
  <c r="AC474" i="2"/>
  <c r="AC475" i="2"/>
  <c r="AC476" i="2"/>
  <c r="AD476" i="2" s="1"/>
  <c r="AC477" i="2"/>
  <c r="AC478" i="2"/>
  <c r="AC479" i="2"/>
  <c r="AC480" i="2"/>
  <c r="AD480" i="2" s="1"/>
  <c r="AC481" i="2"/>
  <c r="AC482" i="2"/>
  <c r="AD482" i="2" s="1"/>
  <c r="AC483" i="2"/>
  <c r="AC484" i="2"/>
  <c r="AD484" i="2" s="1"/>
  <c r="AC485" i="2"/>
  <c r="AC486" i="2"/>
  <c r="AC487" i="2"/>
  <c r="AC488" i="2"/>
  <c r="AD488" i="2" s="1"/>
  <c r="AC489" i="2"/>
  <c r="AC490" i="2"/>
  <c r="AC491" i="2"/>
  <c r="AC492" i="2"/>
  <c r="AD492" i="2" s="1"/>
  <c r="AC493" i="2"/>
  <c r="AC494" i="2"/>
  <c r="AD494" i="2" s="1"/>
  <c r="AC495" i="2"/>
  <c r="AD495" i="2" s="1"/>
  <c r="AC496" i="2"/>
  <c r="AD496" i="2" s="1"/>
  <c r="AC497" i="2"/>
  <c r="AC498" i="2"/>
  <c r="AC499" i="2"/>
  <c r="AC500" i="2"/>
  <c r="AD500" i="2" s="1"/>
  <c r="AC501" i="2"/>
  <c r="AC502" i="2"/>
  <c r="AC503" i="2"/>
  <c r="AC504" i="2"/>
  <c r="AC505" i="2"/>
  <c r="AC506" i="2"/>
  <c r="AD506" i="2" s="1"/>
  <c r="AC507" i="2"/>
  <c r="AD507" i="2" s="1"/>
  <c r="AC508" i="2"/>
  <c r="AD508" i="2" s="1"/>
  <c r="AC509" i="2"/>
  <c r="AC510" i="2"/>
  <c r="AC511" i="2"/>
  <c r="AC512" i="2"/>
  <c r="AD512" i="2" s="1"/>
  <c r="AC513" i="2"/>
  <c r="AC514" i="2"/>
  <c r="AC515" i="2"/>
  <c r="AC516" i="2"/>
  <c r="AD516" i="2" s="1"/>
  <c r="AC517" i="2"/>
  <c r="AC518" i="2"/>
  <c r="AD518" i="2" s="1"/>
  <c r="AC519" i="2"/>
  <c r="AD519" i="2" s="1"/>
  <c r="AC520" i="2"/>
  <c r="AC521" i="2"/>
  <c r="AC522" i="2"/>
  <c r="AC523" i="2"/>
  <c r="AC524" i="2"/>
  <c r="AD524" i="2" s="1"/>
  <c r="AC525" i="2"/>
  <c r="AC526" i="2"/>
  <c r="AC527" i="2"/>
  <c r="AC528" i="2"/>
  <c r="AD528" i="2" s="1"/>
  <c r="AC529" i="2"/>
  <c r="AC530" i="2"/>
  <c r="AD530" i="2" s="1"/>
  <c r="AC531" i="2"/>
  <c r="AD531" i="2" s="1"/>
  <c r="AC532" i="2"/>
  <c r="AD532" i="2" s="1"/>
  <c r="AC533" i="2"/>
  <c r="AC534" i="2"/>
  <c r="AC535" i="2"/>
  <c r="AC536" i="2"/>
  <c r="AD536" i="2" s="1"/>
  <c r="AC537" i="2"/>
  <c r="AC538" i="2"/>
  <c r="AC539" i="2"/>
  <c r="AC540" i="2"/>
  <c r="AD540" i="2" s="1"/>
  <c r="AC541" i="2"/>
  <c r="AC542" i="2"/>
  <c r="AD542" i="2" s="1"/>
  <c r="AC543" i="2"/>
  <c r="AD543" i="2" s="1"/>
  <c r="AC544" i="2"/>
  <c r="AD544" i="2" s="1"/>
  <c r="AC545" i="2"/>
  <c r="AC546" i="2"/>
  <c r="AC547" i="2"/>
  <c r="AC548" i="2"/>
  <c r="AD548" i="2" s="1"/>
  <c r="AC549" i="2"/>
  <c r="AC550" i="2"/>
  <c r="AC551" i="2"/>
  <c r="AC552" i="2"/>
  <c r="AD552" i="2" s="1"/>
  <c r="AC553" i="2"/>
  <c r="AC554" i="2"/>
  <c r="AD554" i="2" s="1"/>
  <c r="AC555" i="2"/>
  <c r="AD555" i="2" s="1"/>
  <c r="AC556" i="2"/>
  <c r="AD556" i="2" s="1"/>
  <c r="AC557" i="2"/>
  <c r="AC558" i="2"/>
  <c r="AC559" i="2"/>
  <c r="AC560" i="2"/>
  <c r="AD560" i="2" s="1"/>
  <c r="AC561" i="2"/>
  <c r="AC562" i="2"/>
  <c r="AC563" i="2"/>
  <c r="AC564" i="2"/>
  <c r="AD564" i="2" s="1"/>
  <c r="AC565" i="2"/>
  <c r="AC566" i="2"/>
  <c r="AD566" i="2" s="1"/>
  <c r="AC567" i="2"/>
  <c r="AD567" i="2" s="1"/>
  <c r="AC568" i="2"/>
  <c r="AD568" i="2" s="1"/>
  <c r="AC569" i="2"/>
  <c r="AC570" i="2"/>
  <c r="AC571" i="2"/>
  <c r="AC572" i="2"/>
  <c r="AD572" i="2" s="1"/>
  <c r="AC573" i="2"/>
  <c r="AC574" i="2"/>
  <c r="AC575" i="2"/>
  <c r="AC576" i="2"/>
  <c r="AD576" i="2" s="1"/>
  <c r="AC577" i="2"/>
  <c r="AC578" i="2"/>
  <c r="AD578" i="2" s="1"/>
  <c r="AC579" i="2"/>
  <c r="AC580" i="2"/>
  <c r="AD580" i="2" s="1"/>
  <c r="AC581" i="2"/>
  <c r="AC582" i="2"/>
  <c r="AC583" i="2"/>
  <c r="AC584" i="2"/>
  <c r="AC585" i="2"/>
  <c r="AC586" i="2"/>
  <c r="AC587" i="2"/>
  <c r="AC588" i="2"/>
  <c r="AD588" i="2" s="1"/>
  <c r="AC589" i="2"/>
  <c r="AC590" i="2"/>
  <c r="AD590" i="2" s="1"/>
  <c r="AC591" i="2"/>
  <c r="AD591" i="2" s="1"/>
  <c r="AC592" i="2"/>
  <c r="AC593" i="2"/>
  <c r="AC594" i="2"/>
  <c r="AC595" i="2"/>
  <c r="AC596" i="2"/>
  <c r="AD596" i="2" s="1"/>
  <c r="AC597" i="2"/>
  <c r="AC598" i="2"/>
  <c r="AC599" i="2"/>
  <c r="AC600" i="2"/>
  <c r="AD600" i="2" s="1"/>
  <c r="AC601" i="2"/>
  <c r="AC602" i="2"/>
  <c r="AD602" i="2" s="1"/>
  <c r="AC603" i="2"/>
  <c r="AC604" i="2"/>
  <c r="AD604" i="2" s="1"/>
  <c r="AC605" i="2"/>
  <c r="AC606" i="2"/>
  <c r="AC607" i="2"/>
  <c r="AC608" i="2"/>
  <c r="AD608" i="2" s="1"/>
  <c r="AC609" i="2"/>
  <c r="AC610" i="2"/>
  <c r="AC611" i="2"/>
  <c r="AC612" i="2"/>
  <c r="AD612" i="2" s="1"/>
  <c r="AC613" i="2"/>
  <c r="AC614" i="2"/>
  <c r="AD614" i="2" s="1"/>
  <c r="AC615" i="2"/>
  <c r="AC616" i="2"/>
  <c r="AD616" i="2" s="1"/>
  <c r="AC617" i="2"/>
  <c r="AC618" i="2"/>
  <c r="AC619" i="2"/>
  <c r="AC620" i="2"/>
  <c r="AC621" i="2"/>
  <c r="AC622" i="2"/>
  <c r="AC623" i="2"/>
  <c r="AC624" i="2"/>
  <c r="AD624" i="2" s="1"/>
  <c r="AC625" i="2"/>
  <c r="AC626" i="2"/>
  <c r="AD626" i="2" s="1"/>
  <c r="AC627" i="2"/>
  <c r="AC628" i="2"/>
  <c r="AD628" i="2" s="1"/>
  <c r="AC629" i="2"/>
  <c r="AC630" i="2"/>
  <c r="AC631" i="2"/>
  <c r="AC632" i="2"/>
  <c r="AD632" i="2" s="1"/>
  <c r="AC633" i="2"/>
  <c r="AC634" i="2"/>
  <c r="AC635" i="2"/>
  <c r="AC636" i="2"/>
  <c r="AC637" i="2"/>
  <c r="AC638" i="2"/>
  <c r="AD638" i="2" s="1"/>
  <c r="AC639" i="2"/>
  <c r="AD639" i="2" s="1"/>
  <c r="AC640" i="2"/>
  <c r="AD640" i="2" s="1"/>
  <c r="AC641" i="2"/>
  <c r="AC642" i="2"/>
  <c r="AC643" i="2"/>
  <c r="AC644" i="2"/>
  <c r="AC645" i="2"/>
  <c r="AC646" i="2"/>
  <c r="AC647" i="2"/>
  <c r="AC648" i="2"/>
  <c r="AD648" i="2" s="1"/>
  <c r="AC649" i="2"/>
  <c r="AC650" i="2"/>
  <c r="AD650" i="2" s="1"/>
  <c r="AC651" i="2"/>
  <c r="AD651" i="2" s="1"/>
  <c r="AC652" i="2"/>
  <c r="AC653" i="2"/>
  <c r="AC654" i="2"/>
  <c r="AC655" i="2"/>
  <c r="AC656" i="2"/>
  <c r="AD656" i="2" s="1"/>
  <c r="AC657" i="2"/>
  <c r="AC658" i="2"/>
  <c r="AC659" i="2"/>
  <c r="AC660" i="2"/>
  <c r="AD660" i="2" s="1"/>
  <c r="AC661" i="2"/>
  <c r="AC662" i="2"/>
  <c r="AD662" i="2" s="1"/>
  <c r="AC663" i="2"/>
  <c r="AD663" i="2" s="1"/>
  <c r="AC664" i="2"/>
  <c r="AD664" i="2" s="1"/>
  <c r="AC665" i="2"/>
  <c r="AC666" i="2"/>
  <c r="AC667" i="2"/>
  <c r="AC668" i="2"/>
  <c r="AC669" i="2"/>
  <c r="AC670" i="2"/>
  <c r="AC671" i="2"/>
  <c r="AC672" i="2"/>
  <c r="AD672" i="2" s="1"/>
  <c r="AC673" i="2"/>
  <c r="AC674" i="2"/>
  <c r="AD674" i="2" s="1"/>
  <c r="AC675" i="2"/>
  <c r="AD675" i="2" s="1"/>
  <c r="AC676" i="2"/>
  <c r="AD676" i="2" s="1"/>
  <c r="AC677" i="2"/>
  <c r="AC678" i="2"/>
  <c r="AC679" i="2"/>
  <c r="AC680" i="2"/>
  <c r="AD680" i="2" s="1"/>
  <c r="AC681" i="2"/>
  <c r="AC682" i="2"/>
  <c r="AC683" i="2"/>
  <c r="AC684" i="2"/>
  <c r="AD684" i="2" s="1"/>
  <c r="AC685" i="2"/>
  <c r="AC686" i="2"/>
  <c r="AD686" i="2" s="1"/>
  <c r="AC687" i="2"/>
  <c r="AD687" i="2" s="1"/>
  <c r="AC688" i="2"/>
  <c r="AD688" i="2" s="1"/>
  <c r="AC689" i="2"/>
  <c r="AC690" i="2"/>
  <c r="AC691" i="2"/>
  <c r="AC692" i="2"/>
  <c r="AD692" i="2" s="1"/>
  <c r="AC693" i="2"/>
  <c r="AC694" i="2"/>
  <c r="AC695" i="2"/>
  <c r="AC696" i="2"/>
  <c r="AD696" i="2" s="1"/>
  <c r="AC697" i="2"/>
  <c r="AC698" i="2"/>
  <c r="AD698" i="2" s="1"/>
  <c r="AC699" i="2"/>
  <c r="AD699" i="2" s="1"/>
  <c r="AC700" i="2"/>
  <c r="AD700" i="2" s="1"/>
  <c r="AC701" i="2"/>
  <c r="AC702" i="2"/>
  <c r="AC703" i="2"/>
  <c r="AC704" i="2"/>
  <c r="AD704" i="2" s="1"/>
  <c r="AC705" i="2"/>
  <c r="AC706" i="2"/>
  <c r="AC707" i="2"/>
  <c r="AC708" i="2"/>
  <c r="AD708" i="2" s="1"/>
  <c r="AC709" i="2"/>
  <c r="AC710" i="2"/>
  <c r="AD710" i="2" s="1"/>
  <c r="AC711" i="2"/>
  <c r="AD711" i="2" s="1"/>
  <c r="AC712" i="2"/>
  <c r="AD712" i="2" s="1"/>
  <c r="AC713" i="2"/>
  <c r="AC714" i="2"/>
  <c r="AC715" i="2"/>
  <c r="AC716" i="2"/>
  <c r="AC717" i="2"/>
  <c r="AC718" i="2"/>
  <c r="AC719" i="2"/>
  <c r="AC720" i="2"/>
  <c r="AC721" i="2"/>
  <c r="AC722" i="2"/>
  <c r="AD722" i="2" s="1"/>
  <c r="AC723" i="2"/>
  <c r="AD723" i="2" s="1"/>
  <c r="AC724" i="2"/>
  <c r="AC725" i="2"/>
  <c r="AC726" i="2"/>
  <c r="AC727" i="2"/>
  <c r="AC728" i="2"/>
  <c r="AD728" i="2" s="1"/>
  <c r="AC729" i="2"/>
  <c r="AC730" i="2"/>
  <c r="AC731" i="2"/>
  <c r="AC732" i="2"/>
  <c r="AD732" i="2" s="1"/>
  <c r="AC733" i="2"/>
  <c r="AC734" i="2"/>
  <c r="AD734" i="2" s="1"/>
  <c r="AC735" i="2"/>
  <c r="AD735" i="2" s="1"/>
  <c r="AC736" i="2"/>
  <c r="AD736" i="2" s="1"/>
  <c r="AC737" i="2"/>
  <c r="AC738" i="2"/>
  <c r="AC739" i="2"/>
  <c r="AC740" i="2"/>
  <c r="AC741" i="2"/>
  <c r="AC742" i="2"/>
  <c r="AC743" i="2"/>
  <c r="AC744" i="2"/>
  <c r="AD744" i="2" s="1"/>
  <c r="AC745" i="2"/>
  <c r="AC746" i="2"/>
  <c r="AD746" i="2" s="1"/>
  <c r="AC747" i="2"/>
  <c r="AC748" i="2"/>
  <c r="AD748" i="2" s="1"/>
  <c r="AC749" i="2"/>
  <c r="AC750" i="2"/>
  <c r="AC751" i="2"/>
  <c r="AC752" i="2"/>
  <c r="AD752" i="2" s="1"/>
  <c r="AC753" i="2"/>
  <c r="AC754" i="2"/>
  <c r="AC755" i="2"/>
  <c r="AC756" i="2"/>
  <c r="AD756" i="2" s="1"/>
  <c r="AC757" i="2"/>
  <c r="AC758" i="2"/>
  <c r="AD758" i="2" s="1"/>
  <c r="AC759" i="2"/>
  <c r="AC760" i="2"/>
  <c r="AD760" i="2" s="1"/>
  <c r="AC761" i="2"/>
  <c r="AC762" i="2"/>
  <c r="AC763" i="2"/>
  <c r="AC764" i="2"/>
  <c r="AD764" i="2" s="1"/>
  <c r="AC765" i="2"/>
  <c r="AC766" i="2"/>
  <c r="AC767" i="2"/>
  <c r="AC768" i="2"/>
  <c r="AC769" i="2"/>
  <c r="AC770" i="2"/>
  <c r="AD770" i="2" s="1"/>
  <c r="AC771" i="2"/>
  <c r="AD771" i="2" s="1"/>
  <c r="AC772" i="2"/>
  <c r="AD772" i="2" s="1"/>
  <c r="AC773" i="2"/>
  <c r="AC774" i="2"/>
  <c r="AC775" i="2"/>
  <c r="AC776" i="2"/>
  <c r="AD776" i="2" s="1"/>
  <c r="AC777" i="2"/>
  <c r="AC778" i="2"/>
  <c r="AC779" i="2"/>
  <c r="AC780" i="2"/>
  <c r="AD780" i="2" s="1"/>
  <c r="AC781" i="2"/>
  <c r="AC782" i="2"/>
  <c r="AD782" i="2" s="1"/>
  <c r="AC783" i="2"/>
  <c r="AD783" i="2" s="1"/>
  <c r="AC784" i="2"/>
  <c r="AC785" i="2"/>
  <c r="AC786" i="2"/>
  <c r="AC787" i="2"/>
  <c r="AC788" i="2"/>
  <c r="AD788" i="2" s="1"/>
  <c r="AC789" i="2"/>
  <c r="AC790" i="2"/>
  <c r="AC791" i="2"/>
  <c r="AC792" i="2"/>
  <c r="AD792" i="2" s="1"/>
  <c r="AC793" i="2"/>
  <c r="AC794" i="2"/>
  <c r="AD794" i="2" s="1"/>
  <c r="AC795" i="2"/>
  <c r="AD795" i="2" s="1"/>
  <c r="AC796" i="2"/>
  <c r="AD796" i="2" s="1"/>
  <c r="AC797" i="2"/>
  <c r="AC798" i="2"/>
  <c r="AC799" i="2"/>
  <c r="AC800" i="2"/>
  <c r="AD800" i="2" s="1"/>
  <c r="AC801" i="2"/>
  <c r="AC802" i="2"/>
  <c r="AC803" i="2"/>
  <c r="AC804" i="2"/>
  <c r="AD804" i="2" s="1"/>
  <c r="AC805" i="2"/>
  <c r="AC806" i="2"/>
  <c r="AD806" i="2" s="1"/>
  <c r="AC807" i="2"/>
  <c r="AD807" i="2" s="1"/>
  <c r="AC808" i="2"/>
  <c r="AD808" i="2" s="1"/>
  <c r="AC809" i="2"/>
  <c r="AC810" i="2"/>
  <c r="AC811" i="2"/>
  <c r="AC812" i="2"/>
  <c r="AD812" i="2" s="1"/>
  <c r="AC813" i="2"/>
  <c r="AC814" i="2"/>
  <c r="AC815" i="2"/>
  <c r="AC816" i="2"/>
  <c r="AD816" i="2" s="1"/>
  <c r="AC817" i="2"/>
  <c r="AC818" i="2"/>
  <c r="AD818" i="2" s="1"/>
  <c r="AC819" i="2"/>
  <c r="AD819" i="2" s="1"/>
  <c r="AC820" i="2"/>
  <c r="AD820" i="2" s="1"/>
  <c r="AC821" i="2"/>
  <c r="AC822" i="2"/>
  <c r="AC823" i="2"/>
  <c r="AC824" i="2"/>
  <c r="AD824" i="2" s="1"/>
  <c r="AC825" i="2"/>
  <c r="AC826" i="2"/>
  <c r="AC827" i="2"/>
  <c r="AC828" i="2"/>
  <c r="AD828" i="2" s="1"/>
  <c r="AC829" i="2"/>
  <c r="AC830" i="2"/>
  <c r="AD830" i="2" s="1"/>
  <c r="AC831" i="2"/>
  <c r="AD831" i="2" s="1"/>
  <c r="AC832" i="2"/>
  <c r="AD832" i="2" s="1"/>
  <c r="AC833" i="2"/>
  <c r="AC834" i="2"/>
  <c r="AC835" i="2"/>
  <c r="AC836" i="2"/>
  <c r="AC837" i="2"/>
  <c r="AC838" i="2"/>
  <c r="AC839" i="2"/>
  <c r="AC840" i="2"/>
  <c r="AD840" i="2" s="1"/>
  <c r="AC841" i="2"/>
  <c r="AC842" i="2"/>
  <c r="AD842" i="2" s="1"/>
  <c r="AC843" i="2"/>
  <c r="AD843" i="2" s="1"/>
  <c r="AC844" i="2"/>
  <c r="AC845" i="2"/>
  <c r="AC846" i="2"/>
  <c r="AC847" i="2"/>
  <c r="AC848" i="2"/>
  <c r="AD848" i="2" s="1"/>
  <c r="AC849" i="2"/>
  <c r="AC850" i="2"/>
  <c r="AC851" i="2"/>
  <c r="AC852" i="2"/>
  <c r="AD852" i="2" s="1"/>
  <c r="AC853" i="2"/>
  <c r="AC854" i="2"/>
  <c r="AD854" i="2" s="1"/>
  <c r="AC855" i="2"/>
  <c r="AD855" i="2" s="1"/>
  <c r="AC856" i="2"/>
  <c r="AD856" i="2" s="1"/>
  <c r="AC857" i="2"/>
  <c r="AC858" i="2"/>
  <c r="AC859" i="2"/>
  <c r="AC860" i="2"/>
  <c r="AD860" i="2" s="1"/>
  <c r="AC861" i="2"/>
  <c r="AC862" i="2"/>
  <c r="AC863" i="2"/>
  <c r="AC864" i="2"/>
  <c r="AD864" i="2" s="1"/>
  <c r="AC865" i="2"/>
  <c r="AC866" i="2"/>
  <c r="AD866" i="2" s="1"/>
  <c r="AC867" i="2"/>
  <c r="AD867" i="2" s="1"/>
  <c r="AC868" i="2"/>
  <c r="AD868" i="2" s="1"/>
  <c r="AC869" i="2"/>
  <c r="AC870" i="2"/>
  <c r="AC871" i="2"/>
  <c r="AC872" i="2"/>
  <c r="AD872" i="2" s="1"/>
  <c r="AC873" i="2"/>
  <c r="AC874" i="2"/>
  <c r="AC875" i="2"/>
  <c r="AC876" i="2"/>
  <c r="AD876" i="2" s="1"/>
  <c r="AC877" i="2"/>
  <c r="AC878" i="2"/>
  <c r="AD878" i="2" s="1"/>
  <c r="AC879" i="2"/>
  <c r="AD879" i="2" s="1"/>
  <c r="AC880" i="2"/>
  <c r="AC881" i="2"/>
  <c r="AC882" i="2"/>
  <c r="AC883" i="2"/>
  <c r="AC884" i="2"/>
  <c r="AD884" i="2" s="1"/>
  <c r="AC885" i="2"/>
  <c r="AC886" i="2"/>
  <c r="AC887" i="2"/>
  <c r="AC888" i="2"/>
  <c r="AC889" i="2"/>
  <c r="AC890" i="2"/>
  <c r="AD890" i="2" s="1"/>
  <c r="AC891" i="2"/>
  <c r="AC892" i="2"/>
  <c r="AD892" i="2" s="1"/>
  <c r="AC893" i="2"/>
  <c r="AC894" i="2"/>
  <c r="AC895" i="2"/>
  <c r="AC896" i="2"/>
  <c r="AD896" i="2" s="1"/>
  <c r="AC897" i="2"/>
  <c r="AC898" i="2"/>
  <c r="AC899" i="2"/>
  <c r="AC900" i="2"/>
  <c r="AD900" i="2" s="1"/>
  <c r="AC901" i="2"/>
  <c r="AC902" i="2"/>
  <c r="AD902" i="2" s="1"/>
  <c r="AC903" i="2"/>
  <c r="AC904" i="2"/>
  <c r="AD904" i="2" s="1"/>
  <c r="AC905" i="2"/>
  <c r="AC906" i="2"/>
  <c r="AC907" i="2"/>
  <c r="AC908" i="2"/>
  <c r="AC909" i="2"/>
  <c r="AC910" i="2"/>
  <c r="AC911" i="2"/>
  <c r="AC912" i="2"/>
  <c r="AD912" i="2" s="1"/>
  <c r="AC913" i="2"/>
  <c r="AC914" i="2"/>
  <c r="AD914" i="2" s="1"/>
  <c r="AC915" i="2"/>
  <c r="AD915" i="2" s="1"/>
  <c r="AC916" i="2"/>
  <c r="AD916" i="2" s="1"/>
  <c r="AC917" i="2"/>
  <c r="AC918" i="2"/>
  <c r="AC919" i="2"/>
  <c r="AC920" i="2"/>
  <c r="AD920" i="2" s="1"/>
  <c r="AC921" i="2"/>
  <c r="AC922" i="2"/>
  <c r="AC923" i="2"/>
  <c r="AC924" i="2"/>
  <c r="AD924" i="2" s="1"/>
  <c r="AC925" i="2"/>
  <c r="AC926" i="2"/>
  <c r="AD926" i="2" s="1"/>
  <c r="AC927" i="2"/>
  <c r="AD927" i="2" s="1"/>
  <c r="AC928" i="2"/>
  <c r="AD928" i="2" s="1"/>
  <c r="AC929" i="2"/>
  <c r="AC930" i="2"/>
  <c r="AC931" i="2"/>
  <c r="AC932" i="2"/>
  <c r="AD932" i="2" s="1"/>
  <c r="AC933" i="2"/>
  <c r="AC934" i="2"/>
  <c r="AC935" i="2"/>
  <c r="AC936" i="2"/>
  <c r="AD936" i="2" s="1"/>
  <c r="AC937" i="2"/>
  <c r="AC938" i="2"/>
  <c r="AD938" i="2" s="1"/>
  <c r="AC939" i="2"/>
  <c r="AD939" i="2" s="1"/>
  <c r="AC940" i="2"/>
  <c r="AC941" i="2"/>
  <c r="AC942" i="2"/>
  <c r="AC943" i="2"/>
  <c r="AC944" i="2"/>
  <c r="AC945" i="2"/>
  <c r="AC946" i="2"/>
  <c r="AC947" i="2"/>
  <c r="AC948" i="2"/>
  <c r="AD948" i="2" s="1"/>
  <c r="AC949" i="2"/>
  <c r="AC950" i="2"/>
  <c r="AD950" i="2" s="1"/>
  <c r="AC951" i="2"/>
  <c r="AD951" i="2" s="1"/>
  <c r="AC952" i="2"/>
  <c r="AD952" i="2" s="1"/>
  <c r="AC953" i="2"/>
  <c r="AC954" i="2"/>
  <c r="AC955" i="2"/>
  <c r="AC956" i="2"/>
  <c r="AD956" i="2" s="1"/>
  <c r="AC957" i="2"/>
  <c r="AC958" i="2"/>
  <c r="AC959" i="2"/>
  <c r="AC960" i="2"/>
  <c r="AD960" i="2" s="1"/>
  <c r="AC961" i="2"/>
  <c r="AC962" i="2"/>
  <c r="AD962" i="2" s="1"/>
  <c r="AC963" i="2"/>
  <c r="AD963" i="2" s="1"/>
  <c r="AC964" i="2"/>
  <c r="AD964" i="2" s="1"/>
  <c r="AC965" i="2"/>
  <c r="AC966" i="2"/>
  <c r="AC967" i="2"/>
  <c r="AC968" i="2"/>
  <c r="AC969" i="2"/>
  <c r="AC970" i="2"/>
  <c r="AC971" i="2"/>
  <c r="AC972" i="2"/>
  <c r="AD972" i="2" s="1"/>
  <c r="AC973" i="2"/>
  <c r="AC974" i="2"/>
  <c r="AD974" i="2" s="1"/>
  <c r="AC975" i="2"/>
  <c r="AD975" i="2" s="1"/>
  <c r="AC976" i="2"/>
  <c r="AD976" i="2" s="1"/>
  <c r="AC977" i="2"/>
  <c r="AC978" i="2"/>
  <c r="AC979" i="2"/>
  <c r="AC980" i="2"/>
  <c r="AD980" i="2" s="1"/>
  <c r="AC981" i="2"/>
  <c r="AC982" i="2"/>
  <c r="AC983" i="2"/>
  <c r="AC984" i="2"/>
  <c r="AD984" i="2" s="1"/>
  <c r="AC985" i="2"/>
  <c r="AC986" i="2"/>
  <c r="AD986" i="2" s="1"/>
  <c r="AC987" i="2"/>
  <c r="AD987" i="2" s="1"/>
  <c r="AC988" i="2"/>
  <c r="AD988" i="2" s="1"/>
  <c r="AC989" i="2"/>
  <c r="AC990" i="2"/>
  <c r="AC991" i="2"/>
  <c r="AC992" i="2"/>
  <c r="AD992" i="2" s="1"/>
  <c r="AC993" i="2"/>
  <c r="AC994" i="2"/>
  <c r="AC995" i="2"/>
  <c r="AC996" i="2"/>
  <c r="AD996" i="2" s="1"/>
  <c r="AC997" i="2"/>
  <c r="AC998" i="2"/>
  <c r="AD998" i="2" s="1"/>
  <c r="AC999" i="2"/>
  <c r="AD999" i="2" s="1"/>
  <c r="AC1000" i="2"/>
  <c r="AD1000" i="2" s="1"/>
  <c r="AC1001" i="2"/>
  <c r="AC1002" i="2"/>
  <c r="AC1003" i="2"/>
  <c r="AC1004" i="2"/>
  <c r="AD1004" i="2" s="1"/>
  <c r="AC1005" i="2"/>
  <c r="AC1006" i="2"/>
  <c r="AC1007" i="2"/>
  <c r="AC1008" i="2"/>
  <c r="AD1008" i="2" s="1"/>
  <c r="AC1009" i="2"/>
  <c r="AC1010" i="2"/>
  <c r="AD1010" i="2" s="1"/>
  <c r="AC1011" i="2"/>
  <c r="AD1011" i="2" s="1"/>
  <c r="AC1012" i="2"/>
  <c r="AD1012" i="2" s="1"/>
  <c r="AC1013" i="2"/>
  <c r="AC1014" i="2"/>
  <c r="AC1015" i="2"/>
  <c r="AC1016" i="2"/>
  <c r="AD1016" i="2" s="1"/>
  <c r="AC1017" i="2"/>
  <c r="AC1018" i="2"/>
  <c r="AC1019" i="2"/>
  <c r="AC1020" i="2"/>
  <c r="AD1020" i="2" s="1"/>
  <c r="AC1021" i="2"/>
  <c r="AC1022" i="2"/>
  <c r="AD1022" i="2" s="1"/>
  <c r="AC1023" i="2"/>
  <c r="AD1023" i="2" s="1"/>
  <c r="AC1024" i="2"/>
  <c r="AD1024" i="2" s="1"/>
  <c r="AC1025" i="2"/>
  <c r="AC1026" i="2"/>
  <c r="AC1027" i="2"/>
  <c r="AC1028" i="2"/>
  <c r="AC1029" i="2"/>
  <c r="AC1030" i="2"/>
  <c r="AC1031" i="2"/>
  <c r="AC1032" i="2"/>
  <c r="AD1032" i="2" s="1"/>
  <c r="AC1033" i="2"/>
  <c r="AC1034" i="2"/>
  <c r="AC1035" i="2"/>
  <c r="AD1035" i="2" s="1"/>
  <c r="AC1036" i="2"/>
  <c r="AD1036" i="2" s="1"/>
  <c r="AC1037" i="2"/>
  <c r="AC1038" i="2"/>
  <c r="AC1039" i="2"/>
  <c r="AC1040" i="2"/>
  <c r="AC1041" i="2"/>
  <c r="AC1042" i="2"/>
  <c r="AC1043" i="2"/>
  <c r="AC1044" i="2"/>
  <c r="AD1044" i="2" s="1"/>
  <c r="AC1045" i="2"/>
  <c r="AC1046" i="2"/>
  <c r="AC1047" i="2"/>
  <c r="AD1047" i="2" s="1"/>
  <c r="AC1048" i="2"/>
  <c r="AC1049" i="2"/>
  <c r="AC1050" i="2"/>
  <c r="AC1051" i="2"/>
  <c r="AC1052" i="2"/>
  <c r="AD1052" i="2" s="1"/>
  <c r="AC1053" i="2"/>
  <c r="AC1054" i="2"/>
  <c r="AC1055" i="2"/>
  <c r="AC1056" i="2"/>
  <c r="AD1056" i="2" s="1"/>
  <c r="AC1057" i="2"/>
  <c r="AC1058" i="2"/>
  <c r="AC1059" i="2"/>
  <c r="AD1059" i="2" s="1"/>
  <c r="AC1060" i="2"/>
  <c r="AD1060" i="2" s="1"/>
  <c r="AC1061" i="2"/>
  <c r="AC1062" i="2"/>
  <c r="AC1063" i="2"/>
  <c r="AC1064" i="2"/>
  <c r="AD1064" i="2" s="1"/>
  <c r="AC1065" i="2"/>
  <c r="AC1066" i="2"/>
  <c r="AC1067" i="2"/>
  <c r="AC1068" i="2"/>
  <c r="AC1069" i="2"/>
  <c r="AC1070" i="2"/>
  <c r="AC1071" i="2"/>
  <c r="AD1071" i="2" s="1"/>
  <c r="AC1072" i="2"/>
  <c r="AD1072" i="2" s="1"/>
  <c r="AC1073" i="2"/>
  <c r="AC1074" i="2"/>
  <c r="AC1075" i="2"/>
  <c r="AC1076" i="2"/>
  <c r="AD1076" i="2" s="1"/>
  <c r="AC1077" i="2"/>
  <c r="AC1078" i="2"/>
  <c r="AC1079" i="2"/>
  <c r="AC1080" i="2"/>
  <c r="AD1080" i="2" s="1"/>
  <c r="AC1081" i="2"/>
  <c r="AC1082" i="2"/>
  <c r="AC1083" i="2"/>
  <c r="AD1083" i="2" s="1"/>
  <c r="AC1084" i="2"/>
  <c r="AD1084" i="2" s="1"/>
  <c r="AC1085" i="2"/>
  <c r="AC1086" i="2"/>
  <c r="AC1087" i="2"/>
  <c r="AC1088" i="2"/>
  <c r="AC1089" i="2"/>
  <c r="AC1090" i="2"/>
  <c r="AC1091" i="2"/>
  <c r="AC1092" i="2"/>
  <c r="AD1092" i="2" s="1"/>
  <c r="AC1093" i="2"/>
  <c r="AC1094" i="2"/>
  <c r="AC1095" i="2"/>
  <c r="AD1095" i="2" s="1"/>
  <c r="AC1096" i="2"/>
  <c r="AD1096" i="2" s="1"/>
  <c r="AC1097" i="2"/>
  <c r="AC1098" i="2"/>
  <c r="AC1099" i="2"/>
  <c r="AC1100" i="2"/>
  <c r="AD1100" i="2" s="1"/>
  <c r="AC1101" i="2"/>
  <c r="AC1102" i="2"/>
  <c r="AC1103" i="2"/>
  <c r="AC1104" i="2"/>
  <c r="AD1104" i="2" s="1"/>
  <c r="AC1105" i="2"/>
  <c r="AC1106" i="2"/>
  <c r="AC1107" i="2"/>
  <c r="AD1107" i="2" s="1"/>
  <c r="AC1108" i="2"/>
  <c r="AC1109" i="2"/>
  <c r="AC1110" i="2"/>
  <c r="AC1111" i="2"/>
  <c r="AC1112" i="2"/>
  <c r="AD1112" i="2" s="1"/>
  <c r="AC1113" i="2"/>
  <c r="AC1114" i="2"/>
  <c r="AC1115" i="2"/>
  <c r="AC1116" i="2"/>
  <c r="AD1116" i="2" s="1"/>
  <c r="AC1117" i="2"/>
  <c r="AC1118" i="2"/>
  <c r="AC1119" i="2"/>
  <c r="AD1119" i="2" s="1"/>
  <c r="AC1120" i="2"/>
  <c r="AD1120" i="2" s="1"/>
  <c r="AC1121" i="2"/>
  <c r="AC1122" i="2"/>
  <c r="AC1123" i="2"/>
  <c r="AC1124" i="2"/>
  <c r="AD1124" i="2" s="1"/>
  <c r="AC1125" i="2"/>
  <c r="AC1126" i="2"/>
  <c r="AC1127" i="2"/>
  <c r="AC1128" i="2"/>
  <c r="AD1128" i="2" s="1"/>
  <c r="AC1129" i="2"/>
  <c r="AC1130" i="2"/>
  <c r="AC1131" i="2"/>
  <c r="AD1131" i="2" s="1"/>
  <c r="AC1132" i="2"/>
  <c r="AD1132" i="2" s="1"/>
  <c r="AC1133" i="2"/>
  <c r="AC1134" i="2"/>
  <c r="AC1135" i="2"/>
  <c r="AC1136" i="2"/>
  <c r="AD1136" i="2" s="1"/>
  <c r="AC1137" i="2"/>
  <c r="AC1138" i="2"/>
  <c r="AC1139" i="2"/>
  <c r="AC1140" i="2"/>
  <c r="AD1140" i="2" s="1"/>
  <c r="AC1141" i="2"/>
  <c r="AC1142" i="2"/>
  <c r="AC1143" i="2"/>
  <c r="AD1143" i="2" s="1"/>
  <c r="AC1144" i="2"/>
  <c r="AD1144" i="2" s="1"/>
  <c r="AC1145" i="2"/>
  <c r="AC1146" i="2"/>
  <c r="AC1147" i="2"/>
  <c r="AC1148" i="2"/>
  <c r="AC1149" i="2"/>
  <c r="AC1150" i="2"/>
  <c r="AC1151" i="2"/>
  <c r="AC1152" i="2"/>
  <c r="AD1152" i="2" s="1"/>
  <c r="AC1153" i="2"/>
  <c r="AC1154" i="2"/>
  <c r="AC1155" i="2"/>
  <c r="AD1155" i="2" s="1"/>
  <c r="AC1156" i="2"/>
  <c r="AD1156" i="2" s="1"/>
  <c r="AC1157" i="2"/>
  <c r="AC1158" i="2"/>
  <c r="AC1159" i="2"/>
  <c r="AC1160" i="2"/>
  <c r="AC1161" i="2"/>
  <c r="AC1162" i="2"/>
  <c r="AC1163" i="2"/>
  <c r="AC1164" i="2"/>
  <c r="AD1164" i="2" s="1"/>
  <c r="AC1165" i="2"/>
  <c r="AC1166" i="2"/>
  <c r="AC1167" i="2"/>
  <c r="AD1167" i="2" s="1"/>
  <c r="AC1168" i="2"/>
  <c r="AC1169" i="2"/>
  <c r="AC1170" i="2"/>
  <c r="AC1171" i="2"/>
  <c r="AC1172" i="2"/>
  <c r="AD1172" i="2" s="1"/>
  <c r="AC1173" i="2"/>
  <c r="AC1174" i="2"/>
  <c r="AC1175" i="2"/>
  <c r="AC1176" i="2"/>
  <c r="AD1176" i="2" s="1"/>
  <c r="AC1177" i="2"/>
  <c r="AC1178" i="2"/>
  <c r="AC1179" i="2"/>
  <c r="AD1179" i="2" s="1"/>
  <c r="AC1180" i="2"/>
  <c r="AD1180" i="2" s="1"/>
  <c r="AC1181" i="2"/>
  <c r="AC1182" i="2"/>
  <c r="AC1183" i="2"/>
  <c r="AC1184" i="2"/>
  <c r="AD1184" i="2" s="1"/>
  <c r="AC1185" i="2"/>
  <c r="AC1186" i="2"/>
  <c r="AC1187" i="2"/>
  <c r="AC1188" i="2"/>
  <c r="AD1188" i="2" s="1"/>
  <c r="AC1189" i="2"/>
  <c r="AC1190" i="2"/>
  <c r="AC1191" i="2"/>
  <c r="AD1191" i="2" s="1"/>
  <c r="AC1192" i="2"/>
  <c r="AC1193" i="2"/>
  <c r="AC1194" i="2"/>
  <c r="AC1195" i="2"/>
  <c r="AC1196" i="2"/>
  <c r="AD1196" i="2" s="1"/>
  <c r="AC1197" i="2"/>
  <c r="AC1198" i="2"/>
  <c r="AC1199" i="2"/>
  <c r="AC1200" i="2"/>
  <c r="AD1200" i="2" s="1"/>
  <c r="AC1201" i="2"/>
  <c r="AC1202" i="2"/>
  <c r="AC1203" i="2"/>
  <c r="AD1203" i="2" s="1"/>
  <c r="AC1204" i="2"/>
  <c r="AD1204" i="2" s="1"/>
  <c r="AC1205" i="2"/>
  <c r="AC1206" i="2"/>
  <c r="AC1207" i="2"/>
  <c r="AC1208" i="2"/>
  <c r="AD1208" i="2" s="1"/>
  <c r="AC1209" i="2"/>
  <c r="AC1210" i="2"/>
  <c r="AC1211" i="2"/>
  <c r="AC1212" i="2"/>
  <c r="AD1212" i="2" s="1"/>
  <c r="AC1213" i="2"/>
  <c r="AC1214" i="2"/>
  <c r="AC1215" i="2"/>
  <c r="AD1215" i="2" s="1"/>
  <c r="AC1216" i="2"/>
  <c r="AD1216" i="2" s="1"/>
  <c r="AC1217" i="2"/>
  <c r="AC1218" i="2"/>
  <c r="AC1219" i="2"/>
  <c r="AC1220" i="2"/>
  <c r="AC1221" i="2"/>
  <c r="AC1222" i="2"/>
  <c r="AC1223" i="2"/>
  <c r="AC1224" i="2"/>
  <c r="AD1224" i="2" s="1"/>
  <c r="AC1225" i="2"/>
  <c r="AC1226" i="2"/>
  <c r="AC1227" i="2"/>
  <c r="AD1227" i="2" s="1"/>
  <c r="AC1228" i="2"/>
  <c r="AD1228" i="2" s="1"/>
  <c r="AC1229" i="2"/>
  <c r="AC1230" i="2"/>
  <c r="AC1231" i="2"/>
  <c r="AC1232" i="2"/>
  <c r="AD1232" i="2" s="1"/>
  <c r="AC1233" i="2"/>
  <c r="AC1234" i="2"/>
  <c r="AC1235" i="2"/>
  <c r="AC1236" i="2"/>
  <c r="AD1236" i="2" s="1"/>
  <c r="AC1237" i="2"/>
  <c r="AC1238" i="2"/>
  <c r="AC1239" i="2"/>
  <c r="AD1239" i="2" s="1"/>
  <c r="AC1240" i="2"/>
  <c r="AC1241" i="2"/>
  <c r="AC1242" i="2"/>
  <c r="AC1243" i="2"/>
  <c r="AC1244" i="2"/>
  <c r="AC1245" i="2"/>
  <c r="AC1246" i="2"/>
  <c r="AC1247" i="2"/>
  <c r="AC1248" i="2"/>
  <c r="AC1249" i="2"/>
  <c r="AC1250" i="2"/>
  <c r="AC1251" i="2"/>
  <c r="AD1251" i="2" s="1"/>
  <c r="AC1252" i="2"/>
  <c r="AC1253" i="2"/>
  <c r="AC1254" i="2"/>
  <c r="AC1255" i="2"/>
  <c r="AC1256" i="2"/>
  <c r="AD1256" i="2" s="1"/>
  <c r="AC1257" i="2"/>
  <c r="AC1258" i="2"/>
  <c r="AC1259" i="2"/>
  <c r="AC1260" i="2"/>
  <c r="AD1260" i="2" s="1"/>
  <c r="AC1261" i="2"/>
  <c r="AC1262" i="2"/>
  <c r="AC1263" i="2"/>
  <c r="AD1263" i="2" s="1"/>
  <c r="AC1264" i="2"/>
  <c r="AD1264" i="2" s="1"/>
  <c r="AC1265" i="2"/>
  <c r="AC1266" i="2"/>
  <c r="AC1267" i="2"/>
  <c r="AC1268" i="2"/>
  <c r="AD1268" i="2" s="1"/>
  <c r="AC1269" i="2"/>
  <c r="AC1270" i="2"/>
  <c r="AC1271" i="2"/>
  <c r="AC1272" i="2"/>
  <c r="AD1272" i="2" s="1"/>
  <c r="AC1273" i="2"/>
  <c r="AC1274" i="2"/>
  <c r="AC1275" i="2"/>
  <c r="AD1275" i="2" s="1"/>
  <c r="AC1276" i="2"/>
  <c r="AD1276" i="2" s="1"/>
  <c r="AC1277" i="2"/>
  <c r="AC1278" i="2"/>
  <c r="AC1279" i="2"/>
  <c r="AC1280" i="2"/>
  <c r="AD1280" i="2" s="1"/>
  <c r="AC1281" i="2"/>
  <c r="AC1282" i="2"/>
  <c r="AC1283" i="2"/>
  <c r="AC1284" i="2"/>
  <c r="AD1284" i="2" s="1"/>
  <c r="AC1285" i="2"/>
  <c r="AC1286" i="2"/>
  <c r="AC1287" i="2"/>
  <c r="AD1287" i="2" s="1"/>
  <c r="AC1288" i="2"/>
  <c r="AD1288" i="2" s="1"/>
  <c r="AC1289" i="2"/>
  <c r="AC1290" i="2"/>
  <c r="AC1291" i="2"/>
  <c r="AC1292" i="2"/>
  <c r="AC1293" i="2"/>
  <c r="AC1294" i="2"/>
  <c r="AC1295" i="2"/>
  <c r="AC1296" i="2"/>
  <c r="AD1296" i="2" s="1"/>
  <c r="AC1297" i="2"/>
  <c r="AC1298" i="2"/>
  <c r="AC1299" i="2"/>
  <c r="AD1299" i="2" s="1"/>
  <c r="AC1300" i="2"/>
  <c r="AD1300" i="2" s="1"/>
  <c r="AC1301" i="2"/>
  <c r="AC1302" i="2"/>
  <c r="AC1303" i="2"/>
  <c r="AC1304" i="2"/>
  <c r="AC1305" i="2"/>
  <c r="AC1306" i="2"/>
  <c r="AC1307" i="2"/>
  <c r="AC1308" i="2"/>
  <c r="AC1309" i="2"/>
  <c r="AC1310" i="2"/>
  <c r="AC1311" i="2"/>
  <c r="AD1311" i="2" s="1"/>
  <c r="AC1312" i="2"/>
  <c r="AC1313" i="2"/>
  <c r="AC1314" i="2"/>
  <c r="AC1315" i="2"/>
  <c r="AC1316" i="2"/>
  <c r="AD1316" i="2" s="1"/>
  <c r="AC1317" i="2"/>
  <c r="AC1318" i="2"/>
  <c r="AC1319" i="2"/>
  <c r="AC1320" i="2"/>
  <c r="AD1320" i="2" s="1"/>
  <c r="AC1321" i="2"/>
  <c r="AC1322" i="2"/>
  <c r="AC1323" i="2"/>
  <c r="AD1323" i="2" s="1"/>
  <c r="AC1324" i="2"/>
  <c r="AD1324" i="2" s="1"/>
  <c r="AC1325" i="2"/>
  <c r="AC1326" i="2"/>
  <c r="AC1327" i="2"/>
  <c r="AC1328" i="2"/>
  <c r="AD1328" i="2" s="1"/>
  <c r="AC1329" i="2"/>
  <c r="AC1330" i="2"/>
  <c r="AC1331" i="2"/>
  <c r="AC1332" i="2"/>
  <c r="AD1332" i="2" s="1"/>
  <c r="AC1333" i="2"/>
  <c r="AC1334" i="2"/>
  <c r="AC1335" i="2"/>
  <c r="AD1335" i="2" s="1"/>
  <c r="AC1336" i="2"/>
  <c r="AC1337" i="2"/>
  <c r="AC1338" i="2"/>
  <c r="AC1339" i="2"/>
  <c r="AC1340" i="2"/>
  <c r="AD1340" i="2" s="1"/>
  <c r="AC1341" i="2"/>
  <c r="AC1342" i="2"/>
  <c r="AC1343" i="2"/>
  <c r="AC1344" i="2"/>
  <c r="AD1344" i="2" s="1"/>
  <c r="AC1345" i="2"/>
  <c r="AC1346" i="2"/>
  <c r="AC1347" i="2"/>
  <c r="AD1347" i="2" s="1"/>
  <c r="AC1348" i="2"/>
  <c r="AD1348" i="2" s="1"/>
  <c r="AC1349" i="2"/>
  <c r="AC1350" i="2"/>
  <c r="AC1351" i="2"/>
  <c r="AC1352" i="2"/>
  <c r="AD1352" i="2" s="1"/>
  <c r="AC1353" i="2"/>
  <c r="AC1354" i="2"/>
  <c r="AC1355" i="2"/>
  <c r="AC1356" i="2"/>
  <c r="AD1356" i="2" s="1"/>
  <c r="AC1357" i="2"/>
  <c r="AC1358" i="2"/>
  <c r="AC1359" i="2"/>
  <c r="AD1359" i="2" s="1"/>
  <c r="AC1360" i="2"/>
  <c r="AD1360" i="2" s="1"/>
  <c r="AC1361" i="2"/>
  <c r="AC1362" i="2"/>
  <c r="AC1363" i="2"/>
  <c r="AC1364" i="2"/>
  <c r="AC1365" i="2"/>
  <c r="AC1366" i="2"/>
  <c r="AC1367" i="2"/>
  <c r="AC1368" i="2"/>
  <c r="AC1369" i="2"/>
  <c r="AC1370" i="2"/>
  <c r="AC1371" i="2"/>
  <c r="AD1371" i="2" s="1"/>
  <c r="AC1372" i="2"/>
  <c r="AD1372" i="2" s="1"/>
  <c r="AC1373" i="2"/>
  <c r="AC1374" i="2"/>
  <c r="AC1375" i="2"/>
  <c r="AC1376" i="2"/>
  <c r="AD1376" i="2" s="1"/>
  <c r="AC1377" i="2"/>
  <c r="AC1378" i="2"/>
  <c r="AC1379" i="2"/>
  <c r="AC1380" i="2"/>
  <c r="AD1380" i="2" s="1"/>
  <c r="AC1381" i="2"/>
  <c r="AC1382" i="2"/>
  <c r="AC1383" i="2"/>
  <c r="AD1383" i="2" s="1"/>
  <c r="AC1384" i="2"/>
  <c r="AC1385" i="2"/>
  <c r="AC1386" i="2"/>
  <c r="AC1387" i="2"/>
  <c r="AC1388" i="2"/>
  <c r="AC1389" i="2"/>
  <c r="AC1390" i="2"/>
  <c r="AC1391" i="2"/>
  <c r="AC1392" i="2"/>
  <c r="AD1392" i="2" s="1"/>
  <c r="AC1393" i="2"/>
  <c r="AC1394" i="2"/>
  <c r="AC1395" i="2"/>
  <c r="AD1395" i="2" s="1"/>
  <c r="AC1396" i="2"/>
  <c r="AC1397" i="2"/>
  <c r="AC1398" i="2"/>
  <c r="AC1399" i="2"/>
  <c r="AC1400" i="2"/>
  <c r="AD1400" i="2" s="1"/>
  <c r="AC1401" i="2"/>
  <c r="AC1402" i="2"/>
  <c r="AC1403" i="2"/>
  <c r="AC1404" i="2"/>
  <c r="AD1404" i="2" s="1"/>
  <c r="AC1405" i="2"/>
  <c r="AC1406" i="2"/>
  <c r="AC1407" i="2"/>
  <c r="AD1407" i="2" s="1"/>
  <c r="AC1408" i="2"/>
  <c r="AD1408" i="2" s="1"/>
  <c r="AC1409" i="2"/>
  <c r="AC1410" i="2"/>
  <c r="AC1411" i="2"/>
  <c r="AC1412" i="2"/>
  <c r="AD1412" i="2" s="1"/>
  <c r="AC1413" i="2"/>
  <c r="AC1414" i="2"/>
  <c r="AC1415" i="2"/>
  <c r="AC1416" i="2"/>
  <c r="AD1416" i="2" s="1"/>
  <c r="AC1417" i="2"/>
  <c r="AC1418" i="2"/>
  <c r="AC1419" i="2"/>
  <c r="AD1419" i="2" s="1"/>
  <c r="AC1420" i="2"/>
  <c r="AD1420" i="2" s="1"/>
  <c r="AC1421" i="2"/>
  <c r="AC1422" i="2"/>
  <c r="AC1423" i="2"/>
  <c r="AC1424" i="2"/>
  <c r="AD1424" i="2" s="1"/>
  <c r="AC1425" i="2"/>
  <c r="AC1426" i="2"/>
  <c r="AC1427" i="2"/>
  <c r="AC1428" i="2"/>
  <c r="AC1429" i="2"/>
  <c r="AC1430" i="2"/>
  <c r="AC1431" i="2"/>
  <c r="AD1431" i="2" s="1"/>
  <c r="AC1432" i="2"/>
  <c r="AD1432" i="2" s="1"/>
  <c r="AC1433" i="2"/>
  <c r="AC1434" i="2"/>
  <c r="AC1435" i="2"/>
  <c r="AC1436" i="2"/>
  <c r="AC1437" i="2"/>
  <c r="AC1438" i="2"/>
  <c r="AC1439" i="2"/>
  <c r="AC1440" i="2"/>
  <c r="AD1440" i="2" s="1"/>
  <c r="AC1441" i="2"/>
  <c r="AC1442" i="2"/>
  <c r="AC1443" i="2"/>
  <c r="AD1443" i="2" s="1"/>
  <c r="AC1444" i="2"/>
  <c r="AD1444" i="2" s="1"/>
  <c r="AC1445" i="2"/>
  <c r="AC1446" i="2"/>
  <c r="AC1447" i="2"/>
  <c r="AC1448" i="2"/>
  <c r="AC1449" i="2"/>
  <c r="AC1450" i="2"/>
  <c r="AC1451" i="2"/>
  <c r="AC1452" i="2"/>
  <c r="AD1452" i="2" s="1"/>
  <c r="AC1453" i="2"/>
  <c r="AC1454" i="2"/>
  <c r="AC1455" i="2"/>
  <c r="AD1455" i="2" s="1"/>
  <c r="AC1456" i="2"/>
  <c r="AC1457" i="2"/>
  <c r="AC1458" i="2"/>
  <c r="AC1459" i="2"/>
  <c r="AC1460" i="2"/>
  <c r="AD1460" i="2" s="1"/>
  <c r="AC1461" i="2"/>
  <c r="AC1462" i="2"/>
  <c r="AC1463" i="2"/>
  <c r="AC1464" i="2"/>
  <c r="AD1464" i="2" s="1"/>
  <c r="AC1465" i="2"/>
  <c r="AC1466" i="2"/>
  <c r="AC1467" i="2"/>
  <c r="AD1467" i="2" s="1"/>
  <c r="AC1468" i="2"/>
  <c r="AD1468" i="2" s="1"/>
  <c r="AC1469" i="2"/>
  <c r="AC1470" i="2"/>
  <c r="AC1471" i="2"/>
  <c r="AC1472" i="2"/>
  <c r="AD1472" i="2" s="1"/>
  <c r="AC1473" i="2"/>
  <c r="AC1474" i="2"/>
  <c r="AC1475" i="2"/>
  <c r="AC1476" i="2"/>
  <c r="AD1476" i="2" s="1"/>
  <c r="AC1477" i="2"/>
  <c r="AC1478" i="2"/>
  <c r="AC1479" i="2"/>
  <c r="AD1479" i="2" s="1"/>
  <c r="AC1480" i="2"/>
  <c r="AC1481" i="2"/>
  <c r="AC1482" i="2"/>
  <c r="AC1483" i="2"/>
  <c r="AC1484" i="2"/>
  <c r="AD1484" i="2" s="1"/>
  <c r="AC1485" i="2"/>
  <c r="AC1486" i="2"/>
  <c r="AC1487" i="2"/>
  <c r="AC1488" i="2"/>
  <c r="AD1488" i="2" s="1"/>
  <c r="AC1489" i="2"/>
  <c r="AC1490" i="2"/>
  <c r="AC1491" i="2"/>
  <c r="AD1491" i="2" s="1"/>
  <c r="AC1492" i="2"/>
  <c r="AD1492" i="2" s="1"/>
  <c r="AC1493" i="2"/>
  <c r="AC1494" i="2"/>
  <c r="AC1495" i="2"/>
  <c r="AC1496" i="2"/>
  <c r="AD1496" i="2" s="1"/>
  <c r="AC1497" i="2"/>
  <c r="AC1498" i="2"/>
  <c r="AC1499" i="2"/>
  <c r="AC1500" i="2"/>
  <c r="AD1500" i="2" s="1"/>
  <c r="AC1501" i="2"/>
  <c r="AC1502" i="2"/>
  <c r="AC1503" i="2"/>
  <c r="AD1503" i="2" s="1"/>
  <c r="AC1504" i="2"/>
  <c r="AD1504" i="2" s="1"/>
  <c r="AC1505" i="2"/>
  <c r="AC1506" i="2"/>
  <c r="AC1507" i="2"/>
  <c r="AC1508" i="2"/>
  <c r="AC1509" i="2"/>
  <c r="AC1510" i="2"/>
  <c r="AC1511" i="2"/>
  <c r="AC1512" i="2"/>
  <c r="AD1512" i="2" s="1"/>
  <c r="AC1513" i="2"/>
  <c r="AC1514" i="2"/>
  <c r="AC1515" i="2"/>
  <c r="AD1515" i="2" s="1"/>
  <c r="AC1516" i="2"/>
  <c r="AD1516" i="2" s="1"/>
  <c r="AC1517" i="2"/>
  <c r="AC1518" i="2"/>
  <c r="AC1519" i="2"/>
  <c r="AC1520" i="2"/>
  <c r="AD1520" i="2" s="1"/>
  <c r="AC1521" i="2"/>
  <c r="AC1522" i="2"/>
  <c r="AC1523" i="2"/>
  <c r="AC1524" i="2"/>
  <c r="AD1524" i="2" s="1"/>
  <c r="AC1525" i="2"/>
  <c r="AC1526" i="2"/>
  <c r="AC1527" i="2"/>
  <c r="AD1527" i="2" s="1"/>
  <c r="AC1528" i="2"/>
  <c r="AC1529" i="2"/>
  <c r="AC1530" i="2"/>
  <c r="AC1531" i="2"/>
  <c r="AC1532" i="2"/>
  <c r="AC1533" i="2"/>
  <c r="AC1534" i="2"/>
  <c r="AC1535" i="2"/>
  <c r="AC1536" i="2"/>
  <c r="AD1536" i="2" s="1"/>
  <c r="AC1537" i="2"/>
  <c r="AC1538" i="2"/>
  <c r="AC1539" i="2"/>
  <c r="AD1539" i="2" s="1"/>
  <c r="AC1540" i="2"/>
  <c r="AC1541" i="2"/>
  <c r="AC1542" i="2"/>
  <c r="AC1543" i="2"/>
  <c r="AC1544" i="2"/>
  <c r="AD1544" i="2" s="1"/>
  <c r="AC1545" i="2"/>
  <c r="AC1546" i="2"/>
  <c r="AC1547" i="2"/>
  <c r="AC1548" i="2"/>
  <c r="AD1548" i="2" s="1"/>
  <c r="AC1549" i="2"/>
  <c r="AC1550" i="2"/>
  <c r="AC1551" i="2"/>
  <c r="AD1551" i="2" s="1"/>
  <c r="AC1552" i="2"/>
  <c r="AD1552" i="2" s="1"/>
  <c r="AC1553" i="2"/>
  <c r="AC1554" i="2"/>
  <c r="AC1555" i="2"/>
  <c r="AC1556" i="2"/>
  <c r="AD1556" i="2" s="1"/>
  <c r="AC1557" i="2"/>
  <c r="AC1558" i="2"/>
  <c r="AC1559" i="2"/>
  <c r="AC1560" i="2"/>
  <c r="AD1560" i="2" s="1"/>
  <c r="AC1561" i="2"/>
  <c r="AC1562" i="2"/>
  <c r="AC1563" i="2"/>
  <c r="AD1563" i="2" s="1"/>
  <c r="AC1564" i="2"/>
  <c r="AD1564" i="2" s="1"/>
  <c r="AC1565" i="2"/>
  <c r="AC1566" i="2"/>
  <c r="AC1567" i="2"/>
  <c r="AC1568" i="2"/>
  <c r="AD1568" i="2" s="1"/>
  <c r="AC1569" i="2"/>
  <c r="AC1570" i="2"/>
  <c r="AC1571" i="2"/>
  <c r="AC1572" i="2"/>
  <c r="AD1572" i="2" s="1"/>
  <c r="AC1573" i="2"/>
  <c r="AC1574" i="2"/>
  <c r="AC1575" i="2"/>
  <c r="AD1575" i="2" s="1"/>
  <c r="AC1576" i="2"/>
  <c r="AD1576" i="2" s="1"/>
  <c r="AC1577" i="2"/>
  <c r="AC1578" i="2"/>
  <c r="AC1579" i="2"/>
  <c r="AC1580" i="2"/>
  <c r="AC1581" i="2"/>
  <c r="AC1582" i="2"/>
  <c r="AC1583" i="2"/>
  <c r="AC1584" i="2"/>
  <c r="AD1584" i="2" s="1"/>
  <c r="AC1585" i="2"/>
  <c r="AC1586" i="2"/>
  <c r="AC1587" i="2"/>
  <c r="AD1587" i="2" s="1"/>
  <c r="AC1588" i="2"/>
  <c r="AD1588" i="2" s="1"/>
  <c r="AC1589" i="2"/>
  <c r="AC1590" i="2"/>
  <c r="AC1591" i="2"/>
  <c r="AC1592" i="2"/>
  <c r="AC1593" i="2"/>
  <c r="AC1594" i="2"/>
  <c r="AC1595" i="2"/>
  <c r="AC1596" i="2"/>
  <c r="AD1596" i="2" s="1"/>
  <c r="AC1597" i="2"/>
  <c r="AC1598" i="2"/>
  <c r="AC1599" i="2"/>
  <c r="AD1599" i="2" s="1"/>
  <c r="AC1600" i="2"/>
  <c r="AC1601" i="2"/>
  <c r="AC1602" i="2"/>
  <c r="AC1603" i="2"/>
  <c r="AC1604" i="2"/>
  <c r="AD1604" i="2" s="1"/>
  <c r="AC1605" i="2"/>
  <c r="AC1606" i="2"/>
  <c r="AC1607" i="2"/>
  <c r="AC1608" i="2"/>
  <c r="AD1608" i="2" s="1"/>
  <c r="AC1609" i="2"/>
  <c r="AC1610" i="2"/>
  <c r="AC1611" i="2"/>
  <c r="AD1611" i="2" s="1"/>
  <c r="AC1612" i="2"/>
  <c r="AD1612" i="2" s="1"/>
  <c r="AC1613" i="2"/>
  <c r="AC1614" i="2"/>
  <c r="AC1615" i="2"/>
  <c r="AC1616" i="2"/>
  <c r="AD1616" i="2" s="1"/>
  <c r="AC1617" i="2"/>
  <c r="AC1618" i="2"/>
  <c r="AC1619" i="2"/>
  <c r="AC1620" i="2"/>
  <c r="AD1620" i="2" s="1"/>
  <c r="AC1621" i="2"/>
  <c r="AC1622" i="2"/>
  <c r="AC1623" i="2"/>
  <c r="AD1623" i="2" s="1"/>
  <c r="AC1624" i="2"/>
  <c r="AC1625" i="2"/>
  <c r="AC1626" i="2"/>
  <c r="AC1627" i="2"/>
  <c r="AC1628" i="2"/>
  <c r="AD1628" i="2" s="1"/>
  <c r="AC1629" i="2"/>
  <c r="AC1630" i="2"/>
  <c r="AC1631" i="2"/>
  <c r="AC1632" i="2"/>
  <c r="AD1632" i="2" s="1"/>
  <c r="AC1633" i="2"/>
  <c r="AC1634" i="2"/>
  <c r="AC1635" i="2"/>
  <c r="AD1635" i="2" s="1"/>
  <c r="AC1636" i="2"/>
  <c r="AD1636" i="2" s="1"/>
  <c r="AC1637" i="2"/>
  <c r="AC1638" i="2"/>
  <c r="AC1639" i="2"/>
  <c r="AC1640" i="2"/>
  <c r="AD1640" i="2" s="1"/>
  <c r="AC1641" i="2"/>
  <c r="AC1642" i="2"/>
  <c r="AC1643" i="2"/>
  <c r="AC1644" i="2"/>
  <c r="AD1644" i="2" s="1"/>
  <c r="AC1645" i="2"/>
  <c r="AC1646" i="2"/>
  <c r="AC1647" i="2"/>
  <c r="AD1647" i="2" s="1"/>
  <c r="AC1648" i="2"/>
  <c r="AD1648" i="2" s="1"/>
  <c r="AC1649" i="2"/>
  <c r="AC1650" i="2"/>
  <c r="AC1651" i="2"/>
  <c r="AC1652" i="2"/>
  <c r="AC1653" i="2"/>
  <c r="AC1654" i="2"/>
  <c r="AC1655" i="2"/>
  <c r="AC1656" i="2"/>
  <c r="AD1656" i="2" s="1"/>
  <c r="AC1657" i="2"/>
  <c r="AC1658" i="2"/>
  <c r="AC1659" i="2"/>
  <c r="AD1659" i="2" s="1"/>
  <c r="AC1660" i="2"/>
  <c r="AD1660" i="2" s="1"/>
  <c r="AC1661" i="2"/>
  <c r="AC1662" i="2"/>
  <c r="AC1663" i="2"/>
  <c r="AC1664" i="2"/>
  <c r="AD1664" i="2" s="1"/>
  <c r="AC1665" i="2"/>
  <c r="AC1666" i="2"/>
  <c r="AC1667" i="2"/>
  <c r="AC1668" i="2"/>
  <c r="AD1668" i="2" s="1"/>
  <c r="AC1669" i="2"/>
  <c r="AC1670" i="2"/>
  <c r="AC1671" i="2"/>
  <c r="AD1671" i="2" s="1"/>
  <c r="AC1672" i="2"/>
  <c r="AC1673" i="2"/>
  <c r="AC1674" i="2"/>
  <c r="AC1675" i="2"/>
  <c r="AC1676" i="2"/>
  <c r="AC1677" i="2"/>
  <c r="AC1678" i="2"/>
  <c r="AC1679" i="2"/>
  <c r="AC1680" i="2"/>
  <c r="AD1680" i="2" s="1"/>
  <c r="AC1681" i="2"/>
  <c r="AC1682" i="2"/>
  <c r="AC1683" i="2"/>
  <c r="AD1683" i="2" s="1"/>
  <c r="AC1684" i="2"/>
  <c r="AC1685" i="2"/>
  <c r="AC1686" i="2"/>
  <c r="AC1687" i="2"/>
  <c r="AC1688" i="2"/>
  <c r="AD1688" i="2" s="1"/>
  <c r="AC1689" i="2"/>
  <c r="AC1690" i="2"/>
  <c r="AC1691" i="2"/>
  <c r="AC1692" i="2"/>
  <c r="AD1692" i="2" s="1"/>
  <c r="AC1693" i="2"/>
  <c r="AC1694" i="2"/>
  <c r="AC1695" i="2"/>
  <c r="AD1695" i="2" s="1"/>
  <c r="AC1696" i="2"/>
  <c r="AD1696" i="2" s="1"/>
  <c r="AC1697" i="2"/>
  <c r="AC1698" i="2"/>
  <c r="AC1699" i="2"/>
  <c r="AC1700" i="2"/>
  <c r="AD1700" i="2" s="1"/>
  <c r="AC1701" i="2"/>
  <c r="AC1702" i="2"/>
  <c r="AC1703" i="2"/>
  <c r="AC1704" i="2"/>
  <c r="AD1704" i="2" s="1"/>
  <c r="AC1705" i="2"/>
  <c r="AC1706" i="2"/>
  <c r="AC1707" i="2"/>
  <c r="AD1707" i="2" s="1"/>
  <c r="AC1708" i="2"/>
  <c r="AD1708" i="2" s="1"/>
  <c r="AC1709" i="2"/>
  <c r="AC1710" i="2"/>
  <c r="AC1711" i="2"/>
  <c r="AC1712" i="2"/>
  <c r="AD1712" i="2" s="1"/>
  <c r="AC1713" i="2"/>
  <c r="AC1714" i="2"/>
  <c r="AC1715" i="2"/>
  <c r="AC1716" i="2"/>
  <c r="AD1716" i="2" s="1"/>
  <c r="AC1717" i="2"/>
  <c r="AC1718" i="2"/>
  <c r="AC1719" i="2"/>
  <c r="AD1719" i="2" s="1"/>
  <c r="AC1720" i="2"/>
  <c r="AD1720" i="2" s="1"/>
  <c r="AC1721" i="2"/>
  <c r="AC1722" i="2"/>
  <c r="AC1723" i="2"/>
  <c r="AC1724" i="2"/>
  <c r="AC1725" i="2"/>
  <c r="AC1726" i="2"/>
  <c r="AC1727" i="2"/>
  <c r="AC1728" i="2"/>
  <c r="AD1728" i="2" s="1"/>
  <c r="AC1729" i="2"/>
  <c r="AC1730" i="2"/>
  <c r="AC1731" i="2"/>
  <c r="AD1731" i="2" s="1"/>
  <c r="AC1732" i="2"/>
  <c r="AD1732" i="2" s="1"/>
  <c r="AC1733" i="2"/>
  <c r="AC1734" i="2"/>
  <c r="AC1735" i="2"/>
  <c r="AC1736" i="2"/>
  <c r="AC1737" i="2"/>
  <c r="AC1738" i="2"/>
  <c r="AC1739" i="2"/>
  <c r="AC1740" i="2"/>
  <c r="AD1740" i="2" s="1"/>
  <c r="AC1741" i="2"/>
  <c r="AC1742" i="2"/>
  <c r="AC1743" i="2"/>
  <c r="AD1743" i="2" s="1"/>
  <c r="AC1744" i="2"/>
  <c r="AC1745" i="2"/>
  <c r="AC1746" i="2"/>
  <c r="AC1747" i="2"/>
  <c r="AC1748" i="2"/>
  <c r="AD1748" i="2" s="1"/>
  <c r="AC1749" i="2"/>
  <c r="AC1750" i="2"/>
  <c r="AC1751" i="2"/>
  <c r="AC1752" i="2"/>
  <c r="AD1752" i="2" s="1"/>
  <c r="AC1753" i="2"/>
  <c r="AC1754" i="2"/>
  <c r="AC1755" i="2"/>
  <c r="AD1755" i="2" s="1"/>
  <c r="AC1756" i="2"/>
  <c r="AD1756" i="2" s="1"/>
  <c r="AC1757" i="2"/>
  <c r="AC1758" i="2"/>
  <c r="AC1759" i="2"/>
  <c r="AC1760" i="2"/>
  <c r="AD1760" i="2" s="1"/>
  <c r="AC1761" i="2"/>
  <c r="AC1762" i="2"/>
  <c r="AC1763" i="2"/>
  <c r="AC1764" i="2"/>
  <c r="AD1764" i="2" s="1"/>
  <c r="AC1765" i="2"/>
  <c r="AC1766" i="2"/>
  <c r="AC1767" i="2"/>
  <c r="AD1767" i="2" s="1"/>
  <c r="AC1768" i="2"/>
  <c r="AC1769" i="2"/>
  <c r="AC1770" i="2"/>
  <c r="AC1771" i="2"/>
  <c r="AC1772" i="2"/>
  <c r="AD1772" i="2" s="1"/>
  <c r="AC1773" i="2"/>
  <c r="AC1774" i="2"/>
  <c r="AC1775" i="2"/>
  <c r="AC1776" i="2"/>
  <c r="AD1776" i="2" s="1"/>
  <c r="AC1777" i="2"/>
  <c r="AC1778" i="2"/>
  <c r="AC1779" i="2"/>
  <c r="AD1779" i="2" s="1"/>
  <c r="AC1780" i="2"/>
  <c r="AD1780" i="2" s="1"/>
  <c r="AC1781" i="2"/>
  <c r="AC1782" i="2"/>
  <c r="AC1783" i="2"/>
  <c r="AC1784" i="2"/>
  <c r="AD1784" i="2" s="1"/>
  <c r="AC1785" i="2"/>
  <c r="AC1786" i="2"/>
  <c r="AC1787" i="2"/>
  <c r="AC1788" i="2"/>
  <c r="AD1788" i="2" s="1"/>
  <c r="AC1789" i="2"/>
  <c r="AC1790" i="2"/>
  <c r="AC1791" i="2"/>
  <c r="AD1791" i="2" s="1"/>
  <c r="AC1792" i="2"/>
  <c r="AD1792" i="2" s="1"/>
  <c r="AC1793" i="2"/>
  <c r="AC1794" i="2"/>
  <c r="AC1795" i="2"/>
  <c r="AC1796" i="2"/>
  <c r="AC1797" i="2"/>
  <c r="AC1798" i="2"/>
  <c r="AC1799" i="2"/>
  <c r="AC1800" i="2"/>
  <c r="AC1801" i="2"/>
  <c r="AC1802" i="2"/>
  <c r="AC1803" i="2"/>
  <c r="AD1803" i="2" s="1"/>
  <c r="AC1804" i="2"/>
  <c r="AD1804" i="2" s="1"/>
  <c r="AC1805" i="2"/>
  <c r="AC1806" i="2"/>
  <c r="AC1807" i="2"/>
  <c r="AC1808" i="2"/>
  <c r="AD1808" i="2" s="1"/>
  <c r="AC1809" i="2"/>
  <c r="AC1810" i="2"/>
  <c r="AC1811" i="2"/>
  <c r="AC1812" i="2"/>
  <c r="AD1812" i="2" s="1"/>
  <c r="AC1813" i="2"/>
  <c r="AC1814" i="2"/>
  <c r="AC1815" i="2"/>
  <c r="AD1815" i="2" s="1"/>
  <c r="AC1816" i="2"/>
  <c r="AC1817" i="2"/>
  <c r="AC1818" i="2"/>
  <c r="AC1819" i="2"/>
  <c r="AC1820" i="2"/>
  <c r="AC1821" i="2"/>
  <c r="AC1822" i="2"/>
  <c r="AC1823" i="2"/>
  <c r="AC1824" i="2"/>
  <c r="AD1824" i="2" s="1"/>
  <c r="AC1825" i="2"/>
  <c r="AC1826" i="2"/>
  <c r="AC1827" i="2"/>
  <c r="AD1827" i="2" s="1"/>
  <c r="AC1828" i="2"/>
  <c r="AC1829" i="2"/>
  <c r="AC1830" i="2"/>
  <c r="AC1831" i="2"/>
  <c r="AC1832" i="2"/>
  <c r="AD1832" i="2" s="1"/>
  <c r="AC1833" i="2"/>
  <c r="AC1834" i="2"/>
  <c r="AC1835" i="2"/>
  <c r="AC1836" i="2"/>
  <c r="AD1836" i="2" s="1"/>
  <c r="AC1837" i="2"/>
  <c r="AC1838" i="2"/>
  <c r="AC1839" i="2"/>
  <c r="AD1839" i="2" s="1"/>
  <c r="AC1840" i="2"/>
  <c r="AD1840" i="2" s="1"/>
  <c r="AC1841" i="2"/>
  <c r="AC1842" i="2"/>
  <c r="AC1843" i="2"/>
  <c r="AC1844" i="2"/>
  <c r="AD1844" i="2" s="1"/>
  <c r="AC1845" i="2"/>
  <c r="AC1846" i="2"/>
  <c r="AC1847" i="2"/>
  <c r="AC1848" i="2"/>
  <c r="AD1848" i="2" s="1"/>
  <c r="AC1849" i="2"/>
  <c r="AC1850" i="2"/>
  <c r="AC1851" i="2"/>
  <c r="AD1851" i="2" s="1"/>
  <c r="AC1852" i="2"/>
  <c r="AD1852" i="2" s="1"/>
  <c r="AC1853" i="2"/>
  <c r="AC1854" i="2"/>
  <c r="AC1855" i="2"/>
  <c r="AC1856" i="2"/>
  <c r="AD1856" i="2" s="1"/>
  <c r="AC1857" i="2"/>
  <c r="AC1858" i="2"/>
  <c r="AC1859" i="2"/>
  <c r="AC1860" i="2"/>
  <c r="AD1860" i="2" s="1"/>
  <c r="AC1861" i="2"/>
  <c r="AC1862" i="2"/>
  <c r="AC1863" i="2"/>
  <c r="AD1863" i="2" s="1"/>
  <c r="AC1864" i="2"/>
  <c r="AD1864" i="2" s="1"/>
  <c r="AC1865" i="2"/>
  <c r="AC1866" i="2"/>
  <c r="AC1867" i="2"/>
  <c r="AC1868" i="2"/>
  <c r="AC1869" i="2"/>
  <c r="AC1870" i="2"/>
  <c r="AC1871" i="2"/>
  <c r="AC1872" i="2"/>
  <c r="AD1872" i="2" s="1"/>
  <c r="AC1873" i="2"/>
  <c r="AC1874" i="2"/>
  <c r="AC1875" i="2"/>
  <c r="AD1875" i="2" s="1"/>
  <c r="AC1876" i="2"/>
  <c r="AD1876" i="2" s="1"/>
  <c r="AC1877" i="2"/>
  <c r="AC1878" i="2"/>
  <c r="AC1879" i="2"/>
  <c r="AC1880" i="2"/>
  <c r="AC1881" i="2"/>
  <c r="AC1882" i="2"/>
  <c r="AC1883" i="2"/>
  <c r="AC1884" i="2"/>
  <c r="AD1884" i="2" s="1"/>
  <c r="AC1885" i="2"/>
  <c r="AC1886" i="2"/>
  <c r="AC1887" i="2"/>
  <c r="AD1887" i="2" s="1"/>
  <c r="AC1888" i="2"/>
  <c r="AC1889" i="2"/>
  <c r="AC1890" i="2"/>
  <c r="AC1891" i="2"/>
  <c r="AC1892" i="2"/>
  <c r="AD1892" i="2" s="1"/>
  <c r="AC1893" i="2"/>
  <c r="AC3" i="2"/>
  <c r="AA4" i="2"/>
  <c r="AA5" i="2"/>
  <c r="AB5" i="2" s="1"/>
  <c r="AA6" i="2"/>
  <c r="AA7" i="2"/>
  <c r="AA8" i="2"/>
  <c r="AB8" i="2" s="1"/>
  <c r="AA9" i="2"/>
  <c r="AA10" i="2"/>
  <c r="AA11" i="2"/>
  <c r="AA12" i="2"/>
  <c r="AA13" i="2"/>
  <c r="AB13" i="2" s="1"/>
  <c r="AA14" i="2"/>
  <c r="AA15" i="2"/>
  <c r="AA16" i="2"/>
  <c r="AA17" i="2"/>
  <c r="AB17" i="2" s="1"/>
  <c r="AA18" i="2"/>
  <c r="AA19" i="2"/>
  <c r="AA20" i="2"/>
  <c r="AA21" i="2"/>
  <c r="AB21" i="2" s="1"/>
  <c r="AA22" i="2"/>
  <c r="AA23" i="2"/>
  <c r="AA24" i="2"/>
  <c r="AA25" i="2"/>
  <c r="AB25" i="2" s="1"/>
  <c r="AA26" i="2"/>
  <c r="AB26" i="2" s="1"/>
  <c r="AA27" i="2"/>
  <c r="AA28" i="2"/>
  <c r="AA29" i="2"/>
  <c r="AB29" i="2" s="1"/>
  <c r="AA30" i="2"/>
  <c r="AA31" i="2"/>
  <c r="AA32" i="2"/>
  <c r="AB32" i="2" s="1"/>
  <c r="AA33" i="2"/>
  <c r="AA34" i="2"/>
  <c r="AA35" i="2"/>
  <c r="AA36" i="2"/>
  <c r="AA37" i="2"/>
  <c r="AB37" i="2" s="1"/>
  <c r="AA38" i="2"/>
  <c r="AB38" i="2" s="1"/>
  <c r="AA39" i="2"/>
  <c r="AA40" i="2"/>
  <c r="AA41" i="2"/>
  <c r="AB41" i="2" s="1"/>
  <c r="AA42" i="2"/>
  <c r="AA43" i="2"/>
  <c r="AA44" i="2"/>
  <c r="AB44" i="2" s="1"/>
  <c r="AA45" i="2"/>
  <c r="AB45" i="2" s="1"/>
  <c r="AA46" i="2"/>
  <c r="AA47" i="2"/>
  <c r="AA48" i="2"/>
  <c r="AA49" i="2"/>
  <c r="AB49" i="2" s="1"/>
  <c r="AA50" i="2"/>
  <c r="AB50" i="2" s="1"/>
  <c r="AA51" i="2"/>
  <c r="AA52" i="2"/>
  <c r="AA53" i="2"/>
  <c r="AB53" i="2" s="1"/>
  <c r="AA54" i="2"/>
  <c r="AA55" i="2"/>
  <c r="AA56" i="2"/>
  <c r="AB56" i="2" s="1"/>
  <c r="AA57" i="2"/>
  <c r="AB57" i="2" s="1"/>
  <c r="AA58" i="2"/>
  <c r="AA59" i="2"/>
  <c r="AA60" i="2"/>
  <c r="AA61" i="2"/>
  <c r="AA62" i="2"/>
  <c r="AB62" i="2" s="1"/>
  <c r="AA63" i="2"/>
  <c r="AA64" i="2"/>
  <c r="AA65" i="2"/>
  <c r="AB65" i="2" s="1"/>
  <c r="AA66" i="2"/>
  <c r="AA67" i="2"/>
  <c r="AA68" i="2"/>
  <c r="AA69" i="2"/>
  <c r="AB69" i="2" s="1"/>
  <c r="AA70" i="2"/>
  <c r="AA71" i="2"/>
  <c r="AA72" i="2"/>
  <c r="AA73" i="2"/>
  <c r="AB73" i="2" s="1"/>
  <c r="AA74" i="2"/>
  <c r="AB74" i="2" s="1"/>
  <c r="AA75" i="2"/>
  <c r="AA76" i="2"/>
  <c r="AA77" i="2"/>
  <c r="AB77" i="2" s="1"/>
  <c r="AA78" i="2"/>
  <c r="AA79" i="2"/>
  <c r="AA80" i="2"/>
  <c r="AA81" i="2"/>
  <c r="AA82" i="2"/>
  <c r="AA83" i="2"/>
  <c r="AA84" i="2"/>
  <c r="AA85" i="2"/>
  <c r="AA86" i="2"/>
  <c r="AB86" i="2" s="1"/>
  <c r="AA87" i="2"/>
  <c r="AA88" i="2"/>
  <c r="AA89" i="2"/>
  <c r="AB89" i="2" s="1"/>
  <c r="AA90" i="2"/>
  <c r="AA91" i="2"/>
  <c r="AA92" i="2"/>
  <c r="AB92" i="2" s="1"/>
  <c r="AA93" i="2"/>
  <c r="AA94" i="2"/>
  <c r="AA95" i="2"/>
  <c r="AA96" i="2"/>
  <c r="AA97" i="2"/>
  <c r="AB97" i="2" s="1"/>
  <c r="AA98" i="2"/>
  <c r="AB98" i="2" s="1"/>
  <c r="AA99" i="2"/>
  <c r="AA100" i="2"/>
  <c r="AA101" i="2"/>
  <c r="AB101" i="2" s="1"/>
  <c r="AA102" i="2"/>
  <c r="AA103" i="2"/>
  <c r="AA104" i="2"/>
  <c r="AB104" i="2" s="1"/>
  <c r="AA105" i="2"/>
  <c r="AB105" i="2" s="1"/>
  <c r="AA106" i="2"/>
  <c r="AA107" i="2"/>
  <c r="AA108" i="2"/>
  <c r="AA109" i="2"/>
  <c r="AB109" i="2" s="1"/>
  <c r="AA110" i="2"/>
  <c r="AB110" i="2" s="1"/>
  <c r="AA111" i="2"/>
  <c r="AA112" i="2"/>
  <c r="AA113" i="2"/>
  <c r="AB113" i="2" s="1"/>
  <c r="AA114" i="2"/>
  <c r="AA115" i="2"/>
  <c r="AA116" i="2"/>
  <c r="AB116" i="2" s="1"/>
  <c r="AA117" i="2"/>
  <c r="AB117" i="2" s="1"/>
  <c r="AA118" i="2"/>
  <c r="AA119" i="2"/>
  <c r="AA120" i="2"/>
  <c r="AA121" i="2"/>
  <c r="AB121" i="2" s="1"/>
  <c r="AA122" i="2"/>
  <c r="AB122" i="2" s="1"/>
  <c r="AA123" i="2"/>
  <c r="AA124" i="2"/>
  <c r="AA125" i="2"/>
  <c r="AB125" i="2" s="1"/>
  <c r="AA126" i="2"/>
  <c r="AA127" i="2"/>
  <c r="AA128" i="2"/>
  <c r="AB128" i="2" s="1"/>
  <c r="AA129" i="2"/>
  <c r="AB129" i="2" s="1"/>
  <c r="AA130" i="2"/>
  <c r="AA131" i="2"/>
  <c r="AA132" i="2"/>
  <c r="AA133" i="2"/>
  <c r="AA134" i="2"/>
  <c r="AB134" i="2" s="1"/>
  <c r="AA135" i="2"/>
  <c r="AA136" i="2"/>
  <c r="AA137" i="2"/>
  <c r="AB137" i="2" s="1"/>
  <c r="AA138" i="2"/>
  <c r="AA139" i="2"/>
  <c r="AA140" i="2"/>
  <c r="AA141" i="2"/>
  <c r="AB141" i="2" s="1"/>
  <c r="AA142" i="2"/>
  <c r="AA143" i="2"/>
  <c r="AA144" i="2"/>
  <c r="AA145" i="2"/>
  <c r="AA146" i="2"/>
  <c r="AB146" i="2" s="1"/>
  <c r="AA147" i="2"/>
  <c r="AA148" i="2"/>
  <c r="AA149" i="2"/>
  <c r="AB149" i="2" s="1"/>
  <c r="AA150" i="2"/>
  <c r="AA151" i="2"/>
  <c r="AA152" i="2"/>
  <c r="AB152" i="2" s="1"/>
  <c r="AA153" i="2"/>
  <c r="AA154" i="2"/>
  <c r="AA155" i="2"/>
  <c r="AA156" i="2"/>
  <c r="AA157" i="2"/>
  <c r="AB157" i="2" s="1"/>
  <c r="AA158" i="2"/>
  <c r="AB158" i="2" s="1"/>
  <c r="AA159" i="2"/>
  <c r="AA160" i="2"/>
  <c r="AA161" i="2"/>
  <c r="AB161" i="2" s="1"/>
  <c r="AA162" i="2"/>
  <c r="AA163" i="2"/>
  <c r="AA164" i="2"/>
  <c r="AA165" i="2"/>
  <c r="AB165" i="2" s="1"/>
  <c r="AA166" i="2"/>
  <c r="AA167" i="2"/>
  <c r="AA168" i="2"/>
  <c r="AA169" i="2"/>
  <c r="AB169" i="2" s="1"/>
  <c r="AA170" i="2"/>
  <c r="AB170" i="2" s="1"/>
  <c r="AA171" i="2"/>
  <c r="AA172" i="2"/>
  <c r="AA173" i="2"/>
  <c r="AB173" i="2" s="1"/>
  <c r="AA174" i="2"/>
  <c r="AA175" i="2"/>
  <c r="AA176" i="2"/>
  <c r="AB176" i="2" s="1"/>
  <c r="AA177" i="2"/>
  <c r="AA178" i="2"/>
  <c r="AA179" i="2"/>
  <c r="AA180" i="2"/>
  <c r="AA181" i="2"/>
  <c r="AB181" i="2" s="1"/>
  <c r="AA182" i="2"/>
  <c r="AB182" i="2" s="1"/>
  <c r="AA183" i="2"/>
  <c r="AA184" i="2"/>
  <c r="AA185" i="2"/>
  <c r="AB185" i="2" s="1"/>
  <c r="AA186" i="2"/>
  <c r="AA187" i="2"/>
  <c r="AA188" i="2"/>
  <c r="AB188" i="2" s="1"/>
  <c r="AA189" i="2"/>
  <c r="AB189" i="2" s="1"/>
  <c r="AA190" i="2"/>
  <c r="AA191" i="2"/>
  <c r="AA192" i="2"/>
  <c r="AA193" i="2"/>
  <c r="AB193" i="2" s="1"/>
  <c r="AA194" i="2"/>
  <c r="AB194" i="2" s="1"/>
  <c r="AA195" i="2"/>
  <c r="AA196" i="2"/>
  <c r="AA197" i="2"/>
  <c r="AB197" i="2" s="1"/>
  <c r="AA198" i="2"/>
  <c r="AA199" i="2"/>
  <c r="AA200" i="2"/>
  <c r="AB200" i="2" s="1"/>
  <c r="AA201" i="2"/>
  <c r="AB201" i="2" s="1"/>
  <c r="AA202" i="2"/>
  <c r="AA203" i="2"/>
  <c r="AA204" i="2"/>
  <c r="AA205" i="2"/>
  <c r="AA206" i="2"/>
  <c r="AB206" i="2" s="1"/>
  <c r="AA207" i="2"/>
  <c r="AA208" i="2"/>
  <c r="AA209" i="2"/>
  <c r="AB209" i="2" s="1"/>
  <c r="AA210" i="2"/>
  <c r="AA211" i="2"/>
  <c r="AA212" i="2"/>
  <c r="AA213" i="2"/>
  <c r="AB213" i="2" s="1"/>
  <c r="AA214" i="2"/>
  <c r="AA215" i="2"/>
  <c r="AA216" i="2"/>
  <c r="AA217" i="2"/>
  <c r="AB217" i="2" s="1"/>
  <c r="AA218" i="2"/>
  <c r="AB218" i="2" s="1"/>
  <c r="AA219" i="2"/>
  <c r="AA220" i="2"/>
  <c r="AA221" i="2"/>
  <c r="AB221" i="2" s="1"/>
  <c r="AA222" i="2"/>
  <c r="AA223" i="2"/>
  <c r="AA224" i="2"/>
  <c r="AA225" i="2"/>
  <c r="AA226" i="2"/>
  <c r="AA227" i="2"/>
  <c r="AA228" i="2"/>
  <c r="AA229" i="2"/>
  <c r="AA230" i="2"/>
  <c r="AB230" i="2" s="1"/>
  <c r="AA231" i="2"/>
  <c r="AA232" i="2"/>
  <c r="AA233" i="2"/>
  <c r="AB233" i="2" s="1"/>
  <c r="AA234" i="2"/>
  <c r="AA235" i="2"/>
  <c r="AA236" i="2"/>
  <c r="AB236" i="2" s="1"/>
  <c r="AA237" i="2"/>
  <c r="AA238" i="2"/>
  <c r="AA239" i="2"/>
  <c r="AA240" i="2"/>
  <c r="AA241" i="2"/>
  <c r="AB241" i="2" s="1"/>
  <c r="AA242" i="2"/>
  <c r="AB242" i="2" s="1"/>
  <c r="AA243" i="2"/>
  <c r="AA244" i="2"/>
  <c r="AA245" i="2"/>
  <c r="AB245" i="2" s="1"/>
  <c r="AA246" i="2"/>
  <c r="AA247" i="2"/>
  <c r="AA248" i="2"/>
  <c r="AB248" i="2" s="1"/>
  <c r="AA249" i="2"/>
  <c r="AB249" i="2" s="1"/>
  <c r="AA250" i="2"/>
  <c r="AA251" i="2"/>
  <c r="AA252" i="2"/>
  <c r="AA253" i="2"/>
  <c r="AB253" i="2" s="1"/>
  <c r="AA254" i="2"/>
  <c r="AB254" i="2" s="1"/>
  <c r="AA255" i="2"/>
  <c r="AA256" i="2"/>
  <c r="AA257" i="2"/>
  <c r="AB257" i="2" s="1"/>
  <c r="AA258" i="2"/>
  <c r="AA259" i="2"/>
  <c r="AA260" i="2"/>
  <c r="AB260" i="2" s="1"/>
  <c r="AA261" i="2"/>
  <c r="AB261" i="2" s="1"/>
  <c r="AA262" i="2"/>
  <c r="AA263" i="2"/>
  <c r="AA264" i="2"/>
  <c r="AA265" i="2"/>
  <c r="AB265" i="2" s="1"/>
  <c r="AA266" i="2"/>
  <c r="AB266" i="2" s="1"/>
  <c r="AA267" i="2"/>
  <c r="AA268" i="2"/>
  <c r="AA269" i="2"/>
  <c r="AB269" i="2" s="1"/>
  <c r="AA270" i="2"/>
  <c r="AA271" i="2"/>
  <c r="AA272" i="2"/>
  <c r="AB272" i="2" s="1"/>
  <c r="AA273" i="2"/>
  <c r="AB273" i="2" s="1"/>
  <c r="AA274" i="2"/>
  <c r="AA275" i="2"/>
  <c r="AA276" i="2"/>
  <c r="AA277" i="2"/>
  <c r="AA278" i="2"/>
  <c r="AB278" i="2" s="1"/>
  <c r="AA279" i="2"/>
  <c r="AA280" i="2"/>
  <c r="AA281" i="2"/>
  <c r="AB281" i="2" s="1"/>
  <c r="AA282" i="2"/>
  <c r="AA283" i="2"/>
  <c r="AA284" i="2"/>
  <c r="AA285" i="2"/>
  <c r="AB285" i="2" s="1"/>
  <c r="AA286" i="2"/>
  <c r="AA287" i="2"/>
  <c r="AA288" i="2"/>
  <c r="AA289" i="2"/>
  <c r="AB289" i="2" s="1"/>
  <c r="AA290" i="2"/>
  <c r="AB290" i="2" s="1"/>
  <c r="AA291" i="2"/>
  <c r="AA292" i="2"/>
  <c r="AA293" i="2"/>
  <c r="AB293" i="2" s="1"/>
  <c r="AA294" i="2"/>
  <c r="AA295" i="2"/>
  <c r="AA296" i="2"/>
  <c r="AB296" i="2" s="1"/>
  <c r="AA297" i="2"/>
  <c r="AA298" i="2"/>
  <c r="AA299" i="2"/>
  <c r="AA300" i="2"/>
  <c r="AA301" i="2"/>
  <c r="AB301" i="2" s="1"/>
  <c r="AA302" i="2"/>
  <c r="AB302" i="2" s="1"/>
  <c r="AA303" i="2"/>
  <c r="AA304" i="2"/>
  <c r="AA305" i="2"/>
  <c r="AB305" i="2" s="1"/>
  <c r="AA306" i="2"/>
  <c r="AA307" i="2"/>
  <c r="AA308" i="2"/>
  <c r="AA309" i="2"/>
  <c r="AB309" i="2" s="1"/>
  <c r="AA310" i="2"/>
  <c r="AA311" i="2"/>
  <c r="AA312" i="2"/>
  <c r="AA313" i="2"/>
  <c r="AB313" i="2" s="1"/>
  <c r="AA314" i="2"/>
  <c r="AB314" i="2" s="1"/>
  <c r="AA315" i="2"/>
  <c r="AA316" i="2"/>
  <c r="AA317" i="2"/>
  <c r="AB317" i="2" s="1"/>
  <c r="AA318" i="2"/>
  <c r="AA319" i="2"/>
  <c r="AA320" i="2"/>
  <c r="AB320" i="2" s="1"/>
  <c r="AA321" i="2"/>
  <c r="AA322" i="2"/>
  <c r="AA323" i="2"/>
  <c r="AA324" i="2"/>
  <c r="AA325" i="2"/>
  <c r="AB325" i="2" s="1"/>
  <c r="AA326" i="2"/>
  <c r="AB326" i="2" s="1"/>
  <c r="AA327" i="2"/>
  <c r="AA328" i="2"/>
  <c r="AA329" i="2"/>
  <c r="AB329" i="2" s="1"/>
  <c r="AA330" i="2"/>
  <c r="AA331" i="2"/>
  <c r="AA332" i="2"/>
  <c r="AB332" i="2" s="1"/>
  <c r="AA333" i="2"/>
  <c r="AB333" i="2" s="1"/>
  <c r="AA334" i="2"/>
  <c r="AA335" i="2"/>
  <c r="AA336" i="2"/>
  <c r="AA337" i="2"/>
  <c r="AB337" i="2" s="1"/>
  <c r="AA338" i="2"/>
  <c r="AB338" i="2" s="1"/>
  <c r="AA339" i="2"/>
  <c r="AA340" i="2"/>
  <c r="AA341" i="2"/>
  <c r="AB341" i="2" s="1"/>
  <c r="AA342" i="2"/>
  <c r="AA343" i="2"/>
  <c r="AA344" i="2"/>
  <c r="AB344" i="2" s="1"/>
  <c r="AA345" i="2"/>
  <c r="AB345" i="2" s="1"/>
  <c r="AA346" i="2"/>
  <c r="AA347" i="2"/>
  <c r="AA348" i="2"/>
  <c r="AA349" i="2"/>
  <c r="AA350" i="2"/>
  <c r="AB350" i="2" s="1"/>
  <c r="AA351" i="2"/>
  <c r="AA352" i="2"/>
  <c r="AA353" i="2"/>
  <c r="AB353" i="2" s="1"/>
  <c r="AA354" i="2"/>
  <c r="AA355" i="2"/>
  <c r="AA356" i="2"/>
  <c r="AA357" i="2"/>
  <c r="AB357" i="2" s="1"/>
  <c r="AA358" i="2"/>
  <c r="AA359" i="2"/>
  <c r="AA360" i="2"/>
  <c r="AA361" i="2"/>
  <c r="AB361" i="2" s="1"/>
  <c r="AA362" i="2"/>
  <c r="AB362" i="2" s="1"/>
  <c r="AA363" i="2"/>
  <c r="AA364" i="2"/>
  <c r="AA365" i="2"/>
  <c r="AB365" i="2" s="1"/>
  <c r="AA366" i="2"/>
  <c r="AA367" i="2"/>
  <c r="AA368" i="2"/>
  <c r="AA369" i="2"/>
  <c r="AA370" i="2"/>
  <c r="AA371" i="2"/>
  <c r="AA372" i="2"/>
  <c r="AA373" i="2"/>
  <c r="AA374" i="2"/>
  <c r="AB374" i="2" s="1"/>
  <c r="AA375" i="2"/>
  <c r="AA376" i="2"/>
  <c r="AA377" i="2"/>
  <c r="AB377" i="2" s="1"/>
  <c r="AA378" i="2"/>
  <c r="AA379" i="2"/>
  <c r="AA380" i="2"/>
  <c r="AB380" i="2" s="1"/>
  <c r="AA381" i="2"/>
  <c r="AA382" i="2"/>
  <c r="AA383" i="2"/>
  <c r="AA384" i="2"/>
  <c r="AA385" i="2"/>
  <c r="AB385" i="2" s="1"/>
  <c r="AA386" i="2"/>
  <c r="AB386" i="2" s="1"/>
  <c r="AA387" i="2"/>
  <c r="AA388" i="2"/>
  <c r="AA389" i="2"/>
  <c r="AB389" i="2" s="1"/>
  <c r="AA390" i="2"/>
  <c r="AA391" i="2"/>
  <c r="AA392" i="2"/>
  <c r="AB392" i="2" s="1"/>
  <c r="AA393" i="2"/>
  <c r="AB393" i="2" s="1"/>
  <c r="AA394" i="2"/>
  <c r="AA395" i="2"/>
  <c r="AA396" i="2"/>
  <c r="AA397" i="2"/>
  <c r="AB397" i="2" s="1"/>
  <c r="AA398" i="2"/>
  <c r="AB398" i="2" s="1"/>
  <c r="AA399" i="2"/>
  <c r="AA400" i="2"/>
  <c r="AA401" i="2"/>
  <c r="AB401" i="2" s="1"/>
  <c r="AA402" i="2"/>
  <c r="AA403" i="2"/>
  <c r="AA404" i="2"/>
  <c r="AB404" i="2" s="1"/>
  <c r="AA405" i="2"/>
  <c r="AB405" i="2" s="1"/>
  <c r="AA406" i="2"/>
  <c r="AA407" i="2"/>
  <c r="AA408" i="2"/>
  <c r="AA409" i="2"/>
  <c r="AB409" i="2" s="1"/>
  <c r="AA410" i="2"/>
  <c r="AB410" i="2" s="1"/>
  <c r="AA411" i="2"/>
  <c r="AA412" i="2"/>
  <c r="AA413" i="2"/>
  <c r="AB413" i="2" s="1"/>
  <c r="AA414" i="2"/>
  <c r="AA415" i="2"/>
  <c r="AA416" i="2"/>
  <c r="AB416" i="2" s="1"/>
  <c r="AA417" i="2"/>
  <c r="AB417" i="2" s="1"/>
  <c r="AA418" i="2"/>
  <c r="AA419" i="2"/>
  <c r="AA420" i="2"/>
  <c r="AA421" i="2"/>
  <c r="AA422" i="2"/>
  <c r="AB422" i="2" s="1"/>
  <c r="AA423" i="2"/>
  <c r="AA424" i="2"/>
  <c r="AA425" i="2"/>
  <c r="AB425" i="2" s="1"/>
  <c r="AA426" i="2"/>
  <c r="AA427" i="2"/>
  <c r="AA428" i="2"/>
  <c r="AA429" i="2"/>
  <c r="AB429" i="2" s="1"/>
  <c r="AA430" i="2"/>
  <c r="AA431" i="2"/>
  <c r="AA432" i="2"/>
  <c r="AA433" i="2"/>
  <c r="AB433" i="2" s="1"/>
  <c r="AA434" i="2"/>
  <c r="AB434" i="2" s="1"/>
  <c r="AA435" i="2"/>
  <c r="AA436" i="2"/>
  <c r="AA437" i="2"/>
  <c r="AB437" i="2" s="1"/>
  <c r="AA438" i="2"/>
  <c r="AA439" i="2"/>
  <c r="AA440" i="2"/>
  <c r="AB440" i="2" s="1"/>
  <c r="AA441" i="2"/>
  <c r="AA442" i="2"/>
  <c r="AA443" i="2"/>
  <c r="AA444" i="2"/>
  <c r="AA445" i="2"/>
  <c r="AB445" i="2" s="1"/>
  <c r="AA446" i="2"/>
  <c r="AB446" i="2" s="1"/>
  <c r="AA447" i="2"/>
  <c r="AA448" i="2"/>
  <c r="AA449" i="2"/>
  <c r="AB449" i="2" s="1"/>
  <c r="AA450" i="2"/>
  <c r="AA451" i="2"/>
  <c r="AA452" i="2"/>
  <c r="AA453" i="2"/>
  <c r="AB453" i="2" s="1"/>
  <c r="AA454" i="2"/>
  <c r="AA455" i="2"/>
  <c r="AA456" i="2"/>
  <c r="AA457" i="2"/>
  <c r="AB457" i="2" s="1"/>
  <c r="AA458" i="2"/>
  <c r="AB458" i="2" s="1"/>
  <c r="AA459" i="2"/>
  <c r="AA460" i="2"/>
  <c r="AA461" i="2"/>
  <c r="AB461" i="2" s="1"/>
  <c r="AA462" i="2"/>
  <c r="AA463" i="2"/>
  <c r="AA464" i="2"/>
  <c r="AB464" i="2" s="1"/>
  <c r="AA465" i="2"/>
  <c r="AA466" i="2"/>
  <c r="AA467" i="2"/>
  <c r="AA468" i="2"/>
  <c r="AA469" i="2"/>
  <c r="AB469" i="2" s="1"/>
  <c r="AA470" i="2"/>
  <c r="AB470" i="2" s="1"/>
  <c r="AA471" i="2"/>
  <c r="AA472" i="2"/>
  <c r="AA473" i="2"/>
  <c r="AB473" i="2" s="1"/>
  <c r="AA474" i="2"/>
  <c r="AA475" i="2"/>
  <c r="AA476" i="2"/>
  <c r="AB476" i="2" s="1"/>
  <c r="AA477" i="2"/>
  <c r="AB477" i="2" s="1"/>
  <c r="AA478" i="2"/>
  <c r="AA479" i="2"/>
  <c r="AA480" i="2"/>
  <c r="AA481" i="2"/>
  <c r="AB481" i="2" s="1"/>
  <c r="AA482" i="2"/>
  <c r="AB482" i="2" s="1"/>
  <c r="AA483" i="2"/>
  <c r="AA484" i="2"/>
  <c r="AA485" i="2"/>
  <c r="AB485" i="2" s="1"/>
  <c r="AA486" i="2"/>
  <c r="AA487" i="2"/>
  <c r="AA488" i="2"/>
  <c r="AB488" i="2" s="1"/>
  <c r="AA489" i="2"/>
  <c r="AB489" i="2" s="1"/>
  <c r="AA490" i="2"/>
  <c r="AA491" i="2"/>
  <c r="AA492" i="2"/>
  <c r="AA493" i="2"/>
  <c r="AA494" i="2"/>
  <c r="AB494" i="2" s="1"/>
  <c r="AA495" i="2"/>
  <c r="AA496" i="2"/>
  <c r="AA497" i="2"/>
  <c r="AB497" i="2" s="1"/>
  <c r="AA498" i="2"/>
  <c r="AA499" i="2"/>
  <c r="AA500" i="2"/>
  <c r="AA501" i="2"/>
  <c r="AB501" i="2" s="1"/>
  <c r="AA502" i="2"/>
  <c r="AA503" i="2"/>
  <c r="AA504" i="2"/>
  <c r="AA505" i="2"/>
  <c r="AB505" i="2" s="1"/>
  <c r="AA506" i="2"/>
  <c r="AB506" i="2" s="1"/>
  <c r="AA507" i="2"/>
  <c r="AA508" i="2"/>
  <c r="AA509" i="2"/>
  <c r="AB509" i="2" s="1"/>
  <c r="AA510" i="2"/>
  <c r="AA511" i="2"/>
  <c r="AA512" i="2"/>
  <c r="AA513" i="2"/>
  <c r="AA514" i="2"/>
  <c r="AA515" i="2"/>
  <c r="AA516" i="2"/>
  <c r="AA517" i="2"/>
  <c r="AA518" i="2"/>
  <c r="AB518" i="2" s="1"/>
  <c r="AA519" i="2"/>
  <c r="AA520" i="2"/>
  <c r="AA521" i="2"/>
  <c r="AB521" i="2" s="1"/>
  <c r="AA522" i="2"/>
  <c r="AA523" i="2"/>
  <c r="AA524" i="2"/>
  <c r="AB524" i="2" s="1"/>
  <c r="AA525" i="2"/>
  <c r="AA526" i="2"/>
  <c r="AA527" i="2"/>
  <c r="AA528" i="2"/>
  <c r="AA529" i="2"/>
  <c r="AB529" i="2" s="1"/>
  <c r="AA530" i="2"/>
  <c r="AB530" i="2" s="1"/>
  <c r="AA531" i="2"/>
  <c r="AA532" i="2"/>
  <c r="AA533" i="2"/>
  <c r="AB533" i="2" s="1"/>
  <c r="AA534" i="2"/>
  <c r="AA535" i="2"/>
  <c r="AA536" i="2"/>
  <c r="AB536" i="2" s="1"/>
  <c r="AA537" i="2"/>
  <c r="AB537" i="2" s="1"/>
  <c r="AA538" i="2"/>
  <c r="AA539" i="2"/>
  <c r="AA540" i="2"/>
  <c r="AA541" i="2"/>
  <c r="AB541" i="2" s="1"/>
  <c r="AA542" i="2"/>
  <c r="AB542" i="2" s="1"/>
  <c r="AA543" i="2"/>
  <c r="AA544" i="2"/>
  <c r="AA545" i="2"/>
  <c r="AB545" i="2" s="1"/>
  <c r="AA546" i="2"/>
  <c r="AA547" i="2"/>
  <c r="AA548" i="2"/>
  <c r="AB548" i="2" s="1"/>
  <c r="AA549" i="2"/>
  <c r="AB549" i="2" s="1"/>
  <c r="AA550" i="2"/>
  <c r="AA551" i="2"/>
  <c r="AA552" i="2"/>
  <c r="AA553" i="2"/>
  <c r="AB553" i="2" s="1"/>
  <c r="AA554" i="2"/>
  <c r="AB554" i="2" s="1"/>
  <c r="AA555" i="2"/>
  <c r="AA556" i="2"/>
  <c r="AA557" i="2"/>
  <c r="AB557" i="2" s="1"/>
  <c r="AA558" i="2"/>
  <c r="AA559" i="2"/>
  <c r="AA560" i="2"/>
  <c r="AB560" i="2" s="1"/>
  <c r="AA561" i="2"/>
  <c r="AB561" i="2" s="1"/>
  <c r="AA562" i="2"/>
  <c r="AA563" i="2"/>
  <c r="AA564" i="2"/>
  <c r="AA565" i="2"/>
  <c r="AA566" i="2"/>
  <c r="AB566" i="2" s="1"/>
  <c r="AA567" i="2"/>
  <c r="AA568" i="2"/>
  <c r="AA569" i="2"/>
  <c r="AB569" i="2" s="1"/>
  <c r="AA570" i="2"/>
  <c r="AA571" i="2"/>
  <c r="AA572" i="2"/>
  <c r="AA573" i="2"/>
  <c r="AB573" i="2" s="1"/>
  <c r="AA574" i="2"/>
  <c r="AA575" i="2"/>
  <c r="AA576" i="2"/>
  <c r="AA577" i="2"/>
  <c r="AB577" i="2" s="1"/>
  <c r="AA578" i="2"/>
  <c r="AB578" i="2" s="1"/>
  <c r="AA579" i="2"/>
  <c r="AA580" i="2"/>
  <c r="AA581" i="2"/>
  <c r="AB581" i="2" s="1"/>
  <c r="AA582" i="2"/>
  <c r="AA583" i="2"/>
  <c r="AA584" i="2"/>
  <c r="AB584" i="2" s="1"/>
  <c r="AA585" i="2"/>
  <c r="AA586" i="2"/>
  <c r="AA587" i="2"/>
  <c r="AA588" i="2"/>
  <c r="AA589" i="2"/>
  <c r="AB589" i="2" s="1"/>
  <c r="AA590" i="2"/>
  <c r="AB590" i="2" s="1"/>
  <c r="AA591" i="2"/>
  <c r="AA592" i="2"/>
  <c r="AA593" i="2"/>
  <c r="AB593" i="2" s="1"/>
  <c r="AA594" i="2"/>
  <c r="AA595" i="2"/>
  <c r="AA596" i="2"/>
  <c r="AA597" i="2"/>
  <c r="AB597" i="2" s="1"/>
  <c r="AA598" i="2"/>
  <c r="AA599" i="2"/>
  <c r="AA600" i="2"/>
  <c r="AA601" i="2"/>
  <c r="AB601" i="2" s="1"/>
  <c r="AA602" i="2"/>
  <c r="AB602" i="2" s="1"/>
  <c r="AA603" i="2"/>
  <c r="AA604" i="2"/>
  <c r="AA605" i="2"/>
  <c r="AB605" i="2" s="1"/>
  <c r="AA606" i="2"/>
  <c r="AA607" i="2"/>
  <c r="AA608" i="2"/>
  <c r="AB608" i="2" s="1"/>
  <c r="AA609" i="2"/>
  <c r="AA610" i="2"/>
  <c r="AA611" i="2"/>
  <c r="AA612" i="2"/>
  <c r="AA613" i="2"/>
  <c r="AB613" i="2" s="1"/>
  <c r="AA614" i="2"/>
  <c r="AB614" i="2" s="1"/>
  <c r="AA615" i="2"/>
  <c r="AA616" i="2"/>
  <c r="AA617" i="2"/>
  <c r="AB617" i="2" s="1"/>
  <c r="AA618" i="2"/>
  <c r="AA619" i="2"/>
  <c r="AA620" i="2"/>
  <c r="AB620" i="2" s="1"/>
  <c r="AA621" i="2"/>
  <c r="AB621" i="2" s="1"/>
  <c r="AA622" i="2"/>
  <c r="AA623" i="2"/>
  <c r="AA624" i="2"/>
  <c r="AA625" i="2"/>
  <c r="AB625" i="2" s="1"/>
  <c r="AA626" i="2"/>
  <c r="AB626" i="2" s="1"/>
  <c r="AA627" i="2"/>
  <c r="AA628" i="2"/>
  <c r="AA629" i="2"/>
  <c r="AB629" i="2" s="1"/>
  <c r="AA630" i="2"/>
  <c r="AA631" i="2"/>
  <c r="AA632" i="2"/>
  <c r="AB632" i="2" s="1"/>
  <c r="AA633" i="2"/>
  <c r="AB633" i="2" s="1"/>
  <c r="AA634" i="2"/>
  <c r="AA635" i="2"/>
  <c r="AA636" i="2"/>
  <c r="AA637" i="2"/>
  <c r="AA638" i="2"/>
  <c r="AB638" i="2" s="1"/>
  <c r="AA639" i="2"/>
  <c r="AA640" i="2"/>
  <c r="AA641" i="2"/>
  <c r="AB641" i="2" s="1"/>
  <c r="AA642" i="2"/>
  <c r="AA643" i="2"/>
  <c r="AA644" i="2"/>
  <c r="AA645" i="2"/>
  <c r="AB645" i="2" s="1"/>
  <c r="AA646" i="2"/>
  <c r="AA647" i="2"/>
  <c r="AA648" i="2"/>
  <c r="AA649" i="2"/>
  <c r="AB649" i="2" s="1"/>
  <c r="AA650" i="2"/>
  <c r="AB650" i="2" s="1"/>
  <c r="AA651" i="2"/>
  <c r="AA652" i="2"/>
  <c r="AA653" i="2"/>
  <c r="AB653" i="2" s="1"/>
  <c r="AA654" i="2"/>
  <c r="AA655" i="2"/>
  <c r="AA656" i="2"/>
  <c r="AA657" i="2"/>
  <c r="AA658" i="2"/>
  <c r="AA659" i="2"/>
  <c r="AA660" i="2"/>
  <c r="AA661" i="2"/>
  <c r="AA662" i="2"/>
  <c r="AB662" i="2" s="1"/>
  <c r="AA663" i="2"/>
  <c r="AA664" i="2"/>
  <c r="AA665" i="2"/>
  <c r="AB665" i="2" s="1"/>
  <c r="AA666" i="2"/>
  <c r="AA667" i="2"/>
  <c r="AA668" i="2"/>
  <c r="AB668" i="2" s="1"/>
  <c r="AA669" i="2"/>
  <c r="AA670" i="2"/>
  <c r="AA671" i="2"/>
  <c r="AA672" i="2"/>
  <c r="AA673" i="2"/>
  <c r="AB673" i="2" s="1"/>
  <c r="AA674" i="2"/>
  <c r="AB674" i="2" s="1"/>
  <c r="AA675" i="2"/>
  <c r="AA676" i="2"/>
  <c r="AA677" i="2"/>
  <c r="AB677" i="2" s="1"/>
  <c r="AA678" i="2"/>
  <c r="AA679" i="2"/>
  <c r="AA680" i="2"/>
  <c r="AB680" i="2" s="1"/>
  <c r="AA681" i="2"/>
  <c r="AB681" i="2" s="1"/>
  <c r="AA682" i="2"/>
  <c r="AA683" i="2"/>
  <c r="AA684" i="2"/>
  <c r="AA685" i="2"/>
  <c r="AB685" i="2" s="1"/>
  <c r="AA686" i="2"/>
  <c r="AB686" i="2" s="1"/>
  <c r="AA687" i="2"/>
  <c r="AA688" i="2"/>
  <c r="AA689" i="2"/>
  <c r="AB689" i="2" s="1"/>
  <c r="AA690" i="2"/>
  <c r="AA691" i="2"/>
  <c r="AA692" i="2"/>
  <c r="AB692" i="2" s="1"/>
  <c r="AA693" i="2"/>
  <c r="AB693" i="2" s="1"/>
  <c r="AA694" i="2"/>
  <c r="AA695" i="2"/>
  <c r="AA696" i="2"/>
  <c r="AA697" i="2"/>
  <c r="AB697" i="2" s="1"/>
  <c r="AA698" i="2"/>
  <c r="AB698" i="2" s="1"/>
  <c r="AA699" i="2"/>
  <c r="AA700" i="2"/>
  <c r="AA701" i="2"/>
  <c r="AB701" i="2" s="1"/>
  <c r="AA702" i="2"/>
  <c r="AA703" i="2"/>
  <c r="AA704" i="2"/>
  <c r="AB704" i="2" s="1"/>
  <c r="AA705" i="2"/>
  <c r="AB705" i="2" s="1"/>
  <c r="AA706" i="2"/>
  <c r="AA707" i="2"/>
  <c r="AA708" i="2"/>
  <c r="AA709" i="2"/>
  <c r="AA710" i="2"/>
  <c r="AB710" i="2" s="1"/>
  <c r="AA711" i="2"/>
  <c r="AA712" i="2"/>
  <c r="AA713" i="2"/>
  <c r="AB713" i="2" s="1"/>
  <c r="AA714" i="2"/>
  <c r="AA715" i="2"/>
  <c r="AA716" i="2"/>
  <c r="AA717" i="2"/>
  <c r="AB717" i="2" s="1"/>
  <c r="AA718" i="2"/>
  <c r="AA719" i="2"/>
  <c r="AA720" i="2"/>
  <c r="AA721" i="2"/>
  <c r="AB721" i="2" s="1"/>
  <c r="AA722" i="2"/>
  <c r="AB722" i="2" s="1"/>
  <c r="AA723" i="2"/>
  <c r="AA724" i="2"/>
  <c r="AA725" i="2"/>
  <c r="AB725" i="2" s="1"/>
  <c r="AA726" i="2"/>
  <c r="AA727" i="2"/>
  <c r="AA728" i="2"/>
  <c r="AB728" i="2" s="1"/>
  <c r="AA729" i="2"/>
  <c r="AA730" i="2"/>
  <c r="AA731" i="2"/>
  <c r="AA732" i="2"/>
  <c r="AA733" i="2"/>
  <c r="AB733" i="2" s="1"/>
  <c r="AA734" i="2"/>
  <c r="AB734" i="2" s="1"/>
  <c r="AA735" i="2"/>
  <c r="AA736" i="2"/>
  <c r="AA737" i="2"/>
  <c r="AB737" i="2" s="1"/>
  <c r="AA738" i="2"/>
  <c r="AA739" i="2"/>
  <c r="AA740" i="2"/>
  <c r="AA741" i="2"/>
  <c r="AB741" i="2" s="1"/>
  <c r="AA742" i="2"/>
  <c r="AA743" i="2"/>
  <c r="AA744" i="2"/>
  <c r="AA745" i="2"/>
  <c r="AB745" i="2" s="1"/>
  <c r="AA746" i="2"/>
  <c r="AB746" i="2" s="1"/>
  <c r="AA747" i="2"/>
  <c r="AA748" i="2"/>
  <c r="AA749" i="2"/>
  <c r="AB749" i="2" s="1"/>
  <c r="AA750" i="2"/>
  <c r="AA751" i="2"/>
  <c r="AA752" i="2"/>
  <c r="AB752" i="2" s="1"/>
  <c r="AA753" i="2"/>
  <c r="AA754" i="2"/>
  <c r="AA755" i="2"/>
  <c r="AA756" i="2"/>
  <c r="AA757" i="2"/>
  <c r="AB757" i="2" s="1"/>
  <c r="AA758" i="2"/>
  <c r="AB758" i="2" s="1"/>
  <c r="AA759" i="2"/>
  <c r="AA760" i="2"/>
  <c r="AA761" i="2"/>
  <c r="AB761" i="2" s="1"/>
  <c r="AA762" i="2"/>
  <c r="AA763" i="2"/>
  <c r="AA764" i="2"/>
  <c r="AB764" i="2" s="1"/>
  <c r="AA765" i="2"/>
  <c r="AB765" i="2" s="1"/>
  <c r="AA766" i="2"/>
  <c r="AA767" i="2"/>
  <c r="AA768" i="2"/>
  <c r="AA769" i="2"/>
  <c r="AB769" i="2" s="1"/>
  <c r="AA770" i="2"/>
  <c r="AB770" i="2" s="1"/>
  <c r="AA771" i="2"/>
  <c r="AA772" i="2"/>
  <c r="AA773" i="2"/>
  <c r="AB773" i="2" s="1"/>
  <c r="AA774" i="2"/>
  <c r="AA775" i="2"/>
  <c r="AA776" i="2"/>
  <c r="AB776" i="2" s="1"/>
  <c r="AA777" i="2"/>
  <c r="AB777" i="2" s="1"/>
  <c r="AA778" i="2"/>
  <c r="AA779" i="2"/>
  <c r="AA780" i="2"/>
  <c r="AA781" i="2"/>
  <c r="AA782" i="2"/>
  <c r="AB782" i="2" s="1"/>
  <c r="AA783" i="2"/>
  <c r="AA784" i="2"/>
  <c r="AA785" i="2"/>
  <c r="AB785" i="2" s="1"/>
  <c r="AA786" i="2"/>
  <c r="AA787" i="2"/>
  <c r="AA788" i="2"/>
  <c r="AA789" i="2"/>
  <c r="AB789" i="2" s="1"/>
  <c r="AA790" i="2"/>
  <c r="AA791" i="2"/>
  <c r="AA792" i="2"/>
  <c r="AA793" i="2"/>
  <c r="AB793" i="2" s="1"/>
  <c r="AA794" i="2"/>
  <c r="AB794" i="2" s="1"/>
  <c r="AA795" i="2"/>
  <c r="AA796" i="2"/>
  <c r="AA797" i="2"/>
  <c r="AB797" i="2" s="1"/>
  <c r="AA798" i="2"/>
  <c r="AA799" i="2"/>
  <c r="AA800" i="2"/>
  <c r="AA801" i="2"/>
  <c r="AA802" i="2"/>
  <c r="AA803" i="2"/>
  <c r="AA804" i="2"/>
  <c r="AA805" i="2"/>
  <c r="AA806" i="2"/>
  <c r="AB806" i="2" s="1"/>
  <c r="AA807" i="2"/>
  <c r="AA808" i="2"/>
  <c r="AA809" i="2"/>
  <c r="AB809" i="2" s="1"/>
  <c r="AA810" i="2"/>
  <c r="AA811" i="2"/>
  <c r="AA812" i="2"/>
  <c r="AB812" i="2" s="1"/>
  <c r="AA813" i="2"/>
  <c r="AA814" i="2"/>
  <c r="AA815" i="2"/>
  <c r="AA816" i="2"/>
  <c r="AA817" i="2"/>
  <c r="AB817" i="2" s="1"/>
  <c r="AA818" i="2"/>
  <c r="AB818" i="2" s="1"/>
  <c r="AA819" i="2"/>
  <c r="AA820" i="2"/>
  <c r="AA821" i="2"/>
  <c r="AB821" i="2" s="1"/>
  <c r="AA822" i="2"/>
  <c r="AA823" i="2"/>
  <c r="AA824" i="2"/>
  <c r="AB824" i="2" s="1"/>
  <c r="AA825" i="2"/>
  <c r="AB825" i="2" s="1"/>
  <c r="AA826" i="2"/>
  <c r="AA827" i="2"/>
  <c r="AA828" i="2"/>
  <c r="AA829" i="2"/>
  <c r="AB829" i="2" s="1"/>
  <c r="AA830" i="2"/>
  <c r="AB830" i="2" s="1"/>
  <c r="AA831" i="2"/>
  <c r="AA832" i="2"/>
  <c r="AA833" i="2"/>
  <c r="AB833" i="2" s="1"/>
  <c r="AA834" i="2"/>
  <c r="AA835" i="2"/>
  <c r="AA836" i="2"/>
  <c r="AB836" i="2" s="1"/>
  <c r="AA837" i="2"/>
  <c r="AB837" i="2" s="1"/>
  <c r="AA838" i="2"/>
  <c r="AA839" i="2"/>
  <c r="AA840" i="2"/>
  <c r="AA841" i="2"/>
  <c r="AB841" i="2" s="1"/>
  <c r="AA842" i="2"/>
  <c r="AB842" i="2" s="1"/>
  <c r="AA843" i="2"/>
  <c r="AA844" i="2"/>
  <c r="AA845" i="2"/>
  <c r="AB845" i="2" s="1"/>
  <c r="AA846" i="2"/>
  <c r="AA847" i="2"/>
  <c r="AA848" i="2"/>
  <c r="AB848" i="2" s="1"/>
  <c r="AA849" i="2"/>
  <c r="AB849" i="2" s="1"/>
  <c r="AA850" i="2"/>
  <c r="AA851" i="2"/>
  <c r="AA852" i="2"/>
  <c r="AA853" i="2"/>
  <c r="AA854" i="2"/>
  <c r="AB854" i="2" s="1"/>
  <c r="AA855" i="2"/>
  <c r="AA856" i="2"/>
  <c r="AA857" i="2"/>
  <c r="AB857" i="2" s="1"/>
  <c r="AA858" i="2"/>
  <c r="AA859" i="2"/>
  <c r="AA860" i="2"/>
  <c r="AA861" i="2"/>
  <c r="AB861" i="2" s="1"/>
  <c r="AA862" i="2"/>
  <c r="AA863" i="2"/>
  <c r="AA864" i="2"/>
  <c r="AA865" i="2"/>
  <c r="AB865" i="2" s="1"/>
  <c r="AA866" i="2"/>
  <c r="AB866" i="2" s="1"/>
  <c r="AA867" i="2"/>
  <c r="AA868" i="2"/>
  <c r="AA869" i="2"/>
  <c r="AB869" i="2" s="1"/>
  <c r="AA870" i="2"/>
  <c r="AA871" i="2"/>
  <c r="AA872" i="2"/>
  <c r="AB872" i="2" s="1"/>
  <c r="AA873" i="2"/>
  <c r="AA874" i="2"/>
  <c r="AA875" i="2"/>
  <c r="AA876" i="2"/>
  <c r="AA877" i="2"/>
  <c r="AB877" i="2" s="1"/>
  <c r="AA878" i="2"/>
  <c r="AB878" i="2" s="1"/>
  <c r="AA879" i="2"/>
  <c r="AA880" i="2"/>
  <c r="AA881" i="2"/>
  <c r="AB881" i="2" s="1"/>
  <c r="AA882" i="2"/>
  <c r="AA883" i="2"/>
  <c r="AA884" i="2"/>
  <c r="AA885" i="2"/>
  <c r="AB885" i="2" s="1"/>
  <c r="AA886" i="2"/>
  <c r="AA887" i="2"/>
  <c r="AA888" i="2"/>
  <c r="AA889" i="2"/>
  <c r="AB889" i="2" s="1"/>
  <c r="AA890" i="2"/>
  <c r="AB890" i="2" s="1"/>
  <c r="AA891" i="2"/>
  <c r="AA892" i="2"/>
  <c r="AA893" i="2"/>
  <c r="AB893" i="2" s="1"/>
  <c r="AA894" i="2"/>
  <c r="AA895" i="2"/>
  <c r="AA896" i="2"/>
  <c r="AB896" i="2" s="1"/>
  <c r="AA897" i="2"/>
  <c r="AA898" i="2"/>
  <c r="AA899" i="2"/>
  <c r="AA900" i="2"/>
  <c r="AA901" i="2"/>
  <c r="AB901" i="2" s="1"/>
  <c r="AA902" i="2"/>
  <c r="AB902" i="2" s="1"/>
  <c r="AA903" i="2"/>
  <c r="AA904" i="2"/>
  <c r="AA905" i="2"/>
  <c r="AB905" i="2" s="1"/>
  <c r="AA906" i="2"/>
  <c r="AA907" i="2"/>
  <c r="AA908" i="2"/>
  <c r="AB908" i="2" s="1"/>
  <c r="AA909" i="2"/>
  <c r="AB909" i="2" s="1"/>
  <c r="AA910" i="2"/>
  <c r="AA911" i="2"/>
  <c r="AA912" i="2"/>
  <c r="AA913" i="2"/>
  <c r="AB913" i="2" s="1"/>
  <c r="AA914" i="2"/>
  <c r="AB914" i="2" s="1"/>
  <c r="AA915" i="2"/>
  <c r="AA916" i="2"/>
  <c r="AA917" i="2"/>
  <c r="AB917" i="2" s="1"/>
  <c r="AA918" i="2"/>
  <c r="AA919" i="2"/>
  <c r="AA920" i="2"/>
  <c r="AB920" i="2" s="1"/>
  <c r="AA921" i="2"/>
  <c r="AB921" i="2" s="1"/>
  <c r="AA922" i="2"/>
  <c r="AA923" i="2"/>
  <c r="AA924" i="2"/>
  <c r="AA925" i="2"/>
  <c r="AA926" i="2"/>
  <c r="AB926" i="2" s="1"/>
  <c r="AA927" i="2"/>
  <c r="AA928" i="2"/>
  <c r="AA929" i="2"/>
  <c r="AB929" i="2" s="1"/>
  <c r="AA930" i="2"/>
  <c r="AA931" i="2"/>
  <c r="AA932" i="2"/>
  <c r="AA933" i="2"/>
  <c r="AB933" i="2" s="1"/>
  <c r="AA934" i="2"/>
  <c r="AA935" i="2"/>
  <c r="AA936" i="2"/>
  <c r="AA937" i="2"/>
  <c r="AB937" i="2" s="1"/>
  <c r="AA938" i="2"/>
  <c r="AB938" i="2" s="1"/>
  <c r="AA939" i="2"/>
  <c r="AA940" i="2"/>
  <c r="AA941" i="2"/>
  <c r="AB941" i="2" s="1"/>
  <c r="AA942" i="2"/>
  <c r="AA943" i="2"/>
  <c r="AA944" i="2"/>
  <c r="AA945" i="2"/>
  <c r="AA946" i="2"/>
  <c r="AA947" i="2"/>
  <c r="AA948" i="2"/>
  <c r="AA949" i="2"/>
  <c r="AA950" i="2"/>
  <c r="AB950" i="2" s="1"/>
  <c r="AA951" i="2"/>
  <c r="AA952" i="2"/>
  <c r="AA953" i="2"/>
  <c r="AB953" i="2" s="1"/>
  <c r="AA954" i="2"/>
  <c r="AA955" i="2"/>
  <c r="AA956" i="2"/>
  <c r="AB956" i="2" s="1"/>
  <c r="AA957" i="2"/>
  <c r="AB957" i="2" s="1"/>
  <c r="AA958" i="2"/>
  <c r="AA959" i="2"/>
  <c r="AA960" i="2"/>
  <c r="AA961" i="2"/>
  <c r="AB961" i="2" s="1"/>
  <c r="AA962" i="2"/>
  <c r="AB962" i="2" s="1"/>
  <c r="AA963" i="2"/>
  <c r="AA964" i="2"/>
  <c r="AA965" i="2"/>
  <c r="AB965" i="2" s="1"/>
  <c r="AA966" i="2"/>
  <c r="AA967" i="2"/>
  <c r="AA968" i="2"/>
  <c r="AB968" i="2" s="1"/>
  <c r="AA969" i="2"/>
  <c r="AB969" i="2" s="1"/>
  <c r="AA970" i="2"/>
  <c r="AA971" i="2"/>
  <c r="AA972" i="2"/>
  <c r="AA973" i="2"/>
  <c r="AB973" i="2" s="1"/>
  <c r="AA974" i="2"/>
  <c r="AB974" i="2" s="1"/>
  <c r="AA975" i="2"/>
  <c r="AA976" i="2"/>
  <c r="AA977" i="2"/>
  <c r="AB977" i="2" s="1"/>
  <c r="AA978" i="2"/>
  <c r="AA979" i="2"/>
  <c r="AA980" i="2"/>
  <c r="AB980" i="2" s="1"/>
  <c r="AA981" i="2"/>
  <c r="AB981" i="2" s="1"/>
  <c r="AA982" i="2"/>
  <c r="AA983" i="2"/>
  <c r="AA984" i="2"/>
  <c r="AA985" i="2"/>
  <c r="AB985" i="2" s="1"/>
  <c r="AA986" i="2"/>
  <c r="AB986" i="2" s="1"/>
  <c r="AA987" i="2"/>
  <c r="AA988" i="2"/>
  <c r="AA989" i="2"/>
  <c r="AB989" i="2" s="1"/>
  <c r="AA990" i="2"/>
  <c r="AA991" i="2"/>
  <c r="AA992" i="2"/>
  <c r="AB992" i="2" s="1"/>
  <c r="AA993" i="2"/>
  <c r="AB993" i="2" s="1"/>
  <c r="AA994" i="2"/>
  <c r="AA995" i="2"/>
  <c r="AA996" i="2"/>
  <c r="AA997" i="2"/>
  <c r="AA998" i="2"/>
  <c r="AB998" i="2" s="1"/>
  <c r="AA999" i="2"/>
  <c r="AA1000" i="2"/>
  <c r="AA1001" i="2"/>
  <c r="AB1001" i="2" s="1"/>
  <c r="AA1002" i="2"/>
  <c r="AA1003" i="2"/>
  <c r="AA1004" i="2"/>
  <c r="AA1005" i="2"/>
  <c r="AB1005" i="2" s="1"/>
  <c r="AA1006" i="2"/>
  <c r="AA1007" i="2"/>
  <c r="AA1008" i="2"/>
  <c r="AA1009" i="2"/>
  <c r="AB1009" i="2" s="1"/>
  <c r="AA1010" i="2"/>
  <c r="AB1010" i="2" s="1"/>
  <c r="AA1011" i="2"/>
  <c r="AA1012" i="2"/>
  <c r="AA1013" i="2"/>
  <c r="AB1013" i="2" s="1"/>
  <c r="AA1014" i="2"/>
  <c r="AA1015" i="2"/>
  <c r="AA1016" i="2"/>
  <c r="AB1016" i="2" s="1"/>
  <c r="AA1017" i="2"/>
  <c r="AA1018" i="2"/>
  <c r="AA1019" i="2"/>
  <c r="AA1020" i="2"/>
  <c r="AA1021" i="2"/>
  <c r="AB1021" i="2" s="1"/>
  <c r="AA1022" i="2"/>
  <c r="AB1022" i="2" s="1"/>
  <c r="AA1023" i="2"/>
  <c r="AA1024" i="2"/>
  <c r="AA1025" i="2"/>
  <c r="AB1025" i="2" s="1"/>
  <c r="AA1026" i="2"/>
  <c r="AA1027" i="2"/>
  <c r="AA1028" i="2"/>
  <c r="AA1029" i="2"/>
  <c r="AB1029" i="2" s="1"/>
  <c r="AA1030" i="2"/>
  <c r="AA1031" i="2"/>
  <c r="AA1032" i="2"/>
  <c r="AA1033" i="2"/>
  <c r="AB1033" i="2" s="1"/>
  <c r="AA1034" i="2"/>
  <c r="AB1034" i="2" s="1"/>
  <c r="AA1035" i="2"/>
  <c r="AA1036" i="2"/>
  <c r="AA1037" i="2"/>
  <c r="AB1037" i="2" s="1"/>
  <c r="AA1038" i="2"/>
  <c r="AA1039" i="2"/>
  <c r="AA1040" i="2"/>
  <c r="AB1040" i="2" s="1"/>
  <c r="AA1041" i="2"/>
  <c r="AA1042" i="2"/>
  <c r="AA1043" i="2"/>
  <c r="AA1044" i="2"/>
  <c r="AA1045" i="2"/>
  <c r="AB1045" i="2" s="1"/>
  <c r="AA1046" i="2"/>
  <c r="AB1046" i="2" s="1"/>
  <c r="AA1047" i="2"/>
  <c r="AA1048" i="2"/>
  <c r="AA1049" i="2"/>
  <c r="AB1049" i="2" s="1"/>
  <c r="AA1050" i="2"/>
  <c r="AA1051" i="2"/>
  <c r="AA1052" i="2"/>
  <c r="AB1052" i="2" s="1"/>
  <c r="AA1053" i="2"/>
  <c r="AB1053" i="2" s="1"/>
  <c r="AA1054" i="2"/>
  <c r="AA1055" i="2"/>
  <c r="AA1056" i="2"/>
  <c r="AA1057" i="2"/>
  <c r="AB1057" i="2" s="1"/>
  <c r="AA1058" i="2"/>
  <c r="AB1058" i="2" s="1"/>
  <c r="AA1059" i="2"/>
  <c r="AA1060" i="2"/>
  <c r="AA1061" i="2"/>
  <c r="AB1061" i="2" s="1"/>
  <c r="AA1062" i="2"/>
  <c r="AA1063" i="2"/>
  <c r="AA1064" i="2"/>
  <c r="AB1064" i="2" s="1"/>
  <c r="AA1065" i="2"/>
  <c r="AB1065" i="2" s="1"/>
  <c r="AA1066" i="2"/>
  <c r="AA1067" i="2"/>
  <c r="AA1068" i="2"/>
  <c r="AA1069" i="2"/>
  <c r="AA1070" i="2"/>
  <c r="AB1070" i="2" s="1"/>
  <c r="AA1071" i="2"/>
  <c r="AA1072" i="2"/>
  <c r="AA1073" i="2"/>
  <c r="AB1073" i="2" s="1"/>
  <c r="AA1074" i="2"/>
  <c r="AA1075" i="2"/>
  <c r="AA1076" i="2"/>
  <c r="AA1077" i="2"/>
  <c r="AB1077" i="2" s="1"/>
  <c r="AA1078" i="2"/>
  <c r="AA1079" i="2"/>
  <c r="AA1080" i="2"/>
  <c r="AA1081" i="2"/>
  <c r="AB1081" i="2" s="1"/>
  <c r="AA1082" i="2"/>
  <c r="AB1082" i="2" s="1"/>
  <c r="AA1083" i="2"/>
  <c r="AA1084" i="2"/>
  <c r="AA1085" i="2"/>
  <c r="AB1085" i="2" s="1"/>
  <c r="AA1086" i="2"/>
  <c r="AA1087" i="2"/>
  <c r="AA1088" i="2"/>
  <c r="AA1089" i="2"/>
  <c r="AA1090" i="2"/>
  <c r="AA1091" i="2"/>
  <c r="AA1092" i="2"/>
  <c r="AA1093" i="2"/>
  <c r="AA1094" i="2"/>
  <c r="AB1094" i="2" s="1"/>
  <c r="AA1095" i="2"/>
  <c r="AA1096" i="2"/>
  <c r="AA1097" i="2"/>
  <c r="AB1097" i="2" s="1"/>
  <c r="AA1098" i="2"/>
  <c r="AA1099" i="2"/>
  <c r="AA1100" i="2"/>
  <c r="AB1100" i="2" s="1"/>
  <c r="AA1101" i="2"/>
  <c r="AB1101" i="2" s="1"/>
  <c r="AA1102" i="2"/>
  <c r="AA1103" i="2"/>
  <c r="AA1104" i="2"/>
  <c r="AA1105" i="2"/>
  <c r="AB1105" i="2" s="1"/>
  <c r="AA1106" i="2"/>
  <c r="AB1106" i="2" s="1"/>
  <c r="AA1107" i="2"/>
  <c r="AA1108" i="2"/>
  <c r="AA1109" i="2"/>
  <c r="AB1109" i="2" s="1"/>
  <c r="AA1110" i="2"/>
  <c r="AA1111" i="2"/>
  <c r="AA1112" i="2"/>
  <c r="AB1112" i="2" s="1"/>
  <c r="AA1113" i="2"/>
  <c r="AB1113" i="2" s="1"/>
  <c r="AA1114" i="2"/>
  <c r="AA1115" i="2"/>
  <c r="AA1116" i="2"/>
  <c r="AA1117" i="2"/>
  <c r="AB1117" i="2" s="1"/>
  <c r="AA1118" i="2"/>
  <c r="AB1118" i="2" s="1"/>
  <c r="AA1119" i="2"/>
  <c r="AA1120" i="2"/>
  <c r="AA1121" i="2"/>
  <c r="AB1121" i="2" s="1"/>
  <c r="AA1122" i="2"/>
  <c r="AA1123" i="2"/>
  <c r="AA1124" i="2"/>
  <c r="AB1124" i="2" s="1"/>
  <c r="AA1125" i="2"/>
  <c r="AB1125" i="2" s="1"/>
  <c r="AA1126" i="2"/>
  <c r="AA1127" i="2"/>
  <c r="AA1128" i="2"/>
  <c r="AA1129" i="2"/>
  <c r="AB1129" i="2" s="1"/>
  <c r="AA1130" i="2"/>
  <c r="AB1130" i="2" s="1"/>
  <c r="AA1131" i="2"/>
  <c r="AA1132" i="2"/>
  <c r="AA1133" i="2"/>
  <c r="AB1133" i="2" s="1"/>
  <c r="AA1134" i="2"/>
  <c r="AA1135" i="2"/>
  <c r="AA1136" i="2"/>
  <c r="AB1136" i="2" s="1"/>
  <c r="AA1137" i="2"/>
  <c r="AB1137" i="2" s="1"/>
  <c r="AA1138" i="2"/>
  <c r="AA1139" i="2"/>
  <c r="AA1140" i="2"/>
  <c r="AA1141" i="2"/>
  <c r="AA1142" i="2"/>
  <c r="AB1142" i="2" s="1"/>
  <c r="AA1143" i="2"/>
  <c r="AA1144" i="2"/>
  <c r="AA1145" i="2"/>
  <c r="AB1145" i="2" s="1"/>
  <c r="AA1146" i="2"/>
  <c r="AA1147" i="2"/>
  <c r="AA1148" i="2"/>
  <c r="AA1149" i="2"/>
  <c r="AB1149" i="2" s="1"/>
  <c r="AA1150" i="2"/>
  <c r="AA1151" i="2"/>
  <c r="AA1152" i="2"/>
  <c r="AA1153" i="2"/>
  <c r="AB1153" i="2" s="1"/>
  <c r="AA1154" i="2"/>
  <c r="AB1154" i="2" s="1"/>
  <c r="AA1155" i="2"/>
  <c r="AA1156" i="2"/>
  <c r="AA1157" i="2"/>
  <c r="AB1157" i="2" s="1"/>
  <c r="AA1158" i="2"/>
  <c r="AA1159" i="2"/>
  <c r="AA1160" i="2"/>
  <c r="AB1160" i="2" s="1"/>
  <c r="AA1161" i="2"/>
  <c r="AA1162" i="2"/>
  <c r="AA1163" i="2"/>
  <c r="AA1164" i="2"/>
  <c r="AA1165" i="2"/>
  <c r="AB1165" i="2" s="1"/>
  <c r="AA1166" i="2"/>
  <c r="AB1166" i="2" s="1"/>
  <c r="AA1167" i="2"/>
  <c r="AA1168" i="2"/>
  <c r="AA1169" i="2"/>
  <c r="AB1169" i="2" s="1"/>
  <c r="AA1170" i="2"/>
  <c r="AA1171" i="2"/>
  <c r="AA1172" i="2"/>
  <c r="AA1173" i="2"/>
  <c r="AB1173" i="2" s="1"/>
  <c r="AA1174" i="2"/>
  <c r="AA1175" i="2"/>
  <c r="AA1176" i="2"/>
  <c r="AA1177" i="2"/>
  <c r="AB1177" i="2" s="1"/>
  <c r="AA1178" i="2"/>
  <c r="AB1178" i="2" s="1"/>
  <c r="AA1179" i="2"/>
  <c r="AA1180" i="2"/>
  <c r="AA1181" i="2"/>
  <c r="AB1181" i="2" s="1"/>
  <c r="AA1182" i="2"/>
  <c r="AA1183" i="2"/>
  <c r="AA1184" i="2"/>
  <c r="AB1184" i="2" s="1"/>
  <c r="AA1185" i="2"/>
  <c r="AA1186" i="2"/>
  <c r="AA1187" i="2"/>
  <c r="AA1188" i="2"/>
  <c r="AA1189" i="2"/>
  <c r="AB1189" i="2" s="1"/>
  <c r="AA1190" i="2"/>
  <c r="AB1190" i="2" s="1"/>
  <c r="AA1191" i="2"/>
  <c r="AA1192" i="2"/>
  <c r="AA1193" i="2"/>
  <c r="AB1193" i="2" s="1"/>
  <c r="AA1194" i="2"/>
  <c r="AA1195" i="2"/>
  <c r="AA1196" i="2"/>
  <c r="AB1196" i="2" s="1"/>
  <c r="AA1197" i="2"/>
  <c r="AB1197" i="2" s="1"/>
  <c r="AA1198" i="2"/>
  <c r="AA1199" i="2"/>
  <c r="AA1200" i="2"/>
  <c r="AA1201" i="2"/>
  <c r="AB1201" i="2" s="1"/>
  <c r="AA1202" i="2"/>
  <c r="AB1202" i="2" s="1"/>
  <c r="AA1203" i="2"/>
  <c r="AA1204" i="2"/>
  <c r="AA1205" i="2"/>
  <c r="AB1205" i="2" s="1"/>
  <c r="AA1206" i="2"/>
  <c r="AA1207" i="2"/>
  <c r="AA1208" i="2"/>
  <c r="AB1208" i="2" s="1"/>
  <c r="AA1209" i="2"/>
  <c r="AB1209" i="2" s="1"/>
  <c r="AA1210" i="2"/>
  <c r="AA1211" i="2"/>
  <c r="AA1212" i="2"/>
  <c r="AA1213" i="2"/>
  <c r="AA1214" i="2"/>
  <c r="AB1214" i="2" s="1"/>
  <c r="AA1215" i="2"/>
  <c r="AA1216" i="2"/>
  <c r="AA1217" i="2"/>
  <c r="AB1217" i="2" s="1"/>
  <c r="AA1218" i="2"/>
  <c r="AA1219" i="2"/>
  <c r="AA1220" i="2"/>
  <c r="AA1221" i="2"/>
  <c r="AB1221" i="2" s="1"/>
  <c r="AA1222" i="2"/>
  <c r="AA1223" i="2"/>
  <c r="AA1224" i="2"/>
  <c r="AA1225" i="2"/>
  <c r="AB1225" i="2" s="1"/>
  <c r="AA1226" i="2"/>
  <c r="AB1226" i="2" s="1"/>
  <c r="AA1227" i="2"/>
  <c r="AA1228" i="2"/>
  <c r="AA1229" i="2"/>
  <c r="AB1229" i="2" s="1"/>
  <c r="AA1230" i="2"/>
  <c r="AA1231" i="2"/>
  <c r="AA1232" i="2"/>
  <c r="AA1233" i="2"/>
  <c r="AA1234" i="2"/>
  <c r="AA1235" i="2"/>
  <c r="AA1236" i="2"/>
  <c r="AA1237" i="2"/>
  <c r="AA1238" i="2"/>
  <c r="AB1238" i="2" s="1"/>
  <c r="AA1239" i="2"/>
  <c r="AA1240" i="2"/>
  <c r="AA1241" i="2"/>
  <c r="AB1241" i="2" s="1"/>
  <c r="AA1242" i="2"/>
  <c r="AA1243" i="2"/>
  <c r="AA1244" i="2"/>
  <c r="AB1244" i="2" s="1"/>
  <c r="AA1245" i="2"/>
  <c r="AB1245" i="2" s="1"/>
  <c r="AA1246" i="2"/>
  <c r="AA1247" i="2"/>
  <c r="AA1248" i="2"/>
  <c r="AA1249" i="2"/>
  <c r="AB1249" i="2" s="1"/>
  <c r="AA1250" i="2"/>
  <c r="AB1250" i="2" s="1"/>
  <c r="AA1251" i="2"/>
  <c r="AA1252" i="2"/>
  <c r="AA1253" i="2"/>
  <c r="AB1253" i="2" s="1"/>
  <c r="AA1254" i="2"/>
  <c r="AA1255" i="2"/>
  <c r="AA1256" i="2"/>
  <c r="AB1256" i="2" s="1"/>
  <c r="AA1257" i="2"/>
  <c r="AB1257" i="2" s="1"/>
  <c r="AA1258" i="2"/>
  <c r="AA1259" i="2"/>
  <c r="AA1260" i="2"/>
  <c r="AA1261" i="2"/>
  <c r="AB1261" i="2" s="1"/>
  <c r="AA1262" i="2"/>
  <c r="AB1262" i="2" s="1"/>
  <c r="AA1263" i="2"/>
  <c r="AA1264" i="2"/>
  <c r="AA1265" i="2"/>
  <c r="AB1265" i="2" s="1"/>
  <c r="AA1266" i="2"/>
  <c r="AA1267" i="2"/>
  <c r="AA1268" i="2"/>
  <c r="AB1268" i="2" s="1"/>
  <c r="AA1269" i="2"/>
  <c r="AB1269" i="2" s="1"/>
  <c r="AA1270" i="2"/>
  <c r="AA1271" i="2"/>
  <c r="AA1272" i="2"/>
  <c r="AA1273" i="2"/>
  <c r="AB1273" i="2" s="1"/>
  <c r="AA1274" i="2"/>
  <c r="AB1274" i="2" s="1"/>
  <c r="AA1275" i="2"/>
  <c r="AA1276" i="2"/>
  <c r="AA1277" i="2"/>
  <c r="AB1277" i="2" s="1"/>
  <c r="AA1278" i="2"/>
  <c r="AA1279" i="2"/>
  <c r="AA1280" i="2"/>
  <c r="AB1280" i="2" s="1"/>
  <c r="AA1281" i="2"/>
  <c r="AB1281" i="2" s="1"/>
  <c r="AA1282" i="2"/>
  <c r="AA1283" i="2"/>
  <c r="AA1284" i="2"/>
  <c r="AA1285" i="2"/>
  <c r="AA1286" i="2"/>
  <c r="AB1286" i="2" s="1"/>
  <c r="AA1287" i="2"/>
  <c r="AA1288" i="2"/>
  <c r="AA1289" i="2"/>
  <c r="AB1289" i="2" s="1"/>
  <c r="AA1290" i="2"/>
  <c r="AA1291" i="2"/>
  <c r="AA1292" i="2"/>
  <c r="AA1293" i="2"/>
  <c r="AB1293" i="2" s="1"/>
  <c r="AA1294" i="2"/>
  <c r="AA1295" i="2"/>
  <c r="AA1296" i="2"/>
  <c r="AA1297" i="2"/>
  <c r="AB1297" i="2" s="1"/>
  <c r="AA1298" i="2"/>
  <c r="AB1298" i="2" s="1"/>
  <c r="AA1299" i="2"/>
  <c r="AA1300" i="2"/>
  <c r="AA1301" i="2"/>
  <c r="AB1301" i="2" s="1"/>
  <c r="AA1302" i="2"/>
  <c r="AA1303" i="2"/>
  <c r="AA1304" i="2"/>
  <c r="AB1304" i="2" s="1"/>
  <c r="AA1305" i="2"/>
  <c r="AA1306" i="2"/>
  <c r="AA1307" i="2"/>
  <c r="AA1308" i="2"/>
  <c r="AA1309" i="2"/>
  <c r="AB1309" i="2" s="1"/>
  <c r="AA1310" i="2"/>
  <c r="AB1310" i="2" s="1"/>
  <c r="AA1311" i="2"/>
  <c r="AA1312" i="2"/>
  <c r="AA1313" i="2"/>
  <c r="AB1313" i="2" s="1"/>
  <c r="AA1314" i="2"/>
  <c r="AA1315" i="2"/>
  <c r="AA1316" i="2"/>
  <c r="AA1317" i="2"/>
  <c r="AB1317" i="2" s="1"/>
  <c r="AA1318" i="2"/>
  <c r="AA1319" i="2"/>
  <c r="AA1320" i="2"/>
  <c r="AA1321" i="2"/>
  <c r="AB1321" i="2" s="1"/>
  <c r="AA1322" i="2"/>
  <c r="AB1322" i="2" s="1"/>
  <c r="AA1323" i="2"/>
  <c r="AA1324" i="2"/>
  <c r="AA1325" i="2"/>
  <c r="AB1325" i="2" s="1"/>
  <c r="AA1326" i="2"/>
  <c r="AA1327" i="2"/>
  <c r="AA1328" i="2"/>
  <c r="AB1328" i="2" s="1"/>
  <c r="AA1329" i="2"/>
  <c r="AA1330" i="2"/>
  <c r="AA1331" i="2"/>
  <c r="AA1332" i="2"/>
  <c r="AA1333" i="2"/>
  <c r="AB1333" i="2" s="1"/>
  <c r="AA1334" i="2"/>
  <c r="AB1334" i="2" s="1"/>
  <c r="AA1335" i="2"/>
  <c r="AA1336" i="2"/>
  <c r="AA1337" i="2"/>
  <c r="AB1337" i="2" s="1"/>
  <c r="AA1338" i="2"/>
  <c r="AA1339" i="2"/>
  <c r="AA1340" i="2"/>
  <c r="AB1340" i="2" s="1"/>
  <c r="AA1341" i="2"/>
  <c r="AB1341" i="2" s="1"/>
  <c r="AA1342" i="2"/>
  <c r="AA1343" i="2"/>
  <c r="AA1344" i="2"/>
  <c r="AA1345" i="2"/>
  <c r="AB1345" i="2" s="1"/>
  <c r="AA1346" i="2"/>
  <c r="AB1346" i="2" s="1"/>
  <c r="AA1347" i="2"/>
  <c r="AA1348" i="2"/>
  <c r="AA1349" i="2"/>
  <c r="AB1349" i="2" s="1"/>
  <c r="AA1350" i="2"/>
  <c r="AA1351" i="2"/>
  <c r="AA1352" i="2"/>
  <c r="AB1352" i="2" s="1"/>
  <c r="AA1353" i="2"/>
  <c r="AB1353" i="2" s="1"/>
  <c r="AA1354" i="2"/>
  <c r="AA1355" i="2"/>
  <c r="AA1356" i="2"/>
  <c r="AA1357" i="2"/>
  <c r="AA1358" i="2"/>
  <c r="AB1358" i="2" s="1"/>
  <c r="AA1359" i="2"/>
  <c r="AA1360" i="2"/>
  <c r="AA1361" i="2"/>
  <c r="AB1361" i="2" s="1"/>
  <c r="AA1362" i="2"/>
  <c r="AA1363" i="2"/>
  <c r="AA1364" i="2"/>
  <c r="AA1365" i="2"/>
  <c r="AB1365" i="2" s="1"/>
  <c r="AA1366" i="2"/>
  <c r="AA1367" i="2"/>
  <c r="AA1368" i="2"/>
  <c r="AA1369" i="2"/>
  <c r="AB1369" i="2" s="1"/>
  <c r="AA1370" i="2"/>
  <c r="AB1370" i="2" s="1"/>
  <c r="AA1371" i="2"/>
  <c r="AA1372" i="2"/>
  <c r="AA1373" i="2"/>
  <c r="AB1373" i="2" s="1"/>
  <c r="AA1374" i="2"/>
  <c r="AA1375" i="2"/>
  <c r="AA1376" i="2"/>
  <c r="AA1377" i="2"/>
  <c r="AA1378" i="2"/>
  <c r="AA1379" i="2"/>
  <c r="AA1380" i="2"/>
  <c r="AA1381" i="2"/>
  <c r="AA1382" i="2"/>
  <c r="AB1382" i="2" s="1"/>
  <c r="AA1383" i="2"/>
  <c r="AA1384" i="2"/>
  <c r="AA1385" i="2"/>
  <c r="AB1385" i="2" s="1"/>
  <c r="AA1386" i="2"/>
  <c r="AA1387" i="2"/>
  <c r="AA1388" i="2"/>
  <c r="AB1388" i="2" s="1"/>
  <c r="AA1389" i="2"/>
  <c r="AB1389" i="2" s="1"/>
  <c r="AA1390" i="2"/>
  <c r="AA1391" i="2"/>
  <c r="AA1392" i="2"/>
  <c r="AA1393" i="2"/>
  <c r="AB1393" i="2" s="1"/>
  <c r="AA1394" i="2"/>
  <c r="AB1394" i="2" s="1"/>
  <c r="AA1395" i="2"/>
  <c r="AA1396" i="2"/>
  <c r="AA1397" i="2"/>
  <c r="AB1397" i="2" s="1"/>
  <c r="AA1398" i="2"/>
  <c r="AA1399" i="2"/>
  <c r="AA1400" i="2"/>
  <c r="AB1400" i="2" s="1"/>
  <c r="AA1401" i="2"/>
  <c r="AB1401" i="2" s="1"/>
  <c r="AA1402" i="2"/>
  <c r="AA1403" i="2"/>
  <c r="AA1404" i="2"/>
  <c r="AA1405" i="2"/>
  <c r="AB1405" i="2" s="1"/>
  <c r="AA1406" i="2"/>
  <c r="AB1406" i="2" s="1"/>
  <c r="AA1407" i="2"/>
  <c r="AA1408" i="2"/>
  <c r="AA1409" i="2"/>
  <c r="AB1409" i="2" s="1"/>
  <c r="AA1410" i="2"/>
  <c r="AA1411" i="2"/>
  <c r="AA1412" i="2"/>
  <c r="AB1412" i="2" s="1"/>
  <c r="AA1413" i="2"/>
  <c r="AB1413" i="2" s="1"/>
  <c r="AA1414" i="2"/>
  <c r="AA1415" i="2"/>
  <c r="AA1416" i="2"/>
  <c r="AA1417" i="2"/>
  <c r="AB1417" i="2" s="1"/>
  <c r="AA1418" i="2"/>
  <c r="AB1418" i="2" s="1"/>
  <c r="AA1419" i="2"/>
  <c r="AA1420" i="2"/>
  <c r="AA1421" i="2"/>
  <c r="AB1421" i="2" s="1"/>
  <c r="AA1422" i="2"/>
  <c r="AA1423" i="2"/>
  <c r="AA1424" i="2"/>
  <c r="AB1424" i="2" s="1"/>
  <c r="AA1425" i="2"/>
  <c r="AB1425" i="2" s="1"/>
  <c r="AA1426" i="2"/>
  <c r="AA1427" i="2"/>
  <c r="AA1428" i="2"/>
  <c r="AA1429" i="2"/>
  <c r="AA1430" i="2"/>
  <c r="AB1430" i="2" s="1"/>
  <c r="AA1431" i="2"/>
  <c r="AA1432" i="2"/>
  <c r="AA1433" i="2"/>
  <c r="AB1433" i="2" s="1"/>
  <c r="AA1434" i="2"/>
  <c r="AA1435" i="2"/>
  <c r="AA1436" i="2"/>
  <c r="AA1437" i="2"/>
  <c r="AB1437" i="2" s="1"/>
  <c r="AA1438" i="2"/>
  <c r="AA1439" i="2"/>
  <c r="AA1440" i="2"/>
  <c r="AA1441" i="2"/>
  <c r="AB1441" i="2" s="1"/>
  <c r="AA1442" i="2"/>
  <c r="AB1442" i="2" s="1"/>
  <c r="AA1443" i="2"/>
  <c r="AA1444" i="2"/>
  <c r="AA1445" i="2"/>
  <c r="AB1445" i="2" s="1"/>
  <c r="AA1446" i="2"/>
  <c r="AA1447" i="2"/>
  <c r="AA1448" i="2"/>
  <c r="AB1448" i="2" s="1"/>
  <c r="AA1449" i="2"/>
  <c r="AA1450" i="2"/>
  <c r="AA1451" i="2"/>
  <c r="AA1452" i="2"/>
  <c r="AA1453" i="2"/>
  <c r="AB1453" i="2" s="1"/>
  <c r="AA1454" i="2"/>
  <c r="AB1454" i="2" s="1"/>
  <c r="AA1455" i="2"/>
  <c r="AA1456" i="2"/>
  <c r="AA1457" i="2"/>
  <c r="AB1457" i="2" s="1"/>
  <c r="AA1458" i="2"/>
  <c r="AA1459" i="2"/>
  <c r="AA1460" i="2"/>
  <c r="AA1461" i="2"/>
  <c r="AB1461" i="2" s="1"/>
  <c r="AA1462" i="2"/>
  <c r="AA1463" i="2"/>
  <c r="AA1464" i="2"/>
  <c r="AA1465" i="2"/>
  <c r="AB1465" i="2" s="1"/>
  <c r="AA1466" i="2"/>
  <c r="AB1466" i="2" s="1"/>
  <c r="AA1467" i="2"/>
  <c r="AA1468" i="2"/>
  <c r="AA1469" i="2"/>
  <c r="AB1469" i="2" s="1"/>
  <c r="AA1470" i="2"/>
  <c r="AA1471" i="2"/>
  <c r="AA1472" i="2"/>
  <c r="AB1472" i="2" s="1"/>
  <c r="AA1473" i="2"/>
  <c r="AA1474" i="2"/>
  <c r="AA1475" i="2"/>
  <c r="AA1476" i="2"/>
  <c r="AA1477" i="2"/>
  <c r="AB1477" i="2" s="1"/>
  <c r="AA1478" i="2"/>
  <c r="AB1478" i="2" s="1"/>
  <c r="AA1479" i="2"/>
  <c r="AA1480" i="2"/>
  <c r="AA1481" i="2"/>
  <c r="AB1481" i="2" s="1"/>
  <c r="AA1482" i="2"/>
  <c r="AA1483" i="2"/>
  <c r="AA1484" i="2"/>
  <c r="AB1484" i="2" s="1"/>
  <c r="AA1485" i="2"/>
  <c r="AB1485" i="2" s="1"/>
  <c r="AA1486" i="2"/>
  <c r="AA1487" i="2"/>
  <c r="AA1488" i="2"/>
  <c r="AA1489" i="2"/>
  <c r="AB1489" i="2" s="1"/>
  <c r="AA1490" i="2"/>
  <c r="AB1490" i="2" s="1"/>
  <c r="AA1491" i="2"/>
  <c r="AA1492" i="2"/>
  <c r="AA1493" i="2"/>
  <c r="AB1493" i="2" s="1"/>
  <c r="AA1494" i="2"/>
  <c r="AA1495" i="2"/>
  <c r="AA1496" i="2"/>
  <c r="AB1496" i="2" s="1"/>
  <c r="AA1497" i="2"/>
  <c r="AB1497" i="2" s="1"/>
  <c r="AA1498" i="2"/>
  <c r="AA1499" i="2"/>
  <c r="AA1500" i="2"/>
  <c r="AA1501" i="2"/>
  <c r="AA1502" i="2"/>
  <c r="AB1502" i="2" s="1"/>
  <c r="AA1503" i="2"/>
  <c r="AA1504" i="2"/>
  <c r="AA1505" i="2"/>
  <c r="AB1505" i="2" s="1"/>
  <c r="AA1506" i="2"/>
  <c r="AA1507" i="2"/>
  <c r="AA1508" i="2"/>
  <c r="AA1509" i="2"/>
  <c r="AB1509" i="2" s="1"/>
  <c r="AA1510" i="2"/>
  <c r="AA1511" i="2"/>
  <c r="AA1512" i="2"/>
  <c r="AA1513" i="2"/>
  <c r="AB1513" i="2" s="1"/>
  <c r="AA1514" i="2"/>
  <c r="AB1514" i="2" s="1"/>
  <c r="AA1515" i="2"/>
  <c r="AA1516" i="2"/>
  <c r="AA1517" i="2"/>
  <c r="AB1517" i="2" s="1"/>
  <c r="AA1518" i="2"/>
  <c r="AA1519" i="2"/>
  <c r="AA1520" i="2"/>
  <c r="AA1521" i="2"/>
  <c r="AA1522" i="2"/>
  <c r="AA1523" i="2"/>
  <c r="AA1524" i="2"/>
  <c r="AA1525" i="2"/>
  <c r="AA1526" i="2"/>
  <c r="AB1526" i="2" s="1"/>
  <c r="AA1527" i="2"/>
  <c r="AA1528" i="2"/>
  <c r="AA1529" i="2"/>
  <c r="AB1529" i="2" s="1"/>
  <c r="AA1530" i="2"/>
  <c r="AA1531" i="2"/>
  <c r="AA1532" i="2"/>
  <c r="AB1532" i="2" s="1"/>
  <c r="AA1533" i="2"/>
  <c r="AB1533" i="2" s="1"/>
  <c r="AA1534" i="2"/>
  <c r="AA1535" i="2"/>
  <c r="AA1536" i="2"/>
  <c r="AA1537" i="2"/>
  <c r="AB1537" i="2" s="1"/>
  <c r="AA1538" i="2"/>
  <c r="AB1538" i="2" s="1"/>
  <c r="AA1539" i="2"/>
  <c r="AA1540" i="2"/>
  <c r="AA1541" i="2"/>
  <c r="AB1541" i="2" s="1"/>
  <c r="AA1542" i="2"/>
  <c r="AA1543" i="2"/>
  <c r="AA1544" i="2"/>
  <c r="AB1544" i="2" s="1"/>
  <c r="AA1545" i="2"/>
  <c r="AB1545" i="2" s="1"/>
  <c r="AA1546" i="2"/>
  <c r="AA1547" i="2"/>
  <c r="AA1548" i="2"/>
  <c r="AA1549" i="2"/>
  <c r="AB1549" i="2" s="1"/>
  <c r="AA1550" i="2"/>
  <c r="AB1550" i="2" s="1"/>
  <c r="AA1551" i="2"/>
  <c r="AA1552" i="2"/>
  <c r="AA1553" i="2"/>
  <c r="AB1553" i="2" s="1"/>
  <c r="AA1554" i="2"/>
  <c r="AA1555" i="2"/>
  <c r="AA1556" i="2"/>
  <c r="AB1556" i="2" s="1"/>
  <c r="AA1557" i="2"/>
  <c r="AB1557" i="2" s="1"/>
  <c r="AA1558" i="2"/>
  <c r="AA1559" i="2"/>
  <c r="AA1560" i="2"/>
  <c r="AA1561" i="2"/>
  <c r="AB1561" i="2" s="1"/>
  <c r="AA1562" i="2"/>
  <c r="AB1562" i="2" s="1"/>
  <c r="AA1563" i="2"/>
  <c r="AA1564" i="2"/>
  <c r="AA1565" i="2"/>
  <c r="AB1565" i="2" s="1"/>
  <c r="AA1566" i="2"/>
  <c r="AA1567" i="2"/>
  <c r="AA1568" i="2"/>
  <c r="AB1568" i="2" s="1"/>
  <c r="AA1569" i="2"/>
  <c r="AB1569" i="2" s="1"/>
  <c r="AA1570" i="2"/>
  <c r="AA1571" i="2"/>
  <c r="AA1572" i="2"/>
  <c r="AA1573" i="2"/>
  <c r="AA1574" i="2"/>
  <c r="AB1574" i="2" s="1"/>
  <c r="AA1575" i="2"/>
  <c r="AA1576" i="2"/>
  <c r="AA1577" i="2"/>
  <c r="AB1577" i="2" s="1"/>
  <c r="AA1578" i="2"/>
  <c r="AA1579" i="2"/>
  <c r="AA1580" i="2"/>
  <c r="AA1581" i="2"/>
  <c r="AB1581" i="2" s="1"/>
  <c r="AA1582" i="2"/>
  <c r="AA1583" i="2"/>
  <c r="AA1584" i="2"/>
  <c r="AA1585" i="2"/>
  <c r="AB1585" i="2" s="1"/>
  <c r="AA1586" i="2"/>
  <c r="AB1586" i="2" s="1"/>
  <c r="AA1587" i="2"/>
  <c r="AA1588" i="2"/>
  <c r="AA1589" i="2"/>
  <c r="AB1589" i="2" s="1"/>
  <c r="AA1590" i="2"/>
  <c r="AA1591" i="2"/>
  <c r="AA1592" i="2"/>
  <c r="AB1592" i="2" s="1"/>
  <c r="AA1593" i="2"/>
  <c r="AA1594" i="2"/>
  <c r="AA1595" i="2"/>
  <c r="AA1596" i="2"/>
  <c r="AA1597" i="2"/>
  <c r="AB1597" i="2" s="1"/>
  <c r="AA1598" i="2"/>
  <c r="AB1598" i="2" s="1"/>
  <c r="AA1599" i="2"/>
  <c r="AA1600" i="2"/>
  <c r="AA1601" i="2"/>
  <c r="AB1601" i="2" s="1"/>
  <c r="AA1602" i="2"/>
  <c r="AA1603" i="2"/>
  <c r="AA1604" i="2"/>
  <c r="AA1605" i="2"/>
  <c r="AB1605" i="2" s="1"/>
  <c r="AA1606" i="2"/>
  <c r="AA1607" i="2"/>
  <c r="AA1608" i="2"/>
  <c r="AA1609" i="2"/>
  <c r="AB1609" i="2" s="1"/>
  <c r="AA1610" i="2"/>
  <c r="AB1610" i="2" s="1"/>
  <c r="AA1611" i="2"/>
  <c r="AA1612" i="2"/>
  <c r="AA1613" i="2"/>
  <c r="AB1613" i="2" s="1"/>
  <c r="AA1614" i="2"/>
  <c r="AA1615" i="2"/>
  <c r="AA1616" i="2"/>
  <c r="AB1616" i="2" s="1"/>
  <c r="AA1617" i="2"/>
  <c r="AB1617" i="2" s="1"/>
  <c r="AA1618" i="2"/>
  <c r="AA1619" i="2"/>
  <c r="AA1620" i="2"/>
  <c r="AA1621" i="2"/>
  <c r="AB1621" i="2" s="1"/>
  <c r="AA1622" i="2"/>
  <c r="AB1622" i="2" s="1"/>
  <c r="AA1623" i="2"/>
  <c r="AA1624" i="2"/>
  <c r="AA1625" i="2"/>
  <c r="AB1625" i="2" s="1"/>
  <c r="AA1626" i="2"/>
  <c r="AA1627" i="2"/>
  <c r="AA1628" i="2"/>
  <c r="AA1629" i="2"/>
  <c r="AB1629" i="2" s="1"/>
  <c r="AA1630" i="2"/>
  <c r="AA1631" i="2"/>
  <c r="AA1632" i="2"/>
  <c r="AA1633" i="2"/>
  <c r="AB1633" i="2" s="1"/>
  <c r="AA1634" i="2"/>
  <c r="AB1634" i="2" s="1"/>
  <c r="AA1635" i="2"/>
  <c r="AA1636" i="2"/>
  <c r="AA1637" i="2"/>
  <c r="AB1637" i="2" s="1"/>
  <c r="AA1638" i="2"/>
  <c r="AA1639" i="2"/>
  <c r="AA1640" i="2"/>
  <c r="AB1640" i="2" s="1"/>
  <c r="AA1641" i="2"/>
  <c r="AB1641" i="2" s="1"/>
  <c r="AA1642" i="2"/>
  <c r="AA1643" i="2"/>
  <c r="AA1644" i="2"/>
  <c r="AA1645" i="2"/>
  <c r="AB1645" i="2" s="1"/>
  <c r="AA1646" i="2"/>
  <c r="AB1646" i="2" s="1"/>
  <c r="AA1647" i="2"/>
  <c r="AA1648" i="2"/>
  <c r="AA1649" i="2"/>
  <c r="AB1649" i="2" s="1"/>
  <c r="AA1650" i="2"/>
  <c r="AA1651" i="2"/>
  <c r="AA1652" i="2"/>
  <c r="AB1652" i="2" s="1"/>
  <c r="AA1653" i="2"/>
  <c r="AB1653" i="2" s="1"/>
  <c r="AA1654" i="2"/>
  <c r="AA1655" i="2"/>
  <c r="AA1656" i="2"/>
  <c r="AA1657" i="2"/>
  <c r="AB1657" i="2" s="1"/>
  <c r="AA1658" i="2"/>
  <c r="AB1658" i="2" s="1"/>
  <c r="AA1659" i="2"/>
  <c r="AA1660" i="2"/>
  <c r="AA1661" i="2"/>
  <c r="AB1661" i="2" s="1"/>
  <c r="AA1662" i="2"/>
  <c r="AA1663" i="2"/>
  <c r="AA1664" i="2"/>
  <c r="AA1665" i="2"/>
  <c r="AB1665" i="2" s="1"/>
  <c r="AA1666" i="2"/>
  <c r="AA1667" i="2"/>
  <c r="AA1668" i="2"/>
  <c r="AA1669" i="2"/>
  <c r="AB1669" i="2" s="1"/>
  <c r="AA1670" i="2"/>
  <c r="AB1670" i="2" s="1"/>
  <c r="AA1671" i="2"/>
  <c r="AA1672" i="2"/>
  <c r="AA1673" i="2"/>
  <c r="AB1673" i="2" s="1"/>
  <c r="AA1674" i="2"/>
  <c r="AA1675" i="2"/>
  <c r="AA1676" i="2"/>
  <c r="AA1677" i="2"/>
  <c r="AB1677" i="2" s="1"/>
  <c r="AA1678" i="2"/>
  <c r="AA1679" i="2"/>
  <c r="AA1680" i="2"/>
  <c r="AA1681" i="2"/>
  <c r="AB1681" i="2" s="1"/>
  <c r="AA1682" i="2"/>
  <c r="AB1682" i="2" s="1"/>
  <c r="AA1683" i="2"/>
  <c r="AA1684" i="2"/>
  <c r="AA1685" i="2"/>
  <c r="AB1685" i="2" s="1"/>
  <c r="AA1686" i="2"/>
  <c r="AA1687" i="2"/>
  <c r="AA1688" i="2"/>
  <c r="AB1688" i="2" s="1"/>
  <c r="AA1689" i="2"/>
  <c r="AB1689" i="2" s="1"/>
  <c r="AA1690" i="2"/>
  <c r="AA1691" i="2"/>
  <c r="AA1692" i="2"/>
  <c r="AA1693" i="2"/>
  <c r="AB1693" i="2" s="1"/>
  <c r="AA1694" i="2"/>
  <c r="AB1694" i="2" s="1"/>
  <c r="AA1695" i="2"/>
  <c r="AA1696" i="2"/>
  <c r="AA1697" i="2"/>
  <c r="AB1697" i="2" s="1"/>
  <c r="AA1698" i="2"/>
  <c r="AA1699" i="2"/>
  <c r="AA1700" i="2"/>
  <c r="AA1701" i="2"/>
  <c r="AB1701" i="2" s="1"/>
  <c r="AA1702" i="2"/>
  <c r="AA1703" i="2"/>
  <c r="AA1704" i="2"/>
  <c r="AA1705" i="2"/>
  <c r="AB1705" i="2" s="1"/>
  <c r="AA1706" i="2"/>
  <c r="AB1706" i="2" s="1"/>
  <c r="AA1707" i="2"/>
  <c r="AA1708" i="2"/>
  <c r="AA1709" i="2"/>
  <c r="AB1709" i="2" s="1"/>
  <c r="AA1710" i="2"/>
  <c r="AA1711" i="2"/>
  <c r="AA1712" i="2"/>
  <c r="AB1712" i="2" s="1"/>
  <c r="AA1713" i="2"/>
  <c r="AB1713" i="2" s="1"/>
  <c r="AA1714" i="2"/>
  <c r="AA1715" i="2"/>
  <c r="AA1716" i="2"/>
  <c r="AA1717" i="2"/>
  <c r="AB1717" i="2" s="1"/>
  <c r="AA1718" i="2"/>
  <c r="AB1718" i="2" s="1"/>
  <c r="AA1719" i="2"/>
  <c r="AA1720" i="2"/>
  <c r="AA1721" i="2"/>
  <c r="AB1721" i="2" s="1"/>
  <c r="AA1722" i="2"/>
  <c r="AA1723" i="2"/>
  <c r="AA1724" i="2"/>
  <c r="AB1724" i="2" s="1"/>
  <c r="AA1725" i="2"/>
  <c r="AB1725" i="2" s="1"/>
  <c r="AA1726" i="2"/>
  <c r="AA1727" i="2"/>
  <c r="AA1728" i="2"/>
  <c r="AA1729" i="2"/>
  <c r="AB1729" i="2" s="1"/>
  <c r="AA1730" i="2"/>
  <c r="AB1730" i="2" s="1"/>
  <c r="AA1731" i="2"/>
  <c r="AA1732" i="2"/>
  <c r="AA1733" i="2"/>
  <c r="AB1733" i="2" s="1"/>
  <c r="AA1734" i="2"/>
  <c r="AA1735" i="2"/>
  <c r="AA1736" i="2"/>
  <c r="AA1737" i="2"/>
  <c r="AB1737" i="2" s="1"/>
  <c r="AA1738" i="2"/>
  <c r="AA1739" i="2"/>
  <c r="AA1740" i="2"/>
  <c r="AA1741" i="2"/>
  <c r="AB1741" i="2" s="1"/>
  <c r="AA1742" i="2"/>
  <c r="AB1742" i="2" s="1"/>
  <c r="AA1743" i="2"/>
  <c r="AA1744" i="2"/>
  <c r="AA1745" i="2"/>
  <c r="AB1745" i="2" s="1"/>
  <c r="AA1746" i="2"/>
  <c r="AA1747" i="2"/>
  <c r="AA1748" i="2"/>
  <c r="AA1749" i="2"/>
  <c r="AB1749" i="2" s="1"/>
  <c r="AA1750" i="2"/>
  <c r="AA1751" i="2"/>
  <c r="AA1752" i="2"/>
  <c r="AA1753" i="2"/>
  <c r="AB1753" i="2" s="1"/>
  <c r="AA1754" i="2"/>
  <c r="AB1754" i="2" s="1"/>
  <c r="AA1755" i="2"/>
  <c r="AA1756" i="2"/>
  <c r="AA1757" i="2"/>
  <c r="AB1757" i="2" s="1"/>
  <c r="AA1758" i="2"/>
  <c r="AA1759" i="2"/>
  <c r="AA1760" i="2"/>
  <c r="AB1760" i="2" s="1"/>
  <c r="AA1761" i="2"/>
  <c r="AB1761" i="2" s="1"/>
  <c r="AA1762" i="2"/>
  <c r="AA1763" i="2"/>
  <c r="AA1764" i="2"/>
  <c r="AA1765" i="2"/>
  <c r="AB1765" i="2" s="1"/>
  <c r="AA1766" i="2"/>
  <c r="AB1766" i="2" s="1"/>
  <c r="AA1767" i="2"/>
  <c r="AA1768" i="2"/>
  <c r="AA1769" i="2"/>
  <c r="AB1769" i="2" s="1"/>
  <c r="AA1770" i="2"/>
  <c r="AA1771" i="2"/>
  <c r="AA1772" i="2"/>
  <c r="AA1773" i="2"/>
  <c r="AB1773" i="2" s="1"/>
  <c r="AA1774" i="2"/>
  <c r="AA1775" i="2"/>
  <c r="AA1776" i="2"/>
  <c r="AA1777" i="2"/>
  <c r="AB1777" i="2" s="1"/>
  <c r="AA1778" i="2"/>
  <c r="AB1778" i="2" s="1"/>
  <c r="AA1779" i="2"/>
  <c r="AA1780" i="2"/>
  <c r="AA1781" i="2"/>
  <c r="AB1781" i="2" s="1"/>
  <c r="AA1782" i="2"/>
  <c r="AA1783" i="2"/>
  <c r="AA1784" i="2"/>
  <c r="AB1784" i="2" s="1"/>
  <c r="AA1785" i="2"/>
  <c r="AB1785" i="2" s="1"/>
  <c r="AA1786" i="2"/>
  <c r="AA1787" i="2"/>
  <c r="AA1788" i="2"/>
  <c r="AA1789" i="2"/>
  <c r="AB1789" i="2" s="1"/>
  <c r="AA1790" i="2"/>
  <c r="AB1790" i="2" s="1"/>
  <c r="AA1791" i="2"/>
  <c r="AA1792" i="2"/>
  <c r="AA1793" i="2"/>
  <c r="AB1793" i="2" s="1"/>
  <c r="AA1794" i="2"/>
  <c r="AA1795" i="2"/>
  <c r="AA1796" i="2"/>
  <c r="AB1796" i="2" s="1"/>
  <c r="AA1797" i="2"/>
  <c r="AB1797" i="2" s="1"/>
  <c r="AA1798" i="2"/>
  <c r="AA1799" i="2"/>
  <c r="AA1800" i="2"/>
  <c r="AA1801" i="2"/>
  <c r="AB1801" i="2" s="1"/>
  <c r="AA1802" i="2"/>
  <c r="AB1802" i="2" s="1"/>
  <c r="AA1803" i="2"/>
  <c r="AA1804" i="2"/>
  <c r="AA1805" i="2"/>
  <c r="AB1805" i="2" s="1"/>
  <c r="AA1806" i="2"/>
  <c r="AA1807" i="2"/>
  <c r="AA1808" i="2"/>
  <c r="AA1809" i="2"/>
  <c r="AB1809" i="2" s="1"/>
  <c r="AA1810" i="2"/>
  <c r="AA1811" i="2"/>
  <c r="AA1812" i="2"/>
  <c r="AA1813" i="2"/>
  <c r="AB1813" i="2" s="1"/>
  <c r="AA1814" i="2"/>
  <c r="AB1814" i="2" s="1"/>
  <c r="AA1815" i="2"/>
  <c r="AA1816" i="2"/>
  <c r="AA1817" i="2"/>
  <c r="AB1817" i="2" s="1"/>
  <c r="AA1818" i="2"/>
  <c r="AA1819" i="2"/>
  <c r="AA1820" i="2"/>
  <c r="AA1821" i="2"/>
  <c r="AB1821" i="2" s="1"/>
  <c r="AA1822" i="2"/>
  <c r="AA1823" i="2"/>
  <c r="AA1824" i="2"/>
  <c r="AA1825" i="2"/>
  <c r="AB1825" i="2" s="1"/>
  <c r="AA1826" i="2"/>
  <c r="AB1826" i="2" s="1"/>
  <c r="AA1827" i="2"/>
  <c r="AA1828" i="2"/>
  <c r="AA1829" i="2"/>
  <c r="AB1829" i="2" s="1"/>
  <c r="AA1830" i="2"/>
  <c r="AA1831" i="2"/>
  <c r="AA1832" i="2"/>
  <c r="AB1832" i="2" s="1"/>
  <c r="AA1833" i="2"/>
  <c r="AB1833" i="2" s="1"/>
  <c r="AA1834" i="2"/>
  <c r="AA1835" i="2"/>
  <c r="AA1836" i="2"/>
  <c r="AA1837" i="2"/>
  <c r="AB1837" i="2" s="1"/>
  <c r="AA1838" i="2"/>
  <c r="AB1838" i="2" s="1"/>
  <c r="AA1839" i="2"/>
  <c r="AA1840" i="2"/>
  <c r="AA1841" i="2"/>
  <c r="AB1841" i="2" s="1"/>
  <c r="AA1842" i="2"/>
  <c r="AA1843" i="2"/>
  <c r="AA1844" i="2"/>
  <c r="AA1845" i="2"/>
  <c r="AB1845" i="2" s="1"/>
  <c r="AA1846" i="2"/>
  <c r="AA1847" i="2"/>
  <c r="AA1848" i="2"/>
  <c r="AA1849" i="2"/>
  <c r="AB1849" i="2" s="1"/>
  <c r="AA1850" i="2"/>
  <c r="AB1850" i="2" s="1"/>
  <c r="AA1851" i="2"/>
  <c r="AA1852" i="2"/>
  <c r="AA1853" i="2"/>
  <c r="AB1853" i="2" s="1"/>
  <c r="AA1854" i="2"/>
  <c r="AA1855" i="2"/>
  <c r="AA1856" i="2"/>
  <c r="AB1856" i="2" s="1"/>
  <c r="AA1857" i="2"/>
  <c r="AB1857" i="2" s="1"/>
  <c r="AA1858" i="2"/>
  <c r="AA1859" i="2"/>
  <c r="AA1860" i="2"/>
  <c r="AA1861" i="2"/>
  <c r="AB1861" i="2" s="1"/>
  <c r="AA1862" i="2"/>
  <c r="AB1862" i="2" s="1"/>
  <c r="AA1863" i="2"/>
  <c r="AA1864" i="2"/>
  <c r="AA1865" i="2"/>
  <c r="AB1865" i="2" s="1"/>
  <c r="AA1866" i="2"/>
  <c r="AA1867" i="2"/>
  <c r="AA1868" i="2"/>
  <c r="AB1868" i="2" s="1"/>
  <c r="AA1869" i="2"/>
  <c r="AB1869" i="2" s="1"/>
  <c r="AA1870" i="2"/>
  <c r="AA1871" i="2"/>
  <c r="AA1872" i="2"/>
  <c r="AA1873" i="2"/>
  <c r="AB1873" i="2" s="1"/>
  <c r="AA1874" i="2"/>
  <c r="AB1874" i="2" s="1"/>
  <c r="AA1875" i="2"/>
  <c r="AA1876" i="2"/>
  <c r="AA1877" i="2"/>
  <c r="AB1877" i="2" s="1"/>
  <c r="AA1878" i="2"/>
  <c r="AA1879" i="2"/>
  <c r="AA1880" i="2"/>
  <c r="AA1881" i="2"/>
  <c r="AB1881" i="2" s="1"/>
  <c r="AA1882" i="2"/>
  <c r="AA1883" i="2"/>
  <c r="AA1884" i="2"/>
  <c r="AA1885" i="2"/>
  <c r="AB1885" i="2" s="1"/>
  <c r="AA1886" i="2"/>
  <c r="AB1886" i="2" s="1"/>
  <c r="AA1887" i="2"/>
  <c r="AA1888" i="2"/>
  <c r="AA1889" i="2"/>
  <c r="AB1889" i="2" s="1"/>
  <c r="AA1890" i="2"/>
  <c r="AA1891" i="2"/>
  <c r="AA1892" i="2"/>
  <c r="AA1893" i="2"/>
  <c r="AB1893" i="2" s="1"/>
  <c r="AA3" i="2"/>
  <c r="AD5" i="2"/>
  <c r="AD6" i="2"/>
  <c r="AD7" i="2"/>
  <c r="AD9" i="2"/>
  <c r="AD10" i="2"/>
  <c r="AD11" i="2"/>
  <c r="AD12" i="2"/>
  <c r="AD13" i="2"/>
  <c r="AD15" i="2"/>
  <c r="AD17" i="2"/>
  <c r="AD18" i="2"/>
  <c r="AD19" i="2"/>
  <c r="AD21" i="2"/>
  <c r="AD22" i="2"/>
  <c r="AD23" i="2"/>
  <c r="AD25" i="2"/>
  <c r="AD27" i="2"/>
  <c r="AD28" i="2"/>
  <c r="AD29" i="2"/>
  <c r="AD30" i="2"/>
  <c r="AD31" i="2"/>
  <c r="AD32" i="2"/>
  <c r="AD33" i="2"/>
  <c r="AD34" i="2"/>
  <c r="AD35" i="2"/>
  <c r="AD37" i="2"/>
  <c r="AD39" i="2"/>
  <c r="AD40" i="2"/>
  <c r="AD41" i="2"/>
  <c r="AD42" i="2"/>
  <c r="AD43" i="2"/>
  <c r="AD45" i="2"/>
  <c r="AD46" i="2"/>
  <c r="AD47" i="2"/>
  <c r="AD49" i="2"/>
  <c r="AD51" i="2"/>
  <c r="AD53" i="2"/>
  <c r="AD54" i="2"/>
  <c r="AD55" i="2"/>
  <c r="AD57" i="2"/>
  <c r="AD58" i="2"/>
  <c r="AD59" i="2"/>
  <c r="AD61" i="2"/>
  <c r="AD63" i="2"/>
  <c r="AD65" i="2"/>
  <c r="AD66" i="2"/>
  <c r="AD67" i="2"/>
  <c r="AD69" i="2"/>
  <c r="AD70" i="2"/>
  <c r="AD71" i="2"/>
  <c r="AD72" i="2"/>
  <c r="AD73" i="2"/>
  <c r="AD75" i="2"/>
  <c r="AD77" i="2"/>
  <c r="AD78" i="2"/>
  <c r="AD79" i="2"/>
  <c r="AD81" i="2"/>
  <c r="AD82" i="2"/>
  <c r="AD83" i="2"/>
  <c r="AD85" i="2"/>
  <c r="AD87" i="2"/>
  <c r="AD89" i="2"/>
  <c r="AD90" i="2"/>
  <c r="AD91" i="2"/>
  <c r="AD93" i="2"/>
  <c r="AD94" i="2"/>
  <c r="AD95" i="2"/>
  <c r="AD97" i="2"/>
  <c r="AD99" i="2"/>
  <c r="AD101" i="2"/>
  <c r="AD102" i="2"/>
  <c r="AD103" i="2"/>
  <c r="AD105" i="2"/>
  <c r="AD106" i="2"/>
  <c r="AD107" i="2"/>
  <c r="AD109" i="2"/>
  <c r="AD111" i="2"/>
  <c r="AD112" i="2"/>
  <c r="AD113" i="2"/>
  <c r="AD114" i="2"/>
  <c r="AD115" i="2"/>
  <c r="AD117" i="2"/>
  <c r="AD118" i="2"/>
  <c r="AD119" i="2"/>
  <c r="AD121" i="2"/>
  <c r="AD123" i="2"/>
  <c r="AD124" i="2"/>
  <c r="AD125" i="2"/>
  <c r="AD126" i="2"/>
  <c r="AD127" i="2"/>
  <c r="AD129" i="2"/>
  <c r="AD130" i="2"/>
  <c r="AD131" i="2"/>
  <c r="AD133" i="2"/>
  <c r="AD135" i="2"/>
  <c r="AD137" i="2"/>
  <c r="AD138" i="2"/>
  <c r="AD139" i="2"/>
  <c r="AD141" i="2"/>
  <c r="AD142" i="2"/>
  <c r="AD143" i="2"/>
  <c r="AD145" i="2"/>
  <c r="AD147" i="2"/>
  <c r="AD149" i="2"/>
  <c r="AD150" i="2"/>
  <c r="AD151" i="2"/>
  <c r="AD153" i="2"/>
  <c r="AD154" i="2"/>
  <c r="AD155" i="2"/>
  <c r="AD157" i="2"/>
  <c r="AD159" i="2"/>
  <c r="AD161" i="2"/>
  <c r="AD162" i="2"/>
  <c r="AD163" i="2"/>
  <c r="AD164" i="2"/>
  <c r="AD165" i="2"/>
  <c r="AD166" i="2"/>
  <c r="AD167" i="2"/>
  <c r="AD169" i="2"/>
  <c r="AD171" i="2"/>
  <c r="AD172" i="2"/>
  <c r="AD173" i="2"/>
  <c r="AD174" i="2"/>
  <c r="AD175" i="2"/>
  <c r="AD176" i="2"/>
  <c r="AD177" i="2"/>
  <c r="AD178" i="2"/>
  <c r="AD179" i="2"/>
  <c r="AD181" i="2"/>
  <c r="AD183" i="2"/>
  <c r="AD184" i="2"/>
  <c r="AD185" i="2"/>
  <c r="AD186" i="2"/>
  <c r="AD187" i="2"/>
  <c r="AD189" i="2"/>
  <c r="AD190" i="2"/>
  <c r="AD191" i="2"/>
  <c r="AD192" i="2"/>
  <c r="AD193" i="2"/>
  <c r="AD195" i="2"/>
  <c r="AD197" i="2"/>
  <c r="AD198" i="2"/>
  <c r="AD199" i="2"/>
  <c r="AD201" i="2"/>
  <c r="AD202" i="2"/>
  <c r="AD203" i="2"/>
  <c r="AD205" i="2"/>
  <c r="AD207" i="2"/>
  <c r="AD209" i="2"/>
  <c r="AD210" i="2"/>
  <c r="AD211" i="2"/>
  <c r="AD213" i="2"/>
  <c r="AD214" i="2"/>
  <c r="AD215" i="2"/>
  <c r="AD217" i="2"/>
  <c r="AD219" i="2"/>
  <c r="AD221" i="2"/>
  <c r="AD222" i="2"/>
  <c r="AD223" i="2"/>
  <c r="AD225" i="2"/>
  <c r="AD226" i="2"/>
  <c r="AD227" i="2"/>
  <c r="AD229" i="2"/>
  <c r="AD231" i="2"/>
  <c r="AD233" i="2"/>
  <c r="AD234" i="2"/>
  <c r="AD235" i="2"/>
  <c r="AD236" i="2"/>
  <c r="AD237" i="2"/>
  <c r="AD238" i="2"/>
  <c r="AD239" i="2"/>
  <c r="AD241" i="2"/>
  <c r="AD243" i="2"/>
  <c r="AD245" i="2"/>
  <c r="AD246" i="2"/>
  <c r="AD247" i="2"/>
  <c r="AD249" i="2"/>
  <c r="AD250" i="2"/>
  <c r="AD251" i="2"/>
  <c r="AD253" i="2"/>
  <c r="AD255" i="2"/>
  <c r="AD256" i="2"/>
  <c r="AD257" i="2"/>
  <c r="AD258" i="2"/>
  <c r="AD259" i="2"/>
  <c r="AD261" i="2"/>
  <c r="AD262" i="2"/>
  <c r="AD263" i="2"/>
  <c r="AD265" i="2"/>
  <c r="AD267" i="2"/>
  <c r="AD269" i="2"/>
  <c r="AD270" i="2"/>
  <c r="AD271" i="2"/>
  <c r="AD273" i="2"/>
  <c r="AD274" i="2"/>
  <c r="AD275" i="2"/>
  <c r="AD277" i="2"/>
  <c r="AD279" i="2"/>
  <c r="AD281" i="2"/>
  <c r="AD282" i="2"/>
  <c r="AD283" i="2"/>
  <c r="AD285" i="2"/>
  <c r="AD286" i="2"/>
  <c r="AD287" i="2"/>
  <c r="AD289" i="2"/>
  <c r="AD291" i="2"/>
  <c r="AD293" i="2"/>
  <c r="AD294" i="2"/>
  <c r="AD295" i="2"/>
  <c r="AD297" i="2"/>
  <c r="AD298" i="2"/>
  <c r="AD299" i="2"/>
  <c r="AD301" i="2"/>
  <c r="AD303" i="2"/>
  <c r="AD305" i="2"/>
  <c r="AD306" i="2"/>
  <c r="AD307" i="2"/>
  <c r="AD309" i="2"/>
  <c r="AD310" i="2"/>
  <c r="AD311" i="2"/>
  <c r="AD313" i="2"/>
  <c r="AD315" i="2"/>
  <c r="AD317" i="2"/>
  <c r="AD318" i="2"/>
  <c r="AD319" i="2"/>
  <c r="AD320" i="2"/>
  <c r="AD321" i="2"/>
  <c r="AD322" i="2"/>
  <c r="AD323" i="2"/>
  <c r="AD325" i="2"/>
  <c r="AD327" i="2"/>
  <c r="AD328" i="2"/>
  <c r="AD329" i="2"/>
  <c r="AD330" i="2"/>
  <c r="AD331" i="2"/>
  <c r="AD333" i="2"/>
  <c r="AD334" i="2"/>
  <c r="AD335" i="2"/>
  <c r="AD337" i="2"/>
  <c r="AD339" i="2"/>
  <c r="AD341" i="2"/>
  <c r="AD342" i="2"/>
  <c r="AD343" i="2"/>
  <c r="AD345" i="2"/>
  <c r="AD346" i="2"/>
  <c r="AD347" i="2"/>
  <c r="AD349" i="2"/>
  <c r="AD351" i="2"/>
  <c r="AD353" i="2"/>
  <c r="AD354" i="2"/>
  <c r="AD355" i="2"/>
  <c r="AD357" i="2"/>
  <c r="AD358" i="2"/>
  <c r="AD359" i="2"/>
  <c r="AD361" i="2"/>
  <c r="AD363" i="2"/>
  <c r="AD365" i="2"/>
  <c r="AD366" i="2"/>
  <c r="AD367" i="2"/>
  <c r="AD368" i="2"/>
  <c r="AD369" i="2"/>
  <c r="AD370" i="2"/>
  <c r="AD371" i="2"/>
  <c r="AD373" i="2"/>
  <c r="AD375" i="2"/>
  <c r="AD376" i="2"/>
  <c r="AD377" i="2"/>
  <c r="AD378" i="2"/>
  <c r="AD379" i="2"/>
  <c r="AD381" i="2"/>
  <c r="AD382" i="2"/>
  <c r="AD383" i="2"/>
  <c r="AD385" i="2"/>
  <c r="AD387" i="2"/>
  <c r="AD389" i="2"/>
  <c r="AD390" i="2"/>
  <c r="AD391" i="2"/>
  <c r="AD393" i="2"/>
  <c r="AD394" i="2"/>
  <c r="AD395" i="2"/>
  <c r="AD397" i="2"/>
  <c r="AD399" i="2"/>
  <c r="AD401" i="2"/>
  <c r="AD402" i="2"/>
  <c r="AD403" i="2"/>
  <c r="AD405" i="2"/>
  <c r="AD406" i="2"/>
  <c r="AD407" i="2"/>
  <c r="AD408" i="2"/>
  <c r="AD409" i="2"/>
  <c r="AD411" i="2"/>
  <c r="AD413" i="2"/>
  <c r="AD414" i="2"/>
  <c r="AD415" i="2"/>
  <c r="AD417" i="2"/>
  <c r="AD418" i="2"/>
  <c r="AD419" i="2"/>
  <c r="AD421" i="2"/>
  <c r="AD423" i="2"/>
  <c r="AD425" i="2"/>
  <c r="AD426" i="2"/>
  <c r="AD427" i="2"/>
  <c r="AD429" i="2"/>
  <c r="AD430" i="2"/>
  <c r="AD431" i="2"/>
  <c r="AD433" i="2"/>
  <c r="AD435" i="2"/>
  <c r="AD437" i="2"/>
  <c r="AD438" i="2"/>
  <c r="AD439" i="2"/>
  <c r="AD441" i="2"/>
  <c r="AD442" i="2"/>
  <c r="AD443" i="2"/>
  <c r="AD445" i="2"/>
  <c r="AD447" i="2"/>
  <c r="AD449" i="2"/>
  <c r="AD450" i="2"/>
  <c r="AD451" i="2"/>
  <c r="AD453" i="2"/>
  <c r="AD454" i="2"/>
  <c r="AD455" i="2"/>
  <c r="AD456" i="2"/>
  <c r="AD457" i="2"/>
  <c r="AD459" i="2"/>
  <c r="AD460" i="2"/>
  <c r="AD461" i="2"/>
  <c r="AD462" i="2"/>
  <c r="AD463" i="2"/>
  <c r="AD465" i="2"/>
  <c r="AD466" i="2"/>
  <c r="AD467" i="2"/>
  <c r="AD469" i="2"/>
  <c r="AD471" i="2"/>
  <c r="AD473" i="2"/>
  <c r="AD474" i="2"/>
  <c r="AD475" i="2"/>
  <c r="AD477" i="2"/>
  <c r="AD478" i="2"/>
  <c r="AD479" i="2"/>
  <c r="AD481" i="2"/>
  <c r="AD483" i="2"/>
  <c r="AD485" i="2"/>
  <c r="AD486" i="2"/>
  <c r="AD487" i="2"/>
  <c r="AD489" i="2"/>
  <c r="AD490" i="2"/>
  <c r="AD491" i="2"/>
  <c r="AD493" i="2"/>
  <c r="AD497" i="2"/>
  <c r="AD498" i="2"/>
  <c r="AD499" i="2"/>
  <c r="AD501" i="2"/>
  <c r="AD502" i="2"/>
  <c r="AD503" i="2"/>
  <c r="AD504" i="2"/>
  <c r="AD505" i="2"/>
  <c r="AD509" i="2"/>
  <c r="AD510" i="2"/>
  <c r="AD511" i="2"/>
  <c r="AD513" i="2"/>
  <c r="AD514" i="2"/>
  <c r="AD515" i="2"/>
  <c r="AD517" i="2"/>
  <c r="AD520" i="2"/>
  <c r="AD521" i="2"/>
  <c r="AD522" i="2"/>
  <c r="AD523" i="2"/>
  <c r="AD525" i="2"/>
  <c r="AD526" i="2"/>
  <c r="AD527" i="2"/>
  <c r="AD529" i="2"/>
  <c r="AD533" i="2"/>
  <c r="AD534" i="2"/>
  <c r="AD535" i="2"/>
  <c r="AD537" i="2"/>
  <c r="AD538" i="2"/>
  <c r="AD539" i="2"/>
  <c r="AD541" i="2"/>
  <c r="AD545" i="2"/>
  <c r="AD546" i="2"/>
  <c r="AD547" i="2"/>
  <c r="AD549" i="2"/>
  <c r="AD550" i="2"/>
  <c r="AD551" i="2"/>
  <c r="AD553" i="2"/>
  <c r="AD557" i="2"/>
  <c r="AD558" i="2"/>
  <c r="AD559" i="2"/>
  <c r="AD561" i="2"/>
  <c r="AD562" i="2"/>
  <c r="AD563" i="2"/>
  <c r="AD565" i="2"/>
  <c r="AD569" i="2"/>
  <c r="AD570" i="2"/>
  <c r="AD571" i="2"/>
  <c r="AD573" i="2"/>
  <c r="AD574" i="2"/>
  <c r="AD575" i="2"/>
  <c r="AD577" i="2"/>
  <c r="AD579" i="2"/>
  <c r="AD581" i="2"/>
  <c r="AD582" i="2"/>
  <c r="AD583" i="2"/>
  <c r="AD584" i="2"/>
  <c r="AD585" i="2"/>
  <c r="AD586" i="2"/>
  <c r="AD587" i="2"/>
  <c r="AD589" i="2"/>
  <c r="AD592" i="2"/>
  <c r="AD593" i="2"/>
  <c r="AD594" i="2"/>
  <c r="AD595" i="2"/>
  <c r="AD597" i="2"/>
  <c r="AD598" i="2"/>
  <c r="AD599" i="2"/>
  <c r="AD601" i="2"/>
  <c r="AD603" i="2"/>
  <c r="AD605" i="2"/>
  <c r="AD606" i="2"/>
  <c r="AD607" i="2"/>
  <c r="AD609" i="2"/>
  <c r="AD610" i="2"/>
  <c r="AD611" i="2"/>
  <c r="AD613" i="2"/>
  <c r="AD615" i="2"/>
  <c r="AD617" i="2"/>
  <c r="AD618" i="2"/>
  <c r="AD619" i="2"/>
  <c r="AD620" i="2"/>
  <c r="AD621" i="2"/>
  <c r="AD622" i="2"/>
  <c r="AD623" i="2"/>
  <c r="AD625" i="2"/>
  <c r="AD627" i="2"/>
  <c r="AD629" i="2"/>
  <c r="AD630" i="2"/>
  <c r="AD631" i="2"/>
  <c r="AD633" i="2"/>
  <c r="AD634" i="2"/>
  <c r="AD635" i="2"/>
  <c r="AD636" i="2"/>
  <c r="AD637" i="2"/>
  <c r="AD641" i="2"/>
  <c r="AD642" i="2"/>
  <c r="AD643" i="2"/>
  <c r="AD644" i="2"/>
  <c r="AD645" i="2"/>
  <c r="AD646" i="2"/>
  <c r="AD647" i="2"/>
  <c r="AD649" i="2"/>
  <c r="AD652" i="2"/>
  <c r="AD653" i="2"/>
  <c r="AD654" i="2"/>
  <c r="AD655" i="2"/>
  <c r="AD657" i="2"/>
  <c r="AD658" i="2"/>
  <c r="AD659" i="2"/>
  <c r="AD661" i="2"/>
  <c r="AD665" i="2"/>
  <c r="AD666" i="2"/>
  <c r="AD667" i="2"/>
  <c r="AD668" i="2"/>
  <c r="AD669" i="2"/>
  <c r="AD670" i="2"/>
  <c r="AD671" i="2"/>
  <c r="AD673" i="2"/>
  <c r="AD677" i="2"/>
  <c r="AD678" i="2"/>
  <c r="AD679" i="2"/>
  <c r="AD681" i="2"/>
  <c r="AD682" i="2"/>
  <c r="AD683" i="2"/>
  <c r="AD685" i="2"/>
  <c r="AD689" i="2"/>
  <c r="AD690" i="2"/>
  <c r="AD691" i="2"/>
  <c r="AD693" i="2"/>
  <c r="AD694" i="2"/>
  <c r="AD695" i="2"/>
  <c r="AD697" i="2"/>
  <c r="AD701" i="2"/>
  <c r="AD702" i="2"/>
  <c r="AD703" i="2"/>
  <c r="AD705" i="2"/>
  <c r="AD706" i="2"/>
  <c r="AD707" i="2"/>
  <c r="AD709" i="2"/>
  <c r="AD713" i="2"/>
  <c r="AD714" i="2"/>
  <c r="AD715" i="2"/>
  <c r="AD716" i="2"/>
  <c r="AD717" i="2"/>
  <c r="AD718" i="2"/>
  <c r="AD719" i="2"/>
  <c r="AD720" i="2"/>
  <c r="AD721" i="2"/>
  <c r="AD724" i="2"/>
  <c r="AD725" i="2"/>
  <c r="AD726" i="2"/>
  <c r="AD727" i="2"/>
  <c r="AD729" i="2"/>
  <c r="AD730" i="2"/>
  <c r="AD731" i="2"/>
  <c r="AD733" i="2"/>
  <c r="AD737" i="2"/>
  <c r="AD738" i="2"/>
  <c r="AD739" i="2"/>
  <c r="AD740" i="2"/>
  <c r="AD741" i="2"/>
  <c r="AD742" i="2"/>
  <c r="AD743" i="2"/>
  <c r="AD745" i="2"/>
  <c r="AD747" i="2"/>
  <c r="AD749" i="2"/>
  <c r="AD750" i="2"/>
  <c r="AD751" i="2"/>
  <c r="AD753" i="2"/>
  <c r="AD754" i="2"/>
  <c r="AD755" i="2"/>
  <c r="AD757" i="2"/>
  <c r="AD759" i="2"/>
  <c r="AD761" i="2"/>
  <c r="AD762" i="2"/>
  <c r="AD763" i="2"/>
  <c r="AD765" i="2"/>
  <c r="AD766" i="2"/>
  <c r="AD767" i="2"/>
  <c r="AD768" i="2"/>
  <c r="AD769" i="2"/>
  <c r="AD773" i="2"/>
  <c r="AD774" i="2"/>
  <c r="AD775" i="2"/>
  <c r="AD777" i="2"/>
  <c r="AD778" i="2"/>
  <c r="AD779" i="2"/>
  <c r="AD781" i="2"/>
  <c r="AD784" i="2"/>
  <c r="AD785" i="2"/>
  <c r="AD786" i="2"/>
  <c r="AD787" i="2"/>
  <c r="AD789" i="2"/>
  <c r="AD790" i="2"/>
  <c r="AD791" i="2"/>
  <c r="AD793" i="2"/>
  <c r="AD797" i="2"/>
  <c r="AD798" i="2"/>
  <c r="AD799" i="2"/>
  <c r="AD801" i="2"/>
  <c r="AD802" i="2"/>
  <c r="AD803" i="2"/>
  <c r="AD805" i="2"/>
  <c r="AD809" i="2"/>
  <c r="AD810" i="2"/>
  <c r="AD811" i="2"/>
  <c r="AD813" i="2"/>
  <c r="AD814" i="2"/>
  <c r="AD815" i="2"/>
  <c r="AD817" i="2"/>
  <c r="AD821" i="2"/>
  <c r="AD822" i="2"/>
  <c r="AD823" i="2"/>
  <c r="AD825" i="2"/>
  <c r="AD826" i="2"/>
  <c r="AD827" i="2"/>
  <c r="AD829" i="2"/>
  <c r="AD833" i="2"/>
  <c r="AD834" i="2"/>
  <c r="AD835" i="2"/>
  <c r="AD836" i="2"/>
  <c r="AD837" i="2"/>
  <c r="AD838" i="2"/>
  <c r="AD839" i="2"/>
  <c r="AD841" i="2"/>
  <c r="AD844" i="2"/>
  <c r="AD845" i="2"/>
  <c r="AD846" i="2"/>
  <c r="AD847" i="2"/>
  <c r="AD849" i="2"/>
  <c r="AD850" i="2"/>
  <c r="AD851" i="2"/>
  <c r="AD853" i="2"/>
  <c r="AD857" i="2"/>
  <c r="AD858" i="2"/>
  <c r="AD859" i="2"/>
  <c r="AD861" i="2"/>
  <c r="AD862" i="2"/>
  <c r="AD863" i="2"/>
  <c r="AD865" i="2"/>
  <c r="AD869" i="2"/>
  <c r="AD870" i="2"/>
  <c r="AD871" i="2"/>
  <c r="AD873" i="2"/>
  <c r="AD874" i="2"/>
  <c r="AD875" i="2"/>
  <c r="AD877" i="2"/>
  <c r="AD880" i="2"/>
  <c r="AD881" i="2"/>
  <c r="AD882" i="2"/>
  <c r="AD883" i="2"/>
  <c r="AD885" i="2"/>
  <c r="AD886" i="2"/>
  <c r="AD887" i="2"/>
  <c r="AD888" i="2"/>
  <c r="AD889" i="2"/>
  <c r="AD891" i="2"/>
  <c r="AD893" i="2"/>
  <c r="AD894" i="2"/>
  <c r="AD895" i="2"/>
  <c r="AD897" i="2"/>
  <c r="AD898" i="2"/>
  <c r="AD899" i="2"/>
  <c r="AD901" i="2"/>
  <c r="AD903" i="2"/>
  <c r="AD905" i="2"/>
  <c r="AD906" i="2"/>
  <c r="AD907" i="2"/>
  <c r="AD908" i="2"/>
  <c r="AD909" i="2"/>
  <c r="AD910" i="2"/>
  <c r="AD911" i="2"/>
  <c r="AD913" i="2"/>
  <c r="AD917" i="2"/>
  <c r="AD918" i="2"/>
  <c r="AD919" i="2"/>
  <c r="AD921" i="2"/>
  <c r="AD922" i="2"/>
  <c r="AD923" i="2"/>
  <c r="AD925" i="2"/>
  <c r="AD929" i="2"/>
  <c r="AD930" i="2"/>
  <c r="AD931" i="2"/>
  <c r="AD933" i="2"/>
  <c r="AD934" i="2"/>
  <c r="AD935" i="2"/>
  <c r="AD937" i="2"/>
  <c r="AD940" i="2"/>
  <c r="AD941" i="2"/>
  <c r="AD942" i="2"/>
  <c r="AD943" i="2"/>
  <c r="AD944" i="2"/>
  <c r="AD945" i="2"/>
  <c r="AD946" i="2"/>
  <c r="AD947" i="2"/>
  <c r="AD949" i="2"/>
  <c r="AD953" i="2"/>
  <c r="AD954" i="2"/>
  <c r="AD955" i="2"/>
  <c r="AD957" i="2"/>
  <c r="AD958" i="2"/>
  <c r="AD959" i="2"/>
  <c r="AD961" i="2"/>
  <c r="AD965" i="2"/>
  <c r="AD966" i="2"/>
  <c r="AD967" i="2"/>
  <c r="AD968" i="2"/>
  <c r="AD969" i="2"/>
  <c r="AD970" i="2"/>
  <c r="AD971" i="2"/>
  <c r="AD973" i="2"/>
  <c r="AD977" i="2"/>
  <c r="AD978" i="2"/>
  <c r="AD979" i="2"/>
  <c r="AD981" i="2"/>
  <c r="AD982" i="2"/>
  <c r="AD983" i="2"/>
  <c r="AD985" i="2"/>
  <c r="AD989" i="2"/>
  <c r="AD990" i="2"/>
  <c r="AD991" i="2"/>
  <c r="AD993" i="2"/>
  <c r="AD994" i="2"/>
  <c r="AD995" i="2"/>
  <c r="AD997" i="2"/>
  <c r="AD1001" i="2"/>
  <c r="AD1002" i="2"/>
  <c r="AD1003" i="2"/>
  <c r="AD1005" i="2"/>
  <c r="AD1006" i="2"/>
  <c r="AD1007" i="2"/>
  <c r="AD1009" i="2"/>
  <c r="AD1013" i="2"/>
  <c r="AD1014" i="2"/>
  <c r="AD1015" i="2"/>
  <c r="AD1017" i="2"/>
  <c r="AD1018" i="2"/>
  <c r="AD1019" i="2"/>
  <c r="AD1021" i="2"/>
  <c r="AD1025" i="2"/>
  <c r="AD1026" i="2"/>
  <c r="AD1027" i="2"/>
  <c r="AD1028" i="2"/>
  <c r="AD1029" i="2"/>
  <c r="AD1030" i="2"/>
  <c r="AD1031" i="2"/>
  <c r="AD1033" i="2"/>
  <c r="AD1034" i="2"/>
  <c r="AD1037" i="2"/>
  <c r="AD1038" i="2"/>
  <c r="AD1039" i="2"/>
  <c r="AD1040" i="2"/>
  <c r="AD1041" i="2"/>
  <c r="AD1042" i="2"/>
  <c r="AD1043" i="2"/>
  <c r="AD1045" i="2"/>
  <c r="AD1046" i="2"/>
  <c r="AD1048" i="2"/>
  <c r="AD1049" i="2"/>
  <c r="AD1050" i="2"/>
  <c r="AD1051" i="2"/>
  <c r="AD1053" i="2"/>
  <c r="AD1054" i="2"/>
  <c r="AD1055" i="2"/>
  <c r="AD1057" i="2"/>
  <c r="AD1058" i="2"/>
  <c r="AD1061" i="2"/>
  <c r="AD1062" i="2"/>
  <c r="AD1063" i="2"/>
  <c r="AD1065" i="2"/>
  <c r="AD1066" i="2"/>
  <c r="AD1067" i="2"/>
  <c r="AD1068" i="2"/>
  <c r="AD1069" i="2"/>
  <c r="AD1070" i="2"/>
  <c r="AD1073" i="2"/>
  <c r="AD1074" i="2"/>
  <c r="AD1075" i="2"/>
  <c r="AD1077" i="2"/>
  <c r="AD1078" i="2"/>
  <c r="AD1079" i="2"/>
  <c r="AD1081" i="2"/>
  <c r="AD1082" i="2"/>
  <c r="AD1085" i="2"/>
  <c r="AD1086" i="2"/>
  <c r="AD1087" i="2"/>
  <c r="AD1088" i="2"/>
  <c r="AD1089" i="2"/>
  <c r="AD1090" i="2"/>
  <c r="AD1091" i="2"/>
  <c r="AD1093" i="2"/>
  <c r="AD1094" i="2"/>
  <c r="AD1097" i="2"/>
  <c r="AD1098" i="2"/>
  <c r="AD1099" i="2"/>
  <c r="AD1101" i="2"/>
  <c r="AD1102" i="2"/>
  <c r="AD1103" i="2"/>
  <c r="AD1105" i="2"/>
  <c r="AD1106" i="2"/>
  <c r="AD1108" i="2"/>
  <c r="AD1109" i="2"/>
  <c r="AD1110" i="2"/>
  <c r="AD1111" i="2"/>
  <c r="AD1113" i="2"/>
  <c r="AD1114" i="2"/>
  <c r="AD1115" i="2"/>
  <c r="AD1117" i="2"/>
  <c r="AD1118" i="2"/>
  <c r="AD1121" i="2"/>
  <c r="AD1122" i="2"/>
  <c r="AD1123" i="2"/>
  <c r="AD1125" i="2"/>
  <c r="AD1126" i="2"/>
  <c r="AD1127" i="2"/>
  <c r="AD1129" i="2"/>
  <c r="AD1130" i="2"/>
  <c r="AD1133" i="2"/>
  <c r="AD1134" i="2"/>
  <c r="AD1135" i="2"/>
  <c r="AD1137" i="2"/>
  <c r="AD1138" i="2"/>
  <c r="AD1139" i="2"/>
  <c r="AD1141" i="2"/>
  <c r="AD1142" i="2"/>
  <c r="AD1145" i="2"/>
  <c r="AD1146" i="2"/>
  <c r="AD1147" i="2"/>
  <c r="AD1148" i="2"/>
  <c r="AD1149" i="2"/>
  <c r="AD1150" i="2"/>
  <c r="AD1151" i="2"/>
  <c r="AD1153" i="2"/>
  <c r="AD1154" i="2"/>
  <c r="AD1157" i="2"/>
  <c r="AD1158" i="2"/>
  <c r="AD1159" i="2"/>
  <c r="AD1160" i="2"/>
  <c r="AD1161" i="2"/>
  <c r="AD1162" i="2"/>
  <c r="AD1163" i="2"/>
  <c r="AD1165" i="2"/>
  <c r="AD1166" i="2"/>
  <c r="AD1168" i="2"/>
  <c r="AD1169" i="2"/>
  <c r="AD1170" i="2"/>
  <c r="AD1171" i="2"/>
  <c r="AD1173" i="2"/>
  <c r="AD1174" i="2"/>
  <c r="AD1175" i="2"/>
  <c r="AD1177" i="2"/>
  <c r="AD1178" i="2"/>
  <c r="AD1181" i="2"/>
  <c r="AD1182" i="2"/>
  <c r="AD1183" i="2"/>
  <c r="AD1185" i="2"/>
  <c r="AD1186" i="2"/>
  <c r="AD1187" i="2"/>
  <c r="AD1189" i="2"/>
  <c r="AD1190" i="2"/>
  <c r="AD1192" i="2"/>
  <c r="AD1193" i="2"/>
  <c r="AD1194" i="2"/>
  <c r="AD1195" i="2"/>
  <c r="AD1197" i="2"/>
  <c r="AD1198" i="2"/>
  <c r="AD1199" i="2"/>
  <c r="AD1201" i="2"/>
  <c r="AD1202" i="2"/>
  <c r="AD1205" i="2"/>
  <c r="AD1206" i="2"/>
  <c r="AD1207" i="2"/>
  <c r="AD1209" i="2"/>
  <c r="AD1210" i="2"/>
  <c r="AD1211" i="2"/>
  <c r="AD1213" i="2"/>
  <c r="AD1214" i="2"/>
  <c r="AD1217" i="2"/>
  <c r="AD1218" i="2"/>
  <c r="AD1219" i="2"/>
  <c r="AD1220" i="2"/>
  <c r="AD1221" i="2"/>
  <c r="AD1222" i="2"/>
  <c r="AD1223" i="2"/>
  <c r="AD1225" i="2"/>
  <c r="AD1226" i="2"/>
  <c r="AD1229" i="2"/>
  <c r="AD1230" i="2"/>
  <c r="AD1231" i="2"/>
  <c r="AD1233" i="2"/>
  <c r="AD1234" i="2"/>
  <c r="AD1235" i="2"/>
  <c r="AD1237" i="2"/>
  <c r="AD1238" i="2"/>
  <c r="AD1240" i="2"/>
  <c r="AD1241" i="2"/>
  <c r="AD1242" i="2"/>
  <c r="AD1243" i="2"/>
  <c r="AD1244" i="2"/>
  <c r="AD1245" i="2"/>
  <c r="AD1246" i="2"/>
  <c r="AD1247" i="2"/>
  <c r="AD1248" i="2"/>
  <c r="AD1249" i="2"/>
  <c r="AD1250" i="2"/>
  <c r="AD1252" i="2"/>
  <c r="AD1253" i="2"/>
  <c r="AD1254" i="2"/>
  <c r="AD1255" i="2"/>
  <c r="AD1257" i="2"/>
  <c r="AD1258" i="2"/>
  <c r="AD1259" i="2"/>
  <c r="AD1261" i="2"/>
  <c r="AD1262" i="2"/>
  <c r="AD1265" i="2"/>
  <c r="AD1266" i="2"/>
  <c r="AD1267" i="2"/>
  <c r="AD1269" i="2"/>
  <c r="AD1270" i="2"/>
  <c r="AD1271" i="2"/>
  <c r="AD1273" i="2"/>
  <c r="AD1274" i="2"/>
  <c r="AD1277" i="2"/>
  <c r="AD1278" i="2"/>
  <c r="AD1279" i="2"/>
  <c r="AD1281" i="2"/>
  <c r="AD1282" i="2"/>
  <c r="AD1283" i="2"/>
  <c r="AD1285" i="2"/>
  <c r="AD1286" i="2"/>
  <c r="AD1289" i="2"/>
  <c r="AD1290" i="2"/>
  <c r="AD1291" i="2"/>
  <c r="AD1292" i="2"/>
  <c r="AD1293" i="2"/>
  <c r="AD1294" i="2"/>
  <c r="AD1295" i="2"/>
  <c r="AD1297" i="2"/>
  <c r="AD1298" i="2"/>
  <c r="AD1301" i="2"/>
  <c r="AD1302" i="2"/>
  <c r="AD1303" i="2"/>
  <c r="AD1304" i="2"/>
  <c r="AD1305" i="2"/>
  <c r="AD1306" i="2"/>
  <c r="AD1307" i="2"/>
  <c r="AD1308" i="2"/>
  <c r="AD1309" i="2"/>
  <c r="AD1310" i="2"/>
  <c r="AD1312" i="2"/>
  <c r="AD1313" i="2"/>
  <c r="AD1314" i="2"/>
  <c r="AD1315" i="2"/>
  <c r="AD1317" i="2"/>
  <c r="AD1318" i="2"/>
  <c r="AD1319" i="2"/>
  <c r="AD1321" i="2"/>
  <c r="AD1322" i="2"/>
  <c r="AD1325" i="2"/>
  <c r="AD1326" i="2"/>
  <c r="AD1327" i="2"/>
  <c r="AD1329" i="2"/>
  <c r="AD1330" i="2"/>
  <c r="AD1331" i="2"/>
  <c r="AD1333" i="2"/>
  <c r="AD1334" i="2"/>
  <c r="AD1336" i="2"/>
  <c r="AD1337" i="2"/>
  <c r="AD1338" i="2"/>
  <c r="AD1339" i="2"/>
  <c r="AD1341" i="2"/>
  <c r="AD1342" i="2"/>
  <c r="AD1343" i="2"/>
  <c r="AD1345" i="2"/>
  <c r="AD1346" i="2"/>
  <c r="AD1349" i="2"/>
  <c r="AD1350" i="2"/>
  <c r="AD1351" i="2"/>
  <c r="AD1353" i="2"/>
  <c r="AD1354" i="2"/>
  <c r="AD1355" i="2"/>
  <c r="AD1357" i="2"/>
  <c r="AD1358" i="2"/>
  <c r="AD1361" i="2"/>
  <c r="AD1362" i="2"/>
  <c r="AD1363" i="2"/>
  <c r="AD1364" i="2"/>
  <c r="AD1365" i="2"/>
  <c r="AD1366" i="2"/>
  <c r="AD1367" i="2"/>
  <c r="AD1368" i="2"/>
  <c r="AD1369" i="2"/>
  <c r="AD1370" i="2"/>
  <c r="AD1373" i="2"/>
  <c r="AD1374" i="2"/>
  <c r="AD1375" i="2"/>
  <c r="AD1377" i="2"/>
  <c r="AD1378" i="2"/>
  <c r="AD1379" i="2"/>
  <c r="AD1381" i="2"/>
  <c r="AD1382" i="2"/>
  <c r="AD1384" i="2"/>
  <c r="AD1385" i="2"/>
  <c r="AD1386" i="2"/>
  <c r="AD1387" i="2"/>
  <c r="AD1388" i="2"/>
  <c r="AD1389" i="2"/>
  <c r="AD1390" i="2"/>
  <c r="AD1391" i="2"/>
  <c r="AD1393" i="2"/>
  <c r="AD1394" i="2"/>
  <c r="AD1396" i="2"/>
  <c r="AD1397" i="2"/>
  <c r="AD1398" i="2"/>
  <c r="AD1399" i="2"/>
  <c r="AD1401" i="2"/>
  <c r="AD1402" i="2"/>
  <c r="AD1403" i="2"/>
  <c r="AD1405" i="2"/>
  <c r="AD1406" i="2"/>
  <c r="AD1409" i="2"/>
  <c r="AD1410" i="2"/>
  <c r="AD1411" i="2"/>
  <c r="AD1413" i="2"/>
  <c r="AD1414" i="2"/>
  <c r="AD1415" i="2"/>
  <c r="AD1417" i="2"/>
  <c r="AD1418" i="2"/>
  <c r="AD1421" i="2"/>
  <c r="AD1422" i="2"/>
  <c r="AD1423" i="2"/>
  <c r="AD1425" i="2"/>
  <c r="AD1426" i="2"/>
  <c r="AD1427" i="2"/>
  <c r="AD1428" i="2"/>
  <c r="AD1429" i="2"/>
  <c r="AD1430" i="2"/>
  <c r="AD1433" i="2"/>
  <c r="AD1434" i="2"/>
  <c r="AD1435" i="2"/>
  <c r="AD1436" i="2"/>
  <c r="AD1437" i="2"/>
  <c r="AD1438" i="2"/>
  <c r="AD1439" i="2"/>
  <c r="AD1441" i="2"/>
  <c r="AD1442" i="2"/>
  <c r="AD1445" i="2"/>
  <c r="AD1446" i="2"/>
  <c r="AD1447" i="2"/>
  <c r="AD1448" i="2"/>
  <c r="AD1449" i="2"/>
  <c r="AD1450" i="2"/>
  <c r="AD1451" i="2"/>
  <c r="AD1453" i="2"/>
  <c r="AD1454" i="2"/>
  <c r="AD1456" i="2"/>
  <c r="AD1457" i="2"/>
  <c r="AD1458" i="2"/>
  <c r="AD1459" i="2"/>
  <c r="AD1461" i="2"/>
  <c r="AD1462" i="2"/>
  <c r="AD1463" i="2"/>
  <c r="AD1465" i="2"/>
  <c r="AD1466" i="2"/>
  <c r="AD1469" i="2"/>
  <c r="AD1470" i="2"/>
  <c r="AD1471" i="2"/>
  <c r="AD1473" i="2"/>
  <c r="AD1474" i="2"/>
  <c r="AD1475" i="2"/>
  <c r="AD1477" i="2"/>
  <c r="AD1478" i="2"/>
  <c r="AD1480" i="2"/>
  <c r="AD1481" i="2"/>
  <c r="AD1482" i="2"/>
  <c r="AD1483" i="2"/>
  <c r="AD1485" i="2"/>
  <c r="AD1486" i="2"/>
  <c r="AD1487" i="2"/>
  <c r="AD1489" i="2"/>
  <c r="AD1490" i="2"/>
  <c r="AD1493" i="2"/>
  <c r="AD1494" i="2"/>
  <c r="AD1495" i="2"/>
  <c r="AD1497" i="2"/>
  <c r="AD1498" i="2"/>
  <c r="AD1499" i="2"/>
  <c r="AD1501" i="2"/>
  <c r="AD1502" i="2"/>
  <c r="AD1505" i="2"/>
  <c r="AD1506" i="2"/>
  <c r="AD1507" i="2"/>
  <c r="AD1508" i="2"/>
  <c r="AD1509" i="2"/>
  <c r="AD1510" i="2"/>
  <c r="AD1511" i="2"/>
  <c r="AD1513" i="2"/>
  <c r="AD1514" i="2"/>
  <c r="AD1517" i="2"/>
  <c r="AD1518" i="2"/>
  <c r="AD1519" i="2"/>
  <c r="AD1521" i="2"/>
  <c r="AD1522" i="2"/>
  <c r="AD1523" i="2"/>
  <c r="AD1525" i="2"/>
  <c r="AD1526" i="2"/>
  <c r="AD1528" i="2"/>
  <c r="AD1529" i="2"/>
  <c r="AD1530" i="2"/>
  <c r="AD1531" i="2"/>
  <c r="AD1532" i="2"/>
  <c r="AD1533" i="2"/>
  <c r="AD1534" i="2"/>
  <c r="AD1535" i="2"/>
  <c r="AD1537" i="2"/>
  <c r="AD1538" i="2"/>
  <c r="AD1540" i="2"/>
  <c r="AD1541" i="2"/>
  <c r="AD1542" i="2"/>
  <c r="AD1543" i="2"/>
  <c r="AD1545" i="2"/>
  <c r="AD1546" i="2"/>
  <c r="AD1547" i="2"/>
  <c r="AD1549" i="2"/>
  <c r="AD1550" i="2"/>
  <c r="AD1553" i="2"/>
  <c r="AD1554" i="2"/>
  <c r="AD1555" i="2"/>
  <c r="AD1557" i="2"/>
  <c r="AD1558" i="2"/>
  <c r="AD1559" i="2"/>
  <c r="AD1561" i="2"/>
  <c r="AD1562" i="2"/>
  <c r="AD1565" i="2"/>
  <c r="AD1566" i="2"/>
  <c r="AD1567" i="2"/>
  <c r="AD1569" i="2"/>
  <c r="AD1570" i="2"/>
  <c r="AD1571" i="2"/>
  <c r="AD1573" i="2"/>
  <c r="AD1574" i="2"/>
  <c r="AD1577" i="2"/>
  <c r="AD1578" i="2"/>
  <c r="AD1579" i="2"/>
  <c r="AD1580" i="2"/>
  <c r="AD1581" i="2"/>
  <c r="AD1582" i="2"/>
  <c r="AD1583" i="2"/>
  <c r="AD1585" i="2"/>
  <c r="AD1586" i="2"/>
  <c r="AD1589" i="2"/>
  <c r="AD1590" i="2"/>
  <c r="AD1591" i="2"/>
  <c r="AD1592" i="2"/>
  <c r="AD1593" i="2"/>
  <c r="AD1594" i="2"/>
  <c r="AD1595" i="2"/>
  <c r="AD1597" i="2"/>
  <c r="AD1598" i="2"/>
  <c r="AD1600" i="2"/>
  <c r="AD1601" i="2"/>
  <c r="AD1602" i="2"/>
  <c r="AD1603" i="2"/>
  <c r="AD1605" i="2"/>
  <c r="AD1606" i="2"/>
  <c r="AD1607" i="2"/>
  <c r="AD1609" i="2"/>
  <c r="AD1610" i="2"/>
  <c r="AD1613" i="2"/>
  <c r="AD1614" i="2"/>
  <c r="AD1615" i="2"/>
  <c r="AD1617" i="2"/>
  <c r="AD1618" i="2"/>
  <c r="AD1619" i="2"/>
  <c r="AD1621" i="2"/>
  <c r="AD1622" i="2"/>
  <c r="AD1624" i="2"/>
  <c r="AD1625" i="2"/>
  <c r="AD1626" i="2"/>
  <c r="AD1627" i="2"/>
  <c r="AD1629" i="2"/>
  <c r="AD1630" i="2"/>
  <c r="AD1631" i="2"/>
  <c r="AD1633" i="2"/>
  <c r="AD1634" i="2"/>
  <c r="AD1637" i="2"/>
  <c r="AD1638" i="2"/>
  <c r="AD1639" i="2"/>
  <c r="AD1641" i="2"/>
  <c r="AD1642" i="2"/>
  <c r="AD1643" i="2"/>
  <c r="AD1645" i="2"/>
  <c r="AD1646" i="2"/>
  <c r="AD1649" i="2"/>
  <c r="AD1650" i="2"/>
  <c r="AD1651" i="2"/>
  <c r="AD1652" i="2"/>
  <c r="AD1653" i="2"/>
  <c r="AD1654" i="2"/>
  <c r="AD1655" i="2"/>
  <c r="AD1657" i="2"/>
  <c r="AD1658" i="2"/>
  <c r="AD1661" i="2"/>
  <c r="AD1662" i="2"/>
  <c r="AD1663" i="2"/>
  <c r="AD1665" i="2"/>
  <c r="AD1666" i="2"/>
  <c r="AD1667" i="2"/>
  <c r="AD1669" i="2"/>
  <c r="AD1670" i="2"/>
  <c r="AD1672" i="2"/>
  <c r="AD1673" i="2"/>
  <c r="AD1674" i="2"/>
  <c r="AD1675" i="2"/>
  <c r="AD1676" i="2"/>
  <c r="AD1677" i="2"/>
  <c r="AD1678" i="2"/>
  <c r="AD1679" i="2"/>
  <c r="AD1681" i="2"/>
  <c r="AD1682" i="2"/>
  <c r="AD1684" i="2"/>
  <c r="AD1685" i="2"/>
  <c r="AD1686" i="2"/>
  <c r="AD1687" i="2"/>
  <c r="AD1689" i="2"/>
  <c r="AD1690" i="2"/>
  <c r="AD1691" i="2"/>
  <c r="AD1693" i="2"/>
  <c r="AD1694" i="2"/>
  <c r="AD1697" i="2"/>
  <c r="AD1698" i="2"/>
  <c r="AD1699" i="2"/>
  <c r="AD1701" i="2"/>
  <c r="AD1702" i="2"/>
  <c r="AD1703" i="2"/>
  <c r="AD1705" i="2"/>
  <c r="AD1706" i="2"/>
  <c r="AD1709" i="2"/>
  <c r="AD1710" i="2"/>
  <c r="AD1711" i="2"/>
  <c r="AD1713" i="2"/>
  <c r="AD1714" i="2"/>
  <c r="AD1715" i="2"/>
  <c r="AD1717" i="2"/>
  <c r="AD1718" i="2"/>
  <c r="AD1721" i="2"/>
  <c r="AD1722" i="2"/>
  <c r="AD1723" i="2"/>
  <c r="AD1724" i="2"/>
  <c r="AD1725" i="2"/>
  <c r="AD1726" i="2"/>
  <c r="AD1727" i="2"/>
  <c r="AD1729" i="2"/>
  <c r="AD1730" i="2"/>
  <c r="AD1733" i="2"/>
  <c r="AD1734" i="2"/>
  <c r="AD1735" i="2"/>
  <c r="AD1736" i="2"/>
  <c r="AD1737" i="2"/>
  <c r="AD1738" i="2"/>
  <c r="AD1739" i="2"/>
  <c r="AD1741" i="2"/>
  <c r="AD1742" i="2"/>
  <c r="AD1744" i="2"/>
  <c r="AD1745" i="2"/>
  <c r="AD1746" i="2"/>
  <c r="AD1747" i="2"/>
  <c r="AD1749" i="2"/>
  <c r="AD1750" i="2"/>
  <c r="AD1751" i="2"/>
  <c r="AD1753" i="2"/>
  <c r="AD1754" i="2"/>
  <c r="AD1757" i="2"/>
  <c r="AD1758" i="2"/>
  <c r="AD1759" i="2"/>
  <c r="AD1761" i="2"/>
  <c r="AD1762" i="2"/>
  <c r="AD1763" i="2"/>
  <c r="AD1765" i="2"/>
  <c r="AD1766" i="2"/>
  <c r="AD1768" i="2"/>
  <c r="AD1769" i="2"/>
  <c r="AD1770" i="2"/>
  <c r="AD1771" i="2"/>
  <c r="AD1773" i="2"/>
  <c r="AD1774" i="2"/>
  <c r="AD1775" i="2"/>
  <c r="AD1777" i="2"/>
  <c r="AD1778" i="2"/>
  <c r="AD1781" i="2"/>
  <c r="AD1782" i="2"/>
  <c r="AD1783" i="2"/>
  <c r="AD1785" i="2"/>
  <c r="AD1786" i="2"/>
  <c r="AD1787" i="2"/>
  <c r="AD1789" i="2"/>
  <c r="AD1790" i="2"/>
  <c r="AD1793" i="2"/>
  <c r="AD1794" i="2"/>
  <c r="AD1795" i="2"/>
  <c r="AD1796" i="2"/>
  <c r="AD1797" i="2"/>
  <c r="AD1798" i="2"/>
  <c r="AD1799" i="2"/>
  <c r="AD1800" i="2"/>
  <c r="AD1801" i="2"/>
  <c r="AD1802" i="2"/>
  <c r="AD1805" i="2"/>
  <c r="AD1806" i="2"/>
  <c r="AD1807" i="2"/>
  <c r="AD1809" i="2"/>
  <c r="AD1810" i="2"/>
  <c r="AD1811" i="2"/>
  <c r="AD1813" i="2"/>
  <c r="AD1814" i="2"/>
  <c r="AD1816" i="2"/>
  <c r="AD1817" i="2"/>
  <c r="AD1818" i="2"/>
  <c r="AD1819" i="2"/>
  <c r="AD1820" i="2"/>
  <c r="AD1821" i="2"/>
  <c r="AD1822" i="2"/>
  <c r="AD1823" i="2"/>
  <c r="AD1825" i="2"/>
  <c r="AD1826" i="2"/>
  <c r="AD1828" i="2"/>
  <c r="AD1829" i="2"/>
  <c r="AD1830" i="2"/>
  <c r="AD1831" i="2"/>
  <c r="AD1833" i="2"/>
  <c r="AD1834" i="2"/>
  <c r="AD1835" i="2"/>
  <c r="AD1837" i="2"/>
  <c r="AD1838" i="2"/>
  <c r="AD1841" i="2"/>
  <c r="AD1842" i="2"/>
  <c r="AD1843" i="2"/>
  <c r="AD1845" i="2"/>
  <c r="AD1846" i="2"/>
  <c r="AD1847" i="2"/>
  <c r="AD1849" i="2"/>
  <c r="AD1850" i="2"/>
  <c r="AD1853" i="2"/>
  <c r="AD1854" i="2"/>
  <c r="AD1855" i="2"/>
  <c r="AD1857" i="2"/>
  <c r="AD1858" i="2"/>
  <c r="AD1859" i="2"/>
  <c r="AD1861" i="2"/>
  <c r="AD1862" i="2"/>
  <c r="AD1865" i="2"/>
  <c r="AD1866" i="2"/>
  <c r="AD1867" i="2"/>
  <c r="AD1868" i="2"/>
  <c r="AD1869" i="2"/>
  <c r="AD1870" i="2"/>
  <c r="AD1871" i="2"/>
  <c r="AD1873" i="2"/>
  <c r="AD1874" i="2"/>
  <c r="AD1877" i="2"/>
  <c r="AD1878" i="2"/>
  <c r="AD1879" i="2"/>
  <c r="AD1880" i="2"/>
  <c r="AD1881" i="2"/>
  <c r="AD1882" i="2"/>
  <c r="AD1883" i="2"/>
  <c r="AD1885" i="2"/>
  <c r="AD1886" i="2"/>
  <c r="AD1888" i="2"/>
  <c r="AD1889" i="2"/>
  <c r="AD1890" i="2"/>
  <c r="AD1891" i="2"/>
  <c r="AD1893" i="2"/>
  <c r="AD3" i="2"/>
  <c r="AB4" i="2"/>
  <c r="AB6" i="2"/>
  <c r="AB7" i="2"/>
  <c r="AB9" i="2"/>
  <c r="AB10" i="2"/>
  <c r="AB11" i="2"/>
  <c r="AB12" i="2"/>
  <c r="AB15" i="2"/>
  <c r="AB16" i="2"/>
  <c r="AB18" i="2"/>
  <c r="AB19" i="2"/>
  <c r="AB20" i="2"/>
  <c r="AB22" i="2"/>
  <c r="AB23" i="2"/>
  <c r="AB24" i="2"/>
  <c r="AB27" i="2"/>
  <c r="AB28" i="2"/>
  <c r="AB30" i="2"/>
  <c r="AB31" i="2"/>
  <c r="AB33" i="2"/>
  <c r="AB34" i="2"/>
  <c r="AB35" i="2"/>
  <c r="AB36" i="2"/>
  <c r="AB39" i="2"/>
  <c r="AB40" i="2"/>
  <c r="AB42" i="2"/>
  <c r="AB43" i="2"/>
  <c r="AB46" i="2"/>
  <c r="AB47" i="2"/>
  <c r="AB48" i="2"/>
  <c r="AB51" i="2"/>
  <c r="AB52" i="2"/>
  <c r="AB54" i="2"/>
  <c r="AB55" i="2"/>
  <c r="AB58" i="2"/>
  <c r="AB59" i="2"/>
  <c r="AB60" i="2"/>
  <c r="AB61" i="2"/>
  <c r="AB63" i="2"/>
  <c r="AB64" i="2"/>
  <c r="AB66" i="2"/>
  <c r="AB67" i="2"/>
  <c r="AB68" i="2"/>
  <c r="AB70" i="2"/>
  <c r="AB71" i="2"/>
  <c r="AB72" i="2"/>
  <c r="AB75" i="2"/>
  <c r="AB76" i="2"/>
  <c r="AB78" i="2"/>
  <c r="AB79" i="2"/>
  <c r="AB80" i="2"/>
  <c r="AB81" i="2"/>
  <c r="AB82" i="2"/>
  <c r="AB83" i="2"/>
  <c r="AB84" i="2"/>
  <c r="AB85" i="2"/>
  <c r="AB87" i="2"/>
  <c r="AB88" i="2"/>
  <c r="AB90" i="2"/>
  <c r="AB91" i="2"/>
  <c r="AB93" i="2"/>
  <c r="AB94" i="2"/>
  <c r="AB95" i="2"/>
  <c r="AB96" i="2"/>
  <c r="AB99" i="2"/>
  <c r="AB100" i="2"/>
  <c r="AB102" i="2"/>
  <c r="AB103" i="2"/>
  <c r="AB106" i="2"/>
  <c r="AB107" i="2"/>
  <c r="AB108" i="2"/>
  <c r="AB111" i="2"/>
  <c r="AB112" i="2"/>
  <c r="AB114" i="2"/>
  <c r="AB115" i="2"/>
  <c r="AB118" i="2"/>
  <c r="AB119" i="2"/>
  <c r="AB120" i="2"/>
  <c r="AB123" i="2"/>
  <c r="AB124" i="2"/>
  <c r="AB126" i="2"/>
  <c r="AB127" i="2"/>
  <c r="AB130" i="2"/>
  <c r="AB131" i="2"/>
  <c r="AB132" i="2"/>
  <c r="AB133" i="2"/>
  <c r="AB135" i="2"/>
  <c r="AB136" i="2"/>
  <c r="AB138" i="2"/>
  <c r="AB139" i="2"/>
  <c r="AB140" i="2"/>
  <c r="AB142" i="2"/>
  <c r="AB143" i="2"/>
  <c r="AB144" i="2"/>
  <c r="AB145" i="2"/>
  <c r="AB147" i="2"/>
  <c r="AB148" i="2"/>
  <c r="AB150" i="2"/>
  <c r="AB151" i="2"/>
  <c r="AB153" i="2"/>
  <c r="AB154" i="2"/>
  <c r="AB155" i="2"/>
  <c r="AB156" i="2"/>
  <c r="AB159" i="2"/>
  <c r="AB160" i="2"/>
  <c r="AB162" i="2"/>
  <c r="AB163" i="2"/>
  <c r="AB164" i="2"/>
  <c r="AB166" i="2"/>
  <c r="AB167" i="2"/>
  <c r="AB168" i="2"/>
  <c r="AB171" i="2"/>
  <c r="AB172" i="2"/>
  <c r="AB174" i="2"/>
  <c r="AB175" i="2"/>
  <c r="AB177" i="2"/>
  <c r="AB178" i="2"/>
  <c r="AB179" i="2"/>
  <c r="AB180" i="2"/>
  <c r="AB183" i="2"/>
  <c r="AB184" i="2"/>
  <c r="AB186" i="2"/>
  <c r="AB187" i="2"/>
  <c r="AB190" i="2"/>
  <c r="AB191" i="2"/>
  <c r="AB192" i="2"/>
  <c r="AB195" i="2"/>
  <c r="AB196" i="2"/>
  <c r="AB198" i="2"/>
  <c r="AB199" i="2"/>
  <c r="AB202" i="2"/>
  <c r="AB203" i="2"/>
  <c r="AB204" i="2"/>
  <c r="AB205" i="2"/>
  <c r="AB207" i="2"/>
  <c r="AB208" i="2"/>
  <c r="AB210" i="2"/>
  <c r="AB211" i="2"/>
  <c r="AB212" i="2"/>
  <c r="AB214" i="2"/>
  <c r="AB215" i="2"/>
  <c r="AB216" i="2"/>
  <c r="AB219" i="2"/>
  <c r="AB220" i="2"/>
  <c r="AB222" i="2"/>
  <c r="AB223" i="2"/>
  <c r="AB224" i="2"/>
  <c r="AB225" i="2"/>
  <c r="AB226" i="2"/>
  <c r="AB227" i="2"/>
  <c r="AB228" i="2"/>
  <c r="AB229" i="2"/>
  <c r="AB231" i="2"/>
  <c r="AB232" i="2"/>
  <c r="AB234" i="2"/>
  <c r="AB235" i="2"/>
  <c r="AB237" i="2"/>
  <c r="AB238" i="2"/>
  <c r="AB239" i="2"/>
  <c r="AB240" i="2"/>
  <c r="AB243" i="2"/>
  <c r="AB244" i="2"/>
  <c r="AB246" i="2"/>
  <c r="AB247" i="2"/>
  <c r="AB250" i="2"/>
  <c r="AB251" i="2"/>
  <c r="AB252" i="2"/>
  <c r="AB255" i="2"/>
  <c r="AB256" i="2"/>
  <c r="AB258" i="2"/>
  <c r="AB259" i="2"/>
  <c r="AB262" i="2"/>
  <c r="AB263" i="2"/>
  <c r="AB264" i="2"/>
  <c r="AB267" i="2"/>
  <c r="AB268" i="2"/>
  <c r="AB270" i="2"/>
  <c r="AB271" i="2"/>
  <c r="AB274" i="2"/>
  <c r="AB275" i="2"/>
  <c r="AB276" i="2"/>
  <c r="AB277" i="2"/>
  <c r="AB279" i="2"/>
  <c r="AB280" i="2"/>
  <c r="AB282" i="2"/>
  <c r="AB283" i="2"/>
  <c r="AB284" i="2"/>
  <c r="AB286" i="2"/>
  <c r="AB287" i="2"/>
  <c r="AB288" i="2"/>
  <c r="AB291" i="2"/>
  <c r="AB292" i="2"/>
  <c r="AB294" i="2"/>
  <c r="AB295" i="2"/>
  <c r="AB297" i="2"/>
  <c r="AB298" i="2"/>
  <c r="AB299" i="2"/>
  <c r="AB300" i="2"/>
  <c r="AB303" i="2"/>
  <c r="AB304" i="2"/>
  <c r="AB306" i="2"/>
  <c r="AB307" i="2"/>
  <c r="AB308" i="2"/>
  <c r="AB310" i="2"/>
  <c r="AB311" i="2"/>
  <c r="AB312" i="2"/>
  <c r="AB315" i="2"/>
  <c r="AB316" i="2"/>
  <c r="AB318" i="2"/>
  <c r="AB319" i="2"/>
  <c r="AB321" i="2"/>
  <c r="AB322" i="2"/>
  <c r="AB323" i="2"/>
  <c r="AB324" i="2"/>
  <c r="AB327" i="2"/>
  <c r="AB328" i="2"/>
  <c r="AB330" i="2"/>
  <c r="AB331" i="2"/>
  <c r="AB334" i="2"/>
  <c r="AB335" i="2"/>
  <c r="AB336" i="2"/>
  <c r="AB339" i="2"/>
  <c r="AB340" i="2"/>
  <c r="AB342" i="2"/>
  <c r="AB343" i="2"/>
  <c r="AB346" i="2"/>
  <c r="AB347" i="2"/>
  <c r="AB348" i="2"/>
  <c r="AB349" i="2"/>
  <c r="AB351" i="2"/>
  <c r="AB352" i="2"/>
  <c r="AB354" i="2"/>
  <c r="AB355" i="2"/>
  <c r="AB356" i="2"/>
  <c r="AB358" i="2"/>
  <c r="AB359" i="2"/>
  <c r="AB360" i="2"/>
  <c r="AB363" i="2"/>
  <c r="AB364" i="2"/>
  <c r="AB366" i="2"/>
  <c r="AB367" i="2"/>
  <c r="AB368" i="2"/>
  <c r="AB369" i="2"/>
  <c r="AB370" i="2"/>
  <c r="AB371" i="2"/>
  <c r="AB372" i="2"/>
  <c r="AB373" i="2"/>
  <c r="AB375" i="2"/>
  <c r="AB376" i="2"/>
  <c r="AB378" i="2"/>
  <c r="AB379" i="2"/>
  <c r="AB381" i="2"/>
  <c r="AB382" i="2"/>
  <c r="AB383" i="2"/>
  <c r="AB384" i="2"/>
  <c r="AB387" i="2"/>
  <c r="AB388" i="2"/>
  <c r="AB390" i="2"/>
  <c r="AB391" i="2"/>
  <c r="AB394" i="2"/>
  <c r="AB395" i="2"/>
  <c r="AB396" i="2"/>
  <c r="AB399" i="2"/>
  <c r="AB400" i="2"/>
  <c r="AB402" i="2"/>
  <c r="AB403" i="2"/>
  <c r="AB406" i="2"/>
  <c r="AB407" i="2"/>
  <c r="AB408" i="2"/>
  <c r="AB411" i="2"/>
  <c r="AB412" i="2"/>
  <c r="AB414" i="2"/>
  <c r="AB415" i="2"/>
  <c r="AB418" i="2"/>
  <c r="AB419" i="2"/>
  <c r="AB420" i="2"/>
  <c r="AB421" i="2"/>
  <c r="AB423" i="2"/>
  <c r="AB424" i="2"/>
  <c r="AB426" i="2"/>
  <c r="AB427" i="2"/>
  <c r="AB428" i="2"/>
  <c r="AB430" i="2"/>
  <c r="AB431" i="2"/>
  <c r="AB432" i="2"/>
  <c r="AB435" i="2"/>
  <c r="AB436" i="2"/>
  <c r="AB438" i="2"/>
  <c r="AB439" i="2"/>
  <c r="AB441" i="2"/>
  <c r="AB442" i="2"/>
  <c r="AB443" i="2"/>
  <c r="AB444" i="2"/>
  <c r="AB447" i="2"/>
  <c r="AB448" i="2"/>
  <c r="AB450" i="2"/>
  <c r="AB451" i="2"/>
  <c r="AB452" i="2"/>
  <c r="AB454" i="2"/>
  <c r="AB455" i="2"/>
  <c r="AB456" i="2"/>
  <c r="AB459" i="2"/>
  <c r="AB460" i="2"/>
  <c r="AB462" i="2"/>
  <c r="AB463" i="2"/>
  <c r="AB465" i="2"/>
  <c r="AB466" i="2"/>
  <c r="AB467" i="2"/>
  <c r="AB468" i="2"/>
  <c r="AB471" i="2"/>
  <c r="AB472" i="2"/>
  <c r="AB474" i="2"/>
  <c r="AB475" i="2"/>
  <c r="AB478" i="2"/>
  <c r="AB479" i="2"/>
  <c r="AB480" i="2"/>
  <c r="AB483" i="2"/>
  <c r="AB484" i="2"/>
  <c r="AB486" i="2"/>
  <c r="AB487" i="2"/>
  <c r="AB490" i="2"/>
  <c r="AB491" i="2"/>
  <c r="AB492" i="2"/>
  <c r="AB493" i="2"/>
  <c r="AB495" i="2"/>
  <c r="AB496" i="2"/>
  <c r="AB498" i="2"/>
  <c r="AB499" i="2"/>
  <c r="AB500" i="2"/>
  <c r="AB502" i="2"/>
  <c r="AB503" i="2"/>
  <c r="AB504" i="2"/>
  <c r="AB507" i="2"/>
  <c r="AB508" i="2"/>
  <c r="AB510" i="2"/>
  <c r="AB511" i="2"/>
  <c r="AB512" i="2"/>
  <c r="AB513" i="2"/>
  <c r="AB514" i="2"/>
  <c r="AB515" i="2"/>
  <c r="AB516" i="2"/>
  <c r="AB517" i="2"/>
  <c r="AB519" i="2"/>
  <c r="AB520" i="2"/>
  <c r="AB522" i="2"/>
  <c r="AB523" i="2"/>
  <c r="AB525" i="2"/>
  <c r="AB526" i="2"/>
  <c r="AB527" i="2"/>
  <c r="AB528" i="2"/>
  <c r="AB531" i="2"/>
  <c r="AB532" i="2"/>
  <c r="AB534" i="2"/>
  <c r="AB535" i="2"/>
  <c r="AB538" i="2"/>
  <c r="AB539" i="2"/>
  <c r="AB540" i="2"/>
  <c r="AB543" i="2"/>
  <c r="AB544" i="2"/>
  <c r="AB546" i="2"/>
  <c r="AB547" i="2"/>
  <c r="AB550" i="2"/>
  <c r="AB551" i="2"/>
  <c r="AB552" i="2"/>
  <c r="AB555" i="2"/>
  <c r="AB556" i="2"/>
  <c r="AB558" i="2"/>
  <c r="AB559" i="2"/>
  <c r="AB562" i="2"/>
  <c r="AB563" i="2"/>
  <c r="AB564" i="2"/>
  <c r="AB565" i="2"/>
  <c r="AB567" i="2"/>
  <c r="AB568" i="2"/>
  <c r="AB570" i="2"/>
  <c r="AB571" i="2"/>
  <c r="AB572" i="2"/>
  <c r="AB574" i="2"/>
  <c r="AB575" i="2"/>
  <c r="AB576" i="2"/>
  <c r="AB579" i="2"/>
  <c r="AB580" i="2"/>
  <c r="AB582" i="2"/>
  <c r="AB583" i="2"/>
  <c r="AB585" i="2"/>
  <c r="AB586" i="2"/>
  <c r="AB587" i="2"/>
  <c r="AB588" i="2"/>
  <c r="AB591" i="2"/>
  <c r="AB592" i="2"/>
  <c r="AB594" i="2"/>
  <c r="AB595" i="2"/>
  <c r="AB596" i="2"/>
  <c r="AB598" i="2"/>
  <c r="AB599" i="2"/>
  <c r="AB600" i="2"/>
  <c r="AB603" i="2"/>
  <c r="AB604" i="2"/>
  <c r="AB606" i="2"/>
  <c r="AB607" i="2"/>
  <c r="AB609" i="2"/>
  <c r="AB610" i="2"/>
  <c r="AB611" i="2"/>
  <c r="AB612" i="2"/>
  <c r="AB615" i="2"/>
  <c r="AB616" i="2"/>
  <c r="AB618" i="2"/>
  <c r="AB619" i="2"/>
  <c r="AB622" i="2"/>
  <c r="AB623" i="2"/>
  <c r="AB624" i="2"/>
  <c r="AB627" i="2"/>
  <c r="AB628" i="2"/>
  <c r="AB630" i="2"/>
  <c r="AB631" i="2"/>
  <c r="AB634" i="2"/>
  <c r="AB635" i="2"/>
  <c r="AB636" i="2"/>
  <c r="AB637" i="2"/>
  <c r="AB639" i="2"/>
  <c r="AB640" i="2"/>
  <c r="AB642" i="2"/>
  <c r="AB643" i="2"/>
  <c r="AB644" i="2"/>
  <c r="AB646" i="2"/>
  <c r="AB647" i="2"/>
  <c r="AB648" i="2"/>
  <c r="AB651" i="2"/>
  <c r="AB652" i="2"/>
  <c r="AB654" i="2"/>
  <c r="AB655" i="2"/>
  <c r="AB656" i="2"/>
  <c r="AB657" i="2"/>
  <c r="AB658" i="2"/>
  <c r="AB659" i="2"/>
  <c r="AB660" i="2"/>
  <c r="AB661" i="2"/>
  <c r="AB663" i="2"/>
  <c r="AB664" i="2"/>
  <c r="AB666" i="2"/>
  <c r="AB667" i="2"/>
  <c r="AB669" i="2"/>
  <c r="AB670" i="2"/>
  <c r="AB671" i="2"/>
  <c r="AB672" i="2"/>
  <c r="AB675" i="2"/>
  <c r="AB676" i="2"/>
  <c r="AB678" i="2"/>
  <c r="AB679" i="2"/>
  <c r="AB682" i="2"/>
  <c r="AB683" i="2"/>
  <c r="AB684" i="2"/>
  <c r="AB687" i="2"/>
  <c r="AB688" i="2"/>
  <c r="AB690" i="2"/>
  <c r="AB691" i="2"/>
  <c r="AB694" i="2"/>
  <c r="AB695" i="2"/>
  <c r="AB696" i="2"/>
  <c r="AB699" i="2"/>
  <c r="AB700" i="2"/>
  <c r="AB702" i="2"/>
  <c r="AB703" i="2"/>
  <c r="AB706" i="2"/>
  <c r="AB707" i="2"/>
  <c r="AB708" i="2"/>
  <c r="AB709" i="2"/>
  <c r="AB711" i="2"/>
  <c r="AB712" i="2"/>
  <c r="AB714" i="2"/>
  <c r="AB715" i="2"/>
  <c r="AB716" i="2"/>
  <c r="AB718" i="2"/>
  <c r="AB719" i="2"/>
  <c r="AB720" i="2"/>
  <c r="AB723" i="2"/>
  <c r="AB724" i="2"/>
  <c r="AB726" i="2"/>
  <c r="AB727" i="2"/>
  <c r="AB729" i="2"/>
  <c r="AB730" i="2"/>
  <c r="AB731" i="2"/>
  <c r="AB732" i="2"/>
  <c r="AB735" i="2"/>
  <c r="AB736" i="2"/>
  <c r="AB738" i="2"/>
  <c r="AB739" i="2"/>
  <c r="AB740" i="2"/>
  <c r="AB742" i="2"/>
  <c r="AB743" i="2"/>
  <c r="AB744" i="2"/>
  <c r="AB747" i="2"/>
  <c r="AB748" i="2"/>
  <c r="AB750" i="2"/>
  <c r="AB751" i="2"/>
  <c r="AB753" i="2"/>
  <c r="AB754" i="2"/>
  <c r="AB755" i="2"/>
  <c r="AB756" i="2"/>
  <c r="AB759" i="2"/>
  <c r="AB760" i="2"/>
  <c r="AB762" i="2"/>
  <c r="AB763" i="2"/>
  <c r="AB766" i="2"/>
  <c r="AB767" i="2"/>
  <c r="AB768" i="2"/>
  <c r="AB771" i="2"/>
  <c r="AB772" i="2"/>
  <c r="AB774" i="2"/>
  <c r="AB775" i="2"/>
  <c r="AB778" i="2"/>
  <c r="AB779" i="2"/>
  <c r="AB780" i="2"/>
  <c r="AB781" i="2"/>
  <c r="AB783" i="2"/>
  <c r="AB784" i="2"/>
  <c r="AB786" i="2"/>
  <c r="AB787" i="2"/>
  <c r="AB788" i="2"/>
  <c r="AB790" i="2"/>
  <c r="AB791" i="2"/>
  <c r="AB792" i="2"/>
  <c r="AB795" i="2"/>
  <c r="AB796" i="2"/>
  <c r="AB798" i="2"/>
  <c r="AB799" i="2"/>
  <c r="AB800" i="2"/>
  <c r="AB801" i="2"/>
  <c r="AB802" i="2"/>
  <c r="AB803" i="2"/>
  <c r="AB804" i="2"/>
  <c r="AB805" i="2"/>
  <c r="AB807" i="2"/>
  <c r="AB808" i="2"/>
  <c r="AB810" i="2"/>
  <c r="AB811" i="2"/>
  <c r="AB813" i="2"/>
  <c r="AB814" i="2"/>
  <c r="AB815" i="2"/>
  <c r="AB816" i="2"/>
  <c r="AB819" i="2"/>
  <c r="AB820" i="2"/>
  <c r="AB822" i="2"/>
  <c r="AB823" i="2"/>
  <c r="AB826" i="2"/>
  <c r="AB827" i="2"/>
  <c r="AB828" i="2"/>
  <c r="AB831" i="2"/>
  <c r="AB832" i="2"/>
  <c r="AB834" i="2"/>
  <c r="AB835" i="2"/>
  <c r="AB838" i="2"/>
  <c r="AB839" i="2"/>
  <c r="AB840" i="2"/>
  <c r="AB843" i="2"/>
  <c r="AB844" i="2"/>
  <c r="AB846" i="2"/>
  <c r="AB847" i="2"/>
  <c r="AB850" i="2"/>
  <c r="AB851" i="2"/>
  <c r="AB852" i="2"/>
  <c r="AB853" i="2"/>
  <c r="AB855" i="2"/>
  <c r="AB856" i="2"/>
  <c r="AB858" i="2"/>
  <c r="AB859" i="2"/>
  <c r="AB860" i="2"/>
  <c r="AB862" i="2"/>
  <c r="AB863" i="2"/>
  <c r="AB864" i="2"/>
  <c r="AB867" i="2"/>
  <c r="AB868" i="2"/>
  <c r="AB870" i="2"/>
  <c r="AB871" i="2"/>
  <c r="AB873" i="2"/>
  <c r="AB874" i="2"/>
  <c r="AB875" i="2"/>
  <c r="AB876" i="2"/>
  <c r="AB879" i="2"/>
  <c r="AB880" i="2"/>
  <c r="AB882" i="2"/>
  <c r="AB883" i="2"/>
  <c r="AB884" i="2"/>
  <c r="AB886" i="2"/>
  <c r="AB887" i="2"/>
  <c r="AB888" i="2"/>
  <c r="AB891" i="2"/>
  <c r="AB892" i="2"/>
  <c r="AB894" i="2"/>
  <c r="AB895" i="2"/>
  <c r="AB897" i="2"/>
  <c r="AB898" i="2"/>
  <c r="AB899" i="2"/>
  <c r="AB900" i="2"/>
  <c r="AB903" i="2"/>
  <c r="AB904" i="2"/>
  <c r="AB906" i="2"/>
  <c r="AB907" i="2"/>
  <c r="AB910" i="2"/>
  <c r="AB911" i="2"/>
  <c r="AB912" i="2"/>
  <c r="AB915" i="2"/>
  <c r="AB916" i="2"/>
  <c r="AB918" i="2"/>
  <c r="AB919" i="2"/>
  <c r="AB922" i="2"/>
  <c r="AB923" i="2"/>
  <c r="AB924" i="2"/>
  <c r="AB925" i="2"/>
  <c r="AB927" i="2"/>
  <c r="AB928" i="2"/>
  <c r="AB930" i="2"/>
  <c r="AB931" i="2"/>
  <c r="AB932" i="2"/>
  <c r="AB934" i="2"/>
  <c r="AB935" i="2"/>
  <c r="AB936" i="2"/>
  <c r="AB939" i="2"/>
  <c r="AB940" i="2"/>
  <c r="AB942" i="2"/>
  <c r="AB943" i="2"/>
  <c r="AB944" i="2"/>
  <c r="AB945" i="2"/>
  <c r="AB946" i="2"/>
  <c r="AB947" i="2"/>
  <c r="AB948" i="2"/>
  <c r="AB949" i="2"/>
  <c r="AB951" i="2"/>
  <c r="AB952" i="2"/>
  <c r="AB954" i="2"/>
  <c r="AB955" i="2"/>
  <c r="AB958" i="2"/>
  <c r="AB959" i="2"/>
  <c r="AB960" i="2"/>
  <c r="AB963" i="2"/>
  <c r="AB964" i="2"/>
  <c r="AB966" i="2"/>
  <c r="AB967" i="2"/>
  <c r="AB970" i="2"/>
  <c r="AB971" i="2"/>
  <c r="AB972" i="2"/>
  <c r="AB975" i="2"/>
  <c r="AB976" i="2"/>
  <c r="AB978" i="2"/>
  <c r="AB979" i="2"/>
  <c r="AB982" i="2"/>
  <c r="AB983" i="2"/>
  <c r="AB984" i="2"/>
  <c r="AB987" i="2"/>
  <c r="AB988" i="2"/>
  <c r="AB990" i="2"/>
  <c r="AB991" i="2"/>
  <c r="AB994" i="2"/>
  <c r="AB995" i="2"/>
  <c r="AB996" i="2"/>
  <c r="AB997" i="2"/>
  <c r="AB999" i="2"/>
  <c r="AB1000" i="2"/>
  <c r="AB1002" i="2"/>
  <c r="AB1003" i="2"/>
  <c r="AB1004" i="2"/>
  <c r="AB1006" i="2"/>
  <c r="AB1007" i="2"/>
  <c r="AB1008" i="2"/>
  <c r="AB1011" i="2"/>
  <c r="AB1012" i="2"/>
  <c r="AB1014" i="2"/>
  <c r="AB1015" i="2"/>
  <c r="AB1017" i="2"/>
  <c r="AB1018" i="2"/>
  <c r="AB1019" i="2"/>
  <c r="AB1020" i="2"/>
  <c r="AB1023" i="2"/>
  <c r="AB1024" i="2"/>
  <c r="AB1026" i="2"/>
  <c r="AB1027" i="2"/>
  <c r="AB1028" i="2"/>
  <c r="AB1030" i="2"/>
  <c r="AB1031" i="2"/>
  <c r="AB1032" i="2"/>
  <c r="AB1035" i="2"/>
  <c r="AB1036" i="2"/>
  <c r="AB1038" i="2"/>
  <c r="AB1039" i="2"/>
  <c r="AB1041" i="2"/>
  <c r="AB1042" i="2"/>
  <c r="AB1043" i="2"/>
  <c r="AB1044" i="2"/>
  <c r="AB1047" i="2"/>
  <c r="AB1048" i="2"/>
  <c r="AB1050" i="2"/>
  <c r="AB1051" i="2"/>
  <c r="AB1054" i="2"/>
  <c r="AB1055" i="2"/>
  <c r="AB1056" i="2"/>
  <c r="AB1059" i="2"/>
  <c r="AB1060" i="2"/>
  <c r="AB1062" i="2"/>
  <c r="AB1063" i="2"/>
  <c r="AB1066" i="2"/>
  <c r="AB1067" i="2"/>
  <c r="AB1068" i="2"/>
  <c r="AB1069" i="2"/>
  <c r="AB1071" i="2"/>
  <c r="AB1072" i="2"/>
  <c r="AB1074" i="2"/>
  <c r="AB1075" i="2"/>
  <c r="AB1076" i="2"/>
  <c r="AB1078" i="2"/>
  <c r="AB1079" i="2"/>
  <c r="AB1080" i="2"/>
  <c r="AB1083" i="2"/>
  <c r="AB1084" i="2"/>
  <c r="AB1086" i="2"/>
  <c r="AB1087" i="2"/>
  <c r="AB1088" i="2"/>
  <c r="AB1089" i="2"/>
  <c r="AB1090" i="2"/>
  <c r="AB1091" i="2"/>
  <c r="AB1092" i="2"/>
  <c r="AB1093" i="2"/>
  <c r="AB1095" i="2"/>
  <c r="AB1096" i="2"/>
  <c r="AB1098" i="2"/>
  <c r="AB1099" i="2"/>
  <c r="AB1102" i="2"/>
  <c r="AB1103" i="2"/>
  <c r="AB1104" i="2"/>
  <c r="AB1107" i="2"/>
  <c r="AB1108" i="2"/>
  <c r="AB1110" i="2"/>
  <c r="AB1111" i="2"/>
  <c r="AB1114" i="2"/>
  <c r="AB1115" i="2"/>
  <c r="AB1116" i="2"/>
  <c r="AB1119" i="2"/>
  <c r="AB1120" i="2"/>
  <c r="AB1122" i="2"/>
  <c r="AB1123" i="2"/>
  <c r="AB1126" i="2"/>
  <c r="AB1127" i="2"/>
  <c r="AB1128" i="2"/>
  <c r="AB1131" i="2"/>
  <c r="AB1132" i="2"/>
  <c r="AB1134" i="2"/>
  <c r="AB1135" i="2"/>
  <c r="AB1138" i="2"/>
  <c r="AB1139" i="2"/>
  <c r="AB1140" i="2"/>
  <c r="AB1141" i="2"/>
  <c r="AB1143" i="2"/>
  <c r="AB1144" i="2"/>
  <c r="AB1146" i="2"/>
  <c r="AB1147" i="2"/>
  <c r="AB1148" i="2"/>
  <c r="AB1150" i="2"/>
  <c r="AB1151" i="2"/>
  <c r="AB1152" i="2"/>
  <c r="AB1155" i="2"/>
  <c r="AB1156" i="2"/>
  <c r="AB1158" i="2"/>
  <c r="AB1159" i="2"/>
  <c r="AB1161" i="2"/>
  <c r="AB1162" i="2"/>
  <c r="AB1163" i="2"/>
  <c r="AB1164" i="2"/>
  <c r="AB1167" i="2"/>
  <c r="AB1168" i="2"/>
  <c r="AB1170" i="2"/>
  <c r="AB1171" i="2"/>
  <c r="AB1172" i="2"/>
  <c r="AB1174" i="2"/>
  <c r="AB1175" i="2"/>
  <c r="AB1176" i="2"/>
  <c r="AB1179" i="2"/>
  <c r="AB1180" i="2"/>
  <c r="AB1182" i="2"/>
  <c r="AB1183" i="2"/>
  <c r="AB1185" i="2"/>
  <c r="AB1186" i="2"/>
  <c r="AB1187" i="2"/>
  <c r="AB1188" i="2"/>
  <c r="AB1191" i="2"/>
  <c r="AB1192" i="2"/>
  <c r="AB1194" i="2"/>
  <c r="AB1195" i="2"/>
  <c r="AB1198" i="2"/>
  <c r="AB1199" i="2"/>
  <c r="AB1200" i="2"/>
  <c r="AB1203" i="2"/>
  <c r="AB1204" i="2"/>
  <c r="AB1206" i="2"/>
  <c r="AB1207" i="2"/>
  <c r="AB1210" i="2"/>
  <c r="AB1211" i="2"/>
  <c r="AB1212" i="2"/>
  <c r="AB1213" i="2"/>
  <c r="AB1215" i="2"/>
  <c r="AB1216" i="2"/>
  <c r="AB1218" i="2"/>
  <c r="AB1219" i="2"/>
  <c r="AB1220" i="2"/>
  <c r="AB1222" i="2"/>
  <c r="AB1223" i="2"/>
  <c r="AB1224" i="2"/>
  <c r="AB1227" i="2"/>
  <c r="AB1228" i="2"/>
  <c r="AB1230" i="2"/>
  <c r="AB1231" i="2"/>
  <c r="AB1232" i="2"/>
  <c r="AB1233" i="2"/>
  <c r="AB1234" i="2"/>
  <c r="AB1235" i="2"/>
  <c r="AB1236" i="2"/>
  <c r="AB1237" i="2"/>
  <c r="AB1239" i="2"/>
  <c r="AB1240" i="2"/>
  <c r="AB1242" i="2"/>
  <c r="AB1243" i="2"/>
  <c r="AB1246" i="2"/>
  <c r="AB1247" i="2"/>
  <c r="AB1248" i="2"/>
  <c r="AB1251" i="2"/>
  <c r="AB1252" i="2"/>
  <c r="AB1254" i="2"/>
  <c r="AB1255" i="2"/>
  <c r="AB1258" i="2"/>
  <c r="AB1259" i="2"/>
  <c r="AB1260" i="2"/>
  <c r="AB1263" i="2"/>
  <c r="AB1264" i="2"/>
  <c r="AB1266" i="2"/>
  <c r="AB1267" i="2"/>
  <c r="AB1270" i="2"/>
  <c r="AB1271" i="2"/>
  <c r="AB1272" i="2"/>
  <c r="AB1275" i="2"/>
  <c r="AB1276" i="2"/>
  <c r="AB1278" i="2"/>
  <c r="AB1279" i="2"/>
  <c r="AB1282" i="2"/>
  <c r="AB1283" i="2"/>
  <c r="AB1284" i="2"/>
  <c r="AB1285" i="2"/>
  <c r="AB1287" i="2"/>
  <c r="AB1288" i="2"/>
  <c r="AB1290" i="2"/>
  <c r="AB1291" i="2"/>
  <c r="AB1292" i="2"/>
  <c r="AB1294" i="2"/>
  <c r="AB1295" i="2"/>
  <c r="AB1296" i="2"/>
  <c r="AB1299" i="2"/>
  <c r="AB1300" i="2"/>
  <c r="AB1302" i="2"/>
  <c r="AB1303" i="2"/>
  <c r="AB1305" i="2"/>
  <c r="AB1306" i="2"/>
  <c r="AB1307" i="2"/>
  <c r="AB1308" i="2"/>
  <c r="AB1311" i="2"/>
  <c r="AB1312" i="2"/>
  <c r="AB1314" i="2"/>
  <c r="AB1315" i="2"/>
  <c r="AB1316" i="2"/>
  <c r="AB1318" i="2"/>
  <c r="AB1319" i="2"/>
  <c r="AB1320" i="2"/>
  <c r="AB1323" i="2"/>
  <c r="AB1324" i="2"/>
  <c r="AB1326" i="2"/>
  <c r="AB1327" i="2"/>
  <c r="AB1329" i="2"/>
  <c r="AB1330" i="2"/>
  <c r="AB1331" i="2"/>
  <c r="AB1332" i="2"/>
  <c r="AB1335" i="2"/>
  <c r="AB1336" i="2"/>
  <c r="AB1338" i="2"/>
  <c r="AB1339" i="2"/>
  <c r="AB1342" i="2"/>
  <c r="AB1343" i="2"/>
  <c r="AB1344" i="2"/>
  <c r="AB1347" i="2"/>
  <c r="AB1348" i="2"/>
  <c r="AB1350" i="2"/>
  <c r="AB1351" i="2"/>
  <c r="AB1354" i="2"/>
  <c r="AB1355" i="2"/>
  <c r="AB1356" i="2"/>
  <c r="AB1357" i="2"/>
  <c r="AB1359" i="2"/>
  <c r="AB1360" i="2"/>
  <c r="AB1362" i="2"/>
  <c r="AB1363" i="2"/>
  <c r="AB1364" i="2"/>
  <c r="AB1366" i="2"/>
  <c r="AB1367" i="2"/>
  <c r="AB1368" i="2"/>
  <c r="AB1371" i="2"/>
  <c r="AB1372" i="2"/>
  <c r="AB1374" i="2"/>
  <c r="AB1375" i="2"/>
  <c r="AB1376" i="2"/>
  <c r="AB1377" i="2"/>
  <c r="AB1378" i="2"/>
  <c r="AB1379" i="2"/>
  <c r="AB1380" i="2"/>
  <c r="AB1381" i="2"/>
  <c r="AB1383" i="2"/>
  <c r="AB1384" i="2"/>
  <c r="AB1386" i="2"/>
  <c r="AB1387" i="2"/>
  <c r="AB1390" i="2"/>
  <c r="AB1391" i="2"/>
  <c r="AB1392" i="2"/>
  <c r="AB1395" i="2"/>
  <c r="AB1396" i="2"/>
  <c r="AB1398" i="2"/>
  <c r="AB1399" i="2"/>
  <c r="AB1402" i="2"/>
  <c r="AB1403" i="2"/>
  <c r="AB1404" i="2"/>
  <c r="AB1407" i="2"/>
  <c r="AB1408" i="2"/>
  <c r="AB1410" i="2"/>
  <c r="AB1411" i="2"/>
  <c r="AB1414" i="2"/>
  <c r="AB1415" i="2"/>
  <c r="AB1416" i="2"/>
  <c r="AB1419" i="2"/>
  <c r="AB1420" i="2"/>
  <c r="AB1422" i="2"/>
  <c r="AB1423" i="2"/>
  <c r="AB1426" i="2"/>
  <c r="AB1427" i="2"/>
  <c r="AB1428" i="2"/>
  <c r="AB1429" i="2"/>
  <c r="AB1431" i="2"/>
  <c r="AB1432" i="2"/>
  <c r="AB1434" i="2"/>
  <c r="AB1435" i="2"/>
  <c r="AB1436" i="2"/>
  <c r="AB1438" i="2"/>
  <c r="AB1439" i="2"/>
  <c r="AB1440" i="2"/>
  <c r="AB1443" i="2"/>
  <c r="AB1444" i="2"/>
  <c r="AB1446" i="2"/>
  <c r="AB1447" i="2"/>
  <c r="AB1449" i="2"/>
  <c r="AB1450" i="2"/>
  <c r="AB1451" i="2"/>
  <c r="AB1452" i="2"/>
  <c r="AB1455" i="2"/>
  <c r="AB1456" i="2"/>
  <c r="AB1458" i="2"/>
  <c r="AB1459" i="2"/>
  <c r="AB1460" i="2"/>
  <c r="AB1462" i="2"/>
  <c r="AB1463" i="2"/>
  <c r="AB1464" i="2"/>
  <c r="AB1467" i="2"/>
  <c r="AB1468" i="2"/>
  <c r="AB1470" i="2"/>
  <c r="AB1471" i="2"/>
  <c r="AB1473" i="2"/>
  <c r="AB1474" i="2"/>
  <c r="AB1475" i="2"/>
  <c r="AB1476" i="2"/>
  <c r="AB1479" i="2"/>
  <c r="AB1480" i="2"/>
  <c r="AB1482" i="2"/>
  <c r="AB1483" i="2"/>
  <c r="AB1486" i="2"/>
  <c r="AB1487" i="2"/>
  <c r="AB1488" i="2"/>
  <c r="AB1491" i="2"/>
  <c r="AB1492" i="2"/>
  <c r="AB1494" i="2"/>
  <c r="AB1495" i="2"/>
  <c r="AB1498" i="2"/>
  <c r="AB1499" i="2"/>
  <c r="AB1500" i="2"/>
  <c r="AB1501" i="2"/>
  <c r="AB1503" i="2"/>
  <c r="AB1504" i="2"/>
  <c r="AB1506" i="2"/>
  <c r="AB1507" i="2"/>
  <c r="AB1508" i="2"/>
  <c r="AB1510" i="2"/>
  <c r="AB1511" i="2"/>
  <c r="AB1512" i="2"/>
  <c r="AB1515" i="2"/>
  <c r="AB1516" i="2"/>
  <c r="AB1518" i="2"/>
  <c r="AB1519" i="2"/>
  <c r="AB1520" i="2"/>
  <c r="AB1521" i="2"/>
  <c r="AB1522" i="2"/>
  <c r="AB1523" i="2"/>
  <c r="AB1524" i="2"/>
  <c r="AB1525" i="2"/>
  <c r="AB1527" i="2"/>
  <c r="AB1528" i="2"/>
  <c r="AB1530" i="2"/>
  <c r="AB1531" i="2"/>
  <c r="AB1534" i="2"/>
  <c r="AB1535" i="2"/>
  <c r="AB1536" i="2"/>
  <c r="AB1539" i="2"/>
  <c r="AB1540" i="2"/>
  <c r="AB1542" i="2"/>
  <c r="AB1543" i="2"/>
  <c r="AB1546" i="2"/>
  <c r="AB1547" i="2"/>
  <c r="AB1548" i="2"/>
  <c r="AB1551" i="2"/>
  <c r="AB1552" i="2"/>
  <c r="AB1554" i="2"/>
  <c r="AB1555" i="2"/>
  <c r="AB1558" i="2"/>
  <c r="AB1559" i="2"/>
  <c r="AB1560" i="2"/>
  <c r="AB1563" i="2"/>
  <c r="AB1564" i="2"/>
  <c r="AB1566" i="2"/>
  <c r="AB1567" i="2"/>
  <c r="AB1570" i="2"/>
  <c r="AB1571" i="2"/>
  <c r="AB1572" i="2"/>
  <c r="AB1573" i="2"/>
  <c r="AB1575" i="2"/>
  <c r="AB1576" i="2"/>
  <c r="AB1578" i="2"/>
  <c r="AB1579" i="2"/>
  <c r="AB1580" i="2"/>
  <c r="AB1582" i="2"/>
  <c r="AB1583" i="2"/>
  <c r="AB1584" i="2"/>
  <c r="AB1587" i="2"/>
  <c r="AB1588" i="2"/>
  <c r="AB1590" i="2"/>
  <c r="AB1591" i="2"/>
  <c r="AB1593" i="2"/>
  <c r="AB1594" i="2"/>
  <c r="AB1595" i="2"/>
  <c r="AB1596" i="2"/>
  <c r="AB1599" i="2"/>
  <c r="AB1600" i="2"/>
  <c r="AB1602" i="2"/>
  <c r="AB1603" i="2"/>
  <c r="AB1604" i="2"/>
  <c r="AB1606" i="2"/>
  <c r="AB1607" i="2"/>
  <c r="AB1608" i="2"/>
  <c r="AB1611" i="2"/>
  <c r="AB1612" i="2"/>
  <c r="AB1614" i="2"/>
  <c r="AB1615" i="2"/>
  <c r="AB1618" i="2"/>
  <c r="AB1619" i="2"/>
  <c r="AB1620" i="2"/>
  <c r="AB1623" i="2"/>
  <c r="AB1624" i="2"/>
  <c r="AB1626" i="2"/>
  <c r="AB1627" i="2"/>
  <c r="AB1628" i="2"/>
  <c r="AB1630" i="2"/>
  <c r="AB1631" i="2"/>
  <c r="AB1632" i="2"/>
  <c r="AB1635" i="2"/>
  <c r="AB1636" i="2"/>
  <c r="AB1638" i="2"/>
  <c r="AB1639" i="2"/>
  <c r="AB1642" i="2"/>
  <c r="AB1643" i="2"/>
  <c r="AB1644" i="2"/>
  <c r="AB1647" i="2"/>
  <c r="AB1648" i="2"/>
  <c r="AB1650" i="2"/>
  <c r="AB1651" i="2"/>
  <c r="AB1654" i="2"/>
  <c r="AB1655" i="2"/>
  <c r="AB1656" i="2"/>
  <c r="AB1659" i="2"/>
  <c r="AB1660" i="2"/>
  <c r="AB1662" i="2"/>
  <c r="AB1663" i="2"/>
  <c r="AB1664" i="2"/>
  <c r="AB1666" i="2"/>
  <c r="AB1667" i="2"/>
  <c r="AB1668" i="2"/>
  <c r="AB1671" i="2"/>
  <c r="AB1672" i="2"/>
  <c r="AB1674" i="2"/>
  <c r="AB1675" i="2"/>
  <c r="AB1676" i="2"/>
  <c r="AB1678" i="2"/>
  <c r="AB1679" i="2"/>
  <c r="AB1680" i="2"/>
  <c r="AB1683" i="2"/>
  <c r="AB1684" i="2"/>
  <c r="AB1686" i="2"/>
  <c r="AB1687" i="2"/>
  <c r="AB1690" i="2"/>
  <c r="AB1691" i="2"/>
  <c r="AB1692" i="2"/>
  <c r="AB1695" i="2"/>
  <c r="AB1696" i="2"/>
  <c r="AB1698" i="2"/>
  <c r="AB1699" i="2"/>
  <c r="AB1700" i="2"/>
  <c r="AB1702" i="2"/>
  <c r="AB1703" i="2"/>
  <c r="AB1704" i="2"/>
  <c r="AB1707" i="2"/>
  <c r="AB1708" i="2"/>
  <c r="AB1710" i="2"/>
  <c r="AB1711" i="2"/>
  <c r="AB1714" i="2"/>
  <c r="AB1715" i="2"/>
  <c r="AB1716" i="2"/>
  <c r="AB1719" i="2"/>
  <c r="AB1720" i="2"/>
  <c r="AB1722" i="2"/>
  <c r="AB1723" i="2"/>
  <c r="AB1726" i="2"/>
  <c r="AB1727" i="2"/>
  <c r="AB1728" i="2"/>
  <c r="AB1731" i="2"/>
  <c r="AB1732" i="2"/>
  <c r="AB1734" i="2"/>
  <c r="AB1735" i="2"/>
  <c r="AB1736" i="2"/>
  <c r="AB1738" i="2"/>
  <c r="AB1739" i="2"/>
  <c r="AB1740" i="2"/>
  <c r="AB1743" i="2"/>
  <c r="AB1744" i="2"/>
  <c r="AB1746" i="2"/>
  <c r="AB1747" i="2"/>
  <c r="AB1748" i="2"/>
  <c r="AB1750" i="2"/>
  <c r="AB1751" i="2"/>
  <c r="AB1752" i="2"/>
  <c r="AB1755" i="2"/>
  <c r="AB1756" i="2"/>
  <c r="AB1758" i="2"/>
  <c r="AB1759" i="2"/>
  <c r="AB1762" i="2"/>
  <c r="AB1763" i="2"/>
  <c r="AB1764" i="2"/>
  <c r="AB1767" i="2"/>
  <c r="AB1768" i="2"/>
  <c r="AB1770" i="2"/>
  <c r="AB1771" i="2"/>
  <c r="AB1772" i="2"/>
  <c r="AB1774" i="2"/>
  <c r="AB1775" i="2"/>
  <c r="AB1776" i="2"/>
  <c r="AB1779" i="2"/>
  <c r="AB1780" i="2"/>
  <c r="AB1782" i="2"/>
  <c r="AB1783" i="2"/>
  <c r="AB1786" i="2"/>
  <c r="AB1787" i="2"/>
  <c r="AB1788" i="2"/>
  <c r="AB1791" i="2"/>
  <c r="AB1792" i="2"/>
  <c r="AB1794" i="2"/>
  <c r="AB1795" i="2"/>
  <c r="AB1798" i="2"/>
  <c r="AB1799" i="2"/>
  <c r="AB1800" i="2"/>
  <c r="AB1803" i="2"/>
  <c r="AB1804" i="2"/>
  <c r="AB1806" i="2"/>
  <c r="AB1807" i="2"/>
  <c r="AB1808" i="2"/>
  <c r="AB1810" i="2"/>
  <c r="AB1811" i="2"/>
  <c r="AB1812" i="2"/>
  <c r="AB1815" i="2"/>
  <c r="AB1816" i="2"/>
  <c r="AB1818" i="2"/>
  <c r="AB1819" i="2"/>
  <c r="AB1820" i="2"/>
  <c r="AB1822" i="2"/>
  <c r="AB1823" i="2"/>
  <c r="AB1824" i="2"/>
  <c r="AB1827" i="2"/>
  <c r="AB1828" i="2"/>
  <c r="AB1830" i="2"/>
  <c r="AB1831" i="2"/>
  <c r="AB1834" i="2"/>
  <c r="AB1835" i="2"/>
  <c r="AB1836" i="2"/>
  <c r="AB1839" i="2"/>
  <c r="AB1840" i="2"/>
  <c r="AB1842" i="2"/>
  <c r="AB1843" i="2"/>
  <c r="AB1844" i="2"/>
  <c r="AB1846" i="2"/>
  <c r="AB1847" i="2"/>
  <c r="AB1848" i="2"/>
  <c r="AB1851" i="2"/>
  <c r="AB1852" i="2"/>
  <c r="AB1854" i="2"/>
  <c r="AB1855" i="2"/>
  <c r="AB1858" i="2"/>
  <c r="AB1859" i="2"/>
  <c r="AB1860" i="2"/>
  <c r="AB1863" i="2"/>
  <c r="AB1864" i="2"/>
  <c r="AB1866" i="2"/>
  <c r="AB1867" i="2"/>
  <c r="AB1870" i="2"/>
  <c r="AB1871" i="2"/>
  <c r="AB1872" i="2"/>
  <c r="AB1875" i="2"/>
  <c r="AB1876" i="2"/>
  <c r="AB1878" i="2"/>
  <c r="AB1879" i="2"/>
  <c r="AB1880" i="2"/>
  <c r="AB1882" i="2"/>
  <c r="AB1883" i="2"/>
  <c r="AB1884" i="2"/>
  <c r="AB1887" i="2"/>
  <c r="AB1888" i="2"/>
  <c r="AB1890" i="2"/>
  <c r="AB1891" i="2"/>
  <c r="AB1892" i="2"/>
  <c r="AB3" i="2"/>
  <c r="C23" i="4"/>
  <c r="C24" i="4"/>
  <c r="C25" i="4"/>
  <c r="C26" i="4"/>
  <c r="C22" i="4"/>
  <c r="C17" i="4"/>
  <c r="C18" i="4"/>
  <c r="C19" i="4"/>
  <c r="C20" i="4"/>
  <c r="C16" i="4"/>
  <c r="C11" i="4"/>
  <c r="C12" i="4"/>
  <c r="C13" i="4"/>
  <c r="C14" i="4"/>
  <c r="C10" i="4"/>
  <c r="C6" i="4"/>
  <c r="C7" i="4"/>
  <c r="C8" i="4"/>
  <c r="C5" i="4"/>
  <c r="C4" i="4"/>
  <c r="O103" i="4" l="1"/>
  <c r="O102" i="4"/>
  <c r="O105" i="4"/>
  <c r="O104" i="4"/>
  <c r="I6" i="4"/>
  <c r="F20" i="4"/>
  <c r="I10" i="4"/>
  <c r="AD4" i="2"/>
  <c r="F19" i="4"/>
  <c r="I12" i="4"/>
  <c r="F21" i="4"/>
  <c r="I4" i="4"/>
  <c r="I8" i="4"/>
  <c r="I11" i="4"/>
  <c r="I9" i="4"/>
  <c r="I5" i="4"/>
  <c r="I7" i="4"/>
  <c r="F27" i="4"/>
  <c r="F26" i="4"/>
  <c r="F25" i="4"/>
  <c r="F24" i="4"/>
  <c r="F23" i="4"/>
  <c r="F8" i="4"/>
  <c r="F10" i="4"/>
  <c r="F22" i="4"/>
  <c r="F12" i="4"/>
  <c r="F9" i="4"/>
  <c r="F7" i="4"/>
  <c r="AB14" i="2"/>
  <c r="F6" i="4"/>
  <c r="F5" i="4"/>
  <c r="F4" i="4"/>
  <c r="F11" i="4"/>
  <c r="E5" i="3"/>
  <c r="E4" i="3"/>
  <c r="F29" i="4" l="1"/>
  <c r="I14" i="4"/>
  <c r="F14" i="4"/>
  <c r="O35" i="3" l="1"/>
  <c r="O34" i="3"/>
  <c r="O33" i="3"/>
  <c r="O32" i="3"/>
  <c r="O31" i="3"/>
  <c r="O30" i="3"/>
  <c r="O29" i="3"/>
  <c r="O28" i="3"/>
  <c r="O27" i="3"/>
  <c r="U4" i="2" l="1"/>
  <c r="X4" i="2" s="1"/>
  <c r="U5" i="2"/>
  <c r="X5" i="2" s="1"/>
  <c r="U6" i="2"/>
  <c r="X6" i="2" s="1"/>
  <c r="U7" i="2"/>
  <c r="X7" i="2" s="1"/>
  <c r="U8" i="2"/>
  <c r="X8" i="2" s="1"/>
  <c r="U9" i="2"/>
  <c r="X9" i="2" s="1"/>
  <c r="U10" i="2"/>
  <c r="X10" i="2" s="1"/>
  <c r="U11" i="2"/>
  <c r="X11" i="2" s="1"/>
  <c r="U12" i="2"/>
  <c r="X12" i="2" s="1"/>
  <c r="U13" i="2"/>
  <c r="X13" i="2" s="1"/>
  <c r="U14" i="2"/>
  <c r="X14" i="2" s="1"/>
  <c r="U15" i="2"/>
  <c r="X15" i="2" s="1"/>
  <c r="U16" i="2"/>
  <c r="X16" i="2" s="1"/>
  <c r="U17" i="2"/>
  <c r="X17" i="2" s="1"/>
  <c r="U18" i="2"/>
  <c r="X18" i="2" s="1"/>
  <c r="U19" i="2"/>
  <c r="X19" i="2" s="1"/>
  <c r="U20" i="2"/>
  <c r="X20" i="2" s="1"/>
  <c r="U21" i="2"/>
  <c r="X21" i="2" s="1"/>
  <c r="U22" i="2"/>
  <c r="X22" i="2" s="1"/>
  <c r="U23" i="2"/>
  <c r="X23" i="2" s="1"/>
  <c r="U24" i="2"/>
  <c r="X24" i="2" s="1"/>
  <c r="U25" i="2"/>
  <c r="X25" i="2" s="1"/>
  <c r="U26" i="2"/>
  <c r="X26" i="2" s="1"/>
  <c r="U27" i="2"/>
  <c r="X27" i="2" s="1"/>
  <c r="U28" i="2"/>
  <c r="X28" i="2" s="1"/>
  <c r="U29" i="2"/>
  <c r="X29" i="2" s="1"/>
  <c r="U30" i="2"/>
  <c r="X30" i="2" s="1"/>
  <c r="U31" i="2"/>
  <c r="X31" i="2" s="1"/>
  <c r="U32" i="2"/>
  <c r="X32" i="2" s="1"/>
  <c r="U33" i="2"/>
  <c r="X33" i="2" s="1"/>
  <c r="U34" i="2"/>
  <c r="X34" i="2" s="1"/>
  <c r="U35" i="2"/>
  <c r="X35" i="2" s="1"/>
  <c r="U36" i="2"/>
  <c r="X36" i="2" s="1"/>
  <c r="U37" i="2"/>
  <c r="X37" i="2" s="1"/>
  <c r="U38" i="2"/>
  <c r="X38" i="2" s="1"/>
  <c r="U39" i="2"/>
  <c r="X39" i="2" s="1"/>
  <c r="U40" i="2"/>
  <c r="X40" i="2" s="1"/>
  <c r="U41" i="2"/>
  <c r="X41" i="2" s="1"/>
  <c r="U42" i="2"/>
  <c r="X42" i="2" s="1"/>
  <c r="U43" i="2"/>
  <c r="X43" i="2" s="1"/>
  <c r="U44" i="2"/>
  <c r="X44" i="2" s="1"/>
  <c r="U45" i="2"/>
  <c r="X45" i="2" s="1"/>
  <c r="U46" i="2"/>
  <c r="X46" i="2" s="1"/>
  <c r="U47" i="2"/>
  <c r="X47" i="2" s="1"/>
  <c r="U48" i="2"/>
  <c r="X48" i="2" s="1"/>
  <c r="U49" i="2"/>
  <c r="X49" i="2" s="1"/>
  <c r="U50" i="2"/>
  <c r="X50" i="2" s="1"/>
  <c r="U51" i="2"/>
  <c r="X51" i="2" s="1"/>
  <c r="U52" i="2"/>
  <c r="X52" i="2" s="1"/>
  <c r="U53" i="2"/>
  <c r="X53" i="2" s="1"/>
  <c r="U54" i="2"/>
  <c r="X54" i="2" s="1"/>
  <c r="U55" i="2"/>
  <c r="X55" i="2" s="1"/>
  <c r="U56" i="2"/>
  <c r="X56" i="2" s="1"/>
  <c r="U57" i="2"/>
  <c r="X57" i="2" s="1"/>
  <c r="U58" i="2"/>
  <c r="X58" i="2" s="1"/>
  <c r="U59" i="2"/>
  <c r="X59" i="2" s="1"/>
  <c r="U60" i="2"/>
  <c r="X60" i="2" s="1"/>
  <c r="U61" i="2"/>
  <c r="X61" i="2" s="1"/>
  <c r="U62" i="2"/>
  <c r="X62" i="2" s="1"/>
  <c r="U63" i="2"/>
  <c r="X63" i="2" s="1"/>
  <c r="U64" i="2"/>
  <c r="X64" i="2" s="1"/>
  <c r="U65" i="2"/>
  <c r="X65" i="2" s="1"/>
  <c r="U66" i="2"/>
  <c r="X66" i="2" s="1"/>
  <c r="U67" i="2"/>
  <c r="X67" i="2" s="1"/>
  <c r="U68" i="2"/>
  <c r="X68" i="2" s="1"/>
  <c r="U69" i="2"/>
  <c r="X69" i="2" s="1"/>
  <c r="U70" i="2"/>
  <c r="X70" i="2" s="1"/>
  <c r="U71" i="2"/>
  <c r="X71" i="2" s="1"/>
  <c r="U72" i="2"/>
  <c r="X72" i="2" s="1"/>
  <c r="U73" i="2"/>
  <c r="X73" i="2" s="1"/>
  <c r="U74" i="2"/>
  <c r="X74" i="2" s="1"/>
  <c r="U75" i="2"/>
  <c r="X75" i="2" s="1"/>
  <c r="U76" i="2"/>
  <c r="X76" i="2" s="1"/>
  <c r="U77" i="2"/>
  <c r="X77" i="2" s="1"/>
  <c r="U78" i="2"/>
  <c r="X78" i="2" s="1"/>
  <c r="U79" i="2"/>
  <c r="X79" i="2" s="1"/>
  <c r="U80" i="2"/>
  <c r="X80" i="2" s="1"/>
  <c r="U81" i="2"/>
  <c r="X81" i="2" s="1"/>
  <c r="U82" i="2"/>
  <c r="X82" i="2" s="1"/>
  <c r="U83" i="2"/>
  <c r="X83" i="2" s="1"/>
  <c r="U84" i="2"/>
  <c r="X84" i="2" s="1"/>
  <c r="U85" i="2"/>
  <c r="X85" i="2" s="1"/>
  <c r="U86" i="2"/>
  <c r="X86" i="2" s="1"/>
  <c r="U87" i="2"/>
  <c r="X87" i="2" s="1"/>
  <c r="U88" i="2"/>
  <c r="X88" i="2" s="1"/>
  <c r="U89" i="2"/>
  <c r="X89" i="2" s="1"/>
  <c r="U90" i="2"/>
  <c r="X90" i="2" s="1"/>
  <c r="U91" i="2"/>
  <c r="X91" i="2" s="1"/>
  <c r="U92" i="2"/>
  <c r="X92" i="2" s="1"/>
  <c r="U93" i="2"/>
  <c r="X93" i="2" s="1"/>
  <c r="U94" i="2"/>
  <c r="X94" i="2" s="1"/>
  <c r="U95" i="2"/>
  <c r="X95" i="2" s="1"/>
  <c r="U96" i="2"/>
  <c r="X96" i="2" s="1"/>
  <c r="U97" i="2"/>
  <c r="X97" i="2" s="1"/>
  <c r="U98" i="2"/>
  <c r="X98" i="2" s="1"/>
  <c r="U99" i="2"/>
  <c r="X99" i="2" s="1"/>
  <c r="U100" i="2"/>
  <c r="X100" i="2" s="1"/>
  <c r="U101" i="2"/>
  <c r="X101" i="2" s="1"/>
  <c r="U102" i="2"/>
  <c r="X102" i="2" s="1"/>
  <c r="U103" i="2"/>
  <c r="X103" i="2" s="1"/>
  <c r="U104" i="2"/>
  <c r="X104" i="2" s="1"/>
  <c r="U105" i="2"/>
  <c r="X105" i="2" s="1"/>
  <c r="U106" i="2"/>
  <c r="X106" i="2" s="1"/>
  <c r="U107" i="2"/>
  <c r="X107" i="2" s="1"/>
  <c r="U108" i="2"/>
  <c r="X108" i="2" s="1"/>
  <c r="U109" i="2"/>
  <c r="X109" i="2" s="1"/>
  <c r="U110" i="2"/>
  <c r="X110" i="2" s="1"/>
  <c r="U111" i="2"/>
  <c r="X111" i="2" s="1"/>
  <c r="U112" i="2"/>
  <c r="X112" i="2" s="1"/>
  <c r="U113" i="2"/>
  <c r="X113" i="2" s="1"/>
  <c r="U114" i="2"/>
  <c r="X114" i="2" s="1"/>
  <c r="U115" i="2"/>
  <c r="X115" i="2" s="1"/>
  <c r="U116" i="2"/>
  <c r="X116" i="2" s="1"/>
  <c r="U117" i="2"/>
  <c r="X117" i="2" s="1"/>
  <c r="U118" i="2"/>
  <c r="X118" i="2" s="1"/>
  <c r="U119" i="2"/>
  <c r="X119" i="2" s="1"/>
  <c r="U120" i="2"/>
  <c r="X120" i="2" s="1"/>
  <c r="U121" i="2"/>
  <c r="X121" i="2" s="1"/>
  <c r="U122" i="2"/>
  <c r="X122" i="2" s="1"/>
  <c r="U123" i="2"/>
  <c r="X123" i="2" s="1"/>
  <c r="U124" i="2"/>
  <c r="X124" i="2" s="1"/>
  <c r="U125" i="2"/>
  <c r="X125" i="2" s="1"/>
  <c r="U126" i="2"/>
  <c r="X126" i="2" s="1"/>
  <c r="U127" i="2"/>
  <c r="X127" i="2" s="1"/>
  <c r="U128" i="2"/>
  <c r="X128" i="2" s="1"/>
  <c r="U129" i="2"/>
  <c r="X129" i="2" s="1"/>
  <c r="U130" i="2"/>
  <c r="X130" i="2" s="1"/>
  <c r="U131" i="2"/>
  <c r="X131" i="2" s="1"/>
  <c r="U132" i="2"/>
  <c r="X132" i="2" s="1"/>
  <c r="U133" i="2"/>
  <c r="X133" i="2" s="1"/>
  <c r="U134" i="2"/>
  <c r="X134" i="2" s="1"/>
  <c r="U135" i="2"/>
  <c r="X135" i="2" s="1"/>
  <c r="U136" i="2"/>
  <c r="X136" i="2" s="1"/>
  <c r="U137" i="2"/>
  <c r="X137" i="2" s="1"/>
  <c r="U138" i="2"/>
  <c r="X138" i="2" s="1"/>
  <c r="U139" i="2"/>
  <c r="X139" i="2" s="1"/>
  <c r="U140" i="2"/>
  <c r="X140" i="2" s="1"/>
  <c r="U141" i="2"/>
  <c r="X141" i="2" s="1"/>
  <c r="U142" i="2"/>
  <c r="X142" i="2" s="1"/>
  <c r="U143" i="2"/>
  <c r="X143" i="2" s="1"/>
  <c r="U144" i="2"/>
  <c r="X144" i="2" s="1"/>
  <c r="U145" i="2"/>
  <c r="X145" i="2" s="1"/>
  <c r="U146" i="2"/>
  <c r="X146" i="2" s="1"/>
  <c r="U147" i="2"/>
  <c r="X147" i="2" s="1"/>
  <c r="U148" i="2"/>
  <c r="X148" i="2" s="1"/>
  <c r="U149" i="2"/>
  <c r="X149" i="2" s="1"/>
  <c r="U150" i="2"/>
  <c r="X150" i="2" s="1"/>
  <c r="U151" i="2"/>
  <c r="X151" i="2" s="1"/>
  <c r="U152" i="2"/>
  <c r="X152" i="2" s="1"/>
  <c r="U153" i="2"/>
  <c r="X153" i="2" s="1"/>
  <c r="U154" i="2"/>
  <c r="X154" i="2" s="1"/>
  <c r="U155" i="2"/>
  <c r="X155" i="2" s="1"/>
  <c r="U156" i="2"/>
  <c r="X156" i="2" s="1"/>
  <c r="U157" i="2"/>
  <c r="X157" i="2" s="1"/>
  <c r="U158" i="2"/>
  <c r="X158" i="2" s="1"/>
  <c r="U159" i="2"/>
  <c r="X159" i="2" s="1"/>
  <c r="U160" i="2"/>
  <c r="X160" i="2" s="1"/>
  <c r="U161" i="2"/>
  <c r="X161" i="2" s="1"/>
  <c r="U162" i="2"/>
  <c r="X162" i="2" s="1"/>
  <c r="U163" i="2"/>
  <c r="X163" i="2" s="1"/>
  <c r="U164" i="2"/>
  <c r="X164" i="2" s="1"/>
  <c r="U165" i="2"/>
  <c r="X165" i="2" s="1"/>
  <c r="U166" i="2"/>
  <c r="X166" i="2" s="1"/>
  <c r="U167" i="2"/>
  <c r="X167" i="2" s="1"/>
  <c r="U168" i="2"/>
  <c r="X168" i="2" s="1"/>
  <c r="U169" i="2"/>
  <c r="X169" i="2" s="1"/>
  <c r="U170" i="2"/>
  <c r="X170" i="2" s="1"/>
  <c r="U171" i="2"/>
  <c r="X171" i="2" s="1"/>
  <c r="U172" i="2"/>
  <c r="X172" i="2" s="1"/>
  <c r="U173" i="2"/>
  <c r="X173" i="2" s="1"/>
  <c r="U174" i="2"/>
  <c r="X174" i="2" s="1"/>
  <c r="U175" i="2"/>
  <c r="X175" i="2" s="1"/>
  <c r="U176" i="2"/>
  <c r="X176" i="2" s="1"/>
  <c r="U177" i="2"/>
  <c r="X177" i="2" s="1"/>
  <c r="U178" i="2"/>
  <c r="X178" i="2" s="1"/>
  <c r="U179" i="2"/>
  <c r="X179" i="2" s="1"/>
  <c r="U180" i="2"/>
  <c r="X180" i="2" s="1"/>
  <c r="U181" i="2"/>
  <c r="X181" i="2" s="1"/>
  <c r="U182" i="2"/>
  <c r="X182" i="2" s="1"/>
  <c r="U183" i="2"/>
  <c r="X183" i="2" s="1"/>
  <c r="U184" i="2"/>
  <c r="X184" i="2" s="1"/>
  <c r="U185" i="2"/>
  <c r="X185" i="2" s="1"/>
  <c r="U186" i="2"/>
  <c r="X186" i="2" s="1"/>
  <c r="U187" i="2"/>
  <c r="X187" i="2" s="1"/>
  <c r="U188" i="2"/>
  <c r="X188" i="2" s="1"/>
  <c r="U189" i="2"/>
  <c r="X189" i="2" s="1"/>
  <c r="U190" i="2"/>
  <c r="X190" i="2" s="1"/>
  <c r="U191" i="2"/>
  <c r="X191" i="2" s="1"/>
  <c r="U192" i="2"/>
  <c r="X192" i="2" s="1"/>
  <c r="U193" i="2"/>
  <c r="X193" i="2" s="1"/>
  <c r="U194" i="2"/>
  <c r="X194" i="2" s="1"/>
  <c r="U195" i="2"/>
  <c r="X195" i="2" s="1"/>
  <c r="U196" i="2"/>
  <c r="X196" i="2" s="1"/>
  <c r="U197" i="2"/>
  <c r="X197" i="2" s="1"/>
  <c r="U198" i="2"/>
  <c r="X198" i="2" s="1"/>
  <c r="U199" i="2"/>
  <c r="X199" i="2" s="1"/>
  <c r="U200" i="2"/>
  <c r="X200" i="2" s="1"/>
  <c r="U201" i="2"/>
  <c r="X201" i="2" s="1"/>
  <c r="U202" i="2"/>
  <c r="X202" i="2" s="1"/>
  <c r="U203" i="2"/>
  <c r="X203" i="2" s="1"/>
  <c r="U204" i="2"/>
  <c r="X204" i="2" s="1"/>
  <c r="U205" i="2"/>
  <c r="X205" i="2" s="1"/>
  <c r="U206" i="2"/>
  <c r="X206" i="2" s="1"/>
  <c r="U207" i="2"/>
  <c r="X207" i="2" s="1"/>
  <c r="U208" i="2"/>
  <c r="X208" i="2" s="1"/>
  <c r="U209" i="2"/>
  <c r="X209" i="2" s="1"/>
  <c r="U210" i="2"/>
  <c r="X210" i="2" s="1"/>
  <c r="U211" i="2"/>
  <c r="X211" i="2" s="1"/>
  <c r="U212" i="2"/>
  <c r="X212" i="2" s="1"/>
  <c r="U213" i="2"/>
  <c r="X213" i="2" s="1"/>
  <c r="U214" i="2"/>
  <c r="X214" i="2" s="1"/>
  <c r="U215" i="2"/>
  <c r="X215" i="2" s="1"/>
  <c r="U216" i="2"/>
  <c r="X216" i="2" s="1"/>
  <c r="U217" i="2"/>
  <c r="X217" i="2" s="1"/>
  <c r="U218" i="2"/>
  <c r="X218" i="2" s="1"/>
  <c r="U219" i="2"/>
  <c r="X219" i="2" s="1"/>
  <c r="U220" i="2"/>
  <c r="X220" i="2" s="1"/>
  <c r="U221" i="2"/>
  <c r="X221" i="2" s="1"/>
  <c r="U222" i="2"/>
  <c r="X222" i="2" s="1"/>
  <c r="U223" i="2"/>
  <c r="X223" i="2" s="1"/>
  <c r="U224" i="2"/>
  <c r="X224" i="2" s="1"/>
  <c r="U225" i="2"/>
  <c r="X225" i="2" s="1"/>
  <c r="U226" i="2"/>
  <c r="X226" i="2" s="1"/>
  <c r="U227" i="2"/>
  <c r="X227" i="2" s="1"/>
  <c r="U228" i="2"/>
  <c r="X228" i="2" s="1"/>
  <c r="U229" i="2"/>
  <c r="X229" i="2" s="1"/>
  <c r="U230" i="2"/>
  <c r="X230" i="2" s="1"/>
  <c r="U231" i="2"/>
  <c r="X231" i="2" s="1"/>
  <c r="U232" i="2"/>
  <c r="X232" i="2" s="1"/>
  <c r="U233" i="2"/>
  <c r="X233" i="2" s="1"/>
  <c r="U234" i="2"/>
  <c r="X234" i="2" s="1"/>
  <c r="U235" i="2"/>
  <c r="X235" i="2" s="1"/>
  <c r="U236" i="2"/>
  <c r="X236" i="2" s="1"/>
  <c r="U237" i="2"/>
  <c r="X237" i="2" s="1"/>
  <c r="U238" i="2"/>
  <c r="X238" i="2" s="1"/>
  <c r="U239" i="2"/>
  <c r="X239" i="2" s="1"/>
  <c r="U240" i="2"/>
  <c r="X240" i="2" s="1"/>
  <c r="U241" i="2"/>
  <c r="X241" i="2" s="1"/>
  <c r="U242" i="2"/>
  <c r="X242" i="2" s="1"/>
  <c r="U243" i="2"/>
  <c r="X243" i="2" s="1"/>
  <c r="U244" i="2"/>
  <c r="X244" i="2" s="1"/>
  <c r="U245" i="2"/>
  <c r="X245" i="2" s="1"/>
  <c r="U246" i="2"/>
  <c r="X246" i="2" s="1"/>
  <c r="U247" i="2"/>
  <c r="X247" i="2" s="1"/>
  <c r="U248" i="2"/>
  <c r="X248" i="2" s="1"/>
  <c r="U249" i="2"/>
  <c r="X249" i="2" s="1"/>
  <c r="U250" i="2"/>
  <c r="X250" i="2" s="1"/>
  <c r="U251" i="2"/>
  <c r="X251" i="2" s="1"/>
  <c r="U252" i="2"/>
  <c r="X252" i="2" s="1"/>
  <c r="U253" i="2"/>
  <c r="X253" i="2" s="1"/>
  <c r="U254" i="2"/>
  <c r="X254" i="2" s="1"/>
  <c r="U255" i="2"/>
  <c r="X255" i="2" s="1"/>
  <c r="U256" i="2"/>
  <c r="X256" i="2" s="1"/>
  <c r="U257" i="2"/>
  <c r="X257" i="2" s="1"/>
  <c r="U258" i="2"/>
  <c r="X258" i="2" s="1"/>
  <c r="U259" i="2"/>
  <c r="X259" i="2" s="1"/>
  <c r="U260" i="2"/>
  <c r="X260" i="2" s="1"/>
  <c r="U261" i="2"/>
  <c r="X261" i="2" s="1"/>
  <c r="U262" i="2"/>
  <c r="X262" i="2" s="1"/>
  <c r="U263" i="2"/>
  <c r="X263" i="2" s="1"/>
  <c r="U264" i="2"/>
  <c r="X264" i="2" s="1"/>
  <c r="U265" i="2"/>
  <c r="X265" i="2" s="1"/>
  <c r="U266" i="2"/>
  <c r="X266" i="2" s="1"/>
  <c r="U267" i="2"/>
  <c r="X267" i="2" s="1"/>
  <c r="U268" i="2"/>
  <c r="X268" i="2" s="1"/>
  <c r="U269" i="2"/>
  <c r="X269" i="2" s="1"/>
  <c r="U270" i="2"/>
  <c r="X270" i="2" s="1"/>
  <c r="U271" i="2"/>
  <c r="X271" i="2" s="1"/>
  <c r="U272" i="2"/>
  <c r="X272" i="2" s="1"/>
  <c r="U273" i="2"/>
  <c r="X273" i="2" s="1"/>
  <c r="U274" i="2"/>
  <c r="X274" i="2" s="1"/>
  <c r="U275" i="2"/>
  <c r="X275" i="2" s="1"/>
  <c r="U276" i="2"/>
  <c r="X276" i="2" s="1"/>
  <c r="U277" i="2"/>
  <c r="X277" i="2" s="1"/>
  <c r="U278" i="2"/>
  <c r="X278" i="2" s="1"/>
  <c r="U279" i="2"/>
  <c r="X279" i="2" s="1"/>
  <c r="U280" i="2"/>
  <c r="X280" i="2" s="1"/>
  <c r="U281" i="2"/>
  <c r="X281" i="2" s="1"/>
  <c r="U282" i="2"/>
  <c r="X282" i="2" s="1"/>
  <c r="U283" i="2"/>
  <c r="X283" i="2" s="1"/>
  <c r="U284" i="2"/>
  <c r="X284" i="2" s="1"/>
  <c r="U285" i="2"/>
  <c r="X285" i="2" s="1"/>
  <c r="U286" i="2"/>
  <c r="X286" i="2" s="1"/>
  <c r="U287" i="2"/>
  <c r="X287" i="2" s="1"/>
  <c r="U288" i="2"/>
  <c r="X288" i="2" s="1"/>
  <c r="U289" i="2"/>
  <c r="X289" i="2" s="1"/>
  <c r="U290" i="2"/>
  <c r="X290" i="2" s="1"/>
  <c r="U291" i="2"/>
  <c r="X291" i="2" s="1"/>
  <c r="U292" i="2"/>
  <c r="X292" i="2" s="1"/>
  <c r="U293" i="2"/>
  <c r="X293" i="2" s="1"/>
  <c r="U294" i="2"/>
  <c r="X294" i="2" s="1"/>
  <c r="U295" i="2"/>
  <c r="X295" i="2" s="1"/>
  <c r="U296" i="2"/>
  <c r="X296" i="2" s="1"/>
  <c r="U297" i="2"/>
  <c r="X297" i="2" s="1"/>
  <c r="U298" i="2"/>
  <c r="X298" i="2" s="1"/>
  <c r="U299" i="2"/>
  <c r="X299" i="2" s="1"/>
  <c r="U300" i="2"/>
  <c r="X300" i="2" s="1"/>
  <c r="U301" i="2"/>
  <c r="X301" i="2" s="1"/>
  <c r="U302" i="2"/>
  <c r="X302" i="2" s="1"/>
  <c r="U303" i="2"/>
  <c r="X303" i="2" s="1"/>
  <c r="U304" i="2"/>
  <c r="X304" i="2" s="1"/>
  <c r="U305" i="2"/>
  <c r="X305" i="2" s="1"/>
  <c r="U306" i="2"/>
  <c r="X306" i="2" s="1"/>
  <c r="U307" i="2"/>
  <c r="X307" i="2" s="1"/>
  <c r="U308" i="2"/>
  <c r="X308" i="2" s="1"/>
  <c r="U309" i="2"/>
  <c r="X309" i="2" s="1"/>
  <c r="U310" i="2"/>
  <c r="X310" i="2" s="1"/>
  <c r="U311" i="2"/>
  <c r="X311" i="2" s="1"/>
  <c r="U312" i="2"/>
  <c r="X312" i="2" s="1"/>
  <c r="U313" i="2"/>
  <c r="X313" i="2" s="1"/>
  <c r="U314" i="2"/>
  <c r="X314" i="2" s="1"/>
  <c r="U315" i="2"/>
  <c r="X315" i="2" s="1"/>
  <c r="U316" i="2"/>
  <c r="X316" i="2" s="1"/>
  <c r="U317" i="2"/>
  <c r="X317" i="2" s="1"/>
  <c r="U318" i="2"/>
  <c r="X318" i="2" s="1"/>
  <c r="U319" i="2"/>
  <c r="X319" i="2" s="1"/>
  <c r="U320" i="2"/>
  <c r="X320" i="2" s="1"/>
  <c r="U321" i="2"/>
  <c r="X321" i="2" s="1"/>
  <c r="U322" i="2"/>
  <c r="X322" i="2" s="1"/>
  <c r="U323" i="2"/>
  <c r="X323" i="2" s="1"/>
  <c r="U324" i="2"/>
  <c r="X324" i="2" s="1"/>
  <c r="U325" i="2"/>
  <c r="X325" i="2" s="1"/>
  <c r="U326" i="2"/>
  <c r="X326" i="2" s="1"/>
  <c r="U327" i="2"/>
  <c r="X327" i="2" s="1"/>
  <c r="U328" i="2"/>
  <c r="X328" i="2" s="1"/>
  <c r="U329" i="2"/>
  <c r="X329" i="2" s="1"/>
  <c r="U330" i="2"/>
  <c r="X330" i="2" s="1"/>
  <c r="U331" i="2"/>
  <c r="X331" i="2" s="1"/>
  <c r="U332" i="2"/>
  <c r="X332" i="2" s="1"/>
  <c r="U333" i="2"/>
  <c r="X333" i="2" s="1"/>
  <c r="U334" i="2"/>
  <c r="X334" i="2" s="1"/>
  <c r="U335" i="2"/>
  <c r="X335" i="2" s="1"/>
  <c r="U336" i="2"/>
  <c r="X336" i="2" s="1"/>
  <c r="U337" i="2"/>
  <c r="X337" i="2" s="1"/>
  <c r="U338" i="2"/>
  <c r="X338" i="2" s="1"/>
  <c r="U339" i="2"/>
  <c r="X339" i="2" s="1"/>
  <c r="U340" i="2"/>
  <c r="X340" i="2" s="1"/>
  <c r="U341" i="2"/>
  <c r="X341" i="2" s="1"/>
  <c r="U342" i="2"/>
  <c r="X342" i="2" s="1"/>
  <c r="U343" i="2"/>
  <c r="X343" i="2" s="1"/>
  <c r="U344" i="2"/>
  <c r="X344" i="2" s="1"/>
  <c r="U345" i="2"/>
  <c r="X345" i="2" s="1"/>
  <c r="U346" i="2"/>
  <c r="X346" i="2" s="1"/>
  <c r="U347" i="2"/>
  <c r="X347" i="2" s="1"/>
  <c r="U348" i="2"/>
  <c r="X348" i="2" s="1"/>
  <c r="U349" i="2"/>
  <c r="X349" i="2" s="1"/>
  <c r="U350" i="2"/>
  <c r="X350" i="2" s="1"/>
  <c r="U351" i="2"/>
  <c r="X351" i="2" s="1"/>
  <c r="U352" i="2"/>
  <c r="X352" i="2" s="1"/>
  <c r="U353" i="2"/>
  <c r="X353" i="2" s="1"/>
  <c r="U354" i="2"/>
  <c r="X354" i="2" s="1"/>
  <c r="U355" i="2"/>
  <c r="X355" i="2" s="1"/>
  <c r="U356" i="2"/>
  <c r="X356" i="2" s="1"/>
  <c r="U357" i="2"/>
  <c r="X357" i="2" s="1"/>
  <c r="U358" i="2"/>
  <c r="X358" i="2" s="1"/>
  <c r="U359" i="2"/>
  <c r="X359" i="2" s="1"/>
  <c r="U360" i="2"/>
  <c r="X360" i="2" s="1"/>
  <c r="U361" i="2"/>
  <c r="X361" i="2" s="1"/>
  <c r="U362" i="2"/>
  <c r="X362" i="2" s="1"/>
  <c r="U363" i="2"/>
  <c r="X363" i="2" s="1"/>
  <c r="U364" i="2"/>
  <c r="X364" i="2" s="1"/>
  <c r="U365" i="2"/>
  <c r="X365" i="2" s="1"/>
  <c r="U366" i="2"/>
  <c r="X366" i="2" s="1"/>
  <c r="U367" i="2"/>
  <c r="X367" i="2" s="1"/>
  <c r="U368" i="2"/>
  <c r="X368" i="2" s="1"/>
  <c r="U369" i="2"/>
  <c r="X369" i="2" s="1"/>
  <c r="U370" i="2"/>
  <c r="X370" i="2" s="1"/>
  <c r="U371" i="2"/>
  <c r="X371" i="2" s="1"/>
  <c r="U372" i="2"/>
  <c r="X372" i="2" s="1"/>
  <c r="U373" i="2"/>
  <c r="X373" i="2" s="1"/>
  <c r="U374" i="2"/>
  <c r="X374" i="2" s="1"/>
  <c r="U375" i="2"/>
  <c r="X375" i="2" s="1"/>
  <c r="U376" i="2"/>
  <c r="X376" i="2" s="1"/>
  <c r="U377" i="2"/>
  <c r="X377" i="2" s="1"/>
  <c r="U378" i="2"/>
  <c r="X378" i="2" s="1"/>
  <c r="U379" i="2"/>
  <c r="X379" i="2" s="1"/>
  <c r="U380" i="2"/>
  <c r="X380" i="2" s="1"/>
  <c r="U381" i="2"/>
  <c r="X381" i="2" s="1"/>
  <c r="U382" i="2"/>
  <c r="X382" i="2" s="1"/>
  <c r="U383" i="2"/>
  <c r="X383" i="2" s="1"/>
  <c r="U384" i="2"/>
  <c r="X384" i="2" s="1"/>
  <c r="U385" i="2"/>
  <c r="X385" i="2" s="1"/>
  <c r="U386" i="2"/>
  <c r="X386" i="2" s="1"/>
  <c r="U387" i="2"/>
  <c r="X387" i="2" s="1"/>
  <c r="U388" i="2"/>
  <c r="X388" i="2" s="1"/>
  <c r="U389" i="2"/>
  <c r="X389" i="2" s="1"/>
  <c r="U390" i="2"/>
  <c r="X390" i="2" s="1"/>
  <c r="U391" i="2"/>
  <c r="X391" i="2" s="1"/>
  <c r="U392" i="2"/>
  <c r="X392" i="2" s="1"/>
  <c r="U393" i="2"/>
  <c r="X393" i="2" s="1"/>
  <c r="U394" i="2"/>
  <c r="X394" i="2" s="1"/>
  <c r="U395" i="2"/>
  <c r="X395" i="2" s="1"/>
  <c r="U396" i="2"/>
  <c r="X396" i="2" s="1"/>
  <c r="U397" i="2"/>
  <c r="X397" i="2" s="1"/>
  <c r="U398" i="2"/>
  <c r="X398" i="2" s="1"/>
  <c r="U399" i="2"/>
  <c r="X399" i="2" s="1"/>
  <c r="U400" i="2"/>
  <c r="X400" i="2" s="1"/>
  <c r="U401" i="2"/>
  <c r="X401" i="2" s="1"/>
  <c r="U402" i="2"/>
  <c r="X402" i="2" s="1"/>
  <c r="U403" i="2"/>
  <c r="X403" i="2" s="1"/>
  <c r="U404" i="2"/>
  <c r="X404" i="2" s="1"/>
  <c r="U405" i="2"/>
  <c r="X405" i="2" s="1"/>
  <c r="U406" i="2"/>
  <c r="X406" i="2" s="1"/>
  <c r="U407" i="2"/>
  <c r="X407" i="2" s="1"/>
  <c r="U408" i="2"/>
  <c r="X408" i="2" s="1"/>
  <c r="U409" i="2"/>
  <c r="X409" i="2" s="1"/>
  <c r="U410" i="2"/>
  <c r="X410" i="2" s="1"/>
  <c r="U411" i="2"/>
  <c r="X411" i="2" s="1"/>
  <c r="U412" i="2"/>
  <c r="X412" i="2" s="1"/>
  <c r="U413" i="2"/>
  <c r="X413" i="2" s="1"/>
  <c r="U414" i="2"/>
  <c r="X414" i="2" s="1"/>
  <c r="U415" i="2"/>
  <c r="X415" i="2" s="1"/>
  <c r="U416" i="2"/>
  <c r="X416" i="2" s="1"/>
  <c r="U417" i="2"/>
  <c r="X417" i="2" s="1"/>
  <c r="U418" i="2"/>
  <c r="X418" i="2" s="1"/>
  <c r="U419" i="2"/>
  <c r="X419" i="2" s="1"/>
  <c r="U420" i="2"/>
  <c r="X420" i="2" s="1"/>
  <c r="U421" i="2"/>
  <c r="X421" i="2" s="1"/>
  <c r="U422" i="2"/>
  <c r="X422" i="2" s="1"/>
  <c r="U423" i="2"/>
  <c r="X423" i="2" s="1"/>
  <c r="U424" i="2"/>
  <c r="X424" i="2" s="1"/>
  <c r="U425" i="2"/>
  <c r="X425" i="2" s="1"/>
  <c r="U426" i="2"/>
  <c r="X426" i="2" s="1"/>
  <c r="U427" i="2"/>
  <c r="X427" i="2" s="1"/>
  <c r="U428" i="2"/>
  <c r="X428" i="2" s="1"/>
  <c r="U429" i="2"/>
  <c r="X429" i="2" s="1"/>
  <c r="U430" i="2"/>
  <c r="X430" i="2" s="1"/>
  <c r="U431" i="2"/>
  <c r="X431" i="2" s="1"/>
  <c r="U432" i="2"/>
  <c r="X432" i="2" s="1"/>
  <c r="U433" i="2"/>
  <c r="X433" i="2" s="1"/>
  <c r="U434" i="2"/>
  <c r="X434" i="2" s="1"/>
  <c r="U435" i="2"/>
  <c r="X435" i="2" s="1"/>
  <c r="U436" i="2"/>
  <c r="X436" i="2" s="1"/>
  <c r="U437" i="2"/>
  <c r="X437" i="2" s="1"/>
  <c r="U438" i="2"/>
  <c r="X438" i="2" s="1"/>
  <c r="U439" i="2"/>
  <c r="X439" i="2" s="1"/>
  <c r="U440" i="2"/>
  <c r="X440" i="2" s="1"/>
  <c r="U441" i="2"/>
  <c r="X441" i="2" s="1"/>
  <c r="U442" i="2"/>
  <c r="X442" i="2" s="1"/>
  <c r="U443" i="2"/>
  <c r="X443" i="2" s="1"/>
  <c r="U444" i="2"/>
  <c r="X444" i="2" s="1"/>
  <c r="U445" i="2"/>
  <c r="X445" i="2" s="1"/>
  <c r="U446" i="2"/>
  <c r="X446" i="2" s="1"/>
  <c r="U447" i="2"/>
  <c r="X447" i="2" s="1"/>
  <c r="U448" i="2"/>
  <c r="X448" i="2" s="1"/>
  <c r="U449" i="2"/>
  <c r="X449" i="2" s="1"/>
  <c r="U450" i="2"/>
  <c r="X450" i="2" s="1"/>
  <c r="U451" i="2"/>
  <c r="X451" i="2" s="1"/>
  <c r="U452" i="2"/>
  <c r="X452" i="2" s="1"/>
  <c r="U453" i="2"/>
  <c r="X453" i="2" s="1"/>
  <c r="U454" i="2"/>
  <c r="X454" i="2" s="1"/>
  <c r="U455" i="2"/>
  <c r="X455" i="2" s="1"/>
  <c r="U456" i="2"/>
  <c r="X456" i="2" s="1"/>
  <c r="U457" i="2"/>
  <c r="X457" i="2" s="1"/>
  <c r="U458" i="2"/>
  <c r="X458" i="2" s="1"/>
  <c r="U459" i="2"/>
  <c r="X459" i="2" s="1"/>
  <c r="U460" i="2"/>
  <c r="X460" i="2" s="1"/>
  <c r="U461" i="2"/>
  <c r="X461" i="2" s="1"/>
  <c r="U462" i="2"/>
  <c r="X462" i="2" s="1"/>
  <c r="U463" i="2"/>
  <c r="X463" i="2" s="1"/>
  <c r="U464" i="2"/>
  <c r="X464" i="2" s="1"/>
  <c r="U465" i="2"/>
  <c r="X465" i="2" s="1"/>
  <c r="U466" i="2"/>
  <c r="X466" i="2" s="1"/>
  <c r="U467" i="2"/>
  <c r="X467" i="2" s="1"/>
  <c r="U468" i="2"/>
  <c r="X468" i="2" s="1"/>
  <c r="U469" i="2"/>
  <c r="X469" i="2" s="1"/>
  <c r="U470" i="2"/>
  <c r="X470" i="2" s="1"/>
  <c r="U471" i="2"/>
  <c r="X471" i="2" s="1"/>
  <c r="U472" i="2"/>
  <c r="X472" i="2" s="1"/>
  <c r="U473" i="2"/>
  <c r="X473" i="2" s="1"/>
  <c r="U474" i="2"/>
  <c r="X474" i="2" s="1"/>
  <c r="U475" i="2"/>
  <c r="X475" i="2" s="1"/>
  <c r="U476" i="2"/>
  <c r="X476" i="2" s="1"/>
  <c r="U477" i="2"/>
  <c r="X477" i="2" s="1"/>
  <c r="U478" i="2"/>
  <c r="X478" i="2" s="1"/>
  <c r="U479" i="2"/>
  <c r="X479" i="2" s="1"/>
  <c r="U480" i="2"/>
  <c r="X480" i="2" s="1"/>
  <c r="U481" i="2"/>
  <c r="X481" i="2" s="1"/>
  <c r="U482" i="2"/>
  <c r="X482" i="2" s="1"/>
  <c r="U483" i="2"/>
  <c r="X483" i="2" s="1"/>
  <c r="U484" i="2"/>
  <c r="X484" i="2" s="1"/>
  <c r="U485" i="2"/>
  <c r="X485" i="2" s="1"/>
  <c r="U486" i="2"/>
  <c r="X486" i="2" s="1"/>
  <c r="U487" i="2"/>
  <c r="X487" i="2" s="1"/>
  <c r="U488" i="2"/>
  <c r="X488" i="2" s="1"/>
  <c r="U489" i="2"/>
  <c r="X489" i="2" s="1"/>
  <c r="U490" i="2"/>
  <c r="X490" i="2" s="1"/>
  <c r="U491" i="2"/>
  <c r="X491" i="2" s="1"/>
  <c r="U492" i="2"/>
  <c r="X492" i="2" s="1"/>
  <c r="U493" i="2"/>
  <c r="X493" i="2" s="1"/>
  <c r="U494" i="2"/>
  <c r="X494" i="2" s="1"/>
  <c r="U495" i="2"/>
  <c r="X495" i="2" s="1"/>
  <c r="U496" i="2"/>
  <c r="X496" i="2" s="1"/>
  <c r="U497" i="2"/>
  <c r="X497" i="2" s="1"/>
  <c r="U498" i="2"/>
  <c r="X498" i="2" s="1"/>
  <c r="U499" i="2"/>
  <c r="X499" i="2" s="1"/>
  <c r="U500" i="2"/>
  <c r="X500" i="2" s="1"/>
  <c r="U501" i="2"/>
  <c r="X501" i="2" s="1"/>
  <c r="U502" i="2"/>
  <c r="X502" i="2" s="1"/>
  <c r="U503" i="2"/>
  <c r="X503" i="2" s="1"/>
  <c r="U504" i="2"/>
  <c r="X504" i="2" s="1"/>
  <c r="U505" i="2"/>
  <c r="X505" i="2" s="1"/>
  <c r="U506" i="2"/>
  <c r="X506" i="2" s="1"/>
  <c r="U507" i="2"/>
  <c r="X507" i="2" s="1"/>
  <c r="U508" i="2"/>
  <c r="X508" i="2" s="1"/>
  <c r="U509" i="2"/>
  <c r="X509" i="2" s="1"/>
  <c r="U510" i="2"/>
  <c r="X510" i="2" s="1"/>
  <c r="U511" i="2"/>
  <c r="X511" i="2" s="1"/>
  <c r="U512" i="2"/>
  <c r="X512" i="2" s="1"/>
  <c r="U513" i="2"/>
  <c r="X513" i="2" s="1"/>
  <c r="U514" i="2"/>
  <c r="X514" i="2" s="1"/>
  <c r="U515" i="2"/>
  <c r="X515" i="2" s="1"/>
  <c r="U516" i="2"/>
  <c r="X516" i="2" s="1"/>
  <c r="U517" i="2"/>
  <c r="X517" i="2" s="1"/>
  <c r="U518" i="2"/>
  <c r="X518" i="2" s="1"/>
  <c r="U519" i="2"/>
  <c r="X519" i="2" s="1"/>
  <c r="U520" i="2"/>
  <c r="X520" i="2" s="1"/>
  <c r="U521" i="2"/>
  <c r="X521" i="2" s="1"/>
  <c r="U522" i="2"/>
  <c r="X522" i="2" s="1"/>
  <c r="U523" i="2"/>
  <c r="X523" i="2" s="1"/>
  <c r="U524" i="2"/>
  <c r="X524" i="2" s="1"/>
  <c r="U525" i="2"/>
  <c r="X525" i="2" s="1"/>
  <c r="U526" i="2"/>
  <c r="X526" i="2" s="1"/>
  <c r="U527" i="2"/>
  <c r="X527" i="2" s="1"/>
  <c r="U528" i="2"/>
  <c r="X528" i="2" s="1"/>
  <c r="U529" i="2"/>
  <c r="X529" i="2" s="1"/>
  <c r="U530" i="2"/>
  <c r="X530" i="2" s="1"/>
  <c r="U531" i="2"/>
  <c r="X531" i="2" s="1"/>
  <c r="U532" i="2"/>
  <c r="X532" i="2" s="1"/>
  <c r="U533" i="2"/>
  <c r="X533" i="2" s="1"/>
  <c r="U534" i="2"/>
  <c r="X534" i="2" s="1"/>
  <c r="U535" i="2"/>
  <c r="X535" i="2" s="1"/>
  <c r="U536" i="2"/>
  <c r="X536" i="2" s="1"/>
  <c r="U537" i="2"/>
  <c r="X537" i="2" s="1"/>
  <c r="U538" i="2"/>
  <c r="X538" i="2" s="1"/>
  <c r="U539" i="2"/>
  <c r="X539" i="2" s="1"/>
  <c r="U540" i="2"/>
  <c r="X540" i="2" s="1"/>
  <c r="U541" i="2"/>
  <c r="X541" i="2" s="1"/>
  <c r="U542" i="2"/>
  <c r="X542" i="2" s="1"/>
  <c r="U543" i="2"/>
  <c r="X543" i="2" s="1"/>
  <c r="U544" i="2"/>
  <c r="X544" i="2" s="1"/>
  <c r="U545" i="2"/>
  <c r="X545" i="2" s="1"/>
  <c r="U546" i="2"/>
  <c r="X546" i="2" s="1"/>
  <c r="U547" i="2"/>
  <c r="X547" i="2" s="1"/>
  <c r="U548" i="2"/>
  <c r="X548" i="2" s="1"/>
  <c r="U549" i="2"/>
  <c r="X549" i="2" s="1"/>
  <c r="U550" i="2"/>
  <c r="X550" i="2" s="1"/>
  <c r="U551" i="2"/>
  <c r="X551" i="2" s="1"/>
  <c r="U552" i="2"/>
  <c r="X552" i="2" s="1"/>
  <c r="U553" i="2"/>
  <c r="X553" i="2" s="1"/>
  <c r="U554" i="2"/>
  <c r="X554" i="2" s="1"/>
  <c r="U555" i="2"/>
  <c r="X555" i="2" s="1"/>
  <c r="U556" i="2"/>
  <c r="X556" i="2" s="1"/>
  <c r="U557" i="2"/>
  <c r="X557" i="2" s="1"/>
  <c r="U558" i="2"/>
  <c r="X558" i="2" s="1"/>
  <c r="U559" i="2"/>
  <c r="X559" i="2" s="1"/>
  <c r="U560" i="2"/>
  <c r="X560" i="2" s="1"/>
  <c r="U561" i="2"/>
  <c r="X561" i="2" s="1"/>
  <c r="U562" i="2"/>
  <c r="X562" i="2" s="1"/>
  <c r="U563" i="2"/>
  <c r="X563" i="2" s="1"/>
  <c r="U564" i="2"/>
  <c r="X564" i="2" s="1"/>
  <c r="U565" i="2"/>
  <c r="X565" i="2" s="1"/>
  <c r="U566" i="2"/>
  <c r="X566" i="2" s="1"/>
  <c r="U567" i="2"/>
  <c r="X567" i="2" s="1"/>
  <c r="U568" i="2"/>
  <c r="X568" i="2" s="1"/>
  <c r="U569" i="2"/>
  <c r="X569" i="2" s="1"/>
  <c r="U570" i="2"/>
  <c r="X570" i="2" s="1"/>
  <c r="U571" i="2"/>
  <c r="X571" i="2" s="1"/>
  <c r="U572" i="2"/>
  <c r="X572" i="2" s="1"/>
  <c r="U573" i="2"/>
  <c r="X573" i="2" s="1"/>
  <c r="U574" i="2"/>
  <c r="X574" i="2" s="1"/>
  <c r="U575" i="2"/>
  <c r="X575" i="2" s="1"/>
  <c r="U576" i="2"/>
  <c r="X576" i="2" s="1"/>
  <c r="U577" i="2"/>
  <c r="X577" i="2" s="1"/>
  <c r="U578" i="2"/>
  <c r="X578" i="2" s="1"/>
  <c r="U579" i="2"/>
  <c r="X579" i="2" s="1"/>
  <c r="U580" i="2"/>
  <c r="X580" i="2" s="1"/>
  <c r="U581" i="2"/>
  <c r="X581" i="2" s="1"/>
  <c r="U582" i="2"/>
  <c r="X582" i="2" s="1"/>
  <c r="U583" i="2"/>
  <c r="X583" i="2" s="1"/>
  <c r="U584" i="2"/>
  <c r="X584" i="2" s="1"/>
  <c r="U585" i="2"/>
  <c r="X585" i="2" s="1"/>
  <c r="U586" i="2"/>
  <c r="X586" i="2" s="1"/>
  <c r="U587" i="2"/>
  <c r="X587" i="2" s="1"/>
  <c r="U588" i="2"/>
  <c r="X588" i="2" s="1"/>
  <c r="U589" i="2"/>
  <c r="X589" i="2" s="1"/>
  <c r="U590" i="2"/>
  <c r="X590" i="2" s="1"/>
  <c r="U591" i="2"/>
  <c r="X591" i="2" s="1"/>
  <c r="U592" i="2"/>
  <c r="X592" i="2" s="1"/>
  <c r="U593" i="2"/>
  <c r="X593" i="2" s="1"/>
  <c r="U594" i="2"/>
  <c r="X594" i="2" s="1"/>
  <c r="U595" i="2"/>
  <c r="X595" i="2" s="1"/>
  <c r="U596" i="2"/>
  <c r="X596" i="2" s="1"/>
  <c r="U597" i="2"/>
  <c r="X597" i="2" s="1"/>
  <c r="U598" i="2"/>
  <c r="X598" i="2" s="1"/>
  <c r="U599" i="2"/>
  <c r="X599" i="2" s="1"/>
  <c r="U600" i="2"/>
  <c r="X600" i="2" s="1"/>
  <c r="U601" i="2"/>
  <c r="X601" i="2" s="1"/>
  <c r="U602" i="2"/>
  <c r="X602" i="2" s="1"/>
  <c r="U603" i="2"/>
  <c r="X603" i="2" s="1"/>
  <c r="U604" i="2"/>
  <c r="X604" i="2" s="1"/>
  <c r="U605" i="2"/>
  <c r="X605" i="2" s="1"/>
  <c r="U606" i="2"/>
  <c r="X606" i="2" s="1"/>
  <c r="U607" i="2"/>
  <c r="X607" i="2" s="1"/>
  <c r="U608" i="2"/>
  <c r="X608" i="2" s="1"/>
  <c r="U609" i="2"/>
  <c r="X609" i="2" s="1"/>
  <c r="U610" i="2"/>
  <c r="X610" i="2" s="1"/>
  <c r="U611" i="2"/>
  <c r="X611" i="2" s="1"/>
  <c r="U612" i="2"/>
  <c r="X612" i="2" s="1"/>
  <c r="U613" i="2"/>
  <c r="X613" i="2" s="1"/>
  <c r="U614" i="2"/>
  <c r="X614" i="2" s="1"/>
  <c r="U615" i="2"/>
  <c r="X615" i="2" s="1"/>
  <c r="U616" i="2"/>
  <c r="X616" i="2" s="1"/>
  <c r="U617" i="2"/>
  <c r="X617" i="2" s="1"/>
  <c r="U618" i="2"/>
  <c r="X618" i="2" s="1"/>
  <c r="U619" i="2"/>
  <c r="X619" i="2" s="1"/>
  <c r="U620" i="2"/>
  <c r="X620" i="2" s="1"/>
  <c r="U621" i="2"/>
  <c r="X621" i="2" s="1"/>
  <c r="U622" i="2"/>
  <c r="X622" i="2" s="1"/>
  <c r="U623" i="2"/>
  <c r="X623" i="2" s="1"/>
  <c r="U624" i="2"/>
  <c r="X624" i="2" s="1"/>
  <c r="U625" i="2"/>
  <c r="X625" i="2" s="1"/>
  <c r="U626" i="2"/>
  <c r="X626" i="2" s="1"/>
  <c r="U627" i="2"/>
  <c r="X627" i="2" s="1"/>
  <c r="U628" i="2"/>
  <c r="X628" i="2" s="1"/>
  <c r="U629" i="2"/>
  <c r="X629" i="2" s="1"/>
  <c r="U630" i="2"/>
  <c r="X630" i="2" s="1"/>
  <c r="U631" i="2"/>
  <c r="X631" i="2" s="1"/>
  <c r="U632" i="2"/>
  <c r="X632" i="2" s="1"/>
  <c r="U633" i="2"/>
  <c r="X633" i="2" s="1"/>
  <c r="U634" i="2"/>
  <c r="X634" i="2" s="1"/>
  <c r="U635" i="2"/>
  <c r="X635" i="2" s="1"/>
  <c r="U636" i="2"/>
  <c r="X636" i="2" s="1"/>
  <c r="U637" i="2"/>
  <c r="X637" i="2" s="1"/>
  <c r="U638" i="2"/>
  <c r="X638" i="2" s="1"/>
  <c r="U639" i="2"/>
  <c r="X639" i="2" s="1"/>
  <c r="U640" i="2"/>
  <c r="X640" i="2" s="1"/>
  <c r="U641" i="2"/>
  <c r="X641" i="2" s="1"/>
  <c r="U642" i="2"/>
  <c r="X642" i="2" s="1"/>
  <c r="U643" i="2"/>
  <c r="X643" i="2" s="1"/>
  <c r="U644" i="2"/>
  <c r="X644" i="2" s="1"/>
  <c r="U645" i="2"/>
  <c r="X645" i="2" s="1"/>
  <c r="U646" i="2"/>
  <c r="X646" i="2" s="1"/>
  <c r="U647" i="2"/>
  <c r="X647" i="2" s="1"/>
  <c r="U648" i="2"/>
  <c r="X648" i="2" s="1"/>
  <c r="U649" i="2"/>
  <c r="X649" i="2" s="1"/>
  <c r="U650" i="2"/>
  <c r="X650" i="2" s="1"/>
  <c r="U651" i="2"/>
  <c r="X651" i="2" s="1"/>
  <c r="U652" i="2"/>
  <c r="X652" i="2" s="1"/>
  <c r="U653" i="2"/>
  <c r="X653" i="2" s="1"/>
  <c r="U654" i="2"/>
  <c r="X654" i="2" s="1"/>
  <c r="U655" i="2"/>
  <c r="X655" i="2" s="1"/>
  <c r="U656" i="2"/>
  <c r="X656" i="2" s="1"/>
  <c r="U657" i="2"/>
  <c r="X657" i="2" s="1"/>
  <c r="U658" i="2"/>
  <c r="X658" i="2" s="1"/>
  <c r="U659" i="2"/>
  <c r="X659" i="2" s="1"/>
  <c r="U660" i="2"/>
  <c r="X660" i="2" s="1"/>
  <c r="U661" i="2"/>
  <c r="X661" i="2" s="1"/>
  <c r="U662" i="2"/>
  <c r="X662" i="2" s="1"/>
  <c r="U663" i="2"/>
  <c r="X663" i="2" s="1"/>
  <c r="U664" i="2"/>
  <c r="X664" i="2" s="1"/>
  <c r="U665" i="2"/>
  <c r="X665" i="2" s="1"/>
  <c r="U666" i="2"/>
  <c r="X666" i="2" s="1"/>
  <c r="U667" i="2"/>
  <c r="X667" i="2" s="1"/>
  <c r="U668" i="2"/>
  <c r="X668" i="2" s="1"/>
  <c r="U669" i="2"/>
  <c r="X669" i="2" s="1"/>
  <c r="U670" i="2"/>
  <c r="X670" i="2" s="1"/>
  <c r="U671" i="2"/>
  <c r="X671" i="2" s="1"/>
  <c r="U672" i="2"/>
  <c r="X672" i="2" s="1"/>
  <c r="U673" i="2"/>
  <c r="X673" i="2" s="1"/>
  <c r="U674" i="2"/>
  <c r="X674" i="2" s="1"/>
  <c r="U675" i="2"/>
  <c r="X675" i="2" s="1"/>
  <c r="U676" i="2"/>
  <c r="X676" i="2" s="1"/>
  <c r="U677" i="2"/>
  <c r="X677" i="2" s="1"/>
  <c r="U678" i="2"/>
  <c r="X678" i="2" s="1"/>
  <c r="U679" i="2"/>
  <c r="X679" i="2" s="1"/>
  <c r="U680" i="2"/>
  <c r="X680" i="2" s="1"/>
  <c r="U681" i="2"/>
  <c r="X681" i="2" s="1"/>
  <c r="U682" i="2"/>
  <c r="X682" i="2" s="1"/>
  <c r="U683" i="2"/>
  <c r="X683" i="2" s="1"/>
  <c r="U684" i="2"/>
  <c r="X684" i="2" s="1"/>
  <c r="U685" i="2"/>
  <c r="X685" i="2" s="1"/>
  <c r="U686" i="2"/>
  <c r="X686" i="2" s="1"/>
  <c r="U687" i="2"/>
  <c r="X687" i="2" s="1"/>
  <c r="U688" i="2"/>
  <c r="X688" i="2" s="1"/>
  <c r="U689" i="2"/>
  <c r="X689" i="2" s="1"/>
  <c r="U690" i="2"/>
  <c r="X690" i="2" s="1"/>
  <c r="U691" i="2"/>
  <c r="X691" i="2" s="1"/>
  <c r="U692" i="2"/>
  <c r="X692" i="2" s="1"/>
  <c r="U693" i="2"/>
  <c r="X693" i="2" s="1"/>
  <c r="U694" i="2"/>
  <c r="X694" i="2" s="1"/>
  <c r="U695" i="2"/>
  <c r="X695" i="2" s="1"/>
  <c r="U696" i="2"/>
  <c r="X696" i="2" s="1"/>
  <c r="U697" i="2"/>
  <c r="X697" i="2" s="1"/>
  <c r="U698" i="2"/>
  <c r="X698" i="2" s="1"/>
  <c r="U699" i="2"/>
  <c r="X699" i="2" s="1"/>
  <c r="U700" i="2"/>
  <c r="X700" i="2" s="1"/>
  <c r="U701" i="2"/>
  <c r="X701" i="2" s="1"/>
  <c r="U702" i="2"/>
  <c r="X702" i="2" s="1"/>
  <c r="U703" i="2"/>
  <c r="X703" i="2" s="1"/>
  <c r="U704" i="2"/>
  <c r="X704" i="2" s="1"/>
  <c r="U705" i="2"/>
  <c r="X705" i="2" s="1"/>
  <c r="U706" i="2"/>
  <c r="X706" i="2" s="1"/>
  <c r="U707" i="2"/>
  <c r="X707" i="2" s="1"/>
  <c r="U708" i="2"/>
  <c r="X708" i="2" s="1"/>
  <c r="U709" i="2"/>
  <c r="X709" i="2" s="1"/>
  <c r="U710" i="2"/>
  <c r="X710" i="2" s="1"/>
  <c r="U711" i="2"/>
  <c r="X711" i="2" s="1"/>
  <c r="U712" i="2"/>
  <c r="X712" i="2" s="1"/>
  <c r="U713" i="2"/>
  <c r="X713" i="2" s="1"/>
  <c r="U714" i="2"/>
  <c r="X714" i="2" s="1"/>
  <c r="U715" i="2"/>
  <c r="X715" i="2" s="1"/>
  <c r="U716" i="2"/>
  <c r="X716" i="2" s="1"/>
  <c r="U717" i="2"/>
  <c r="X717" i="2" s="1"/>
  <c r="U718" i="2"/>
  <c r="X718" i="2" s="1"/>
  <c r="U719" i="2"/>
  <c r="X719" i="2" s="1"/>
  <c r="U720" i="2"/>
  <c r="X720" i="2" s="1"/>
  <c r="U721" i="2"/>
  <c r="X721" i="2" s="1"/>
  <c r="U722" i="2"/>
  <c r="X722" i="2" s="1"/>
  <c r="U723" i="2"/>
  <c r="X723" i="2" s="1"/>
  <c r="U724" i="2"/>
  <c r="X724" i="2" s="1"/>
  <c r="U725" i="2"/>
  <c r="X725" i="2" s="1"/>
  <c r="U726" i="2"/>
  <c r="X726" i="2" s="1"/>
  <c r="U727" i="2"/>
  <c r="X727" i="2" s="1"/>
  <c r="U728" i="2"/>
  <c r="X728" i="2" s="1"/>
  <c r="U729" i="2"/>
  <c r="X729" i="2" s="1"/>
  <c r="U730" i="2"/>
  <c r="X730" i="2" s="1"/>
  <c r="U731" i="2"/>
  <c r="X731" i="2" s="1"/>
  <c r="U732" i="2"/>
  <c r="X732" i="2" s="1"/>
  <c r="U733" i="2"/>
  <c r="X733" i="2" s="1"/>
  <c r="U734" i="2"/>
  <c r="X734" i="2" s="1"/>
  <c r="U735" i="2"/>
  <c r="X735" i="2" s="1"/>
  <c r="U736" i="2"/>
  <c r="X736" i="2" s="1"/>
  <c r="U737" i="2"/>
  <c r="X737" i="2" s="1"/>
  <c r="U738" i="2"/>
  <c r="X738" i="2" s="1"/>
  <c r="U739" i="2"/>
  <c r="X739" i="2" s="1"/>
  <c r="U740" i="2"/>
  <c r="X740" i="2" s="1"/>
  <c r="U741" i="2"/>
  <c r="X741" i="2" s="1"/>
  <c r="U742" i="2"/>
  <c r="X742" i="2" s="1"/>
  <c r="U743" i="2"/>
  <c r="X743" i="2" s="1"/>
  <c r="U744" i="2"/>
  <c r="X744" i="2" s="1"/>
  <c r="U745" i="2"/>
  <c r="X745" i="2" s="1"/>
  <c r="U746" i="2"/>
  <c r="X746" i="2" s="1"/>
  <c r="U747" i="2"/>
  <c r="X747" i="2" s="1"/>
  <c r="U748" i="2"/>
  <c r="X748" i="2" s="1"/>
  <c r="U749" i="2"/>
  <c r="X749" i="2" s="1"/>
  <c r="U750" i="2"/>
  <c r="X750" i="2" s="1"/>
  <c r="U751" i="2"/>
  <c r="X751" i="2" s="1"/>
  <c r="U752" i="2"/>
  <c r="X752" i="2" s="1"/>
  <c r="U753" i="2"/>
  <c r="X753" i="2" s="1"/>
  <c r="U754" i="2"/>
  <c r="X754" i="2" s="1"/>
  <c r="U755" i="2"/>
  <c r="X755" i="2" s="1"/>
  <c r="U756" i="2"/>
  <c r="X756" i="2" s="1"/>
  <c r="U757" i="2"/>
  <c r="X757" i="2" s="1"/>
  <c r="U758" i="2"/>
  <c r="X758" i="2" s="1"/>
  <c r="U759" i="2"/>
  <c r="X759" i="2" s="1"/>
  <c r="U760" i="2"/>
  <c r="X760" i="2" s="1"/>
  <c r="U761" i="2"/>
  <c r="X761" i="2" s="1"/>
  <c r="U762" i="2"/>
  <c r="X762" i="2" s="1"/>
  <c r="U763" i="2"/>
  <c r="X763" i="2" s="1"/>
  <c r="U764" i="2"/>
  <c r="X764" i="2" s="1"/>
  <c r="U765" i="2"/>
  <c r="X765" i="2" s="1"/>
  <c r="U766" i="2"/>
  <c r="X766" i="2" s="1"/>
  <c r="U767" i="2"/>
  <c r="X767" i="2" s="1"/>
  <c r="U768" i="2"/>
  <c r="X768" i="2" s="1"/>
  <c r="U769" i="2"/>
  <c r="X769" i="2" s="1"/>
  <c r="U770" i="2"/>
  <c r="X770" i="2" s="1"/>
  <c r="U771" i="2"/>
  <c r="X771" i="2" s="1"/>
  <c r="U772" i="2"/>
  <c r="X772" i="2" s="1"/>
  <c r="U773" i="2"/>
  <c r="X773" i="2" s="1"/>
  <c r="U774" i="2"/>
  <c r="X774" i="2" s="1"/>
  <c r="U775" i="2"/>
  <c r="X775" i="2" s="1"/>
  <c r="U776" i="2"/>
  <c r="X776" i="2" s="1"/>
  <c r="U777" i="2"/>
  <c r="X777" i="2" s="1"/>
  <c r="U778" i="2"/>
  <c r="X778" i="2" s="1"/>
  <c r="U779" i="2"/>
  <c r="X779" i="2" s="1"/>
  <c r="U780" i="2"/>
  <c r="X780" i="2" s="1"/>
  <c r="U781" i="2"/>
  <c r="X781" i="2" s="1"/>
  <c r="U782" i="2"/>
  <c r="X782" i="2" s="1"/>
  <c r="U783" i="2"/>
  <c r="X783" i="2" s="1"/>
  <c r="U784" i="2"/>
  <c r="X784" i="2" s="1"/>
  <c r="U785" i="2"/>
  <c r="X785" i="2" s="1"/>
  <c r="U786" i="2"/>
  <c r="X786" i="2" s="1"/>
  <c r="U787" i="2"/>
  <c r="X787" i="2" s="1"/>
  <c r="U788" i="2"/>
  <c r="X788" i="2" s="1"/>
  <c r="U789" i="2"/>
  <c r="X789" i="2" s="1"/>
  <c r="U790" i="2"/>
  <c r="X790" i="2" s="1"/>
  <c r="U791" i="2"/>
  <c r="X791" i="2" s="1"/>
  <c r="U792" i="2"/>
  <c r="X792" i="2" s="1"/>
  <c r="U793" i="2"/>
  <c r="X793" i="2" s="1"/>
  <c r="U794" i="2"/>
  <c r="X794" i="2" s="1"/>
  <c r="U795" i="2"/>
  <c r="X795" i="2" s="1"/>
  <c r="U796" i="2"/>
  <c r="X796" i="2" s="1"/>
  <c r="U797" i="2"/>
  <c r="X797" i="2" s="1"/>
  <c r="U798" i="2"/>
  <c r="X798" i="2" s="1"/>
  <c r="U799" i="2"/>
  <c r="X799" i="2" s="1"/>
  <c r="U800" i="2"/>
  <c r="X800" i="2" s="1"/>
  <c r="U801" i="2"/>
  <c r="X801" i="2" s="1"/>
  <c r="U802" i="2"/>
  <c r="X802" i="2" s="1"/>
  <c r="U803" i="2"/>
  <c r="X803" i="2" s="1"/>
  <c r="U804" i="2"/>
  <c r="X804" i="2" s="1"/>
  <c r="U805" i="2"/>
  <c r="X805" i="2" s="1"/>
  <c r="U806" i="2"/>
  <c r="X806" i="2" s="1"/>
  <c r="U807" i="2"/>
  <c r="X807" i="2" s="1"/>
  <c r="U808" i="2"/>
  <c r="X808" i="2" s="1"/>
  <c r="U809" i="2"/>
  <c r="X809" i="2" s="1"/>
  <c r="U810" i="2"/>
  <c r="X810" i="2" s="1"/>
  <c r="U811" i="2"/>
  <c r="X811" i="2" s="1"/>
  <c r="U812" i="2"/>
  <c r="X812" i="2" s="1"/>
  <c r="U813" i="2"/>
  <c r="X813" i="2" s="1"/>
  <c r="U814" i="2"/>
  <c r="X814" i="2" s="1"/>
  <c r="U815" i="2"/>
  <c r="X815" i="2" s="1"/>
  <c r="U816" i="2"/>
  <c r="X816" i="2" s="1"/>
  <c r="U817" i="2"/>
  <c r="X817" i="2" s="1"/>
  <c r="U818" i="2"/>
  <c r="X818" i="2" s="1"/>
  <c r="U819" i="2"/>
  <c r="X819" i="2" s="1"/>
  <c r="U820" i="2"/>
  <c r="X820" i="2" s="1"/>
  <c r="U821" i="2"/>
  <c r="X821" i="2" s="1"/>
  <c r="U822" i="2"/>
  <c r="X822" i="2" s="1"/>
  <c r="U823" i="2"/>
  <c r="X823" i="2" s="1"/>
  <c r="U824" i="2"/>
  <c r="X824" i="2" s="1"/>
  <c r="U825" i="2"/>
  <c r="X825" i="2" s="1"/>
  <c r="U826" i="2"/>
  <c r="X826" i="2" s="1"/>
  <c r="U827" i="2"/>
  <c r="X827" i="2" s="1"/>
  <c r="U828" i="2"/>
  <c r="X828" i="2" s="1"/>
  <c r="U829" i="2"/>
  <c r="X829" i="2" s="1"/>
  <c r="U830" i="2"/>
  <c r="X830" i="2" s="1"/>
  <c r="U831" i="2"/>
  <c r="X831" i="2" s="1"/>
  <c r="U832" i="2"/>
  <c r="X832" i="2" s="1"/>
  <c r="U833" i="2"/>
  <c r="X833" i="2" s="1"/>
  <c r="U834" i="2"/>
  <c r="X834" i="2" s="1"/>
  <c r="U835" i="2"/>
  <c r="X835" i="2" s="1"/>
  <c r="U836" i="2"/>
  <c r="X836" i="2" s="1"/>
  <c r="U837" i="2"/>
  <c r="X837" i="2" s="1"/>
  <c r="U838" i="2"/>
  <c r="X838" i="2" s="1"/>
  <c r="U839" i="2"/>
  <c r="X839" i="2" s="1"/>
  <c r="U840" i="2"/>
  <c r="X840" i="2" s="1"/>
  <c r="U841" i="2"/>
  <c r="X841" i="2" s="1"/>
  <c r="U842" i="2"/>
  <c r="X842" i="2" s="1"/>
  <c r="U843" i="2"/>
  <c r="X843" i="2" s="1"/>
  <c r="U844" i="2"/>
  <c r="X844" i="2" s="1"/>
  <c r="U845" i="2"/>
  <c r="X845" i="2" s="1"/>
  <c r="U846" i="2"/>
  <c r="X846" i="2" s="1"/>
  <c r="U847" i="2"/>
  <c r="X847" i="2" s="1"/>
  <c r="U848" i="2"/>
  <c r="X848" i="2" s="1"/>
  <c r="U849" i="2"/>
  <c r="X849" i="2" s="1"/>
  <c r="U850" i="2"/>
  <c r="X850" i="2" s="1"/>
  <c r="U851" i="2"/>
  <c r="X851" i="2" s="1"/>
  <c r="U852" i="2"/>
  <c r="X852" i="2" s="1"/>
  <c r="U853" i="2"/>
  <c r="X853" i="2" s="1"/>
  <c r="U854" i="2"/>
  <c r="X854" i="2" s="1"/>
  <c r="U855" i="2"/>
  <c r="X855" i="2" s="1"/>
  <c r="U856" i="2"/>
  <c r="X856" i="2" s="1"/>
  <c r="U857" i="2"/>
  <c r="X857" i="2" s="1"/>
  <c r="U858" i="2"/>
  <c r="X858" i="2" s="1"/>
  <c r="U859" i="2"/>
  <c r="X859" i="2" s="1"/>
  <c r="U860" i="2"/>
  <c r="X860" i="2" s="1"/>
  <c r="U861" i="2"/>
  <c r="X861" i="2" s="1"/>
  <c r="U862" i="2"/>
  <c r="X862" i="2" s="1"/>
  <c r="U863" i="2"/>
  <c r="X863" i="2" s="1"/>
  <c r="U864" i="2"/>
  <c r="X864" i="2" s="1"/>
  <c r="U865" i="2"/>
  <c r="X865" i="2" s="1"/>
  <c r="U866" i="2"/>
  <c r="X866" i="2" s="1"/>
  <c r="U867" i="2"/>
  <c r="X867" i="2" s="1"/>
  <c r="U868" i="2"/>
  <c r="X868" i="2" s="1"/>
  <c r="U869" i="2"/>
  <c r="X869" i="2" s="1"/>
  <c r="U870" i="2"/>
  <c r="X870" i="2" s="1"/>
  <c r="U871" i="2"/>
  <c r="X871" i="2" s="1"/>
  <c r="U872" i="2"/>
  <c r="X872" i="2" s="1"/>
  <c r="U873" i="2"/>
  <c r="X873" i="2" s="1"/>
  <c r="U874" i="2"/>
  <c r="X874" i="2" s="1"/>
  <c r="U875" i="2"/>
  <c r="X875" i="2" s="1"/>
  <c r="U876" i="2"/>
  <c r="X876" i="2" s="1"/>
  <c r="U877" i="2"/>
  <c r="X877" i="2" s="1"/>
  <c r="U878" i="2"/>
  <c r="X878" i="2" s="1"/>
  <c r="U879" i="2"/>
  <c r="X879" i="2" s="1"/>
  <c r="U880" i="2"/>
  <c r="X880" i="2" s="1"/>
  <c r="U881" i="2"/>
  <c r="X881" i="2" s="1"/>
  <c r="U882" i="2"/>
  <c r="X882" i="2" s="1"/>
  <c r="U883" i="2"/>
  <c r="X883" i="2" s="1"/>
  <c r="U884" i="2"/>
  <c r="X884" i="2" s="1"/>
  <c r="U885" i="2"/>
  <c r="X885" i="2" s="1"/>
  <c r="U886" i="2"/>
  <c r="X886" i="2" s="1"/>
  <c r="U887" i="2"/>
  <c r="X887" i="2" s="1"/>
  <c r="U888" i="2"/>
  <c r="X888" i="2" s="1"/>
  <c r="U889" i="2"/>
  <c r="X889" i="2" s="1"/>
  <c r="U890" i="2"/>
  <c r="X890" i="2" s="1"/>
  <c r="U891" i="2"/>
  <c r="X891" i="2" s="1"/>
  <c r="U892" i="2"/>
  <c r="X892" i="2" s="1"/>
  <c r="U893" i="2"/>
  <c r="X893" i="2" s="1"/>
  <c r="U894" i="2"/>
  <c r="X894" i="2" s="1"/>
  <c r="U895" i="2"/>
  <c r="X895" i="2" s="1"/>
  <c r="U896" i="2"/>
  <c r="X896" i="2" s="1"/>
  <c r="U897" i="2"/>
  <c r="X897" i="2" s="1"/>
  <c r="U898" i="2"/>
  <c r="X898" i="2" s="1"/>
  <c r="U899" i="2"/>
  <c r="X899" i="2" s="1"/>
  <c r="U900" i="2"/>
  <c r="X900" i="2" s="1"/>
  <c r="U901" i="2"/>
  <c r="X901" i="2" s="1"/>
  <c r="U902" i="2"/>
  <c r="X902" i="2" s="1"/>
  <c r="U903" i="2"/>
  <c r="X903" i="2" s="1"/>
  <c r="U904" i="2"/>
  <c r="X904" i="2" s="1"/>
  <c r="U905" i="2"/>
  <c r="X905" i="2" s="1"/>
  <c r="U906" i="2"/>
  <c r="X906" i="2" s="1"/>
  <c r="U907" i="2"/>
  <c r="X907" i="2" s="1"/>
  <c r="U908" i="2"/>
  <c r="X908" i="2" s="1"/>
  <c r="U909" i="2"/>
  <c r="X909" i="2" s="1"/>
  <c r="U910" i="2"/>
  <c r="X910" i="2" s="1"/>
  <c r="U911" i="2"/>
  <c r="X911" i="2" s="1"/>
  <c r="U912" i="2"/>
  <c r="X912" i="2" s="1"/>
  <c r="U913" i="2"/>
  <c r="X913" i="2" s="1"/>
  <c r="U914" i="2"/>
  <c r="X914" i="2" s="1"/>
  <c r="U915" i="2"/>
  <c r="X915" i="2" s="1"/>
  <c r="U916" i="2"/>
  <c r="X916" i="2" s="1"/>
  <c r="U917" i="2"/>
  <c r="X917" i="2" s="1"/>
  <c r="U918" i="2"/>
  <c r="X918" i="2" s="1"/>
  <c r="U919" i="2"/>
  <c r="X919" i="2" s="1"/>
  <c r="U920" i="2"/>
  <c r="X920" i="2" s="1"/>
  <c r="U921" i="2"/>
  <c r="X921" i="2" s="1"/>
  <c r="U922" i="2"/>
  <c r="X922" i="2" s="1"/>
  <c r="U923" i="2"/>
  <c r="X923" i="2" s="1"/>
  <c r="U924" i="2"/>
  <c r="X924" i="2" s="1"/>
  <c r="U925" i="2"/>
  <c r="X925" i="2" s="1"/>
  <c r="U926" i="2"/>
  <c r="X926" i="2" s="1"/>
  <c r="U927" i="2"/>
  <c r="X927" i="2" s="1"/>
  <c r="U928" i="2"/>
  <c r="X928" i="2" s="1"/>
  <c r="U929" i="2"/>
  <c r="X929" i="2" s="1"/>
  <c r="U930" i="2"/>
  <c r="X930" i="2" s="1"/>
  <c r="U931" i="2"/>
  <c r="X931" i="2" s="1"/>
  <c r="U932" i="2"/>
  <c r="X932" i="2" s="1"/>
  <c r="U933" i="2"/>
  <c r="X933" i="2" s="1"/>
  <c r="U934" i="2"/>
  <c r="X934" i="2" s="1"/>
  <c r="U935" i="2"/>
  <c r="X935" i="2" s="1"/>
  <c r="U936" i="2"/>
  <c r="X936" i="2" s="1"/>
  <c r="U937" i="2"/>
  <c r="X937" i="2" s="1"/>
  <c r="U938" i="2"/>
  <c r="X938" i="2" s="1"/>
  <c r="U939" i="2"/>
  <c r="X939" i="2" s="1"/>
  <c r="U940" i="2"/>
  <c r="X940" i="2" s="1"/>
  <c r="U941" i="2"/>
  <c r="X941" i="2" s="1"/>
  <c r="U942" i="2"/>
  <c r="X942" i="2" s="1"/>
  <c r="U943" i="2"/>
  <c r="X943" i="2" s="1"/>
  <c r="U944" i="2"/>
  <c r="X944" i="2" s="1"/>
  <c r="U945" i="2"/>
  <c r="X945" i="2" s="1"/>
  <c r="U946" i="2"/>
  <c r="X946" i="2" s="1"/>
  <c r="U947" i="2"/>
  <c r="X947" i="2" s="1"/>
  <c r="U948" i="2"/>
  <c r="X948" i="2" s="1"/>
  <c r="U949" i="2"/>
  <c r="X949" i="2" s="1"/>
  <c r="U950" i="2"/>
  <c r="X950" i="2" s="1"/>
  <c r="U951" i="2"/>
  <c r="X951" i="2" s="1"/>
  <c r="U952" i="2"/>
  <c r="X952" i="2" s="1"/>
  <c r="U953" i="2"/>
  <c r="X953" i="2" s="1"/>
  <c r="U954" i="2"/>
  <c r="X954" i="2" s="1"/>
  <c r="U955" i="2"/>
  <c r="X955" i="2" s="1"/>
  <c r="U956" i="2"/>
  <c r="X956" i="2" s="1"/>
  <c r="U957" i="2"/>
  <c r="X957" i="2" s="1"/>
  <c r="U958" i="2"/>
  <c r="X958" i="2" s="1"/>
  <c r="U959" i="2"/>
  <c r="X959" i="2" s="1"/>
  <c r="U960" i="2"/>
  <c r="X960" i="2" s="1"/>
  <c r="U961" i="2"/>
  <c r="X961" i="2" s="1"/>
  <c r="U962" i="2"/>
  <c r="X962" i="2" s="1"/>
  <c r="U963" i="2"/>
  <c r="X963" i="2" s="1"/>
  <c r="U964" i="2"/>
  <c r="X964" i="2" s="1"/>
  <c r="U965" i="2"/>
  <c r="X965" i="2" s="1"/>
  <c r="U966" i="2"/>
  <c r="X966" i="2" s="1"/>
  <c r="U967" i="2"/>
  <c r="X967" i="2" s="1"/>
  <c r="U968" i="2"/>
  <c r="X968" i="2" s="1"/>
  <c r="U969" i="2"/>
  <c r="X969" i="2" s="1"/>
  <c r="U970" i="2"/>
  <c r="X970" i="2" s="1"/>
  <c r="U971" i="2"/>
  <c r="X971" i="2" s="1"/>
  <c r="U972" i="2"/>
  <c r="X972" i="2" s="1"/>
  <c r="U973" i="2"/>
  <c r="X973" i="2" s="1"/>
  <c r="U974" i="2"/>
  <c r="X974" i="2" s="1"/>
  <c r="U975" i="2"/>
  <c r="X975" i="2" s="1"/>
  <c r="U976" i="2"/>
  <c r="X976" i="2" s="1"/>
  <c r="U977" i="2"/>
  <c r="X977" i="2" s="1"/>
  <c r="U978" i="2"/>
  <c r="X978" i="2" s="1"/>
  <c r="U979" i="2"/>
  <c r="X979" i="2" s="1"/>
  <c r="U980" i="2"/>
  <c r="X980" i="2" s="1"/>
  <c r="U981" i="2"/>
  <c r="X981" i="2" s="1"/>
  <c r="U982" i="2"/>
  <c r="X982" i="2" s="1"/>
  <c r="U983" i="2"/>
  <c r="X983" i="2" s="1"/>
  <c r="U984" i="2"/>
  <c r="X984" i="2" s="1"/>
  <c r="U985" i="2"/>
  <c r="X985" i="2" s="1"/>
  <c r="U986" i="2"/>
  <c r="X986" i="2" s="1"/>
  <c r="U987" i="2"/>
  <c r="X987" i="2" s="1"/>
  <c r="U988" i="2"/>
  <c r="X988" i="2" s="1"/>
  <c r="U989" i="2"/>
  <c r="X989" i="2" s="1"/>
  <c r="U990" i="2"/>
  <c r="X990" i="2" s="1"/>
  <c r="U991" i="2"/>
  <c r="X991" i="2" s="1"/>
  <c r="U992" i="2"/>
  <c r="X992" i="2" s="1"/>
  <c r="U993" i="2"/>
  <c r="X993" i="2" s="1"/>
  <c r="U994" i="2"/>
  <c r="X994" i="2" s="1"/>
  <c r="U995" i="2"/>
  <c r="X995" i="2" s="1"/>
  <c r="U996" i="2"/>
  <c r="X996" i="2" s="1"/>
  <c r="U997" i="2"/>
  <c r="X997" i="2" s="1"/>
  <c r="U998" i="2"/>
  <c r="X998" i="2" s="1"/>
  <c r="U999" i="2"/>
  <c r="X999" i="2" s="1"/>
  <c r="U1000" i="2"/>
  <c r="X1000" i="2" s="1"/>
  <c r="U1001" i="2"/>
  <c r="X1001" i="2" s="1"/>
  <c r="U1002" i="2"/>
  <c r="X1002" i="2" s="1"/>
  <c r="U1003" i="2"/>
  <c r="X1003" i="2" s="1"/>
  <c r="U1004" i="2"/>
  <c r="X1004" i="2" s="1"/>
  <c r="U1005" i="2"/>
  <c r="X1005" i="2" s="1"/>
  <c r="U1006" i="2"/>
  <c r="X1006" i="2" s="1"/>
  <c r="U1007" i="2"/>
  <c r="X1007" i="2" s="1"/>
  <c r="U1008" i="2"/>
  <c r="X1008" i="2" s="1"/>
  <c r="U1009" i="2"/>
  <c r="X1009" i="2" s="1"/>
  <c r="U1010" i="2"/>
  <c r="X1010" i="2" s="1"/>
  <c r="U1011" i="2"/>
  <c r="X1011" i="2" s="1"/>
  <c r="U1012" i="2"/>
  <c r="X1012" i="2" s="1"/>
  <c r="U1013" i="2"/>
  <c r="X1013" i="2" s="1"/>
  <c r="U1014" i="2"/>
  <c r="X1014" i="2" s="1"/>
  <c r="U1015" i="2"/>
  <c r="X1015" i="2" s="1"/>
  <c r="U1016" i="2"/>
  <c r="X1016" i="2" s="1"/>
  <c r="U1017" i="2"/>
  <c r="X1017" i="2" s="1"/>
  <c r="U1018" i="2"/>
  <c r="X1018" i="2" s="1"/>
  <c r="U1019" i="2"/>
  <c r="X1019" i="2" s="1"/>
  <c r="U1020" i="2"/>
  <c r="X1020" i="2" s="1"/>
  <c r="U1021" i="2"/>
  <c r="X1021" i="2" s="1"/>
  <c r="U1022" i="2"/>
  <c r="X1022" i="2" s="1"/>
  <c r="U1023" i="2"/>
  <c r="X1023" i="2" s="1"/>
  <c r="U1024" i="2"/>
  <c r="X1024" i="2" s="1"/>
  <c r="U1025" i="2"/>
  <c r="X1025" i="2" s="1"/>
  <c r="U1026" i="2"/>
  <c r="X1026" i="2" s="1"/>
  <c r="U1027" i="2"/>
  <c r="X1027" i="2" s="1"/>
  <c r="U1028" i="2"/>
  <c r="X1028" i="2" s="1"/>
  <c r="U1029" i="2"/>
  <c r="X1029" i="2" s="1"/>
  <c r="U1030" i="2"/>
  <c r="X1030" i="2" s="1"/>
  <c r="U1031" i="2"/>
  <c r="X1031" i="2" s="1"/>
  <c r="U1032" i="2"/>
  <c r="X1032" i="2" s="1"/>
  <c r="U1033" i="2"/>
  <c r="X1033" i="2" s="1"/>
  <c r="U1034" i="2"/>
  <c r="X1034" i="2" s="1"/>
  <c r="U1035" i="2"/>
  <c r="X1035" i="2" s="1"/>
  <c r="U1036" i="2"/>
  <c r="X1036" i="2" s="1"/>
  <c r="U1037" i="2"/>
  <c r="X1037" i="2" s="1"/>
  <c r="U1038" i="2"/>
  <c r="X1038" i="2" s="1"/>
  <c r="U1039" i="2"/>
  <c r="X1039" i="2" s="1"/>
  <c r="U1040" i="2"/>
  <c r="X1040" i="2" s="1"/>
  <c r="U1041" i="2"/>
  <c r="X1041" i="2" s="1"/>
  <c r="U1042" i="2"/>
  <c r="X1042" i="2" s="1"/>
  <c r="U1043" i="2"/>
  <c r="X1043" i="2" s="1"/>
  <c r="U1044" i="2"/>
  <c r="X1044" i="2" s="1"/>
  <c r="U1045" i="2"/>
  <c r="X1045" i="2" s="1"/>
  <c r="U1046" i="2"/>
  <c r="X1046" i="2" s="1"/>
  <c r="U1047" i="2"/>
  <c r="X1047" i="2" s="1"/>
  <c r="U1048" i="2"/>
  <c r="X1048" i="2" s="1"/>
  <c r="U1049" i="2"/>
  <c r="X1049" i="2" s="1"/>
  <c r="U1050" i="2"/>
  <c r="X1050" i="2" s="1"/>
  <c r="U1051" i="2"/>
  <c r="X1051" i="2" s="1"/>
  <c r="U1052" i="2"/>
  <c r="X1052" i="2" s="1"/>
  <c r="U1053" i="2"/>
  <c r="X1053" i="2" s="1"/>
  <c r="U1054" i="2"/>
  <c r="X1054" i="2" s="1"/>
  <c r="U1055" i="2"/>
  <c r="X1055" i="2" s="1"/>
  <c r="U1056" i="2"/>
  <c r="X1056" i="2" s="1"/>
  <c r="U1057" i="2"/>
  <c r="X1057" i="2" s="1"/>
  <c r="U1058" i="2"/>
  <c r="X1058" i="2" s="1"/>
  <c r="U1059" i="2"/>
  <c r="X1059" i="2" s="1"/>
  <c r="U1060" i="2"/>
  <c r="X1060" i="2" s="1"/>
  <c r="U1061" i="2"/>
  <c r="X1061" i="2" s="1"/>
  <c r="U1062" i="2"/>
  <c r="X1062" i="2" s="1"/>
  <c r="U1063" i="2"/>
  <c r="X1063" i="2" s="1"/>
  <c r="U1064" i="2"/>
  <c r="X1064" i="2" s="1"/>
  <c r="U1065" i="2"/>
  <c r="X1065" i="2" s="1"/>
  <c r="U1066" i="2"/>
  <c r="X1066" i="2" s="1"/>
  <c r="U1067" i="2"/>
  <c r="X1067" i="2" s="1"/>
  <c r="U1068" i="2"/>
  <c r="X1068" i="2" s="1"/>
  <c r="U1069" i="2"/>
  <c r="X1069" i="2" s="1"/>
  <c r="U1070" i="2"/>
  <c r="X1070" i="2" s="1"/>
  <c r="U1071" i="2"/>
  <c r="X1071" i="2" s="1"/>
  <c r="U1072" i="2"/>
  <c r="X1072" i="2" s="1"/>
  <c r="U1073" i="2"/>
  <c r="X1073" i="2" s="1"/>
  <c r="U1074" i="2"/>
  <c r="X1074" i="2" s="1"/>
  <c r="U1075" i="2"/>
  <c r="X1075" i="2" s="1"/>
  <c r="U1076" i="2"/>
  <c r="X1076" i="2" s="1"/>
  <c r="U1077" i="2"/>
  <c r="X1077" i="2" s="1"/>
  <c r="U1078" i="2"/>
  <c r="X1078" i="2" s="1"/>
  <c r="U1079" i="2"/>
  <c r="X1079" i="2" s="1"/>
  <c r="U1080" i="2"/>
  <c r="X1080" i="2" s="1"/>
  <c r="U1081" i="2"/>
  <c r="X1081" i="2" s="1"/>
  <c r="U1082" i="2"/>
  <c r="X1082" i="2" s="1"/>
  <c r="U1083" i="2"/>
  <c r="X1083" i="2" s="1"/>
  <c r="U1084" i="2"/>
  <c r="X1084" i="2" s="1"/>
  <c r="U1085" i="2"/>
  <c r="X1085" i="2" s="1"/>
  <c r="U1086" i="2"/>
  <c r="X1086" i="2" s="1"/>
  <c r="U1087" i="2"/>
  <c r="X1087" i="2" s="1"/>
  <c r="U1088" i="2"/>
  <c r="X1088" i="2" s="1"/>
  <c r="U1089" i="2"/>
  <c r="X1089" i="2" s="1"/>
  <c r="U1090" i="2"/>
  <c r="X1090" i="2" s="1"/>
  <c r="U1091" i="2"/>
  <c r="X1091" i="2" s="1"/>
  <c r="U1092" i="2"/>
  <c r="X1092" i="2" s="1"/>
  <c r="U1093" i="2"/>
  <c r="X1093" i="2" s="1"/>
  <c r="U1094" i="2"/>
  <c r="X1094" i="2" s="1"/>
  <c r="U1095" i="2"/>
  <c r="X1095" i="2" s="1"/>
  <c r="U1096" i="2"/>
  <c r="X1096" i="2" s="1"/>
  <c r="U1097" i="2"/>
  <c r="X1097" i="2" s="1"/>
  <c r="U1098" i="2"/>
  <c r="X1098" i="2" s="1"/>
  <c r="U1099" i="2"/>
  <c r="X1099" i="2" s="1"/>
  <c r="U1100" i="2"/>
  <c r="X1100" i="2" s="1"/>
  <c r="U1101" i="2"/>
  <c r="X1101" i="2" s="1"/>
  <c r="U1102" i="2"/>
  <c r="X1102" i="2" s="1"/>
  <c r="U1103" i="2"/>
  <c r="X1103" i="2" s="1"/>
  <c r="U1104" i="2"/>
  <c r="X1104" i="2" s="1"/>
  <c r="U1105" i="2"/>
  <c r="X1105" i="2" s="1"/>
  <c r="U1106" i="2"/>
  <c r="X1106" i="2" s="1"/>
  <c r="U1107" i="2"/>
  <c r="X1107" i="2" s="1"/>
  <c r="U1108" i="2"/>
  <c r="X1108" i="2" s="1"/>
  <c r="U1109" i="2"/>
  <c r="X1109" i="2" s="1"/>
  <c r="U1110" i="2"/>
  <c r="X1110" i="2" s="1"/>
  <c r="U1111" i="2"/>
  <c r="X1111" i="2" s="1"/>
  <c r="U1112" i="2"/>
  <c r="X1112" i="2" s="1"/>
  <c r="U1113" i="2"/>
  <c r="X1113" i="2" s="1"/>
  <c r="U1114" i="2"/>
  <c r="X1114" i="2" s="1"/>
  <c r="U1115" i="2"/>
  <c r="X1115" i="2" s="1"/>
  <c r="U1116" i="2"/>
  <c r="X1116" i="2" s="1"/>
  <c r="U1117" i="2"/>
  <c r="X1117" i="2" s="1"/>
  <c r="U1118" i="2"/>
  <c r="X1118" i="2" s="1"/>
  <c r="U1119" i="2"/>
  <c r="X1119" i="2" s="1"/>
  <c r="U1120" i="2"/>
  <c r="X1120" i="2" s="1"/>
  <c r="U1121" i="2"/>
  <c r="X1121" i="2" s="1"/>
  <c r="U1122" i="2"/>
  <c r="X1122" i="2" s="1"/>
  <c r="U1123" i="2"/>
  <c r="X1123" i="2" s="1"/>
  <c r="U1124" i="2"/>
  <c r="X1124" i="2" s="1"/>
  <c r="U1125" i="2"/>
  <c r="X1125" i="2" s="1"/>
  <c r="U1126" i="2"/>
  <c r="X1126" i="2" s="1"/>
  <c r="U1127" i="2"/>
  <c r="X1127" i="2" s="1"/>
  <c r="U1128" i="2"/>
  <c r="X1128" i="2" s="1"/>
  <c r="U1129" i="2"/>
  <c r="X1129" i="2" s="1"/>
  <c r="U1130" i="2"/>
  <c r="X1130" i="2" s="1"/>
  <c r="U1131" i="2"/>
  <c r="X1131" i="2" s="1"/>
  <c r="U1132" i="2"/>
  <c r="X1132" i="2" s="1"/>
  <c r="U1133" i="2"/>
  <c r="X1133" i="2" s="1"/>
  <c r="U1134" i="2"/>
  <c r="X1134" i="2" s="1"/>
  <c r="U1135" i="2"/>
  <c r="X1135" i="2" s="1"/>
  <c r="U1136" i="2"/>
  <c r="X1136" i="2" s="1"/>
  <c r="U1137" i="2"/>
  <c r="X1137" i="2" s="1"/>
  <c r="U1138" i="2"/>
  <c r="X1138" i="2" s="1"/>
  <c r="U1139" i="2"/>
  <c r="X1139" i="2" s="1"/>
  <c r="U1140" i="2"/>
  <c r="X1140" i="2" s="1"/>
  <c r="U1141" i="2"/>
  <c r="X1141" i="2" s="1"/>
  <c r="U1142" i="2"/>
  <c r="X1142" i="2" s="1"/>
  <c r="U1143" i="2"/>
  <c r="X1143" i="2" s="1"/>
  <c r="U1144" i="2"/>
  <c r="X1144" i="2" s="1"/>
  <c r="U1145" i="2"/>
  <c r="X1145" i="2" s="1"/>
  <c r="U1146" i="2"/>
  <c r="X1146" i="2" s="1"/>
  <c r="U1147" i="2"/>
  <c r="X1147" i="2" s="1"/>
  <c r="U1148" i="2"/>
  <c r="X1148" i="2" s="1"/>
  <c r="U1149" i="2"/>
  <c r="X1149" i="2" s="1"/>
  <c r="U1150" i="2"/>
  <c r="X1150" i="2" s="1"/>
  <c r="U1151" i="2"/>
  <c r="X1151" i="2" s="1"/>
  <c r="U1152" i="2"/>
  <c r="X1152" i="2" s="1"/>
  <c r="U1153" i="2"/>
  <c r="X1153" i="2" s="1"/>
  <c r="U1154" i="2"/>
  <c r="X1154" i="2" s="1"/>
  <c r="U1155" i="2"/>
  <c r="X1155" i="2" s="1"/>
  <c r="U1156" i="2"/>
  <c r="X1156" i="2" s="1"/>
  <c r="U1157" i="2"/>
  <c r="X1157" i="2" s="1"/>
  <c r="U1158" i="2"/>
  <c r="X1158" i="2" s="1"/>
  <c r="U1159" i="2"/>
  <c r="X1159" i="2" s="1"/>
  <c r="U1160" i="2"/>
  <c r="X1160" i="2" s="1"/>
  <c r="U1161" i="2"/>
  <c r="X1161" i="2" s="1"/>
  <c r="U1162" i="2"/>
  <c r="X1162" i="2" s="1"/>
  <c r="U1163" i="2"/>
  <c r="X1163" i="2" s="1"/>
  <c r="U1164" i="2"/>
  <c r="X1164" i="2" s="1"/>
  <c r="U1165" i="2"/>
  <c r="X1165" i="2" s="1"/>
  <c r="U1166" i="2"/>
  <c r="X1166" i="2" s="1"/>
  <c r="U1167" i="2"/>
  <c r="X1167" i="2" s="1"/>
  <c r="U1168" i="2"/>
  <c r="X1168" i="2" s="1"/>
  <c r="U1169" i="2"/>
  <c r="X1169" i="2" s="1"/>
  <c r="U1170" i="2"/>
  <c r="X1170" i="2" s="1"/>
  <c r="U1171" i="2"/>
  <c r="X1171" i="2" s="1"/>
  <c r="U1172" i="2"/>
  <c r="X1172" i="2" s="1"/>
  <c r="U1173" i="2"/>
  <c r="X1173" i="2" s="1"/>
  <c r="U1174" i="2"/>
  <c r="X1174" i="2" s="1"/>
  <c r="U1175" i="2"/>
  <c r="X1175" i="2" s="1"/>
  <c r="U1176" i="2"/>
  <c r="X1176" i="2" s="1"/>
  <c r="U1177" i="2"/>
  <c r="X1177" i="2" s="1"/>
  <c r="U1178" i="2"/>
  <c r="X1178" i="2" s="1"/>
  <c r="U1179" i="2"/>
  <c r="X1179" i="2" s="1"/>
  <c r="U1180" i="2"/>
  <c r="X1180" i="2" s="1"/>
  <c r="U1181" i="2"/>
  <c r="X1181" i="2" s="1"/>
  <c r="U1182" i="2"/>
  <c r="X1182" i="2" s="1"/>
  <c r="U1183" i="2"/>
  <c r="X1183" i="2" s="1"/>
  <c r="U1184" i="2"/>
  <c r="X1184" i="2" s="1"/>
  <c r="U1185" i="2"/>
  <c r="X1185" i="2" s="1"/>
  <c r="U1186" i="2"/>
  <c r="X1186" i="2" s="1"/>
  <c r="U1187" i="2"/>
  <c r="X1187" i="2" s="1"/>
  <c r="U1188" i="2"/>
  <c r="X1188" i="2" s="1"/>
  <c r="U1189" i="2"/>
  <c r="X1189" i="2" s="1"/>
  <c r="U1190" i="2"/>
  <c r="X1190" i="2" s="1"/>
  <c r="U1191" i="2"/>
  <c r="X1191" i="2" s="1"/>
  <c r="U1192" i="2"/>
  <c r="X1192" i="2" s="1"/>
  <c r="U1193" i="2"/>
  <c r="X1193" i="2" s="1"/>
  <c r="U1194" i="2"/>
  <c r="X1194" i="2" s="1"/>
  <c r="U1195" i="2"/>
  <c r="X1195" i="2" s="1"/>
  <c r="U1196" i="2"/>
  <c r="X1196" i="2" s="1"/>
  <c r="U1197" i="2"/>
  <c r="X1197" i="2" s="1"/>
  <c r="U1198" i="2"/>
  <c r="X1198" i="2" s="1"/>
  <c r="U1199" i="2"/>
  <c r="X1199" i="2" s="1"/>
  <c r="U1200" i="2"/>
  <c r="X1200" i="2" s="1"/>
  <c r="U1201" i="2"/>
  <c r="X1201" i="2" s="1"/>
  <c r="U1202" i="2"/>
  <c r="X1202" i="2" s="1"/>
  <c r="U1203" i="2"/>
  <c r="X1203" i="2" s="1"/>
  <c r="U1204" i="2"/>
  <c r="X1204" i="2" s="1"/>
  <c r="U1205" i="2"/>
  <c r="X1205" i="2" s="1"/>
  <c r="U1206" i="2"/>
  <c r="X1206" i="2" s="1"/>
  <c r="U1207" i="2"/>
  <c r="X1207" i="2" s="1"/>
  <c r="U1208" i="2"/>
  <c r="X1208" i="2" s="1"/>
  <c r="U1209" i="2"/>
  <c r="X1209" i="2" s="1"/>
  <c r="U1210" i="2"/>
  <c r="X1210" i="2" s="1"/>
  <c r="U1211" i="2"/>
  <c r="X1211" i="2" s="1"/>
  <c r="U1212" i="2"/>
  <c r="X1212" i="2" s="1"/>
  <c r="U1213" i="2"/>
  <c r="X1213" i="2" s="1"/>
  <c r="U1214" i="2"/>
  <c r="X1214" i="2" s="1"/>
  <c r="U1215" i="2"/>
  <c r="X1215" i="2" s="1"/>
  <c r="U1216" i="2"/>
  <c r="X1216" i="2" s="1"/>
  <c r="U1217" i="2"/>
  <c r="X1217" i="2" s="1"/>
  <c r="U1218" i="2"/>
  <c r="X1218" i="2" s="1"/>
  <c r="U1219" i="2"/>
  <c r="X1219" i="2" s="1"/>
  <c r="U1220" i="2"/>
  <c r="X1220" i="2" s="1"/>
  <c r="U1221" i="2"/>
  <c r="X1221" i="2" s="1"/>
  <c r="U1222" i="2"/>
  <c r="X1222" i="2" s="1"/>
  <c r="U1223" i="2"/>
  <c r="X1223" i="2" s="1"/>
  <c r="U1224" i="2"/>
  <c r="X1224" i="2" s="1"/>
  <c r="U1225" i="2"/>
  <c r="X1225" i="2" s="1"/>
  <c r="U1226" i="2"/>
  <c r="X1226" i="2" s="1"/>
  <c r="U1227" i="2"/>
  <c r="X1227" i="2" s="1"/>
  <c r="U1228" i="2"/>
  <c r="X1228" i="2" s="1"/>
  <c r="U1229" i="2"/>
  <c r="X1229" i="2" s="1"/>
  <c r="U1230" i="2"/>
  <c r="X1230" i="2" s="1"/>
  <c r="U1231" i="2"/>
  <c r="X1231" i="2" s="1"/>
  <c r="U1232" i="2"/>
  <c r="X1232" i="2" s="1"/>
  <c r="U1233" i="2"/>
  <c r="X1233" i="2" s="1"/>
  <c r="U1234" i="2"/>
  <c r="X1234" i="2" s="1"/>
  <c r="U1235" i="2"/>
  <c r="X1235" i="2" s="1"/>
  <c r="U1236" i="2"/>
  <c r="X1236" i="2" s="1"/>
  <c r="U1237" i="2"/>
  <c r="X1237" i="2" s="1"/>
  <c r="U1238" i="2"/>
  <c r="X1238" i="2" s="1"/>
  <c r="U1239" i="2"/>
  <c r="X1239" i="2" s="1"/>
  <c r="U1240" i="2"/>
  <c r="X1240" i="2" s="1"/>
  <c r="U1241" i="2"/>
  <c r="X1241" i="2" s="1"/>
  <c r="U1242" i="2"/>
  <c r="X1242" i="2" s="1"/>
  <c r="U1243" i="2"/>
  <c r="X1243" i="2" s="1"/>
  <c r="U1244" i="2"/>
  <c r="X1244" i="2" s="1"/>
  <c r="U1245" i="2"/>
  <c r="X1245" i="2" s="1"/>
  <c r="U1246" i="2"/>
  <c r="X1246" i="2" s="1"/>
  <c r="U1247" i="2"/>
  <c r="X1247" i="2" s="1"/>
  <c r="U1248" i="2"/>
  <c r="X1248" i="2" s="1"/>
  <c r="U1249" i="2"/>
  <c r="X1249" i="2" s="1"/>
  <c r="U1250" i="2"/>
  <c r="X1250" i="2" s="1"/>
  <c r="U1251" i="2"/>
  <c r="X1251" i="2" s="1"/>
  <c r="U1252" i="2"/>
  <c r="X1252" i="2" s="1"/>
  <c r="U1253" i="2"/>
  <c r="X1253" i="2" s="1"/>
  <c r="U1254" i="2"/>
  <c r="X1254" i="2" s="1"/>
  <c r="U1255" i="2"/>
  <c r="X1255" i="2" s="1"/>
  <c r="U1256" i="2"/>
  <c r="X1256" i="2" s="1"/>
  <c r="U1257" i="2"/>
  <c r="X1257" i="2" s="1"/>
  <c r="U1258" i="2"/>
  <c r="X1258" i="2" s="1"/>
  <c r="U1259" i="2"/>
  <c r="X1259" i="2" s="1"/>
  <c r="U1260" i="2"/>
  <c r="X1260" i="2" s="1"/>
  <c r="U1261" i="2"/>
  <c r="X1261" i="2" s="1"/>
  <c r="U1262" i="2"/>
  <c r="X1262" i="2" s="1"/>
  <c r="U1263" i="2"/>
  <c r="X1263" i="2" s="1"/>
  <c r="U1264" i="2"/>
  <c r="X1264" i="2" s="1"/>
  <c r="U1265" i="2"/>
  <c r="X1265" i="2" s="1"/>
  <c r="U1266" i="2"/>
  <c r="X1266" i="2" s="1"/>
  <c r="U1267" i="2"/>
  <c r="X1267" i="2" s="1"/>
  <c r="U1268" i="2"/>
  <c r="X1268" i="2" s="1"/>
  <c r="U1269" i="2"/>
  <c r="X1269" i="2" s="1"/>
  <c r="U1270" i="2"/>
  <c r="X1270" i="2" s="1"/>
  <c r="U1271" i="2"/>
  <c r="X1271" i="2" s="1"/>
  <c r="U1272" i="2"/>
  <c r="X1272" i="2" s="1"/>
  <c r="U1273" i="2"/>
  <c r="X1273" i="2" s="1"/>
  <c r="U1274" i="2"/>
  <c r="X1274" i="2" s="1"/>
  <c r="U1275" i="2"/>
  <c r="X1275" i="2" s="1"/>
  <c r="U1276" i="2"/>
  <c r="X1276" i="2" s="1"/>
  <c r="U1277" i="2"/>
  <c r="X1277" i="2" s="1"/>
  <c r="U1278" i="2"/>
  <c r="X1278" i="2" s="1"/>
  <c r="U1279" i="2"/>
  <c r="X1279" i="2" s="1"/>
  <c r="U1280" i="2"/>
  <c r="X1280" i="2" s="1"/>
  <c r="U1281" i="2"/>
  <c r="X1281" i="2" s="1"/>
  <c r="U1282" i="2"/>
  <c r="X1282" i="2" s="1"/>
  <c r="U1283" i="2"/>
  <c r="X1283" i="2" s="1"/>
  <c r="U1284" i="2"/>
  <c r="X1284" i="2" s="1"/>
  <c r="U1285" i="2"/>
  <c r="X1285" i="2" s="1"/>
  <c r="U1286" i="2"/>
  <c r="X1286" i="2" s="1"/>
  <c r="U1287" i="2"/>
  <c r="X1287" i="2" s="1"/>
  <c r="U1288" i="2"/>
  <c r="X1288" i="2" s="1"/>
  <c r="U1289" i="2"/>
  <c r="X1289" i="2" s="1"/>
  <c r="U1290" i="2"/>
  <c r="X1290" i="2" s="1"/>
  <c r="U1291" i="2"/>
  <c r="X1291" i="2" s="1"/>
  <c r="U1292" i="2"/>
  <c r="X1292" i="2" s="1"/>
  <c r="U1293" i="2"/>
  <c r="X1293" i="2" s="1"/>
  <c r="U1294" i="2"/>
  <c r="X1294" i="2" s="1"/>
  <c r="U1295" i="2"/>
  <c r="X1295" i="2" s="1"/>
  <c r="U1296" i="2"/>
  <c r="X1296" i="2" s="1"/>
  <c r="U1297" i="2"/>
  <c r="X1297" i="2" s="1"/>
  <c r="U1298" i="2"/>
  <c r="X1298" i="2" s="1"/>
  <c r="U1299" i="2"/>
  <c r="X1299" i="2" s="1"/>
  <c r="U1300" i="2"/>
  <c r="X1300" i="2" s="1"/>
  <c r="U1301" i="2"/>
  <c r="X1301" i="2" s="1"/>
  <c r="U1302" i="2"/>
  <c r="X1302" i="2" s="1"/>
  <c r="U1303" i="2"/>
  <c r="X1303" i="2" s="1"/>
  <c r="U1304" i="2"/>
  <c r="X1304" i="2" s="1"/>
  <c r="U1305" i="2"/>
  <c r="X1305" i="2" s="1"/>
  <c r="U1306" i="2"/>
  <c r="X1306" i="2" s="1"/>
  <c r="U1307" i="2"/>
  <c r="X1307" i="2" s="1"/>
  <c r="U1308" i="2"/>
  <c r="X1308" i="2" s="1"/>
  <c r="U1309" i="2"/>
  <c r="X1309" i="2" s="1"/>
  <c r="U1310" i="2"/>
  <c r="X1310" i="2" s="1"/>
  <c r="U1311" i="2"/>
  <c r="X1311" i="2" s="1"/>
  <c r="U1312" i="2"/>
  <c r="X1312" i="2" s="1"/>
  <c r="U1313" i="2"/>
  <c r="X1313" i="2" s="1"/>
  <c r="U1314" i="2"/>
  <c r="X1314" i="2" s="1"/>
  <c r="U1315" i="2"/>
  <c r="X1315" i="2" s="1"/>
  <c r="U1316" i="2"/>
  <c r="X1316" i="2" s="1"/>
  <c r="U1317" i="2"/>
  <c r="X1317" i="2" s="1"/>
  <c r="U1318" i="2"/>
  <c r="X1318" i="2" s="1"/>
  <c r="U1319" i="2"/>
  <c r="X1319" i="2" s="1"/>
  <c r="U1320" i="2"/>
  <c r="X1320" i="2" s="1"/>
  <c r="U1321" i="2"/>
  <c r="X1321" i="2" s="1"/>
  <c r="U1322" i="2"/>
  <c r="X1322" i="2" s="1"/>
  <c r="U1323" i="2"/>
  <c r="X1323" i="2" s="1"/>
  <c r="U1324" i="2"/>
  <c r="X1324" i="2" s="1"/>
  <c r="U1325" i="2"/>
  <c r="X1325" i="2" s="1"/>
  <c r="U1326" i="2"/>
  <c r="X1326" i="2" s="1"/>
  <c r="U1327" i="2"/>
  <c r="X1327" i="2" s="1"/>
  <c r="U1328" i="2"/>
  <c r="X1328" i="2" s="1"/>
  <c r="U1329" i="2"/>
  <c r="X1329" i="2" s="1"/>
  <c r="U1330" i="2"/>
  <c r="X1330" i="2" s="1"/>
  <c r="U1331" i="2"/>
  <c r="X1331" i="2" s="1"/>
  <c r="U1332" i="2"/>
  <c r="X1332" i="2" s="1"/>
  <c r="U1333" i="2"/>
  <c r="X1333" i="2" s="1"/>
  <c r="U1334" i="2"/>
  <c r="X1334" i="2" s="1"/>
  <c r="U1335" i="2"/>
  <c r="X1335" i="2" s="1"/>
  <c r="U1336" i="2"/>
  <c r="X1336" i="2" s="1"/>
  <c r="U1337" i="2"/>
  <c r="X1337" i="2" s="1"/>
  <c r="U1338" i="2"/>
  <c r="X1338" i="2" s="1"/>
  <c r="U1339" i="2"/>
  <c r="X1339" i="2" s="1"/>
  <c r="U1340" i="2"/>
  <c r="X1340" i="2" s="1"/>
  <c r="U1341" i="2"/>
  <c r="X1341" i="2" s="1"/>
  <c r="U1342" i="2"/>
  <c r="X1342" i="2" s="1"/>
  <c r="U1343" i="2"/>
  <c r="X1343" i="2" s="1"/>
  <c r="U1344" i="2"/>
  <c r="X1344" i="2" s="1"/>
  <c r="U1345" i="2"/>
  <c r="X1345" i="2" s="1"/>
  <c r="U1346" i="2"/>
  <c r="X1346" i="2" s="1"/>
  <c r="U1347" i="2"/>
  <c r="X1347" i="2" s="1"/>
  <c r="U1348" i="2"/>
  <c r="X1348" i="2" s="1"/>
  <c r="U1349" i="2"/>
  <c r="X1349" i="2" s="1"/>
  <c r="U1350" i="2"/>
  <c r="X1350" i="2" s="1"/>
  <c r="U1351" i="2"/>
  <c r="X1351" i="2" s="1"/>
  <c r="U1352" i="2"/>
  <c r="X1352" i="2" s="1"/>
  <c r="U1353" i="2"/>
  <c r="X1353" i="2" s="1"/>
  <c r="U1354" i="2"/>
  <c r="X1354" i="2" s="1"/>
  <c r="U1355" i="2"/>
  <c r="X1355" i="2" s="1"/>
  <c r="U1356" i="2"/>
  <c r="X1356" i="2" s="1"/>
  <c r="U1357" i="2"/>
  <c r="X1357" i="2" s="1"/>
  <c r="U1358" i="2"/>
  <c r="X1358" i="2" s="1"/>
  <c r="U1359" i="2"/>
  <c r="X1359" i="2" s="1"/>
  <c r="U1360" i="2"/>
  <c r="X1360" i="2" s="1"/>
  <c r="U1361" i="2"/>
  <c r="X1361" i="2" s="1"/>
  <c r="U1362" i="2"/>
  <c r="X1362" i="2" s="1"/>
  <c r="U1363" i="2"/>
  <c r="X1363" i="2" s="1"/>
  <c r="U1364" i="2"/>
  <c r="X1364" i="2" s="1"/>
  <c r="U1365" i="2"/>
  <c r="X1365" i="2" s="1"/>
  <c r="U1366" i="2"/>
  <c r="X1366" i="2" s="1"/>
  <c r="U1367" i="2"/>
  <c r="X1367" i="2" s="1"/>
  <c r="U1368" i="2"/>
  <c r="X1368" i="2" s="1"/>
  <c r="U1369" i="2"/>
  <c r="X1369" i="2" s="1"/>
  <c r="U1370" i="2"/>
  <c r="X1370" i="2" s="1"/>
  <c r="U1371" i="2"/>
  <c r="X1371" i="2" s="1"/>
  <c r="U1372" i="2"/>
  <c r="X1372" i="2" s="1"/>
  <c r="U1373" i="2"/>
  <c r="X1373" i="2" s="1"/>
  <c r="U1374" i="2"/>
  <c r="X1374" i="2" s="1"/>
  <c r="U1375" i="2"/>
  <c r="X1375" i="2" s="1"/>
  <c r="U1376" i="2"/>
  <c r="X1376" i="2" s="1"/>
  <c r="U1377" i="2"/>
  <c r="X1377" i="2" s="1"/>
  <c r="U1378" i="2"/>
  <c r="X1378" i="2" s="1"/>
  <c r="U1379" i="2"/>
  <c r="X1379" i="2" s="1"/>
  <c r="U1380" i="2"/>
  <c r="X1380" i="2" s="1"/>
  <c r="U1381" i="2"/>
  <c r="X1381" i="2" s="1"/>
  <c r="U1382" i="2"/>
  <c r="X1382" i="2" s="1"/>
  <c r="U1383" i="2"/>
  <c r="X1383" i="2" s="1"/>
  <c r="U1384" i="2"/>
  <c r="X1384" i="2" s="1"/>
  <c r="U1385" i="2"/>
  <c r="X1385" i="2" s="1"/>
  <c r="U1386" i="2"/>
  <c r="X1386" i="2" s="1"/>
  <c r="U1387" i="2"/>
  <c r="X1387" i="2" s="1"/>
  <c r="U1388" i="2"/>
  <c r="X1388" i="2" s="1"/>
  <c r="U1389" i="2"/>
  <c r="X1389" i="2" s="1"/>
  <c r="U1390" i="2"/>
  <c r="X1390" i="2" s="1"/>
  <c r="U1391" i="2"/>
  <c r="X1391" i="2" s="1"/>
  <c r="U1392" i="2"/>
  <c r="X1392" i="2" s="1"/>
  <c r="U1393" i="2"/>
  <c r="X1393" i="2" s="1"/>
  <c r="U1394" i="2"/>
  <c r="X1394" i="2" s="1"/>
  <c r="U1395" i="2"/>
  <c r="X1395" i="2" s="1"/>
  <c r="U1396" i="2"/>
  <c r="X1396" i="2" s="1"/>
  <c r="U1397" i="2"/>
  <c r="X1397" i="2" s="1"/>
  <c r="U1398" i="2"/>
  <c r="X1398" i="2" s="1"/>
  <c r="U1399" i="2"/>
  <c r="X1399" i="2" s="1"/>
  <c r="U1400" i="2"/>
  <c r="X1400" i="2" s="1"/>
  <c r="U1401" i="2"/>
  <c r="X1401" i="2" s="1"/>
  <c r="U1402" i="2"/>
  <c r="X1402" i="2" s="1"/>
  <c r="U1403" i="2"/>
  <c r="X1403" i="2" s="1"/>
  <c r="U1404" i="2"/>
  <c r="X1404" i="2" s="1"/>
  <c r="U1405" i="2"/>
  <c r="X1405" i="2" s="1"/>
  <c r="U1406" i="2"/>
  <c r="X1406" i="2" s="1"/>
  <c r="U1407" i="2"/>
  <c r="X1407" i="2" s="1"/>
  <c r="U1408" i="2"/>
  <c r="X1408" i="2" s="1"/>
  <c r="U1409" i="2"/>
  <c r="X1409" i="2" s="1"/>
  <c r="U1410" i="2"/>
  <c r="X1410" i="2" s="1"/>
  <c r="U1411" i="2"/>
  <c r="X1411" i="2" s="1"/>
  <c r="U1412" i="2"/>
  <c r="X1412" i="2" s="1"/>
  <c r="U1413" i="2"/>
  <c r="X1413" i="2" s="1"/>
  <c r="U1414" i="2"/>
  <c r="X1414" i="2" s="1"/>
  <c r="U1415" i="2"/>
  <c r="X1415" i="2" s="1"/>
  <c r="U1416" i="2"/>
  <c r="X1416" i="2" s="1"/>
  <c r="U1417" i="2"/>
  <c r="X1417" i="2" s="1"/>
  <c r="U1418" i="2"/>
  <c r="X1418" i="2" s="1"/>
  <c r="U1419" i="2"/>
  <c r="X1419" i="2" s="1"/>
  <c r="U1420" i="2"/>
  <c r="X1420" i="2" s="1"/>
  <c r="U1421" i="2"/>
  <c r="X1421" i="2" s="1"/>
  <c r="U1422" i="2"/>
  <c r="X1422" i="2" s="1"/>
  <c r="U1423" i="2"/>
  <c r="X1423" i="2" s="1"/>
  <c r="U1424" i="2"/>
  <c r="X1424" i="2" s="1"/>
  <c r="U1425" i="2"/>
  <c r="X1425" i="2" s="1"/>
  <c r="U1426" i="2"/>
  <c r="X1426" i="2" s="1"/>
  <c r="U1427" i="2"/>
  <c r="X1427" i="2" s="1"/>
  <c r="U1428" i="2"/>
  <c r="X1428" i="2" s="1"/>
  <c r="U1429" i="2"/>
  <c r="X1429" i="2" s="1"/>
  <c r="U1430" i="2"/>
  <c r="X1430" i="2" s="1"/>
  <c r="U1431" i="2"/>
  <c r="X1431" i="2" s="1"/>
  <c r="U1432" i="2"/>
  <c r="X1432" i="2" s="1"/>
  <c r="U1433" i="2"/>
  <c r="X1433" i="2" s="1"/>
  <c r="U1434" i="2"/>
  <c r="X1434" i="2" s="1"/>
  <c r="U1435" i="2"/>
  <c r="X1435" i="2" s="1"/>
  <c r="U1436" i="2"/>
  <c r="X1436" i="2" s="1"/>
  <c r="U1437" i="2"/>
  <c r="X1437" i="2" s="1"/>
  <c r="U1438" i="2"/>
  <c r="X1438" i="2" s="1"/>
  <c r="U1439" i="2"/>
  <c r="X1439" i="2" s="1"/>
  <c r="U1440" i="2"/>
  <c r="X1440" i="2" s="1"/>
  <c r="U1441" i="2"/>
  <c r="X1441" i="2" s="1"/>
  <c r="U1442" i="2"/>
  <c r="X1442" i="2" s="1"/>
  <c r="U1443" i="2"/>
  <c r="X1443" i="2" s="1"/>
  <c r="U1444" i="2"/>
  <c r="X1444" i="2" s="1"/>
  <c r="U1445" i="2"/>
  <c r="X1445" i="2" s="1"/>
  <c r="U1446" i="2"/>
  <c r="X1446" i="2" s="1"/>
  <c r="U1447" i="2"/>
  <c r="X1447" i="2" s="1"/>
  <c r="U1448" i="2"/>
  <c r="X1448" i="2" s="1"/>
  <c r="U1449" i="2"/>
  <c r="X1449" i="2" s="1"/>
  <c r="U1450" i="2"/>
  <c r="X1450" i="2" s="1"/>
  <c r="U1451" i="2"/>
  <c r="X1451" i="2" s="1"/>
  <c r="U1452" i="2"/>
  <c r="X1452" i="2" s="1"/>
  <c r="U1453" i="2"/>
  <c r="X1453" i="2" s="1"/>
  <c r="U1454" i="2"/>
  <c r="X1454" i="2" s="1"/>
  <c r="U1455" i="2"/>
  <c r="X1455" i="2" s="1"/>
  <c r="U1456" i="2"/>
  <c r="X1456" i="2" s="1"/>
  <c r="U1457" i="2"/>
  <c r="X1457" i="2" s="1"/>
  <c r="U1458" i="2"/>
  <c r="X1458" i="2" s="1"/>
  <c r="U1459" i="2"/>
  <c r="X1459" i="2" s="1"/>
  <c r="U1460" i="2"/>
  <c r="X1460" i="2" s="1"/>
  <c r="U1461" i="2"/>
  <c r="X1461" i="2" s="1"/>
  <c r="U1462" i="2"/>
  <c r="X1462" i="2" s="1"/>
  <c r="U1463" i="2"/>
  <c r="X1463" i="2" s="1"/>
  <c r="U1464" i="2"/>
  <c r="X1464" i="2" s="1"/>
  <c r="U1465" i="2"/>
  <c r="X1465" i="2" s="1"/>
  <c r="U1466" i="2"/>
  <c r="X1466" i="2" s="1"/>
  <c r="U1467" i="2"/>
  <c r="X1467" i="2" s="1"/>
  <c r="U1468" i="2"/>
  <c r="X1468" i="2" s="1"/>
  <c r="U1469" i="2"/>
  <c r="X1469" i="2" s="1"/>
  <c r="U1470" i="2"/>
  <c r="X1470" i="2" s="1"/>
  <c r="U1471" i="2"/>
  <c r="X1471" i="2" s="1"/>
  <c r="U1472" i="2"/>
  <c r="X1472" i="2" s="1"/>
  <c r="U1473" i="2"/>
  <c r="X1473" i="2" s="1"/>
  <c r="U1474" i="2"/>
  <c r="X1474" i="2" s="1"/>
  <c r="U1475" i="2"/>
  <c r="X1475" i="2" s="1"/>
  <c r="U1476" i="2"/>
  <c r="X1476" i="2" s="1"/>
  <c r="U1477" i="2"/>
  <c r="X1477" i="2" s="1"/>
  <c r="U1478" i="2"/>
  <c r="X1478" i="2" s="1"/>
  <c r="U1479" i="2"/>
  <c r="X1479" i="2" s="1"/>
  <c r="U1480" i="2"/>
  <c r="X1480" i="2" s="1"/>
  <c r="U1481" i="2"/>
  <c r="X1481" i="2" s="1"/>
  <c r="U1482" i="2"/>
  <c r="X1482" i="2" s="1"/>
  <c r="U1483" i="2"/>
  <c r="X1483" i="2" s="1"/>
  <c r="U1484" i="2"/>
  <c r="X1484" i="2" s="1"/>
  <c r="U1485" i="2"/>
  <c r="X1485" i="2" s="1"/>
  <c r="U1486" i="2"/>
  <c r="X1486" i="2" s="1"/>
  <c r="U1487" i="2"/>
  <c r="X1487" i="2" s="1"/>
  <c r="U1488" i="2"/>
  <c r="X1488" i="2" s="1"/>
  <c r="U1489" i="2"/>
  <c r="X1489" i="2" s="1"/>
  <c r="U1490" i="2"/>
  <c r="X1490" i="2" s="1"/>
  <c r="U1491" i="2"/>
  <c r="X1491" i="2" s="1"/>
  <c r="U1492" i="2"/>
  <c r="X1492" i="2" s="1"/>
  <c r="U1493" i="2"/>
  <c r="X1493" i="2" s="1"/>
  <c r="U1494" i="2"/>
  <c r="X1494" i="2" s="1"/>
  <c r="U1495" i="2"/>
  <c r="X1495" i="2" s="1"/>
  <c r="U1496" i="2"/>
  <c r="X1496" i="2" s="1"/>
  <c r="U1497" i="2"/>
  <c r="X1497" i="2" s="1"/>
  <c r="U1498" i="2"/>
  <c r="X1498" i="2" s="1"/>
  <c r="U1499" i="2"/>
  <c r="X1499" i="2" s="1"/>
  <c r="U1500" i="2"/>
  <c r="X1500" i="2" s="1"/>
  <c r="U1501" i="2"/>
  <c r="X1501" i="2" s="1"/>
  <c r="U1502" i="2"/>
  <c r="X1502" i="2" s="1"/>
  <c r="U1503" i="2"/>
  <c r="X1503" i="2" s="1"/>
  <c r="U1504" i="2"/>
  <c r="X1504" i="2" s="1"/>
  <c r="U1505" i="2"/>
  <c r="X1505" i="2" s="1"/>
  <c r="U1506" i="2"/>
  <c r="X1506" i="2" s="1"/>
  <c r="U1507" i="2"/>
  <c r="X1507" i="2" s="1"/>
  <c r="U1508" i="2"/>
  <c r="X1508" i="2" s="1"/>
  <c r="U1509" i="2"/>
  <c r="X1509" i="2" s="1"/>
  <c r="U1510" i="2"/>
  <c r="X1510" i="2" s="1"/>
  <c r="U1511" i="2"/>
  <c r="X1511" i="2" s="1"/>
  <c r="U1512" i="2"/>
  <c r="X1512" i="2" s="1"/>
  <c r="U1513" i="2"/>
  <c r="X1513" i="2" s="1"/>
  <c r="U1514" i="2"/>
  <c r="X1514" i="2" s="1"/>
  <c r="U1515" i="2"/>
  <c r="X1515" i="2" s="1"/>
  <c r="U1516" i="2"/>
  <c r="X1516" i="2" s="1"/>
  <c r="U1517" i="2"/>
  <c r="X1517" i="2" s="1"/>
  <c r="U1518" i="2"/>
  <c r="X1518" i="2" s="1"/>
  <c r="U1519" i="2"/>
  <c r="X1519" i="2" s="1"/>
  <c r="U1520" i="2"/>
  <c r="X1520" i="2" s="1"/>
  <c r="U1521" i="2"/>
  <c r="X1521" i="2" s="1"/>
  <c r="U1522" i="2"/>
  <c r="X1522" i="2" s="1"/>
  <c r="U1523" i="2"/>
  <c r="X1523" i="2" s="1"/>
  <c r="U1524" i="2"/>
  <c r="X1524" i="2" s="1"/>
  <c r="U1525" i="2"/>
  <c r="X1525" i="2" s="1"/>
  <c r="U1526" i="2"/>
  <c r="X1526" i="2" s="1"/>
  <c r="U1527" i="2"/>
  <c r="X1527" i="2" s="1"/>
  <c r="U1528" i="2"/>
  <c r="X1528" i="2" s="1"/>
  <c r="U1529" i="2"/>
  <c r="X1529" i="2" s="1"/>
  <c r="U1530" i="2"/>
  <c r="X1530" i="2" s="1"/>
  <c r="U1531" i="2"/>
  <c r="X1531" i="2" s="1"/>
  <c r="U1532" i="2"/>
  <c r="X1532" i="2" s="1"/>
  <c r="U1533" i="2"/>
  <c r="X1533" i="2" s="1"/>
  <c r="U1534" i="2"/>
  <c r="X1534" i="2" s="1"/>
  <c r="U1535" i="2"/>
  <c r="X1535" i="2" s="1"/>
  <c r="U1536" i="2"/>
  <c r="X1536" i="2" s="1"/>
  <c r="U1537" i="2"/>
  <c r="X1537" i="2" s="1"/>
  <c r="U1538" i="2"/>
  <c r="X1538" i="2" s="1"/>
  <c r="U1539" i="2"/>
  <c r="X1539" i="2" s="1"/>
  <c r="U1540" i="2"/>
  <c r="X1540" i="2" s="1"/>
  <c r="U1541" i="2"/>
  <c r="X1541" i="2" s="1"/>
  <c r="U1542" i="2"/>
  <c r="X1542" i="2" s="1"/>
  <c r="U1543" i="2"/>
  <c r="X1543" i="2" s="1"/>
  <c r="U1544" i="2"/>
  <c r="X1544" i="2" s="1"/>
  <c r="U1545" i="2"/>
  <c r="X1545" i="2" s="1"/>
  <c r="U1546" i="2"/>
  <c r="X1546" i="2" s="1"/>
  <c r="U1547" i="2"/>
  <c r="X1547" i="2" s="1"/>
  <c r="U1548" i="2"/>
  <c r="X1548" i="2" s="1"/>
  <c r="U1549" i="2"/>
  <c r="X1549" i="2" s="1"/>
  <c r="U1550" i="2"/>
  <c r="X1550" i="2" s="1"/>
  <c r="U1551" i="2"/>
  <c r="X1551" i="2" s="1"/>
  <c r="U1552" i="2"/>
  <c r="X1552" i="2" s="1"/>
  <c r="U1553" i="2"/>
  <c r="X1553" i="2" s="1"/>
  <c r="U1554" i="2"/>
  <c r="X1554" i="2" s="1"/>
  <c r="U1555" i="2"/>
  <c r="X1555" i="2" s="1"/>
  <c r="U1556" i="2"/>
  <c r="X1556" i="2" s="1"/>
  <c r="U1557" i="2"/>
  <c r="X1557" i="2" s="1"/>
  <c r="U1558" i="2"/>
  <c r="X1558" i="2" s="1"/>
  <c r="U1559" i="2"/>
  <c r="X1559" i="2" s="1"/>
  <c r="U1560" i="2"/>
  <c r="X1560" i="2" s="1"/>
  <c r="U1561" i="2"/>
  <c r="X1561" i="2" s="1"/>
  <c r="U1562" i="2"/>
  <c r="X1562" i="2" s="1"/>
  <c r="U1563" i="2"/>
  <c r="X1563" i="2" s="1"/>
  <c r="U1564" i="2"/>
  <c r="X1564" i="2" s="1"/>
  <c r="U1565" i="2"/>
  <c r="X1565" i="2" s="1"/>
  <c r="U1566" i="2"/>
  <c r="X1566" i="2" s="1"/>
  <c r="U1567" i="2"/>
  <c r="X1567" i="2" s="1"/>
  <c r="U1568" i="2"/>
  <c r="X1568" i="2" s="1"/>
  <c r="U1569" i="2"/>
  <c r="X1569" i="2" s="1"/>
  <c r="U1570" i="2"/>
  <c r="X1570" i="2" s="1"/>
  <c r="U1571" i="2"/>
  <c r="X1571" i="2" s="1"/>
  <c r="U1572" i="2"/>
  <c r="X1572" i="2" s="1"/>
  <c r="U1573" i="2"/>
  <c r="X1573" i="2" s="1"/>
  <c r="U1574" i="2"/>
  <c r="X1574" i="2" s="1"/>
  <c r="U1575" i="2"/>
  <c r="X1575" i="2" s="1"/>
  <c r="U1576" i="2"/>
  <c r="X1576" i="2" s="1"/>
  <c r="U1577" i="2"/>
  <c r="X1577" i="2" s="1"/>
  <c r="U1578" i="2"/>
  <c r="X1578" i="2" s="1"/>
  <c r="U1579" i="2"/>
  <c r="X1579" i="2" s="1"/>
  <c r="U1580" i="2"/>
  <c r="X1580" i="2" s="1"/>
  <c r="U1581" i="2"/>
  <c r="X1581" i="2" s="1"/>
  <c r="U1582" i="2"/>
  <c r="X1582" i="2" s="1"/>
  <c r="U1583" i="2"/>
  <c r="X1583" i="2" s="1"/>
  <c r="U1584" i="2"/>
  <c r="X1584" i="2" s="1"/>
  <c r="U1585" i="2"/>
  <c r="X1585" i="2" s="1"/>
  <c r="U1586" i="2"/>
  <c r="X1586" i="2" s="1"/>
  <c r="U1587" i="2"/>
  <c r="X1587" i="2" s="1"/>
  <c r="U1588" i="2"/>
  <c r="X1588" i="2" s="1"/>
  <c r="U1589" i="2"/>
  <c r="X1589" i="2" s="1"/>
  <c r="U1590" i="2"/>
  <c r="X1590" i="2" s="1"/>
  <c r="U1591" i="2"/>
  <c r="X1591" i="2" s="1"/>
  <c r="U1592" i="2"/>
  <c r="X1592" i="2" s="1"/>
  <c r="U1593" i="2"/>
  <c r="X1593" i="2" s="1"/>
  <c r="U1594" i="2"/>
  <c r="X1594" i="2" s="1"/>
  <c r="U1595" i="2"/>
  <c r="X1595" i="2" s="1"/>
  <c r="U1596" i="2"/>
  <c r="X1596" i="2" s="1"/>
  <c r="U1597" i="2"/>
  <c r="X1597" i="2" s="1"/>
  <c r="U1598" i="2"/>
  <c r="X1598" i="2" s="1"/>
  <c r="U1599" i="2"/>
  <c r="X1599" i="2" s="1"/>
  <c r="U1600" i="2"/>
  <c r="X1600" i="2" s="1"/>
  <c r="U1601" i="2"/>
  <c r="X1601" i="2" s="1"/>
  <c r="U1602" i="2"/>
  <c r="X1602" i="2" s="1"/>
  <c r="U1603" i="2"/>
  <c r="X1603" i="2" s="1"/>
  <c r="U1604" i="2"/>
  <c r="X1604" i="2" s="1"/>
  <c r="U1605" i="2"/>
  <c r="X1605" i="2" s="1"/>
  <c r="U1606" i="2"/>
  <c r="X1606" i="2" s="1"/>
  <c r="U1607" i="2"/>
  <c r="X1607" i="2" s="1"/>
  <c r="U1608" i="2"/>
  <c r="X1608" i="2" s="1"/>
  <c r="U1609" i="2"/>
  <c r="X1609" i="2" s="1"/>
  <c r="U1610" i="2"/>
  <c r="X1610" i="2" s="1"/>
  <c r="U1611" i="2"/>
  <c r="X1611" i="2" s="1"/>
  <c r="U1612" i="2"/>
  <c r="X1612" i="2" s="1"/>
  <c r="U1613" i="2"/>
  <c r="X1613" i="2" s="1"/>
  <c r="U1614" i="2"/>
  <c r="X1614" i="2" s="1"/>
  <c r="U1615" i="2"/>
  <c r="X1615" i="2" s="1"/>
  <c r="U1616" i="2"/>
  <c r="X1616" i="2" s="1"/>
  <c r="U1617" i="2"/>
  <c r="X1617" i="2" s="1"/>
  <c r="U1618" i="2"/>
  <c r="X1618" i="2" s="1"/>
  <c r="U1619" i="2"/>
  <c r="X1619" i="2" s="1"/>
  <c r="U1620" i="2"/>
  <c r="X1620" i="2" s="1"/>
  <c r="U1621" i="2"/>
  <c r="X1621" i="2" s="1"/>
  <c r="U1622" i="2"/>
  <c r="X1622" i="2" s="1"/>
  <c r="U1623" i="2"/>
  <c r="X1623" i="2" s="1"/>
  <c r="U1624" i="2"/>
  <c r="X1624" i="2" s="1"/>
  <c r="U1625" i="2"/>
  <c r="X1625" i="2" s="1"/>
  <c r="U1626" i="2"/>
  <c r="X1626" i="2" s="1"/>
  <c r="U1627" i="2"/>
  <c r="X1627" i="2" s="1"/>
  <c r="U1628" i="2"/>
  <c r="X1628" i="2" s="1"/>
  <c r="U1629" i="2"/>
  <c r="X1629" i="2" s="1"/>
  <c r="U1630" i="2"/>
  <c r="X1630" i="2" s="1"/>
  <c r="U1631" i="2"/>
  <c r="X1631" i="2" s="1"/>
  <c r="U1632" i="2"/>
  <c r="X1632" i="2" s="1"/>
  <c r="U1633" i="2"/>
  <c r="X1633" i="2" s="1"/>
  <c r="U1634" i="2"/>
  <c r="X1634" i="2" s="1"/>
  <c r="U1635" i="2"/>
  <c r="X1635" i="2" s="1"/>
  <c r="U1636" i="2"/>
  <c r="X1636" i="2" s="1"/>
  <c r="U1637" i="2"/>
  <c r="X1637" i="2" s="1"/>
  <c r="U1638" i="2"/>
  <c r="X1638" i="2" s="1"/>
  <c r="U1639" i="2"/>
  <c r="X1639" i="2" s="1"/>
  <c r="U1640" i="2"/>
  <c r="X1640" i="2" s="1"/>
  <c r="U1641" i="2"/>
  <c r="X1641" i="2" s="1"/>
  <c r="U1642" i="2"/>
  <c r="X1642" i="2" s="1"/>
  <c r="U1643" i="2"/>
  <c r="X1643" i="2" s="1"/>
  <c r="U1644" i="2"/>
  <c r="X1644" i="2" s="1"/>
  <c r="U1645" i="2"/>
  <c r="X1645" i="2" s="1"/>
  <c r="U1646" i="2"/>
  <c r="X1646" i="2" s="1"/>
  <c r="U1647" i="2"/>
  <c r="X1647" i="2" s="1"/>
  <c r="U1648" i="2"/>
  <c r="X1648" i="2" s="1"/>
  <c r="U1649" i="2"/>
  <c r="X1649" i="2" s="1"/>
  <c r="U1650" i="2"/>
  <c r="X1650" i="2" s="1"/>
  <c r="U1651" i="2"/>
  <c r="X1651" i="2" s="1"/>
  <c r="U1652" i="2"/>
  <c r="X1652" i="2" s="1"/>
  <c r="U1653" i="2"/>
  <c r="X1653" i="2" s="1"/>
  <c r="U1654" i="2"/>
  <c r="X1654" i="2" s="1"/>
  <c r="U1655" i="2"/>
  <c r="X1655" i="2" s="1"/>
  <c r="U1656" i="2"/>
  <c r="X1656" i="2" s="1"/>
  <c r="U1657" i="2"/>
  <c r="X1657" i="2" s="1"/>
  <c r="U1658" i="2"/>
  <c r="X1658" i="2" s="1"/>
  <c r="U1659" i="2"/>
  <c r="X1659" i="2" s="1"/>
  <c r="U1660" i="2"/>
  <c r="X1660" i="2" s="1"/>
  <c r="U1661" i="2"/>
  <c r="X1661" i="2" s="1"/>
  <c r="U1662" i="2"/>
  <c r="X1662" i="2" s="1"/>
  <c r="U1663" i="2"/>
  <c r="X1663" i="2" s="1"/>
  <c r="U1664" i="2"/>
  <c r="X1664" i="2" s="1"/>
  <c r="U1665" i="2"/>
  <c r="X1665" i="2" s="1"/>
  <c r="U1666" i="2"/>
  <c r="X1666" i="2" s="1"/>
  <c r="U1667" i="2"/>
  <c r="X1667" i="2" s="1"/>
  <c r="U1668" i="2"/>
  <c r="X1668" i="2" s="1"/>
  <c r="U1669" i="2"/>
  <c r="X1669" i="2" s="1"/>
  <c r="U1670" i="2"/>
  <c r="X1670" i="2" s="1"/>
  <c r="U1671" i="2"/>
  <c r="X1671" i="2" s="1"/>
  <c r="U1672" i="2"/>
  <c r="X1672" i="2" s="1"/>
  <c r="U1673" i="2"/>
  <c r="X1673" i="2" s="1"/>
  <c r="U1674" i="2"/>
  <c r="X1674" i="2" s="1"/>
  <c r="U1675" i="2"/>
  <c r="X1675" i="2" s="1"/>
  <c r="U1676" i="2"/>
  <c r="X1676" i="2" s="1"/>
  <c r="U1677" i="2"/>
  <c r="X1677" i="2" s="1"/>
  <c r="U1678" i="2"/>
  <c r="X1678" i="2" s="1"/>
  <c r="U1679" i="2"/>
  <c r="X1679" i="2" s="1"/>
  <c r="U1680" i="2"/>
  <c r="X1680" i="2" s="1"/>
  <c r="U1681" i="2"/>
  <c r="X1681" i="2" s="1"/>
  <c r="U1682" i="2"/>
  <c r="X1682" i="2" s="1"/>
  <c r="U1683" i="2"/>
  <c r="X1683" i="2" s="1"/>
  <c r="U1684" i="2"/>
  <c r="X1684" i="2" s="1"/>
  <c r="U1685" i="2"/>
  <c r="X1685" i="2" s="1"/>
  <c r="U1686" i="2"/>
  <c r="X1686" i="2" s="1"/>
  <c r="U1687" i="2"/>
  <c r="X1687" i="2" s="1"/>
  <c r="U1688" i="2"/>
  <c r="X1688" i="2" s="1"/>
  <c r="U1689" i="2"/>
  <c r="X1689" i="2" s="1"/>
  <c r="U1690" i="2"/>
  <c r="X1690" i="2" s="1"/>
  <c r="U1691" i="2"/>
  <c r="X1691" i="2" s="1"/>
  <c r="U1692" i="2"/>
  <c r="X1692" i="2" s="1"/>
  <c r="U1693" i="2"/>
  <c r="X1693" i="2" s="1"/>
  <c r="U1694" i="2"/>
  <c r="X1694" i="2" s="1"/>
  <c r="U1695" i="2"/>
  <c r="X1695" i="2" s="1"/>
  <c r="U1696" i="2"/>
  <c r="X1696" i="2" s="1"/>
  <c r="U1697" i="2"/>
  <c r="X1697" i="2" s="1"/>
  <c r="U1698" i="2"/>
  <c r="X1698" i="2" s="1"/>
  <c r="U1699" i="2"/>
  <c r="X1699" i="2" s="1"/>
  <c r="U1700" i="2"/>
  <c r="X1700" i="2" s="1"/>
  <c r="U1701" i="2"/>
  <c r="X1701" i="2" s="1"/>
  <c r="U1702" i="2"/>
  <c r="X1702" i="2" s="1"/>
  <c r="U1703" i="2"/>
  <c r="X1703" i="2" s="1"/>
  <c r="U1704" i="2"/>
  <c r="X1704" i="2" s="1"/>
  <c r="U1705" i="2"/>
  <c r="X1705" i="2" s="1"/>
  <c r="U1706" i="2"/>
  <c r="X1706" i="2" s="1"/>
  <c r="U1707" i="2"/>
  <c r="X1707" i="2" s="1"/>
  <c r="U1708" i="2"/>
  <c r="X1708" i="2" s="1"/>
  <c r="U1709" i="2"/>
  <c r="X1709" i="2" s="1"/>
  <c r="U1710" i="2"/>
  <c r="X1710" i="2" s="1"/>
  <c r="U1711" i="2"/>
  <c r="X1711" i="2" s="1"/>
  <c r="U1712" i="2"/>
  <c r="X1712" i="2" s="1"/>
  <c r="U1713" i="2"/>
  <c r="X1713" i="2" s="1"/>
  <c r="U1714" i="2"/>
  <c r="X1714" i="2" s="1"/>
  <c r="U1715" i="2"/>
  <c r="X1715" i="2" s="1"/>
  <c r="U1716" i="2"/>
  <c r="X1716" i="2" s="1"/>
  <c r="U1717" i="2"/>
  <c r="X1717" i="2" s="1"/>
  <c r="U1718" i="2"/>
  <c r="X1718" i="2" s="1"/>
  <c r="U1719" i="2"/>
  <c r="X1719" i="2" s="1"/>
  <c r="U1720" i="2"/>
  <c r="X1720" i="2" s="1"/>
  <c r="U1721" i="2"/>
  <c r="X1721" i="2" s="1"/>
  <c r="U1722" i="2"/>
  <c r="X1722" i="2" s="1"/>
  <c r="U1723" i="2"/>
  <c r="X1723" i="2" s="1"/>
  <c r="U1724" i="2"/>
  <c r="X1724" i="2" s="1"/>
  <c r="U1725" i="2"/>
  <c r="X1725" i="2" s="1"/>
  <c r="U1726" i="2"/>
  <c r="X1726" i="2" s="1"/>
  <c r="U1727" i="2"/>
  <c r="X1727" i="2" s="1"/>
  <c r="U1728" i="2"/>
  <c r="X1728" i="2" s="1"/>
  <c r="U1729" i="2"/>
  <c r="X1729" i="2" s="1"/>
  <c r="U1730" i="2"/>
  <c r="X1730" i="2" s="1"/>
  <c r="U1731" i="2"/>
  <c r="X1731" i="2" s="1"/>
  <c r="U1732" i="2"/>
  <c r="X1732" i="2" s="1"/>
  <c r="U1733" i="2"/>
  <c r="X1733" i="2" s="1"/>
  <c r="U1734" i="2"/>
  <c r="X1734" i="2" s="1"/>
  <c r="U1735" i="2"/>
  <c r="X1735" i="2" s="1"/>
  <c r="U1736" i="2"/>
  <c r="X1736" i="2" s="1"/>
  <c r="U1737" i="2"/>
  <c r="X1737" i="2" s="1"/>
  <c r="U1738" i="2"/>
  <c r="X1738" i="2" s="1"/>
  <c r="U1739" i="2"/>
  <c r="X1739" i="2" s="1"/>
  <c r="U1740" i="2"/>
  <c r="X1740" i="2" s="1"/>
  <c r="U1741" i="2"/>
  <c r="X1741" i="2" s="1"/>
  <c r="U1742" i="2"/>
  <c r="X1742" i="2" s="1"/>
  <c r="U1743" i="2"/>
  <c r="X1743" i="2" s="1"/>
  <c r="U1744" i="2"/>
  <c r="X1744" i="2" s="1"/>
  <c r="U1745" i="2"/>
  <c r="X1745" i="2" s="1"/>
  <c r="U1746" i="2"/>
  <c r="X1746" i="2" s="1"/>
  <c r="U1747" i="2"/>
  <c r="X1747" i="2" s="1"/>
  <c r="U1748" i="2"/>
  <c r="X1748" i="2" s="1"/>
  <c r="U1749" i="2"/>
  <c r="X1749" i="2" s="1"/>
  <c r="U1750" i="2"/>
  <c r="X1750" i="2" s="1"/>
  <c r="U1751" i="2"/>
  <c r="X1751" i="2" s="1"/>
  <c r="U1752" i="2"/>
  <c r="X1752" i="2" s="1"/>
  <c r="U1753" i="2"/>
  <c r="X1753" i="2" s="1"/>
  <c r="U1754" i="2"/>
  <c r="X1754" i="2" s="1"/>
  <c r="U1755" i="2"/>
  <c r="X1755" i="2" s="1"/>
  <c r="U1756" i="2"/>
  <c r="X1756" i="2" s="1"/>
  <c r="U1757" i="2"/>
  <c r="X1757" i="2" s="1"/>
  <c r="U1758" i="2"/>
  <c r="X1758" i="2" s="1"/>
  <c r="U1759" i="2"/>
  <c r="X1759" i="2" s="1"/>
  <c r="U1760" i="2"/>
  <c r="X1760" i="2" s="1"/>
  <c r="U1761" i="2"/>
  <c r="X1761" i="2" s="1"/>
  <c r="U1762" i="2"/>
  <c r="X1762" i="2" s="1"/>
  <c r="U1763" i="2"/>
  <c r="X1763" i="2" s="1"/>
  <c r="U1764" i="2"/>
  <c r="X1764" i="2" s="1"/>
  <c r="U1765" i="2"/>
  <c r="X1765" i="2" s="1"/>
  <c r="U1766" i="2"/>
  <c r="X1766" i="2" s="1"/>
  <c r="U1767" i="2"/>
  <c r="X1767" i="2" s="1"/>
  <c r="U1768" i="2"/>
  <c r="X1768" i="2" s="1"/>
  <c r="U1769" i="2"/>
  <c r="X1769" i="2" s="1"/>
  <c r="U1770" i="2"/>
  <c r="X1770" i="2" s="1"/>
  <c r="U1771" i="2"/>
  <c r="X1771" i="2" s="1"/>
  <c r="U1772" i="2"/>
  <c r="X1772" i="2" s="1"/>
  <c r="U1773" i="2"/>
  <c r="X1773" i="2" s="1"/>
  <c r="U1774" i="2"/>
  <c r="X1774" i="2" s="1"/>
  <c r="U1775" i="2"/>
  <c r="X1775" i="2" s="1"/>
  <c r="U1776" i="2"/>
  <c r="X1776" i="2" s="1"/>
  <c r="U1777" i="2"/>
  <c r="X1777" i="2" s="1"/>
  <c r="U1778" i="2"/>
  <c r="X1778" i="2" s="1"/>
  <c r="U1779" i="2"/>
  <c r="X1779" i="2" s="1"/>
  <c r="U1780" i="2"/>
  <c r="X1780" i="2" s="1"/>
  <c r="U1781" i="2"/>
  <c r="X1781" i="2" s="1"/>
  <c r="U1782" i="2"/>
  <c r="X1782" i="2" s="1"/>
  <c r="U1783" i="2"/>
  <c r="X1783" i="2" s="1"/>
  <c r="U1784" i="2"/>
  <c r="X1784" i="2" s="1"/>
  <c r="U1785" i="2"/>
  <c r="X1785" i="2" s="1"/>
  <c r="U1786" i="2"/>
  <c r="X1786" i="2" s="1"/>
  <c r="U1787" i="2"/>
  <c r="X1787" i="2" s="1"/>
  <c r="U1788" i="2"/>
  <c r="X1788" i="2" s="1"/>
  <c r="U1789" i="2"/>
  <c r="X1789" i="2" s="1"/>
  <c r="U1790" i="2"/>
  <c r="X1790" i="2" s="1"/>
  <c r="U1791" i="2"/>
  <c r="X1791" i="2" s="1"/>
  <c r="U1792" i="2"/>
  <c r="X1792" i="2" s="1"/>
  <c r="U1793" i="2"/>
  <c r="X1793" i="2" s="1"/>
  <c r="U1794" i="2"/>
  <c r="X1794" i="2" s="1"/>
  <c r="U1795" i="2"/>
  <c r="X1795" i="2" s="1"/>
  <c r="U1796" i="2"/>
  <c r="X1796" i="2" s="1"/>
  <c r="U1797" i="2"/>
  <c r="X1797" i="2" s="1"/>
  <c r="U1798" i="2"/>
  <c r="X1798" i="2" s="1"/>
  <c r="U1799" i="2"/>
  <c r="X1799" i="2" s="1"/>
  <c r="U1800" i="2"/>
  <c r="X1800" i="2" s="1"/>
  <c r="U1801" i="2"/>
  <c r="X1801" i="2" s="1"/>
  <c r="U1802" i="2"/>
  <c r="X1802" i="2" s="1"/>
  <c r="U1803" i="2"/>
  <c r="X1803" i="2" s="1"/>
  <c r="U1804" i="2"/>
  <c r="X1804" i="2" s="1"/>
  <c r="U1805" i="2"/>
  <c r="X1805" i="2" s="1"/>
  <c r="U1806" i="2"/>
  <c r="X1806" i="2" s="1"/>
  <c r="U1807" i="2"/>
  <c r="X1807" i="2" s="1"/>
  <c r="U1808" i="2"/>
  <c r="X1808" i="2" s="1"/>
  <c r="U1809" i="2"/>
  <c r="X1809" i="2" s="1"/>
  <c r="U1810" i="2"/>
  <c r="X1810" i="2" s="1"/>
  <c r="U1811" i="2"/>
  <c r="X1811" i="2" s="1"/>
  <c r="U1812" i="2"/>
  <c r="X1812" i="2" s="1"/>
  <c r="U1813" i="2"/>
  <c r="X1813" i="2" s="1"/>
  <c r="U1814" i="2"/>
  <c r="X1814" i="2" s="1"/>
  <c r="U1815" i="2"/>
  <c r="X1815" i="2" s="1"/>
  <c r="U1816" i="2"/>
  <c r="X1816" i="2" s="1"/>
  <c r="U1817" i="2"/>
  <c r="X1817" i="2" s="1"/>
  <c r="U1818" i="2"/>
  <c r="X1818" i="2" s="1"/>
  <c r="U1819" i="2"/>
  <c r="X1819" i="2" s="1"/>
  <c r="U1820" i="2"/>
  <c r="X1820" i="2" s="1"/>
  <c r="U1821" i="2"/>
  <c r="X1821" i="2" s="1"/>
  <c r="U1822" i="2"/>
  <c r="X1822" i="2" s="1"/>
  <c r="U1823" i="2"/>
  <c r="X1823" i="2" s="1"/>
  <c r="U1824" i="2"/>
  <c r="X1824" i="2" s="1"/>
  <c r="U1825" i="2"/>
  <c r="X1825" i="2" s="1"/>
  <c r="U1826" i="2"/>
  <c r="X1826" i="2" s="1"/>
  <c r="U1827" i="2"/>
  <c r="X1827" i="2" s="1"/>
  <c r="U1828" i="2"/>
  <c r="X1828" i="2" s="1"/>
  <c r="U1829" i="2"/>
  <c r="X1829" i="2" s="1"/>
  <c r="U1830" i="2"/>
  <c r="X1830" i="2" s="1"/>
  <c r="U1831" i="2"/>
  <c r="X1831" i="2" s="1"/>
  <c r="U1832" i="2"/>
  <c r="X1832" i="2" s="1"/>
  <c r="U1833" i="2"/>
  <c r="X1833" i="2" s="1"/>
  <c r="U1834" i="2"/>
  <c r="X1834" i="2" s="1"/>
  <c r="U1835" i="2"/>
  <c r="X1835" i="2" s="1"/>
  <c r="U1836" i="2"/>
  <c r="X1836" i="2" s="1"/>
  <c r="U1837" i="2"/>
  <c r="X1837" i="2" s="1"/>
  <c r="U1838" i="2"/>
  <c r="X1838" i="2" s="1"/>
  <c r="U1839" i="2"/>
  <c r="X1839" i="2" s="1"/>
  <c r="U1840" i="2"/>
  <c r="X1840" i="2" s="1"/>
  <c r="U1841" i="2"/>
  <c r="X1841" i="2" s="1"/>
  <c r="U1842" i="2"/>
  <c r="X1842" i="2" s="1"/>
  <c r="U1843" i="2"/>
  <c r="X1843" i="2" s="1"/>
  <c r="U1844" i="2"/>
  <c r="X1844" i="2" s="1"/>
  <c r="U1845" i="2"/>
  <c r="X1845" i="2" s="1"/>
  <c r="U1846" i="2"/>
  <c r="X1846" i="2" s="1"/>
  <c r="U1847" i="2"/>
  <c r="X1847" i="2" s="1"/>
  <c r="U1848" i="2"/>
  <c r="X1848" i="2" s="1"/>
  <c r="U1849" i="2"/>
  <c r="X1849" i="2" s="1"/>
  <c r="U1850" i="2"/>
  <c r="X1850" i="2" s="1"/>
  <c r="U1851" i="2"/>
  <c r="X1851" i="2" s="1"/>
  <c r="U1852" i="2"/>
  <c r="X1852" i="2" s="1"/>
  <c r="U1853" i="2"/>
  <c r="X1853" i="2" s="1"/>
  <c r="U1854" i="2"/>
  <c r="X1854" i="2" s="1"/>
  <c r="U1855" i="2"/>
  <c r="X1855" i="2" s="1"/>
  <c r="U1856" i="2"/>
  <c r="X1856" i="2" s="1"/>
  <c r="U1857" i="2"/>
  <c r="X1857" i="2" s="1"/>
  <c r="U1858" i="2"/>
  <c r="X1858" i="2" s="1"/>
  <c r="U1859" i="2"/>
  <c r="X1859" i="2" s="1"/>
  <c r="U1860" i="2"/>
  <c r="X1860" i="2" s="1"/>
  <c r="U1861" i="2"/>
  <c r="X1861" i="2" s="1"/>
  <c r="U1862" i="2"/>
  <c r="X1862" i="2" s="1"/>
  <c r="U1863" i="2"/>
  <c r="X1863" i="2" s="1"/>
  <c r="U1864" i="2"/>
  <c r="X1864" i="2" s="1"/>
  <c r="U1865" i="2"/>
  <c r="X1865" i="2" s="1"/>
  <c r="U1866" i="2"/>
  <c r="X1866" i="2" s="1"/>
  <c r="U1867" i="2"/>
  <c r="X1867" i="2" s="1"/>
  <c r="U1868" i="2"/>
  <c r="X1868" i="2" s="1"/>
  <c r="U1869" i="2"/>
  <c r="X1869" i="2" s="1"/>
  <c r="U1870" i="2"/>
  <c r="X1870" i="2" s="1"/>
  <c r="U1871" i="2"/>
  <c r="X1871" i="2" s="1"/>
  <c r="U1872" i="2"/>
  <c r="X1872" i="2" s="1"/>
  <c r="U1873" i="2"/>
  <c r="X1873" i="2" s="1"/>
  <c r="U1874" i="2"/>
  <c r="X1874" i="2" s="1"/>
  <c r="U1875" i="2"/>
  <c r="X1875" i="2" s="1"/>
  <c r="U1876" i="2"/>
  <c r="X1876" i="2" s="1"/>
  <c r="U1877" i="2"/>
  <c r="X1877" i="2" s="1"/>
  <c r="U1878" i="2"/>
  <c r="X1878" i="2" s="1"/>
  <c r="U1879" i="2"/>
  <c r="X1879" i="2" s="1"/>
  <c r="U1880" i="2"/>
  <c r="X1880" i="2" s="1"/>
  <c r="U1881" i="2"/>
  <c r="X1881" i="2" s="1"/>
  <c r="U1882" i="2"/>
  <c r="X1882" i="2" s="1"/>
  <c r="U1883" i="2"/>
  <c r="X1883" i="2" s="1"/>
  <c r="U1884" i="2"/>
  <c r="X1884" i="2" s="1"/>
  <c r="U1885" i="2"/>
  <c r="X1885" i="2" s="1"/>
  <c r="U1886" i="2"/>
  <c r="X1886" i="2" s="1"/>
  <c r="U1887" i="2"/>
  <c r="X1887" i="2" s="1"/>
  <c r="U1888" i="2"/>
  <c r="X1888" i="2" s="1"/>
  <c r="U1889" i="2"/>
  <c r="X1889" i="2" s="1"/>
  <c r="U1890" i="2"/>
  <c r="X1890" i="2" s="1"/>
  <c r="U1891" i="2"/>
  <c r="X1891" i="2" s="1"/>
  <c r="U1892" i="2"/>
  <c r="X1892" i="2" s="1"/>
  <c r="U1893" i="2"/>
  <c r="X1893" i="2" s="1"/>
  <c r="U3" i="2"/>
  <c r="X3" i="2" s="1"/>
  <c r="W62" i="2"/>
  <c r="AF62" i="2" s="1"/>
  <c r="W63" i="2"/>
  <c r="AF63" i="2" s="1"/>
  <c r="W64" i="2"/>
  <c r="AF64" i="2" s="1"/>
  <c r="W65" i="2"/>
  <c r="AF65" i="2" s="1"/>
  <c r="W66" i="2"/>
  <c r="AF66" i="2" s="1"/>
  <c r="W67" i="2"/>
  <c r="AF67" i="2" s="1"/>
  <c r="W68" i="2"/>
  <c r="W69" i="2"/>
  <c r="W70" i="2"/>
  <c r="AF70" i="2" s="1"/>
  <c r="W71" i="2"/>
  <c r="AF71" i="2" s="1"/>
  <c r="W72" i="2"/>
  <c r="AF72" i="2" s="1"/>
  <c r="W73" i="2"/>
  <c r="AF73" i="2" s="1"/>
  <c r="W74" i="2"/>
  <c r="AF74" i="2" s="1"/>
  <c r="W75" i="2"/>
  <c r="AF75" i="2" s="1"/>
  <c r="W76" i="2"/>
  <c r="AF76" i="2" s="1"/>
  <c r="W77" i="2"/>
  <c r="AF77" i="2" s="1"/>
  <c r="W78" i="2"/>
  <c r="AF78" i="2" s="1"/>
  <c r="W79" i="2"/>
  <c r="W80" i="2"/>
  <c r="AF80" i="2" s="1"/>
  <c r="W81" i="2"/>
  <c r="AF81" i="2" s="1"/>
  <c r="W82" i="2"/>
  <c r="AF82" i="2" s="1"/>
  <c r="W83" i="2"/>
  <c r="W84" i="2"/>
  <c r="AF84" i="2" s="1"/>
  <c r="W85" i="2"/>
  <c r="AF85" i="2" s="1"/>
  <c r="W86" i="2"/>
  <c r="AF86" i="2" s="1"/>
  <c r="W87" i="2"/>
  <c r="AF87" i="2" s="1"/>
  <c r="W88" i="2"/>
  <c r="AF88" i="2" s="1"/>
  <c r="W89" i="2"/>
  <c r="AF89" i="2" s="1"/>
  <c r="W90" i="2"/>
  <c r="AF90" i="2" s="1"/>
  <c r="W91" i="2"/>
  <c r="AF91" i="2" s="1"/>
  <c r="W92" i="2"/>
  <c r="AF92" i="2" s="1"/>
  <c r="W93" i="2"/>
  <c r="AF93" i="2" s="1"/>
  <c r="W94" i="2"/>
  <c r="AF94" i="2" s="1"/>
  <c r="W95" i="2"/>
  <c r="AF95" i="2" s="1"/>
  <c r="W96" i="2"/>
  <c r="AF96" i="2" s="1"/>
  <c r="W97" i="2"/>
  <c r="W98" i="2"/>
  <c r="AF98" i="2" s="1"/>
  <c r="W99" i="2"/>
  <c r="W100" i="2"/>
  <c r="AF100" i="2" s="1"/>
  <c r="W101" i="2"/>
  <c r="W102" i="2"/>
  <c r="AF102" i="2" s="1"/>
  <c r="W103" i="2"/>
  <c r="AF103" i="2" s="1"/>
  <c r="W104" i="2"/>
  <c r="AF104" i="2" s="1"/>
  <c r="W105" i="2"/>
  <c r="AF105" i="2" s="1"/>
  <c r="W106" i="2"/>
  <c r="AF106" i="2" s="1"/>
  <c r="W107" i="2"/>
  <c r="AF107" i="2" s="1"/>
  <c r="W108" i="2"/>
  <c r="AF108" i="2" s="1"/>
  <c r="W109" i="2"/>
  <c r="AF109" i="2" s="1"/>
  <c r="W110" i="2"/>
  <c r="AF110" i="2" s="1"/>
  <c r="W111" i="2"/>
  <c r="AF111" i="2" s="1"/>
  <c r="W112" i="2"/>
  <c r="AF112" i="2" s="1"/>
  <c r="W113" i="2"/>
  <c r="AF113" i="2" s="1"/>
  <c r="W114" i="2"/>
  <c r="AF114" i="2" s="1"/>
  <c r="W115" i="2"/>
  <c r="AF115" i="2" s="1"/>
  <c r="W116" i="2"/>
  <c r="AF116" i="2" s="1"/>
  <c r="W117" i="2"/>
  <c r="AF117" i="2" s="1"/>
  <c r="W118" i="2"/>
  <c r="AF118" i="2" s="1"/>
  <c r="W119" i="2"/>
  <c r="AF119" i="2" s="1"/>
  <c r="W120" i="2"/>
  <c r="AF120" i="2" s="1"/>
  <c r="W121" i="2"/>
  <c r="AF121" i="2" s="1"/>
  <c r="W122" i="2"/>
  <c r="W123" i="2"/>
  <c r="W124" i="2"/>
  <c r="AF124" i="2" s="1"/>
  <c r="W125" i="2"/>
  <c r="AF125" i="2" s="1"/>
  <c r="W126" i="2"/>
  <c r="AF126" i="2" s="1"/>
  <c r="W127" i="2"/>
  <c r="AF127" i="2" s="1"/>
  <c r="W128" i="2"/>
  <c r="AF128" i="2" s="1"/>
  <c r="W129" i="2"/>
  <c r="AF129" i="2" s="1"/>
  <c r="W130" i="2"/>
  <c r="AF130" i="2" s="1"/>
  <c r="W131" i="2"/>
  <c r="AF131" i="2" s="1"/>
  <c r="W132" i="2"/>
  <c r="AF132" i="2" s="1"/>
  <c r="W133" i="2"/>
  <c r="AF133" i="2" s="1"/>
  <c r="W134" i="2"/>
  <c r="AF134" i="2" s="1"/>
  <c r="W135" i="2"/>
  <c r="W136" i="2"/>
  <c r="AF136" i="2" s="1"/>
  <c r="W137" i="2"/>
  <c r="AF137" i="2" s="1"/>
  <c r="W138" i="2"/>
  <c r="AF138" i="2" s="1"/>
  <c r="W139" i="2"/>
  <c r="AF139" i="2" s="1"/>
  <c r="W140" i="2"/>
  <c r="AF140" i="2" s="1"/>
  <c r="W141" i="2"/>
  <c r="AF141" i="2" s="1"/>
  <c r="W142" i="2"/>
  <c r="AF142" i="2" s="1"/>
  <c r="W143" i="2"/>
  <c r="W144" i="2"/>
  <c r="W145" i="2"/>
  <c r="AF145" i="2" s="1"/>
  <c r="W146" i="2"/>
  <c r="AF146" i="2" s="1"/>
  <c r="W147" i="2"/>
  <c r="AF147" i="2" s="1"/>
  <c r="W148" i="2"/>
  <c r="AF148" i="2" s="1"/>
  <c r="W149" i="2"/>
  <c r="AF149" i="2" s="1"/>
  <c r="W150" i="2"/>
  <c r="AF150" i="2" s="1"/>
  <c r="W151" i="2"/>
  <c r="W152" i="2"/>
  <c r="AF152" i="2" s="1"/>
  <c r="W153" i="2"/>
  <c r="AF153" i="2" s="1"/>
  <c r="W154" i="2"/>
  <c r="AF154" i="2" s="1"/>
  <c r="W155" i="2"/>
  <c r="W156" i="2"/>
  <c r="W157" i="2"/>
  <c r="AF157" i="2" s="1"/>
  <c r="W158" i="2"/>
  <c r="AF158" i="2" s="1"/>
  <c r="W159" i="2"/>
  <c r="AF159" i="2" s="1"/>
  <c r="W160" i="2"/>
  <c r="AF160" i="2" s="1"/>
  <c r="W161" i="2"/>
  <c r="AF161" i="2" s="1"/>
  <c r="W162" i="2"/>
  <c r="AF162" i="2" s="1"/>
  <c r="W163" i="2"/>
  <c r="AF163" i="2" s="1"/>
  <c r="W164" i="2"/>
  <c r="AF164" i="2" s="1"/>
  <c r="W165" i="2"/>
  <c r="AF165" i="2" s="1"/>
  <c r="W166" i="2"/>
  <c r="AF166" i="2" s="1"/>
  <c r="W167" i="2"/>
  <c r="AF167" i="2" s="1"/>
  <c r="W168" i="2"/>
  <c r="AF168" i="2" s="1"/>
  <c r="W169" i="2"/>
  <c r="AF169" i="2" s="1"/>
  <c r="W170" i="2"/>
  <c r="AF170" i="2" s="1"/>
  <c r="W171" i="2"/>
  <c r="AF171" i="2" s="1"/>
  <c r="W172" i="2"/>
  <c r="AF172" i="2" s="1"/>
  <c r="W173" i="2"/>
  <c r="AF173" i="2" s="1"/>
  <c r="W174" i="2"/>
  <c r="AF174" i="2" s="1"/>
  <c r="W175" i="2"/>
  <c r="AF175" i="2" s="1"/>
  <c r="W176" i="2"/>
  <c r="AF176" i="2" s="1"/>
  <c r="W177" i="2"/>
  <c r="AF177" i="2" s="1"/>
  <c r="W178" i="2"/>
  <c r="AF178" i="2" s="1"/>
  <c r="W179" i="2"/>
  <c r="AF179" i="2" s="1"/>
  <c r="W180" i="2"/>
  <c r="AF180" i="2" s="1"/>
  <c r="W181" i="2"/>
  <c r="AF181" i="2" s="1"/>
  <c r="W182" i="2"/>
  <c r="AF182" i="2" s="1"/>
  <c r="W183" i="2"/>
  <c r="AF183" i="2" s="1"/>
  <c r="W184" i="2"/>
  <c r="AF184" i="2" s="1"/>
  <c r="W185" i="2"/>
  <c r="AF185" i="2" s="1"/>
  <c r="W186" i="2"/>
  <c r="AF186" i="2" s="1"/>
  <c r="W187" i="2"/>
  <c r="AF187" i="2" s="1"/>
  <c r="W188" i="2"/>
  <c r="AF188" i="2" s="1"/>
  <c r="W189" i="2"/>
  <c r="AF189" i="2" s="1"/>
  <c r="W190" i="2"/>
  <c r="W191" i="2"/>
  <c r="W192" i="2"/>
  <c r="AF192" i="2" s="1"/>
  <c r="W193" i="2"/>
  <c r="AF193" i="2" s="1"/>
  <c r="W194" i="2"/>
  <c r="AF194" i="2" s="1"/>
  <c r="W195" i="2"/>
  <c r="W196" i="2"/>
  <c r="AF196" i="2" s="1"/>
  <c r="W197" i="2"/>
  <c r="AF197" i="2" s="1"/>
  <c r="W198" i="2"/>
  <c r="AF198" i="2" s="1"/>
  <c r="W199" i="2"/>
  <c r="AF199" i="2" s="1"/>
  <c r="W200" i="2"/>
  <c r="AF200" i="2" s="1"/>
  <c r="W201" i="2"/>
  <c r="AF201" i="2" s="1"/>
  <c r="W202" i="2"/>
  <c r="AF202" i="2" s="1"/>
  <c r="W203" i="2"/>
  <c r="W204" i="2"/>
  <c r="AF204" i="2" s="1"/>
  <c r="W205" i="2"/>
  <c r="AF205" i="2" s="1"/>
  <c r="W206" i="2"/>
  <c r="AF206" i="2" s="1"/>
  <c r="W207" i="2"/>
  <c r="AF207" i="2" s="1"/>
  <c r="W208" i="2"/>
  <c r="AF208" i="2" s="1"/>
  <c r="W209" i="2"/>
  <c r="AF209" i="2" s="1"/>
  <c r="W210" i="2"/>
  <c r="AF210" i="2" s="1"/>
  <c r="W211" i="2"/>
  <c r="AF211" i="2" s="1"/>
  <c r="W212" i="2"/>
  <c r="AF212" i="2" s="1"/>
  <c r="W213" i="2"/>
  <c r="AF213" i="2" s="1"/>
  <c r="W214" i="2"/>
  <c r="AF214" i="2" s="1"/>
  <c r="W215" i="2"/>
  <c r="AF215" i="2" s="1"/>
  <c r="W216" i="2"/>
  <c r="AF216" i="2" s="1"/>
  <c r="W217" i="2"/>
  <c r="AF217" i="2" s="1"/>
  <c r="W218" i="2"/>
  <c r="AF218" i="2" s="1"/>
  <c r="W219" i="2"/>
  <c r="W220" i="2"/>
  <c r="AF220" i="2" s="1"/>
  <c r="W221" i="2"/>
  <c r="AF221" i="2" s="1"/>
  <c r="W222" i="2"/>
  <c r="AF222" i="2" s="1"/>
  <c r="W223" i="2"/>
  <c r="AF223" i="2" s="1"/>
  <c r="W224" i="2"/>
  <c r="AF224" i="2" s="1"/>
  <c r="W225" i="2"/>
  <c r="AF225" i="2" s="1"/>
  <c r="W226" i="2"/>
  <c r="AF226" i="2" s="1"/>
  <c r="W227" i="2"/>
  <c r="AF227" i="2" s="1"/>
  <c r="W228" i="2"/>
  <c r="W229" i="2"/>
  <c r="AF229" i="2" s="1"/>
  <c r="W230" i="2"/>
  <c r="W231" i="2"/>
  <c r="AF231" i="2" s="1"/>
  <c r="W232" i="2"/>
  <c r="AF232" i="2" s="1"/>
  <c r="W233" i="2"/>
  <c r="AF233" i="2" s="1"/>
  <c r="W234" i="2"/>
  <c r="AF234" i="2" s="1"/>
  <c r="W235" i="2"/>
  <c r="AF235" i="2" s="1"/>
  <c r="W236" i="2"/>
  <c r="W237" i="2"/>
  <c r="AF237" i="2" s="1"/>
  <c r="W238" i="2"/>
  <c r="AF238" i="2" s="1"/>
  <c r="W239" i="2"/>
  <c r="AF239" i="2" s="1"/>
  <c r="W240" i="2"/>
  <c r="AF240" i="2" s="1"/>
  <c r="W241" i="2"/>
  <c r="AF241" i="2" s="1"/>
  <c r="W242" i="2"/>
  <c r="AF242" i="2" s="1"/>
  <c r="W243" i="2"/>
  <c r="AF243" i="2" s="1"/>
  <c r="W244" i="2"/>
  <c r="AF244" i="2" s="1"/>
  <c r="W245" i="2"/>
  <c r="AF245" i="2" s="1"/>
  <c r="W246" i="2"/>
  <c r="AF246" i="2" s="1"/>
  <c r="W247" i="2"/>
  <c r="AF247" i="2" s="1"/>
  <c r="W248" i="2"/>
  <c r="AF248" i="2" s="1"/>
  <c r="W249" i="2"/>
  <c r="AF249" i="2" s="1"/>
  <c r="W250" i="2"/>
  <c r="AF250" i="2" s="1"/>
  <c r="W251" i="2"/>
  <c r="AF251" i="2" s="1"/>
  <c r="W252" i="2"/>
  <c r="AF252" i="2" s="1"/>
  <c r="W253" i="2"/>
  <c r="AF253" i="2" s="1"/>
  <c r="W254" i="2"/>
  <c r="W255" i="2"/>
  <c r="AF255" i="2" s="1"/>
  <c r="W256" i="2"/>
  <c r="AF256" i="2" s="1"/>
  <c r="W257" i="2"/>
  <c r="AF257" i="2" s="1"/>
  <c r="W258" i="2"/>
  <c r="AF258" i="2" s="1"/>
  <c r="W259" i="2"/>
  <c r="AF259" i="2" s="1"/>
  <c r="W260" i="2"/>
  <c r="AF260" i="2" s="1"/>
  <c r="W261" i="2"/>
  <c r="AF261" i="2" s="1"/>
  <c r="W262" i="2"/>
  <c r="AF262" i="2" s="1"/>
  <c r="W263" i="2"/>
  <c r="AF263" i="2" s="1"/>
  <c r="W264" i="2"/>
  <c r="AF264" i="2" s="1"/>
  <c r="W265" i="2"/>
  <c r="AF265" i="2" s="1"/>
  <c r="W266" i="2"/>
  <c r="AF266" i="2" s="1"/>
  <c r="W267" i="2"/>
  <c r="AF267" i="2" s="1"/>
  <c r="W268" i="2"/>
  <c r="AF268" i="2" s="1"/>
  <c r="W269" i="2"/>
  <c r="W270" i="2"/>
  <c r="AF270" i="2" s="1"/>
  <c r="W271" i="2"/>
  <c r="AF271" i="2" s="1"/>
  <c r="W272" i="2"/>
  <c r="AF272" i="2" s="1"/>
  <c r="W273" i="2"/>
  <c r="AF273" i="2" s="1"/>
  <c r="W274" i="2"/>
  <c r="AF274" i="2" s="1"/>
  <c r="W275" i="2"/>
  <c r="AF275" i="2" s="1"/>
  <c r="W276" i="2"/>
  <c r="AF276" i="2" s="1"/>
  <c r="W277" i="2"/>
  <c r="AF277" i="2" s="1"/>
  <c r="W278" i="2"/>
  <c r="W279" i="2"/>
  <c r="AF279" i="2" s="1"/>
  <c r="W280" i="2"/>
  <c r="AF280" i="2" s="1"/>
  <c r="W281" i="2"/>
  <c r="W282" i="2"/>
  <c r="AF282" i="2" s="1"/>
  <c r="W283" i="2"/>
  <c r="AF283" i="2" s="1"/>
  <c r="W284" i="2"/>
  <c r="AF284" i="2" s="1"/>
  <c r="W285" i="2"/>
  <c r="AF285" i="2" s="1"/>
  <c r="W286" i="2"/>
  <c r="AF286" i="2" s="1"/>
  <c r="W287" i="2"/>
  <c r="W288" i="2"/>
  <c r="AF288" i="2" s="1"/>
  <c r="W289" i="2"/>
  <c r="AF289" i="2" s="1"/>
  <c r="W290" i="2"/>
  <c r="AF290" i="2" s="1"/>
  <c r="W291" i="2"/>
  <c r="AF291" i="2" s="1"/>
  <c r="W292" i="2"/>
  <c r="AF292" i="2" s="1"/>
  <c r="W293" i="2"/>
  <c r="AF293" i="2" s="1"/>
  <c r="W294" i="2"/>
  <c r="AF294" i="2" s="1"/>
  <c r="W295" i="2"/>
  <c r="AF295" i="2" s="1"/>
  <c r="W296" i="2"/>
  <c r="AF296" i="2" s="1"/>
  <c r="W297" i="2"/>
  <c r="AF297" i="2" s="1"/>
  <c r="W298" i="2"/>
  <c r="AF298" i="2" s="1"/>
  <c r="W299" i="2"/>
  <c r="W300" i="2"/>
  <c r="AF300" i="2" s="1"/>
  <c r="W301" i="2"/>
  <c r="AF301" i="2" s="1"/>
  <c r="W302" i="2"/>
  <c r="AF302" i="2" s="1"/>
  <c r="W303" i="2"/>
  <c r="AF303" i="2" s="1"/>
  <c r="W304" i="2"/>
  <c r="AF304" i="2" s="1"/>
  <c r="W305" i="2"/>
  <c r="AF305" i="2" s="1"/>
  <c r="W306" i="2"/>
  <c r="W307" i="2"/>
  <c r="W308" i="2"/>
  <c r="AF308" i="2" s="1"/>
  <c r="W309" i="2"/>
  <c r="AF309" i="2" s="1"/>
  <c r="W310" i="2"/>
  <c r="W311" i="2"/>
  <c r="AF311" i="2" s="1"/>
  <c r="W312" i="2"/>
  <c r="AF312" i="2" s="1"/>
  <c r="W313" i="2"/>
  <c r="AF313" i="2" s="1"/>
  <c r="W314" i="2"/>
  <c r="AF314" i="2" s="1"/>
  <c r="W315" i="2"/>
  <c r="AF315" i="2" s="1"/>
  <c r="W316" i="2"/>
  <c r="AF316" i="2" s="1"/>
  <c r="W317" i="2"/>
  <c r="AF317" i="2" s="1"/>
  <c r="W318" i="2"/>
  <c r="AF318" i="2" s="1"/>
  <c r="W319" i="2"/>
  <c r="AF319" i="2" s="1"/>
  <c r="W320" i="2"/>
  <c r="AF320" i="2" s="1"/>
  <c r="W321" i="2"/>
  <c r="AF321" i="2" s="1"/>
  <c r="W322" i="2"/>
  <c r="AF322" i="2" s="1"/>
  <c r="W323" i="2"/>
  <c r="AF323" i="2" s="1"/>
  <c r="W324" i="2"/>
  <c r="AF324" i="2" s="1"/>
  <c r="W325" i="2"/>
  <c r="AF325" i="2" s="1"/>
  <c r="W326" i="2"/>
  <c r="AF326" i="2" s="1"/>
  <c r="W327" i="2"/>
  <c r="AF327" i="2" s="1"/>
  <c r="W328" i="2"/>
  <c r="AF328" i="2" s="1"/>
  <c r="W329" i="2"/>
  <c r="AF329" i="2" s="1"/>
  <c r="W330" i="2"/>
  <c r="AF330" i="2" s="1"/>
  <c r="W331" i="2"/>
  <c r="AF331" i="2" s="1"/>
  <c r="W332" i="2"/>
  <c r="W333" i="2"/>
  <c r="AF333" i="2" s="1"/>
  <c r="W334" i="2"/>
  <c r="AF334" i="2" s="1"/>
  <c r="W335" i="2"/>
  <c r="AF335" i="2" s="1"/>
  <c r="W336" i="2"/>
  <c r="AF336" i="2" s="1"/>
  <c r="W337" i="2"/>
  <c r="AF337" i="2" s="1"/>
  <c r="W338" i="2"/>
  <c r="AF338" i="2" s="1"/>
  <c r="W339" i="2"/>
  <c r="AF339" i="2" s="1"/>
  <c r="W340" i="2"/>
  <c r="AF340" i="2" s="1"/>
  <c r="W341" i="2"/>
  <c r="AF341" i="2" s="1"/>
  <c r="W342" i="2"/>
  <c r="AF342" i="2" s="1"/>
  <c r="W343" i="2"/>
  <c r="W344" i="2"/>
  <c r="AF344" i="2" s="1"/>
  <c r="W345" i="2"/>
  <c r="AF345" i="2" s="1"/>
  <c r="W346" i="2"/>
  <c r="AF346" i="2" s="1"/>
  <c r="W347" i="2"/>
  <c r="AF347" i="2" s="1"/>
  <c r="W348" i="2"/>
  <c r="AF348" i="2" s="1"/>
  <c r="W349" i="2"/>
  <c r="AF349" i="2" s="1"/>
  <c r="W350" i="2"/>
  <c r="AF350" i="2" s="1"/>
  <c r="W351" i="2"/>
  <c r="AF351" i="2" s="1"/>
  <c r="W352" i="2"/>
  <c r="AF352" i="2" s="1"/>
  <c r="W353" i="2"/>
  <c r="AF353" i="2" s="1"/>
  <c r="W354" i="2"/>
  <c r="W355" i="2"/>
  <c r="AF355" i="2" s="1"/>
  <c r="W356" i="2"/>
  <c r="AF356" i="2" s="1"/>
  <c r="W357" i="2"/>
  <c r="AF357" i="2" s="1"/>
  <c r="W358" i="2"/>
  <c r="AF358" i="2" s="1"/>
  <c r="W359" i="2"/>
  <c r="W360" i="2"/>
  <c r="W361" i="2"/>
  <c r="AF361" i="2" s="1"/>
  <c r="W362" i="2"/>
  <c r="AF362" i="2" s="1"/>
  <c r="W363" i="2"/>
  <c r="AF363" i="2" s="1"/>
  <c r="W364" i="2"/>
  <c r="AF364" i="2" s="1"/>
  <c r="W365" i="2"/>
  <c r="AF365" i="2" s="1"/>
  <c r="W366" i="2"/>
  <c r="AF366" i="2" s="1"/>
  <c r="W367" i="2"/>
  <c r="AF367" i="2" s="1"/>
  <c r="W368" i="2"/>
  <c r="AF368" i="2" s="1"/>
  <c r="W369" i="2"/>
  <c r="AF369" i="2" s="1"/>
  <c r="W370" i="2"/>
  <c r="AF370" i="2" s="1"/>
  <c r="W371" i="2"/>
  <c r="AF371" i="2" s="1"/>
  <c r="W372" i="2"/>
  <c r="AF372" i="2" s="1"/>
  <c r="W373" i="2"/>
  <c r="AF373" i="2" s="1"/>
  <c r="W374" i="2"/>
  <c r="AF374" i="2" s="1"/>
  <c r="W375" i="2"/>
  <c r="AF375" i="2" s="1"/>
  <c r="W376" i="2"/>
  <c r="AF376" i="2" s="1"/>
  <c r="W377" i="2"/>
  <c r="AF377" i="2" s="1"/>
  <c r="W378" i="2"/>
  <c r="AF378" i="2" s="1"/>
  <c r="W379" i="2"/>
  <c r="AF379" i="2" s="1"/>
  <c r="W380" i="2"/>
  <c r="AF380" i="2" s="1"/>
  <c r="W381" i="2"/>
  <c r="AF381" i="2" s="1"/>
  <c r="W382" i="2"/>
  <c r="AF382" i="2" s="1"/>
  <c r="W383" i="2"/>
  <c r="AF383" i="2" s="1"/>
  <c r="W384" i="2"/>
  <c r="AF384" i="2" s="1"/>
  <c r="W385" i="2"/>
  <c r="AF385" i="2" s="1"/>
  <c r="W386" i="2"/>
  <c r="AF386" i="2" s="1"/>
  <c r="W387" i="2"/>
  <c r="W388" i="2"/>
  <c r="AF388" i="2" s="1"/>
  <c r="W389" i="2"/>
  <c r="AF389" i="2" s="1"/>
  <c r="W390" i="2"/>
  <c r="AF390" i="2" s="1"/>
  <c r="W391" i="2"/>
  <c r="AF391" i="2" s="1"/>
  <c r="W392" i="2"/>
  <c r="AF392" i="2" s="1"/>
  <c r="W393" i="2"/>
  <c r="AF393" i="2" s="1"/>
  <c r="W394" i="2"/>
  <c r="AF394" i="2" s="1"/>
  <c r="W395" i="2"/>
  <c r="W396" i="2"/>
  <c r="AF396" i="2" s="1"/>
  <c r="W397" i="2"/>
  <c r="W398" i="2"/>
  <c r="AF398" i="2" s="1"/>
  <c r="W399" i="2"/>
  <c r="AF399" i="2" s="1"/>
  <c r="W400" i="2"/>
  <c r="AF400" i="2" s="1"/>
  <c r="W401" i="2"/>
  <c r="AF401" i="2" s="1"/>
  <c r="W402" i="2"/>
  <c r="AF402" i="2" s="1"/>
  <c r="W403" i="2"/>
  <c r="AF403" i="2" s="1"/>
  <c r="W404" i="2"/>
  <c r="AF404" i="2" s="1"/>
  <c r="W405" i="2"/>
  <c r="AF405" i="2" s="1"/>
  <c r="W406" i="2"/>
  <c r="AF406" i="2" s="1"/>
  <c r="W407" i="2"/>
  <c r="AF407" i="2" s="1"/>
  <c r="W408" i="2"/>
  <c r="AF408" i="2" s="1"/>
  <c r="W409" i="2"/>
  <c r="AF409" i="2" s="1"/>
  <c r="W410" i="2"/>
  <c r="W411" i="2"/>
  <c r="AF411" i="2" s="1"/>
  <c r="W412" i="2"/>
  <c r="W413" i="2"/>
  <c r="AF413" i="2" s="1"/>
  <c r="W414" i="2"/>
  <c r="AF414" i="2" s="1"/>
  <c r="W415" i="2"/>
  <c r="AF415" i="2" s="1"/>
  <c r="W416" i="2"/>
  <c r="W417" i="2"/>
  <c r="AF417" i="2" s="1"/>
  <c r="W418" i="2"/>
  <c r="AF418" i="2" s="1"/>
  <c r="W419" i="2"/>
  <c r="W420" i="2"/>
  <c r="AF420" i="2" s="1"/>
  <c r="W421" i="2"/>
  <c r="AF421" i="2" s="1"/>
  <c r="W422" i="2"/>
  <c r="W423" i="2"/>
  <c r="AF423" i="2" s="1"/>
  <c r="W424" i="2"/>
  <c r="AF424" i="2" s="1"/>
  <c r="W425" i="2"/>
  <c r="AF425" i="2" s="1"/>
  <c r="W426" i="2"/>
  <c r="AF426" i="2" s="1"/>
  <c r="W427" i="2"/>
  <c r="AF427" i="2" s="1"/>
  <c r="W428" i="2"/>
  <c r="AF428" i="2" s="1"/>
  <c r="W429" i="2"/>
  <c r="AF429" i="2" s="1"/>
  <c r="W430" i="2"/>
  <c r="AF430" i="2" s="1"/>
  <c r="W431" i="2"/>
  <c r="AF431" i="2" s="1"/>
  <c r="W432" i="2"/>
  <c r="AF432" i="2" s="1"/>
  <c r="W433" i="2"/>
  <c r="AF433" i="2" s="1"/>
  <c r="W434" i="2"/>
  <c r="AF434" i="2" s="1"/>
  <c r="W435" i="2"/>
  <c r="AF435" i="2" s="1"/>
  <c r="W436" i="2"/>
  <c r="W437" i="2"/>
  <c r="AF437" i="2" s="1"/>
  <c r="W438" i="2"/>
  <c r="AF438" i="2" s="1"/>
  <c r="W439" i="2"/>
  <c r="AF439" i="2" s="1"/>
  <c r="W440" i="2"/>
  <c r="W441" i="2"/>
  <c r="AF441" i="2" s="1"/>
  <c r="W442" i="2"/>
  <c r="AF442" i="2" s="1"/>
  <c r="W443" i="2"/>
  <c r="AF443" i="2" s="1"/>
  <c r="W444" i="2"/>
  <c r="AF444" i="2" s="1"/>
  <c r="W445" i="2"/>
  <c r="AF445" i="2" s="1"/>
  <c r="W446" i="2"/>
  <c r="AF446" i="2" s="1"/>
  <c r="W447" i="2"/>
  <c r="AF447" i="2" s="1"/>
  <c r="W448" i="2"/>
  <c r="AF448" i="2" s="1"/>
  <c r="W449" i="2"/>
  <c r="AF449" i="2" s="1"/>
  <c r="W450" i="2"/>
  <c r="AF450" i="2" s="1"/>
  <c r="W451" i="2"/>
  <c r="AF451" i="2" s="1"/>
  <c r="W452" i="2"/>
  <c r="AF452" i="2" s="1"/>
  <c r="W453" i="2"/>
  <c r="AF453" i="2" s="1"/>
  <c r="W454" i="2"/>
  <c r="AF454" i="2" s="1"/>
  <c r="W455" i="2"/>
  <c r="AF455" i="2" s="1"/>
  <c r="W456" i="2"/>
  <c r="AF456" i="2" s="1"/>
  <c r="W457" i="2"/>
  <c r="AF457" i="2" s="1"/>
  <c r="W458" i="2"/>
  <c r="AF458" i="2" s="1"/>
  <c r="W459" i="2"/>
  <c r="AF459" i="2" s="1"/>
  <c r="W460" i="2"/>
  <c r="AF460" i="2" s="1"/>
  <c r="W461" i="2"/>
  <c r="AF461" i="2" s="1"/>
  <c r="W462" i="2"/>
  <c r="AF462" i="2" s="1"/>
  <c r="W463" i="2"/>
  <c r="AF463" i="2" s="1"/>
  <c r="W464" i="2"/>
  <c r="AF464" i="2" s="1"/>
  <c r="W465" i="2"/>
  <c r="AF465" i="2" s="1"/>
  <c r="W466" i="2"/>
  <c r="AF466" i="2" s="1"/>
  <c r="W467" i="2"/>
  <c r="AF467" i="2" s="1"/>
  <c r="W468" i="2"/>
  <c r="W469" i="2"/>
  <c r="AF469" i="2" s="1"/>
  <c r="W470" i="2"/>
  <c r="W471" i="2"/>
  <c r="AF471" i="2" s="1"/>
  <c r="W472" i="2"/>
  <c r="AF472" i="2" s="1"/>
  <c r="W473" i="2"/>
  <c r="AF473" i="2" s="1"/>
  <c r="W474" i="2"/>
  <c r="AF474" i="2" s="1"/>
  <c r="W475" i="2"/>
  <c r="AF475" i="2" s="1"/>
  <c r="W476" i="2"/>
  <c r="AF476" i="2" s="1"/>
  <c r="W477" i="2"/>
  <c r="AF477" i="2" s="1"/>
  <c r="W478" i="2"/>
  <c r="AF478" i="2" s="1"/>
  <c r="W479" i="2"/>
  <c r="AF479" i="2" s="1"/>
  <c r="W480" i="2"/>
  <c r="AF480" i="2" s="1"/>
  <c r="W481" i="2"/>
  <c r="AF481" i="2" s="1"/>
  <c r="W482" i="2"/>
  <c r="AF482" i="2" s="1"/>
  <c r="W483" i="2"/>
  <c r="AF483" i="2" s="1"/>
  <c r="W484" i="2"/>
  <c r="AF484" i="2" s="1"/>
  <c r="W485" i="2"/>
  <c r="AF485" i="2" s="1"/>
  <c r="W486" i="2"/>
  <c r="W487" i="2"/>
  <c r="AF487" i="2" s="1"/>
  <c r="W488" i="2"/>
  <c r="AF488" i="2" s="1"/>
  <c r="W489" i="2"/>
  <c r="AF489" i="2" s="1"/>
  <c r="W490" i="2"/>
  <c r="AF490" i="2" s="1"/>
  <c r="W491" i="2"/>
  <c r="AF491" i="2" s="1"/>
  <c r="W492" i="2"/>
  <c r="AF492" i="2" s="1"/>
  <c r="W493" i="2"/>
  <c r="AF493" i="2" s="1"/>
  <c r="W494" i="2"/>
  <c r="W495" i="2"/>
  <c r="AF495" i="2" s="1"/>
  <c r="W496" i="2"/>
  <c r="AF496" i="2" s="1"/>
  <c r="W497" i="2"/>
  <c r="AF497" i="2" s="1"/>
  <c r="W498" i="2"/>
  <c r="W499" i="2"/>
  <c r="AF499" i="2" s="1"/>
  <c r="W500" i="2"/>
  <c r="AF500" i="2" s="1"/>
  <c r="W501" i="2"/>
  <c r="AF501" i="2" s="1"/>
  <c r="W502" i="2"/>
  <c r="AF502" i="2" s="1"/>
  <c r="W503" i="2"/>
  <c r="AF503" i="2" s="1"/>
  <c r="W504" i="2"/>
  <c r="AF504" i="2" s="1"/>
  <c r="W505" i="2"/>
  <c r="AF505" i="2" s="1"/>
  <c r="W506" i="2"/>
  <c r="AF506" i="2" s="1"/>
  <c r="W507" i="2"/>
  <c r="AF507" i="2" s="1"/>
  <c r="W508" i="2"/>
  <c r="AF508" i="2" s="1"/>
  <c r="W509" i="2"/>
  <c r="AF509" i="2" s="1"/>
  <c r="W510" i="2"/>
  <c r="AF510" i="2" s="1"/>
  <c r="W511" i="2"/>
  <c r="AF511" i="2" s="1"/>
  <c r="W512" i="2"/>
  <c r="AF512" i="2" s="1"/>
  <c r="W513" i="2"/>
  <c r="AF513" i="2" s="1"/>
  <c r="W514" i="2"/>
  <c r="AF514" i="2" s="1"/>
  <c r="W515" i="2"/>
  <c r="AF515" i="2" s="1"/>
  <c r="W516" i="2"/>
  <c r="AF516" i="2" s="1"/>
  <c r="W517" i="2"/>
  <c r="AF517" i="2" s="1"/>
  <c r="W518" i="2"/>
  <c r="AF518" i="2" s="1"/>
  <c r="W519" i="2"/>
  <c r="AF519" i="2" s="1"/>
  <c r="W520" i="2"/>
  <c r="AF520" i="2" s="1"/>
  <c r="W521" i="2"/>
  <c r="AF521" i="2" s="1"/>
  <c r="W522" i="2"/>
  <c r="AF522" i="2" s="1"/>
  <c r="W523" i="2"/>
  <c r="AF523" i="2" s="1"/>
  <c r="W524" i="2"/>
  <c r="AF524" i="2" s="1"/>
  <c r="W525" i="2"/>
  <c r="AF525" i="2" s="1"/>
  <c r="W526" i="2"/>
  <c r="AF526" i="2" s="1"/>
  <c r="W527" i="2"/>
  <c r="AF527" i="2" s="1"/>
  <c r="W528" i="2"/>
  <c r="AF528" i="2" s="1"/>
  <c r="W529" i="2"/>
  <c r="AF529" i="2" s="1"/>
  <c r="W530" i="2"/>
  <c r="AF530" i="2" s="1"/>
  <c r="W531" i="2"/>
  <c r="AF531" i="2" s="1"/>
  <c r="W532" i="2"/>
  <c r="AF532" i="2" s="1"/>
  <c r="W533" i="2"/>
  <c r="AF533" i="2" s="1"/>
  <c r="W534" i="2"/>
  <c r="AF534" i="2" s="1"/>
  <c r="W535" i="2"/>
  <c r="AF535" i="2" s="1"/>
  <c r="W536" i="2"/>
  <c r="AF536" i="2" s="1"/>
  <c r="W537" i="2"/>
  <c r="AF537" i="2" s="1"/>
  <c r="W538" i="2"/>
  <c r="AF538" i="2" s="1"/>
  <c r="W539" i="2"/>
  <c r="AF539" i="2" s="1"/>
  <c r="W540" i="2"/>
  <c r="AF540" i="2" s="1"/>
  <c r="W541" i="2"/>
  <c r="AF541" i="2" s="1"/>
  <c r="W542" i="2"/>
  <c r="AF542" i="2" s="1"/>
  <c r="W543" i="2"/>
  <c r="AF543" i="2" s="1"/>
  <c r="W544" i="2"/>
  <c r="AF544" i="2" s="1"/>
  <c r="W545" i="2"/>
  <c r="AF545" i="2" s="1"/>
  <c r="W546" i="2"/>
  <c r="AF546" i="2" s="1"/>
  <c r="W547" i="2"/>
  <c r="AF547" i="2" s="1"/>
  <c r="W548" i="2"/>
  <c r="W549" i="2"/>
  <c r="AF549" i="2" s="1"/>
  <c r="W550" i="2"/>
  <c r="AF550" i="2" s="1"/>
  <c r="W551" i="2"/>
  <c r="AF551" i="2" s="1"/>
  <c r="W552" i="2"/>
  <c r="AF552" i="2" s="1"/>
  <c r="W553" i="2"/>
  <c r="AF553" i="2" s="1"/>
  <c r="W554" i="2"/>
  <c r="AF554" i="2" s="1"/>
  <c r="W555" i="2"/>
  <c r="W556" i="2"/>
  <c r="AF556" i="2" s="1"/>
  <c r="W557" i="2"/>
  <c r="AF557" i="2" s="1"/>
  <c r="W558" i="2"/>
  <c r="AF558" i="2" s="1"/>
  <c r="W559" i="2"/>
  <c r="W560" i="2"/>
  <c r="AF560" i="2" s="1"/>
  <c r="W561" i="2"/>
  <c r="AF561" i="2" s="1"/>
  <c r="W562" i="2"/>
  <c r="AF562" i="2" s="1"/>
  <c r="W563" i="2"/>
  <c r="AF563" i="2" s="1"/>
  <c r="W564" i="2"/>
  <c r="AF564" i="2" s="1"/>
  <c r="W565" i="2"/>
  <c r="AF565" i="2" s="1"/>
  <c r="W566" i="2"/>
  <c r="W567" i="2"/>
  <c r="AF567" i="2" s="1"/>
  <c r="W568" i="2"/>
  <c r="AF568" i="2" s="1"/>
  <c r="W569" i="2"/>
  <c r="AF569" i="2" s="1"/>
  <c r="W570" i="2"/>
  <c r="AF570" i="2" s="1"/>
  <c r="W571" i="2"/>
  <c r="AF571" i="2" s="1"/>
  <c r="W572" i="2"/>
  <c r="W573" i="2"/>
  <c r="AF573" i="2" s="1"/>
  <c r="W574" i="2"/>
  <c r="AF574" i="2" s="1"/>
  <c r="W575" i="2"/>
  <c r="AF575" i="2" s="1"/>
  <c r="W576" i="2"/>
  <c r="W577" i="2"/>
  <c r="AF577" i="2" s="1"/>
  <c r="W578" i="2"/>
  <c r="AF578" i="2" s="1"/>
  <c r="W579" i="2"/>
  <c r="AF579" i="2" s="1"/>
  <c r="W580" i="2"/>
  <c r="AF580" i="2" s="1"/>
  <c r="W581" i="2"/>
  <c r="AF581" i="2" s="1"/>
  <c r="W582" i="2"/>
  <c r="AF582" i="2" s="1"/>
  <c r="W583" i="2"/>
  <c r="AF583" i="2" s="1"/>
  <c r="W584" i="2"/>
  <c r="W585" i="2"/>
  <c r="AF585" i="2" s="1"/>
  <c r="W586" i="2"/>
  <c r="AF586" i="2" s="1"/>
  <c r="W587" i="2"/>
  <c r="AF587" i="2" s="1"/>
  <c r="W588" i="2"/>
  <c r="AF588" i="2" s="1"/>
  <c r="W589" i="2"/>
  <c r="AF589" i="2" s="1"/>
  <c r="W590" i="2"/>
  <c r="AF590" i="2" s="1"/>
  <c r="W591" i="2"/>
  <c r="AF591" i="2" s="1"/>
  <c r="W592" i="2"/>
  <c r="AF592" i="2" s="1"/>
  <c r="W593" i="2"/>
  <c r="AF593" i="2" s="1"/>
  <c r="W594" i="2"/>
  <c r="AF594" i="2" s="1"/>
  <c r="W595" i="2"/>
  <c r="AF595" i="2" s="1"/>
  <c r="W596" i="2"/>
  <c r="AF596" i="2" s="1"/>
  <c r="W597" i="2"/>
  <c r="AF597" i="2" s="1"/>
  <c r="W598" i="2"/>
  <c r="AF598" i="2" s="1"/>
  <c r="W599" i="2"/>
  <c r="AF599" i="2" s="1"/>
  <c r="W600" i="2"/>
  <c r="AF600" i="2" s="1"/>
  <c r="W601" i="2"/>
  <c r="AF601" i="2" s="1"/>
  <c r="W602" i="2"/>
  <c r="AF602" i="2" s="1"/>
  <c r="W603" i="2"/>
  <c r="AF603" i="2" s="1"/>
  <c r="W604" i="2"/>
  <c r="AF604" i="2" s="1"/>
  <c r="W605" i="2"/>
  <c r="AF605" i="2" s="1"/>
  <c r="W606" i="2"/>
  <c r="AF606" i="2" s="1"/>
  <c r="W607" i="2"/>
  <c r="AF607" i="2" s="1"/>
  <c r="W608" i="2"/>
  <c r="AF608" i="2" s="1"/>
  <c r="W609" i="2"/>
  <c r="AF609" i="2" s="1"/>
  <c r="W610" i="2"/>
  <c r="AF610" i="2" s="1"/>
  <c r="W611" i="2"/>
  <c r="AF611" i="2" s="1"/>
  <c r="W612" i="2"/>
  <c r="AF612" i="2" s="1"/>
  <c r="W613" i="2"/>
  <c r="AF613" i="2" s="1"/>
  <c r="W614" i="2"/>
  <c r="W615" i="2"/>
  <c r="AF615" i="2" s="1"/>
  <c r="W616" i="2"/>
  <c r="W617" i="2"/>
  <c r="AF617" i="2" s="1"/>
  <c r="W618" i="2"/>
  <c r="AF618" i="2" s="1"/>
  <c r="W619" i="2"/>
  <c r="AF619" i="2" s="1"/>
  <c r="W620" i="2"/>
  <c r="W621" i="2"/>
  <c r="AF621" i="2" s="1"/>
  <c r="W622" i="2"/>
  <c r="W623" i="2"/>
  <c r="AF623" i="2" s="1"/>
  <c r="W624" i="2"/>
  <c r="AF624" i="2" s="1"/>
  <c r="W625" i="2"/>
  <c r="AF625" i="2" s="1"/>
  <c r="W626" i="2"/>
  <c r="AF626" i="2" s="1"/>
  <c r="W627" i="2"/>
  <c r="AF627" i="2" s="1"/>
  <c r="W628" i="2"/>
  <c r="AF628" i="2" s="1"/>
  <c r="W629" i="2"/>
  <c r="W630" i="2"/>
  <c r="AF630" i="2" s="1"/>
  <c r="W631" i="2"/>
  <c r="AF631" i="2" s="1"/>
  <c r="W632" i="2"/>
  <c r="AF632" i="2" s="1"/>
  <c r="W633" i="2"/>
  <c r="W634" i="2"/>
  <c r="W635" i="2"/>
  <c r="AF635" i="2" s="1"/>
  <c r="W636" i="2"/>
  <c r="AF636" i="2" s="1"/>
  <c r="W637" i="2"/>
  <c r="AF637" i="2" s="1"/>
  <c r="W638" i="2"/>
  <c r="AF638" i="2" s="1"/>
  <c r="W639" i="2"/>
  <c r="AF639" i="2" s="1"/>
  <c r="W640" i="2"/>
  <c r="AF640" i="2" s="1"/>
  <c r="W641" i="2"/>
  <c r="AF641" i="2" s="1"/>
  <c r="W642" i="2"/>
  <c r="AF642" i="2" s="1"/>
  <c r="W643" i="2"/>
  <c r="AF643" i="2" s="1"/>
  <c r="W644" i="2"/>
  <c r="AF644" i="2" s="1"/>
  <c r="W645" i="2"/>
  <c r="AF645" i="2" s="1"/>
  <c r="W646" i="2"/>
  <c r="AF646" i="2" s="1"/>
  <c r="W647" i="2"/>
  <c r="AF647" i="2" s="1"/>
  <c r="W648" i="2"/>
  <c r="AF648" i="2" s="1"/>
  <c r="W649" i="2"/>
  <c r="W650" i="2"/>
  <c r="AF650" i="2" s="1"/>
  <c r="W651" i="2"/>
  <c r="AF651" i="2" s="1"/>
  <c r="W652" i="2"/>
  <c r="AF652" i="2" s="1"/>
  <c r="W653" i="2"/>
  <c r="AF653" i="2" s="1"/>
  <c r="W654" i="2"/>
  <c r="AF654" i="2" s="1"/>
  <c r="W655" i="2"/>
  <c r="AF655" i="2" s="1"/>
  <c r="W656" i="2"/>
  <c r="AF656" i="2" s="1"/>
  <c r="W657" i="2"/>
  <c r="AF657" i="2" s="1"/>
  <c r="W658" i="2"/>
  <c r="AF658" i="2" s="1"/>
  <c r="W659" i="2"/>
  <c r="AF659" i="2" s="1"/>
  <c r="W660" i="2"/>
  <c r="AF660" i="2" s="1"/>
  <c r="W661" i="2"/>
  <c r="AF661" i="2" s="1"/>
  <c r="W662" i="2"/>
  <c r="AF662" i="2" s="1"/>
  <c r="W663" i="2"/>
  <c r="AF663" i="2" s="1"/>
  <c r="W664" i="2"/>
  <c r="AF664" i="2" s="1"/>
  <c r="W665" i="2"/>
  <c r="W666" i="2"/>
  <c r="AF666" i="2" s="1"/>
  <c r="W667" i="2"/>
  <c r="AF667" i="2" s="1"/>
  <c r="W668" i="2"/>
  <c r="AF668" i="2" s="1"/>
  <c r="W669" i="2"/>
  <c r="AF669" i="2" s="1"/>
  <c r="W670" i="2"/>
  <c r="AF670" i="2" s="1"/>
  <c r="W671" i="2"/>
  <c r="AF671" i="2" s="1"/>
  <c r="W672" i="2"/>
  <c r="AF672" i="2" s="1"/>
  <c r="W673" i="2"/>
  <c r="AF673" i="2" s="1"/>
  <c r="W674" i="2"/>
  <c r="AF674" i="2" s="1"/>
  <c r="W675" i="2"/>
  <c r="AF675" i="2" s="1"/>
  <c r="W676" i="2"/>
  <c r="AF676" i="2" s="1"/>
  <c r="W677" i="2"/>
  <c r="AF677" i="2" s="1"/>
  <c r="W678" i="2"/>
  <c r="AF678" i="2" s="1"/>
  <c r="W679" i="2"/>
  <c r="AF679" i="2" s="1"/>
  <c r="W680" i="2"/>
  <c r="AF680" i="2" s="1"/>
  <c r="W681" i="2"/>
  <c r="AF681" i="2" s="1"/>
  <c r="W682" i="2"/>
  <c r="AF682" i="2" s="1"/>
  <c r="W683" i="2"/>
  <c r="AF683" i="2" s="1"/>
  <c r="W684" i="2"/>
  <c r="AF684" i="2" s="1"/>
  <c r="W685" i="2"/>
  <c r="AF685" i="2" s="1"/>
  <c r="W686" i="2"/>
  <c r="AF686" i="2" s="1"/>
  <c r="W687" i="2"/>
  <c r="AF687" i="2" s="1"/>
  <c r="W688" i="2"/>
  <c r="W689" i="2"/>
  <c r="AF689" i="2" s="1"/>
  <c r="W690" i="2"/>
  <c r="AF690" i="2" s="1"/>
  <c r="W691" i="2"/>
  <c r="AF691" i="2" s="1"/>
  <c r="W692" i="2"/>
  <c r="AF692" i="2" s="1"/>
  <c r="W693" i="2"/>
  <c r="AF693" i="2" s="1"/>
  <c r="W694" i="2"/>
  <c r="AF694" i="2" s="1"/>
  <c r="W695" i="2"/>
  <c r="AF695" i="2" s="1"/>
  <c r="W696" i="2"/>
  <c r="AF696" i="2" s="1"/>
  <c r="W697" i="2"/>
  <c r="AF697" i="2" s="1"/>
  <c r="W698" i="2"/>
  <c r="W699" i="2"/>
  <c r="AF699" i="2" s="1"/>
  <c r="W700" i="2"/>
  <c r="AF700" i="2" s="1"/>
  <c r="W701" i="2"/>
  <c r="AF701" i="2" s="1"/>
  <c r="W702" i="2"/>
  <c r="AF702" i="2" s="1"/>
  <c r="W703" i="2"/>
  <c r="AF703" i="2" s="1"/>
  <c r="W704" i="2"/>
  <c r="AF704" i="2" s="1"/>
  <c r="W705" i="2"/>
  <c r="AF705" i="2" s="1"/>
  <c r="W706" i="2"/>
  <c r="AF706" i="2" s="1"/>
  <c r="W707" i="2"/>
  <c r="AF707" i="2" s="1"/>
  <c r="W708" i="2"/>
  <c r="AF708" i="2" s="1"/>
  <c r="W709" i="2"/>
  <c r="AF709" i="2" s="1"/>
  <c r="W710" i="2"/>
  <c r="AF710" i="2" s="1"/>
  <c r="W711" i="2"/>
  <c r="AF711" i="2" s="1"/>
  <c r="W712" i="2"/>
  <c r="AF712" i="2" s="1"/>
  <c r="W713" i="2"/>
  <c r="AF713" i="2" s="1"/>
  <c r="W714" i="2"/>
  <c r="AF714" i="2" s="1"/>
  <c r="W715" i="2"/>
  <c r="AF715" i="2" s="1"/>
  <c r="W716" i="2"/>
  <c r="AF716" i="2" s="1"/>
  <c r="W717" i="2"/>
  <c r="AF717" i="2" s="1"/>
  <c r="W718" i="2"/>
  <c r="AF718" i="2" s="1"/>
  <c r="W719" i="2"/>
  <c r="AF719" i="2" s="1"/>
  <c r="W720" i="2"/>
  <c r="AF720" i="2" s="1"/>
  <c r="W721" i="2"/>
  <c r="AF721" i="2" s="1"/>
  <c r="W722" i="2"/>
  <c r="AF722" i="2" s="1"/>
  <c r="W723" i="2"/>
  <c r="W724" i="2"/>
  <c r="W725" i="2"/>
  <c r="AF725" i="2" s="1"/>
  <c r="W726" i="2"/>
  <c r="AF726" i="2" s="1"/>
  <c r="W727" i="2"/>
  <c r="AF727" i="2" s="1"/>
  <c r="W728" i="2"/>
  <c r="AF728" i="2" s="1"/>
  <c r="W729" i="2"/>
  <c r="AF729" i="2" s="1"/>
  <c r="W730" i="2"/>
  <c r="AF730" i="2" s="1"/>
  <c r="W731" i="2"/>
  <c r="AF731" i="2" s="1"/>
  <c r="W732" i="2"/>
  <c r="AF732" i="2" s="1"/>
  <c r="W733" i="2"/>
  <c r="AF733" i="2" s="1"/>
  <c r="W734" i="2"/>
  <c r="AF734" i="2" s="1"/>
  <c r="W735" i="2"/>
  <c r="W736" i="2"/>
  <c r="AF736" i="2" s="1"/>
  <c r="W737" i="2"/>
  <c r="AF737" i="2" s="1"/>
  <c r="W738" i="2"/>
  <c r="AF738" i="2" s="1"/>
  <c r="W739" i="2"/>
  <c r="AF739" i="2" s="1"/>
  <c r="W740" i="2"/>
  <c r="AF740" i="2" s="1"/>
  <c r="W741" i="2"/>
  <c r="AF741" i="2" s="1"/>
  <c r="W742" i="2"/>
  <c r="AF742" i="2" s="1"/>
  <c r="W743" i="2"/>
  <c r="W744" i="2"/>
  <c r="AF744" i="2" s="1"/>
  <c r="W745" i="2"/>
  <c r="W746" i="2"/>
  <c r="AF746" i="2" s="1"/>
  <c r="W747" i="2"/>
  <c r="AF747" i="2" s="1"/>
  <c r="W748" i="2"/>
  <c r="AF748" i="2" s="1"/>
  <c r="W749" i="2"/>
  <c r="AF749" i="2" s="1"/>
  <c r="W750" i="2"/>
  <c r="W751" i="2"/>
  <c r="AF751" i="2" s="1"/>
  <c r="W752" i="2"/>
  <c r="AF752" i="2" s="1"/>
  <c r="W753" i="2"/>
  <c r="AF753" i="2" s="1"/>
  <c r="W754" i="2"/>
  <c r="AF754" i="2" s="1"/>
  <c r="W755" i="2"/>
  <c r="AF755" i="2" s="1"/>
  <c r="W756" i="2"/>
  <c r="AF756" i="2" s="1"/>
  <c r="W757" i="2"/>
  <c r="AF757" i="2" s="1"/>
  <c r="W758" i="2"/>
  <c r="W759" i="2"/>
  <c r="AF759" i="2" s="1"/>
  <c r="W760" i="2"/>
  <c r="AF760" i="2" s="1"/>
  <c r="W761" i="2"/>
  <c r="W762" i="2"/>
  <c r="AF762" i="2" s="1"/>
  <c r="W763" i="2"/>
  <c r="AF763" i="2" s="1"/>
  <c r="W764" i="2"/>
  <c r="AF764" i="2" s="1"/>
  <c r="W765" i="2"/>
  <c r="AF765" i="2" s="1"/>
  <c r="W766" i="2"/>
  <c r="AF766" i="2" s="1"/>
  <c r="W767" i="2"/>
  <c r="AF767" i="2" s="1"/>
  <c r="W768" i="2"/>
  <c r="AF768" i="2" s="1"/>
  <c r="W769" i="2"/>
  <c r="AF769" i="2" s="1"/>
  <c r="W770" i="2"/>
  <c r="W771" i="2"/>
  <c r="AF771" i="2" s="1"/>
  <c r="W772" i="2"/>
  <c r="AF772" i="2" s="1"/>
  <c r="W773" i="2"/>
  <c r="AF773" i="2" s="1"/>
  <c r="W774" i="2"/>
  <c r="AF774" i="2" s="1"/>
  <c r="W775" i="2"/>
  <c r="AF775" i="2" s="1"/>
  <c r="W776" i="2"/>
  <c r="AF776" i="2" s="1"/>
  <c r="W777" i="2"/>
  <c r="AF777" i="2" s="1"/>
  <c r="W778" i="2"/>
  <c r="AF778" i="2" s="1"/>
  <c r="W779" i="2"/>
  <c r="AF779" i="2" s="1"/>
  <c r="W780" i="2"/>
  <c r="AF780" i="2" s="1"/>
  <c r="W781" i="2"/>
  <c r="W782" i="2"/>
  <c r="AF782" i="2" s="1"/>
  <c r="W783" i="2"/>
  <c r="AF783" i="2" s="1"/>
  <c r="W784" i="2"/>
  <c r="AF784" i="2" s="1"/>
  <c r="W785" i="2"/>
  <c r="AF785" i="2" s="1"/>
  <c r="W786" i="2"/>
  <c r="AF786" i="2" s="1"/>
  <c r="W787" i="2"/>
  <c r="AF787" i="2" s="1"/>
  <c r="W788" i="2"/>
  <c r="AF788" i="2" s="1"/>
  <c r="W789" i="2"/>
  <c r="AF789" i="2" s="1"/>
  <c r="W790" i="2"/>
  <c r="AF790" i="2" s="1"/>
  <c r="W791" i="2"/>
  <c r="AF791" i="2" s="1"/>
  <c r="W792" i="2"/>
  <c r="AF792" i="2" s="1"/>
  <c r="W793" i="2"/>
  <c r="AF793" i="2" s="1"/>
  <c r="W794" i="2"/>
  <c r="AF794" i="2" s="1"/>
  <c r="W795" i="2"/>
  <c r="AF795" i="2" s="1"/>
  <c r="W796" i="2"/>
  <c r="AF796" i="2" s="1"/>
  <c r="W797" i="2"/>
  <c r="AF797" i="2" s="1"/>
  <c r="W798" i="2"/>
  <c r="W799" i="2"/>
  <c r="AF799" i="2" s="1"/>
  <c r="W800" i="2"/>
  <c r="AF800" i="2" s="1"/>
  <c r="W801" i="2"/>
  <c r="AF801" i="2" s="1"/>
  <c r="W802" i="2"/>
  <c r="AF802" i="2" s="1"/>
  <c r="W803" i="2"/>
  <c r="AF803" i="2" s="1"/>
  <c r="W804" i="2"/>
  <c r="AF804" i="2" s="1"/>
  <c r="W805" i="2"/>
  <c r="W806" i="2"/>
  <c r="AF806" i="2" s="1"/>
  <c r="W807" i="2"/>
  <c r="AF807" i="2" s="1"/>
  <c r="W808" i="2"/>
  <c r="AF808" i="2" s="1"/>
  <c r="W809" i="2"/>
  <c r="AF809" i="2" s="1"/>
  <c r="W810" i="2"/>
  <c r="AF810" i="2" s="1"/>
  <c r="W811" i="2"/>
  <c r="AF811" i="2" s="1"/>
  <c r="W812" i="2"/>
  <c r="AF812" i="2" s="1"/>
  <c r="W813" i="2"/>
  <c r="W814" i="2"/>
  <c r="AF814" i="2" s="1"/>
  <c r="W815" i="2"/>
  <c r="AF815" i="2" s="1"/>
  <c r="W816" i="2"/>
  <c r="AF816" i="2" s="1"/>
  <c r="W817" i="2"/>
  <c r="AF817" i="2" s="1"/>
  <c r="W818" i="2"/>
  <c r="AF818" i="2" s="1"/>
  <c r="W819" i="2"/>
  <c r="AF819" i="2" s="1"/>
  <c r="W820" i="2"/>
  <c r="AF820" i="2" s="1"/>
  <c r="W821" i="2"/>
  <c r="AF821" i="2" s="1"/>
  <c r="W822" i="2"/>
  <c r="AF822" i="2" s="1"/>
  <c r="W823" i="2"/>
  <c r="AF823" i="2" s="1"/>
  <c r="W824" i="2"/>
  <c r="AF824" i="2" s="1"/>
  <c r="W825" i="2"/>
  <c r="AF825" i="2" s="1"/>
  <c r="W826" i="2"/>
  <c r="AF826" i="2" s="1"/>
  <c r="W827" i="2"/>
  <c r="AF827" i="2" s="1"/>
  <c r="W828" i="2"/>
  <c r="AF828" i="2" s="1"/>
  <c r="W829" i="2"/>
  <c r="AF829" i="2" s="1"/>
  <c r="W830" i="2"/>
  <c r="AF830" i="2" s="1"/>
  <c r="W831" i="2"/>
  <c r="AF831" i="2" s="1"/>
  <c r="W832" i="2"/>
  <c r="W833" i="2"/>
  <c r="AF833" i="2" s="1"/>
  <c r="W834" i="2"/>
  <c r="W835" i="2"/>
  <c r="AF835" i="2" s="1"/>
  <c r="W836" i="2"/>
  <c r="AF836" i="2" s="1"/>
  <c r="W837" i="2"/>
  <c r="AF837" i="2" s="1"/>
  <c r="W838" i="2"/>
  <c r="AF838" i="2" s="1"/>
  <c r="W839" i="2"/>
  <c r="AF839" i="2" s="1"/>
  <c r="W840" i="2"/>
  <c r="AF840" i="2" s="1"/>
  <c r="W841" i="2"/>
  <c r="AF841" i="2" s="1"/>
  <c r="W842" i="2"/>
  <c r="AF842" i="2" s="1"/>
  <c r="W843" i="2"/>
  <c r="AF843" i="2" s="1"/>
  <c r="W844" i="2"/>
  <c r="AF844" i="2" s="1"/>
  <c r="W845" i="2"/>
  <c r="AF845" i="2" s="1"/>
  <c r="W846" i="2"/>
  <c r="AF846" i="2" s="1"/>
  <c r="W847" i="2"/>
  <c r="AF847" i="2" s="1"/>
  <c r="W848" i="2"/>
  <c r="AF848" i="2" s="1"/>
  <c r="W849" i="2"/>
  <c r="AF849" i="2" s="1"/>
  <c r="W850" i="2"/>
  <c r="AF850" i="2" s="1"/>
  <c r="W851" i="2"/>
  <c r="AF851" i="2" s="1"/>
  <c r="W852" i="2"/>
  <c r="AF852" i="2" s="1"/>
  <c r="W853" i="2"/>
  <c r="AF853" i="2" s="1"/>
  <c r="W854" i="2"/>
  <c r="AF854" i="2" s="1"/>
  <c r="W855" i="2"/>
  <c r="AF855" i="2" s="1"/>
  <c r="W856" i="2"/>
  <c r="AF856" i="2" s="1"/>
  <c r="W857" i="2"/>
  <c r="AF857" i="2" s="1"/>
  <c r="W858" i="2"/>
  <c r="W859" i="2"/>
  <c r="AF859" i="2" s="1"/>
  <c r="W860" i="2"/>
  <c r="AF860" i="2" s="1"/>
  <c r="W861" i="2"/>
  <c r="AF861" i="2" s="1"/>
  <c r="W862" i="2"/>
  <c r="AF862" i="2" s="1"/>
  <c r="W863" i="2"/>
  <c r="AF863" i="2" s="1"/>
  <c r="W864" i="2"/>
  <c r="AF864" i="2" s="1"/>
  <c r="W865" i="2"/>
  <c r="AF865" i="2" s="1"/>
  <c r="W866" i="2"/>
  <c r="AF866" i="2" s="1"/>
  <c r="W867" i="2"/>
  <c r="AF867" i="2" s="1"/>
  <c r="W868" i="2"/>
  <c r="AF868" i="2" s="1"/>
  <c r="W869" i="2"/>
  <c r="AF869" i="2" s="1"/>
  <c r="W870" i="2"/>
  <c r="AF870" i="2" s="1"/>
  <c r="W871" i="2"/>
  <c r="AF871" i="2" s="1"/>
  <c r="W872" i="2"/>
  <c r="AF872" i="2" s="1"/>
  <c r="W873" i="2"/>
  <c r="AF873" i="2" s="1"/>
  <c r="W874" i="2"/>
  <c r="AF874" i="2" s="1"/>
  <c r="W875" i="2"/>
  <c r="AF875" i="2" s="1"/>
  <c r="W876" i="2"/>
  <c r="AF876" i="2" s="1"/>
  <c r="W877" i="2"/>
  <c r="W878" i="2"/>
  <c r="W879" i="2"/>
  <c r="AF879" i="2" s="1"/>
  <c r="W880" i="2"/>
  <c r="AF880" i="2" s="1"/>
  <c r="W881" i="2"/>
  <c r="AF881" i="2" s="1"/>
  <c r="W882" i="2"/>
  <c r="AF882" i="2" s="1"/>
  <c r="W883" i="2"/>
  <c r="AF883" i="2" s="1"/>
  <c r="W884" i="2"/>
  <c r="AF884" i="2" s="1"/>
  <c r="W885" i="2"/>
  <c r="AF885" i="2" s="1"/>
  <c r="W886" i="2"/>
  <c r="AF886" i="2" s="1"/>
  <c r="W887" i="2"/>
  <c r="W888" i="2"/>
  <c r="AF888" i="2" s="1"/>
  <c r="W889" i="2"/>
  <c r="AF889" i="2" s="1"/>
  <c r="W890" i="2"/>
  <c r="AF890" i="2" s="1"/>
  <c r="W891" i="2"/>
  <c r="AF891" i="2" s="1"/>
  <c r="W892" i="2"/>
  <c r="AF892" i="2" s="1"/>
  <c r="W893" i="2"/>
  <c r="AF893" i="2" s="1"/>
  <c r="W894" i="2"/>
  <c r="W895" i="2"/>
  <c r="AF895" i="2" s="1"/>
  <c r="W896" i="2"/>
  <c r="AF896" i="2" s="1"/>
  <c r="W897" i="2"/>
  <c r="AF897" i="2" s="1"/>
  <c r="W898" i="2"/>
  <c r="AF898" i="2" s="1"/>
  <c r="W899" i="2"/>
  <c r="AF899" i="2" s="1"/>
  <c r="W900" i="2"/>
  <c r="AF900" i="2" s="1"/>
  <c r="W901" i="2"/>
  <c r="AF901" i="2" s="1"/>
  <c r="W902" i="2"/>
  <c r="W903" i="2"/>
  <c r="AF903" i="2" s="1"/>
  <c r="W904" i="2"/>
  <c r="AF904" i="2" s="1"/>
  <c r="W905" i="2"/>
  <c r="AF905" i="2" s="1"/>
  <c r="W906" i="2"/>
  <c r="AF906" i="2" s="1"/>
  <c r="W907" i="2"/>
  <c r="AF907" i="2" s="1"/>
  <c r="W908" i="2"/>
  <c r="AF908" i="2" s="1"/>
  <c r="W909" i="2"/>
  <c r="AF909" i="2" s="1"/>
  <c r="W910" i="2"/>
  <c r="AF910" i="2" s="1"/>
  <c r="W911" i="2"/>
  <c r="AF911" i="2" s="1"/>
  <c r="W912" i="2"/>
  <c r="AF912" i="2" s="1"/>
  <c r="W913" i="2"/>
  <c r="W914" i="2"/>
  <c r="AF914" i="2" s="1"/>
  <c r="W915" i="2"/>
  <c r="AF915" i="2" s="1"/>
  <c r="W916" i="2"/>
  <c r="AF916" i="2" s="1"/>
  <c r="W917" i="2"/>
  <c r="AF917" i="2" s="1"/>
  <c r="W918" i="2"/>
  <c r="AF918" i="2" s="1"/>
  <c r="W919" i="2"/>
  <c r="AF919" i="2" s="1"/>
  <c r="W920" i="2"/>
  <c r="AF920" i="2" s="1"/>
  <c r="W921" i="2"/>
  <c r="AF921" i="2" s="1"/>
  <c r="W922" i="2"/>
  <c r="AF922" i="2" s="1"/>
  <c r="W923" i="2"/>
  <c r="AF923" i="2" s="1"/>
  <c r="W924" i="2"/>
  <c r="AF924" i="2" s="1"/>
  <c r="W925" i="2"/>
  <c r="AF925" i="2" s="1"/>
  <c r="W926" i="2"/>
  <c r="AF926" i="2" s="1"/>
  <c r="W927" i="2"/>
  <c r="AF927" i="2" s="1"/>
  <c r="W928" i="2"/>
  <c r="AF928" i="2" s="1"/>
  <c r="W929" i="2"/>
  <c r="AF929" i="2" s="1"/>
  <c r="W930" i="2"/>
  <c r="AF930" i="2" s="1"/>
  <c r="W931" i="2"/>
  <c r="AF931" i="2" s="1"/>
  <c r="W932" i="2"/>
  <c r="AF932" i="2" s="1"/>
  <c r="W933" i="2"/>
  <c r="W934" i="2"/>
  <c r="AF934" i="2" s="1"/>
  <c r="W935" i="2"/>
  <c r="AF935" i="2" s="1"/>
  <c r="W936" i="2"/>
  <c r="AF936" i="2" s="1"/>
  <c r="W937" i="2"/>
  <c r="W938" i="2"/>
  <c r="AF938" i="2" s="1"/>
  <c r="W939" i="2"/>
  <c r="W940" i="2"/>
  <c r="W941" i="2"/>
  <c r="AF941" i="2" s="1"/>
  <c r="W942" i="2"/>
  <c r="AF942" i="2" s="1"/>
  <c r="W943" i="2"/>
  <c r="AF943" i="2" s="1"/>
  <c r="W944" i="2"/>
  <c r="AF944" i="2" s="1"/>
  <c r="W945" i="2"/>
  <c r="AF945" i="2" s="1"/>
  <c r="W946" i="2"/>
  <c r="AF946" i="2" s="1"/>
  <c r="W947" i="2"/>
  <c r="AF947" i="2" s="1"/>
  <c r="W948" i="2"/>
  <c r="W949" i="2"/>
  <c r="AF949" i="2" s="1"/>
  <c r="W950" i="2"/>
  <c r="AF950" i="2" s="1"/>
  <c r="W951" i="2"/>
  <c r="AF951" i="2" s="1"/>
  <c r="W952" i="2"/>
  <c r="AF952" i="2" s="1"/>
  <c r="W953" i="2"/>
  <c r="AF953" i="2" s="1"/>
  <c r="W954" i="2"/>
  <c r="AF954" i="2" s="1"/>
  <c r="W955" i="2"/>
  <c r="AF955" i="2" s="1"/>
  <c r="W956" i="2"/>
  <c r="AF956" i="2" s="1"/>
  <c r="W957" i="2"/>
  <c r="AF957" i="2" s="1"/>
  <c r="W958" i="2"/>
  <c r="AF958" i="2" s="1"/>
  <c r="W959" i="2"/>
  <c r="AF959" i="2" s="1"/>
  <c r="W960" i="2"/>
  <c r="AF960" i="2" s="1"/>
  <c r="W961" i="2"/>
  <c r="AF961" i="2" s="1"/>
  <c r="W962" i="2"/>
  <c r="AF962" i="2" s="1"/>
  <c r="W963" i="2"/>
  <c r="AF963" i="2" s="1"/>
  <c r="W964" i="2"/>
  <c r="AF964" i="2" s="1"/>
  <c r="W965" i="2"/>
  <c r="AF965" i="2" s="1"/>
  <c r="W966" i="2"/>
  <c r="AF966" i="2" s="1"/>
  <c r="W967" i="2"/>
  <c r="AF967" i="2" s="1"/>
  <c r="W968" i="2"/>
  <c r="AF968" i="2" s="1"/>
  <c r="W969" i="2"/>
  <c r="AF969" i="2" s="1"/>
  <c r="W970" i="2"/>
  <c r="AF970" i="2" s="1"/>
  <c r="W971" i="2"/>
  <c r="AF971" i="2" s="1"/>
  <c r="W972" i="2"/>
  <c r="AF972" i="2" s="1"/>
  <c r="W973" i="2"/>
  <c r="AF973" i="2" s="1"/>
  <c r="W974" i="2"/>
  <c r="W975" i="2"/>
  <c r="AF975" i="2" s="1"/>
  <c r="W976" i="2"/>
  <c r="AF976" i="2" s="1"/>
  <c r="W977" i="2"/>
  <c r="AF977" i="2" s="1"/>
  <c r="W978" i="2"/>
  <c r="AF978" i="2" s="1"/>
  <c r="W979" i="2"/>
  <c r="AF979" i="2" s="1"/>
  <c r="W980" i="2"/>
  <c r="AF980" i="2" s="1"/>
  <c r="W981" i="2"/>
  <c r="AF981" i="2" s="1"/>
  <c r="W982" i="2"/>
  <c r="W983" i="2"/>
  <c r="AF983" i="2" s="1"/>
  <c r="W984" i="2"/>
  <c r="W985" i="2"/>
  <c r="AF985" i="2" s="1"/>
  <c r="W986" i="2"/>
  <c r="AF986" i="2" s="1"/>
  <c r="W987" i="2"/>
  <c r="AF987" i="2" s="1"/>
  <c r="W988" i="2"/>
  <c r="AF988" i="2" s="1"/>
  <c r="W989" i="2"/>
  <c r="AF989" i="2" s="1"/>
  <c r="W990" i="2"/>
  <c r="AF990" i="2" s="1"/>
  <c r="W991" i="2"/>
  <c r="AF991" i="2" s="1"/>
  <c r="W992" i="2"/>
  <c r="AF992" i="2" s="1"/>
  <c r="W993" i="2"/>
  <c r="AF993" i="2" s="1"/>
  <c r="W994" i="2"/>
  <c r="AF994" i="2" s="1"/>
  <c r="W995" i="2"/>
  <c r="W996" i="2"/>
  <c r="AF996" i="2" s="1"/>
  <c r="W997" i="2"/>
  <c r="AF997" i="2" s="1"/>
  <c r="W998" i="2"/>
  <c r="AF998" i="2" s="1"/>
  <c r="W999" i="2"/>
  <c r="AF999" i="2" s="1"/>
  <c r="W1000" i="2"/>
  <c r="AF1000" i="2" s="1"/>
  <c r="W1001" i="2"/>
  <c r="AF1001" i="2" s="1"/>
  <c r="W1002" i="2"/>
  <c r="AF1002" i="2" s="1"/>
  <c r="W1003" i="2"/>
  <c r="AF1003" i="2" s="1"/>
  <c r="W1004" i="2"/>
  <c r="AF1004" i="2" s="1"/>
  <c r="W1005" i="2"/>
  <c r="AF1005" i="2" s="1"/>
  <c r="W1006" i="2"/>
  <c r="AF1006" i="2" s="1"/>
  <c r="W1007" i="2"/>
  <c r="AF1007" i="2" s="1"/>
  <c r="W1008" i="2"/>
  <c r="AF1008" i="2" s="1"/>
  <c r="W1009" i="2"/>
  <c r="AF1009" i="2" s="1"/>
  <c r="W1010" i="2"/>
  <c r="W1011" i="2"/>
  <c r="AF1011" i="2" s="1"/>
  <c r="W1012" i="2"/>
  <c r="AF1012" i="2" s="1"/>
  <c r="W1013" i="2"/>
  <c r="AF1013" i="2" s="1"/>
  <c r="W1014" i="2"/>
  <c r="AF1014" i="2" s="1"/>
  <c r="W1015" i="2"/>
  <c r="AF1015" i="2" s="1"/>
  <c r="W1016" i="2"/>
  <c r="AF1016" i="2" s="1"/>
  <c r="W1017" i="2"/>
  <c r="AF1017" i="2" s="1"/>
  <c r="W1018" i="2"/>
  <c r="AF1018" i="2" s="1"/>
  <c r="W1019" i="2"/>
  <c r="AF1019" i="2" s="1"/>
  <c r="W1020" i="2"/>
  <c r="AF1020" i="2" s="1"/>
  <c r="W1021" i="2"/>
  <c r="W1022" i="2"/>
  <c r="AF1022" i="2" s="1"/>
  <c r="W1023" i="2"/>
  <c r="AF1023" i="2" s="1"/>
  <c r="W1024" i="2"/>
  <c r="AF1024" i="2" s="1"/>
  <c r="W1025" i="2"/>
  <c r="W1026" i="2"/>
  <c r="AF1026" i="2" s="1"/>
  <c r="W1027" i="2"/>
  <c r="AF1027" i="2" s="1"/>
  <c r="W1028" i="2"/>
  <c r="AF1028" i="2" s="1"/>
  <c r="W1029" i="2"/>
  <c r="AF1029" i="2" s="1"/>
  <c r="W1030" i="2"/>
  <c r="AF1030" i="2" s="1"/>
  <c r="W1031" i="2"/>
  <c r="AF1031" i="2" s="1"/>
  <c r="W1032" i="2"/>
  <c r="AF1032" i="2" s="1"/>
  <c r="W1033" i="2"/>
  <c r="W1034" i="2"/>
  <c r="AF1034" i="2" s="1"/>
  <c r="W1035" i="2"/>
  <c r="AF1035" i="2" s="1"/>
  <c r="W1036" i="2"/>
  <c r="AF1036" i="2" s="1"/>
  <c r="W1037" i="2"/>
  <c r="AF1037" i="2" s="1"/>
  <c r="W1038" i="2"/>
  <c r="AF1038" i="2" s="1"/>
  <c r="W1039" i="2"/>
  <c r="AF1039" i="2" s="1"/>
  <c r="W1040" i="2"/>
  <c r="AF1040" i="2" s="1"/>
  <c r="W1041" i="2"/>
  <c r="AF1041" i="2" s="1"/>
  <c r="W1042" i="2"/>
  <c r="AF1042" i="2" s="1"/>
  <c r="W1043" i="2"/>
  <c r="AF1043" i="2" s="1"/>
  <c r="W1044" i="2"/>
  <c r="AF1044" i="2" s="1"/>
  <c r="W1045" i="2"/>
  <c r="AF1045" i="2" s="1"/>
  <c r="W1046" i="2"/>
  <c r="AF1046" i="2" s="1"/>
  <c r="W1047" i="2"/>
  <c r="AF1047" i="2" s="1"/>
  <c r="W1048" i="2"/>
  <c r="AF1048" i="2" s="1"/>
  <c r="W1049" i="2"/>
  <c r="AF1049" i="2" s="1"/>
  <c r="W1050" i="2"/>
  <c r="AF1050" i="2" s="1"/>
  <c r="W1051" i="2"/>
  <c r="AF1051" i="2" s="1"/>
  <c r="W1052" i="2"/>
  <c r="AF1052" i="2" s="1"/>
  <c r="W1053" i="2"/>
  <c r="AF1053" i="2" s="1"/>
  <c r="W1054" i="2"/>
  <c r="AF1054" i="2" s="1"/>
  <c r="W1055" i="2"/>
  <c r="W1056" i="2"/>
  <c r="AF1056" i="2" s="1"/>
  <c r="W1057" i="2"/>
  <c r="AF1057" i="2" s="1"/>
  <c r="W1058" i="2"/>
  <c r="AF1058" i="2" s="1"/>
  <c r="W1059" i="2"/>
  <c r="AF1059" i="2" s="1"/>
  <c r="W1060" i="2"/>
  <c r="AF1060" i="2" s="1"/>
  <c r="W1061" i="2"/>
  <c r="AF1061" i="2" s="1"/>
  <c r="W1062" i="2"/>
  <c r="AF1062" i="2" s="1"/>
  <c r="W1063" i="2"/>
  <c r="AF1063" i="2" s="1"/>
  <c r="W1064" i="2"/>
  <c r="AF1064" i="2" s="1"/>
  <c r="W1065" i="2"/>
  <c r="AF1065" i="2" s="1"/>
  <c r="W1066" i="2"/>
  <c r="AF1066" i="2" s="1"/>
  <c r="W1067" i="2"/>
  <c r="AF1067" i="2" s="1"/>
  <c r="W1068" i="2"/>
  <c r="AF1068" i="2" s="1"/>
  <c r="W1069" i="2"/>
  <c r="AF1069" i="2" s="1"/>
  <c r="W1070" i="2"/>
  <c r="AF1070" i="2" s="1"/>
  <c r="W1071" i="2"/>
  <c r="AF1071" i="2" s="1"/>
  <c r="W1072" i="2"/>
  <c r="AF1072" i="2" s="1"/>
  <c r="W1073" i="2"/>
  <c r="AF1073" i="2" s="1"/>
  <c r="W1074" i="2"/>
  <c r="AF1074" i="2" s="1"/>
  <c r="W1075" i="2"/>
  <c r="AF1075" i="2" s="1"/>
  <c r="W1076" i="2"/>
  <c r="AF1076" i="2" s="1"/>
  <c r="W1077" i="2"/>
  <c r="W1078" i="2"/>
  <c r="AF1078" i="2" s="1"/>
  <c r="W1079" i="2"/>
  <c r="AF1079" i="2" s="1"/>
  <c r="W1080" i="2"/>
  <c r="AF1080" i="2" s="1"/>
  <c r="W1081" i="2"/>
  <c r="AF1081" i="2" s="1"/>
  <c r="W1082" i="2"/>
  <c r="AF1082" i="2" s="1"/>
  <c r="W1083" i="2"/>
  <c r="AF1083" i="2" s="1"/>
  <c r="W1084" i="2"/>
  <c r="AF1084" i="2" s="1"/>
  <c r="W1085" i="2"/>
  <c r="AF1085" i="2" s="1"/>
  <c r="W1086" i="2"/>
  <c r="AF1086" i="2" s="1"/>
  <c r="W1087" i="2"/>
  <c r="AF1087" i="2" s="1"/>
  <c r="W1088" i="2"/>
  <c r="AF1088" i="2" s="1"/>
  <c r="W1089" i="2"/>
  <c r="AF1089" i="2" s="1"/>
  <c r="W1090" i="2"/>
  <c r="AF1090" i="2" s="1"/>
  <c r="W1091" i="2"/>
  <c r="AF1091" i="2" s="1"/>
  <c r="W1092" i="2"/>
  <c r="AF1092" i="2" s="1"/>
  <c r="W1093" i="2"/>
  <c r="AF1093" i="2" s="1"/>
  <c r="W1094" i="2"/>
  <c r="AF1094" i="2" s="1"/>
  <c r="W1095" i="2"/>
  <c r="AF1095" i="2" s="1"/>
  <c r="W1096" i="2"/>
  <c r="W1097" i="2"/>
  <c r="AF1097" i="2" s="1"/>
  <c r="W1098" i="2"/>
  <c r="W1099" i="2"/>
  <c r="AF1099" i="2" s="1"/>
  <c r="W1100" i="2"/>
  <c r="W1101" i="2"/>
  <c r="AF1101" i="2" s="1"/>
  <c r="W1102" i="2"/>
  <c r="AF1102" i="2" s="1"/>
  <c r="W1103" i="2"/>
  <c r="W1104" i="2"/>
  <c r="AF1104" i="2" s="1"/>
  <c r="W1105" i="2"/>
  <c r="AF1105" i="2" s="1"/>
  <c r="W1106" i="2"/>
  <c r="AF1106" i="2" s="1"/>
  <c r="W1107" i="2"/>
  <c r="AF1107" i="2" s="1"/>
  <c r="W1108" i="2"/>
  <c r="AF1108" i="2" s="1"/>
  <c r="W1109" i="2"/>
  <c r="AF1109" i="2" s="1"/>
  <c r="W1110" i="2"/>
  <c r="AF1110" i="2" s="1"/>
  <c r="W1111" i="2"/>
  <c r="AF1111" i="2" s="1"/>
  <c r="W1112" i="2"/>
  <c r="W1113" i="2"/>
  <c r="AF1113" i="2" s="1"/>
  <c r="W1114" i="2"/>
  <c r="AF1114" i="2" s="1"/>
  <c r="W1115" i="2"/>
  <c r="AF1115" i="2" s="1"/>
  <c r="W1116" i="2"/>
  <c r="AF1116" i="2" s="1"/>
  <c r="W1117" i="2"/>
  <c r="AF1117" i="2" s="1"/>
  <c r="W1118" i="2"/>
  <c r="AF1118" i="2" s="1"/>
  <c r="W1119" i="2"/>
  <c r="AF1119" i="2" s="1"/>
  <c r="W1120" i="2"/>
  <c r="AF1120" i="2" s="1"/>
  <c r="W1121" i="2"/>
  <c r="AF1121" i="2" s="1"/>
  <c r="W1122" i="2"/>
  <c r="AF1122" i="2" s="1"/>
  <c r="W1123" i="2"/>
  <c r="AF1123" i="2" s="1"/>
  <c r="W1124" i="2"/>
  <c r="AF1124" i="2" s="1"/>
  <c r="W1125" i="2"/>
  <c r="AF1125" i="2" s="1"/>
  <c r="W1126" i="2"/>
  <c r="AF1126" i="2" s="1"/>
  <c r="W1127" i="2"/>
  <c r="AF1127" i="2" s="1"/>
  <c r="W1128" i="2"/>
  <c r="W1129" i="2"/>
  <c r="AF1129" i="2" s="1"/>
  <c r="W1130" i="2"/>
  <c r="AF1130" i="2" s="1"/>
  <c r="W1131" i="2"/>
  <c r="AF1131" i="2" s="1"/>
  <c r="W1132" i="2"/>
  <c r="AF1132" i="2" s="1"/>
  <c r="W1133" i="2"/>
  <c r="AF1133" i="2" s="1"/>
  <c r="W1134" i="2"/>
  <c r="W1135" i="2"/>
  <c r="AF1135" i="2" s="1"/>
  <c r="W1136" i="2"/>
  <c r="AF1136" i="2" s="1"/>
  <c r="W1137" i="2"/>
  <c r="AF1137" i="2" s="1"/>
  <c r="W1138" i="2"/>
  <c r="AF1138" i="2" s="1"/>
  <c r="W1139" i="2"/>
  <c r="AF1139" i="2" s="1"/>
  <c r="W1140" i="2"/>
  <c r="AF1140" i="2" s="1"/>
  <c r="W1141" i="2"/>
  <c r="AF1141" i="2" s="1"/>
  <c r="W1142" i="2"/>
  <c r="AF1142" i="2" s="1"/>
  <c r="W1143" i="2"/>
  <c r="AF1143" i="2" s="1"/>
  <c r="W1144" i="2"/>
  <c r="AF1144" i="2" s="1"/>
  <c r="W1145" i="2"/>
  <c r="AF1145" i="2" s="1"/>
  <c r="W1146" i="2"/>
  <c r="W1147" i="2"/>
  <c r="AF1147" i="2" s="1"/>
  <c r="W1148" i="2"/>
  <c r="W1149" i="2"/>
  <c r="AF1149" i="2" s="1"/>
  <c r="W1150" i="2"/>
  <c r="W1151" i="2"/>
  <c r="AF1151" i="2" s="1"/>
  <c r="W1152" i="2"/>
  <c r="AF1152" i="2" s="1"/>
  <c r="W1153" i="2"/>
  <c r="AF1153" i="2" s="1"/>
  <c r="W1154" i="2"/>
  <c r="AF1154" i="2" s="1"/>
  <c r="W1155" i="2"/>
  <c r="AF1155" i="2" s="1"/>
  <c r="W1156" i="2"/>
  <c r="AF1156" i="2" s="1"/>
  <c r="W1157" i="2"/>
  <c r="W1158" i="2"/>
  <c r="AF1158" i="2" s="1"/>
  <c r="W1159" i="2"/>
  <c r="AF1159" i="2" s="1"/>
  <c r="W1160" i="2"/>
  <c r="AF1160" i="2" s="1"/>
  <c r="W1161" i="2"/>
  <c r="AF1161" i="2" s="1"/>
  <c r="W1162" i="2"/>
  <c r="AF1162" i="2" s="1"/>
  <c r="W1163" i="2"/>
  <c r="AF1163" i="2" s="1"/>
  <c r="W1164" i="2"/>
  <c r="AF1164" i="2" s="1"/>
  <c r="W1165" i="2"/>
  <c r="AF1165" i="2" s="1"/>
  <c r="W1166" i="2"/>
  <c r="AF1166" i="2" s="1"/>
  <c r="W1167" i="2"/>
  <c r="AF1167" i="2" s="1"/>
  <c r="W1168" i="2"/>
  <c r="AF1168" i="2" s="1"/>
  <c r="W1169" i="2"/>
  <c r="AF1169" i="2" s="1"/>
  <c r="W1170" i="2"/>
  <c r="AF1170" i="2" s="1"/>
  <c r="W1171" i="2"/>
  <c r="W1172" i="2"/>
  <c r="AF1172" i="2" s="1"/>
  <c r="W1173" i="2"/>
  <c r="AF1173" i="2" s="1"/>
  <c r="W1174" i="2"/>
  <c r="AF1174" i="2" s="1"/>
  <c r="W1175" i="2"/>
  <c r="AF1175" i="2" s="1"/>
  <c r="W1176" i="2"/>
  <c r="AF1176" i="2" s="1"/>
  <c r="W1177" i="2"/>
  <c r="AF1177" i="2" s="1"/>
  <c r="W1178" i="2"/>
  <c r="W1179" i="2"/>
  <c r="AF1179" i="2" s="1"/>
  <c r="W1180" i="2"/>
  <c r="W1181" i="2"/>
  <c r="AF1181" i="2" s="1"/>
  <c r="W1182" i="2"/>
  <c r="AF1182" i="2" s="1"/>
  <c r="W1183" i="2"/>
  <c r="AF1183" i="2" s="1"/>
  <c r="W1184" i="2"/>
  <c r="W1185" i="2"/>
  <c r="AF1185" i="2" s="1"/>
  <c r="W1186" i="2"/>
  <c r="AF1186" i="2" s="1"/>
  <c r="W1187" i="2"/>
  <c r="AF1187" i="2" s="1"/>
  <c r="W1188" i="2"/>
  <c r="AF1188" i="2" s="1"/>
  <c r="W1189" i="2"/>
  <c r="AF1189" i="2" s="1"/>
  <c r="W1190" i="2"/>
  <c r="AF1190" i="2" s="1"/>
  <c r="W1191" i="2"/>
  <c r="AF1191" i="2" s="1"/>
  <c r="W1192" i="2"/>
  <c r="AF1192" i="2" s="1"/>
  <c r="W1193" i="2"/>
  <c r="AF1193" i="2" s="1"/>
  <c r="W1194" i="2"/>
  <c r="AF1194" i="2" s="1"/>
  <c r="W1195" i="2"/>
  <c r="AF1195" i="2" s="1"/>
  <c r="W1196" i="2"/>
  <c r="AF1196" i="2" s="1"/>
  <c r="W1197" i="2"/>
  <c r="AF1197" i="2" s="1"/>
  <c r="W1198" i="2"/>
  <c r="AF1198" i="2" s="1"/>
  <c r="W1199" i="2"/>
  <c r="AF1199" i="2" s="1"/>
  <c r="W1200" i="2"/>
  <c r="AF1200" i="2" s="1"/>
  <c r="W1201" i="2"/>
  <c r="AF1201" i="2" s="1"/>
  <c r="W1202" i="2"/>
  <c r="AF1202" i="2" s="1"/>
  <c r="W1203" i="2"/>
  <c r="AF1203" i="2" s="1"/>
  <c r="W1204" i="2"/>
  <c r="AF1204" i="2" s="1"/>
  <c r="W1205" i="2"/>
  <c r="AF1205" i="2" s="1"/>
  <c r="W1206" i="2"/>
  <c r="AF1206" i="2" s="1"/>
  <c r="W1207" i="2"/>
  <c r="AF1207" i="2" s="1"/>
  <c r="W1208" i="2"/>
  <c r="AF1208" i="2" s="1"/>
  <c r="W1209" i="2"/>
  <c r="W1210" i="2"/>
  <c r="AF1210" i="2" s="1"/>
  <c r="W1211" i="2"/>
  <c r="AF1211" i="2" s="1"/>
  <c r="W1212" i="2"/>
  <c r="AF1212" i="2" s="1"/>
  <c r="W1213" i="2"/>
  <c r="AF1213" i="2" s="1"/>
  <c r="W1214" i="2"/>
  <c r="AF1214" i="2" s="1"/>
  <c r="W1215" i="2"/>
  <c r="AF1215" i="2" s="1"/>
  <c r="W1216" i="2"/>
  <c r="AF1216" i="2" s="1"/>
  <c r="W1217" i="2"/>
  <c r="W1218" i="2"/>
  <c r="AF1218" i="2" s="1"/>
  <c r="W1219" i="2"/>
  <c r="AF1219" i="2" s="1"/>
  <c r="W1220" i="2"/>
  <c r="AF1220" i="2" s="1"/>
  <c r="W1221" i="2"/>
  <c r="AF1221" i="2" s="1"/>
  <c r="W1222" i="2"/>
  <c r="AF1222" i="2" s="1"/>
  <c r="W1223" i="2"/>
  <c r="AF1223" i="2" s="1"/>
  <c r="W1224" i="2"/>
  <c r="AF1224" i="2" s="1"/>
  <c r="W1225" i="2"/>
  <c r="AF1225" i="2" s="1"/>
  <c r="W1226" i="2"/>
  <c r="AF1226" i="2" s="1"/>
  <c r="W1227" i="2"/>
  <c r="AF1227" i="2" s="1"/>
  <c r="W1228" i="2"/>
  <c r="AF1228" i="2" s="1"/>
  <c r="W1229" i="2"/>
  <c r="AF1229" i="2" s="1"/>
  <c r="W1230" i="2"/>
  <c r="AF1230" i="2" s="1"/>
  <c r="W1231" i="2"/>
  <c r="AF1231" i="2" s="1"/>
  <c r="W1232" i="2"/>
  <c r="W1233" i="2"/>
  <c r="AF1233" i="2" s="1"/>
  <c r="W1234" i="2"/>
  <c r="AF1234" i="2" s="1"/>
  <c r="W1235" i="2"/>
  <c r="AF1235" i="2" s="1"/>
  <c r="W1236" i="2"/>
  <c r="AF1236" i="2" s="1"/>
  <c r="W1237" i="2"/>
  <c r="AF1237" i="2" s="1"/>
  <c r="W1238" i="2"/>
  <c r="W1239" i="2"/>
  <c r="AF1239" i="2" s="1"/>
  <c r="W1240" i="2"/>
  <c r="AF1240" i="2" s="1"/>
  <c r="W1241" i="2"/>
  <c r="AF1241" i="2" s="1"/>
  <c r="W1242" i="2"/>
  <c r="AF1242" i="2" s="1"/>
  <c r="W1243" i="2"/>
  <c r="AF1243" i="2" s="1"/>
  <c r="W1244" i="2"/>
  <c r="AF1244" i="2" s="1"/>
  <c r="W1245" i="2"/>
  <c r="AF1245" i="2" s="1"/>
  <c r="W1246" i="2"/>
  <c r="AF1246" i="2" s="1"/>
  <c r="W1247" i="2"/>
  <c r="AF1247" i="2" s="1"/>
  <c r="W1248" i="2"/>
  <c r="AF1248" i="2" s="1"/>
  <c r="W1249" i="2"/>
  <c r="AF1249" i="2" s="1"/>
  <c r="W1250" i="2"/>
  <c r="AF1250" i="2" s="1"/>
  <c r="W1251" i="2"/>
  <c r="AF1251" i="2" s="1"/>
  <c r="W1252" i="2"/>
  <c r="AF1252" i="2" s="1"/>
  <c r="W1253" i="2"/>
  <c r="W1254" i="2"/>
  <c r="AF1254" i="2" s="1"/>
  <c r="W1255" i="2"/>
  <c r="AF1255" i="2" s="1"/>
  <c r="W1256" i="2"/>
  <c r="AF1256" i="2" s="1"/>
  <c r="W1257" i="2"/>
  <c r="AF1257" i="2" s="1"/>
  <c r="W1258" i="2"/>
  <c r="AF1258" i="2" s="1"/>
  <c r="W1259" i="2"/>
  <c r="AF1259" i="2" s="1"/>
  <c r="W1260" i="2"/>
  <c r="AF1260" i="2" s="1"/>
  <c r="W1261" i="2"/>
  <c r="AF1261" i="2" s="1"/>
  <c r="W1262" i="2"/>
  <c r="AF1262" i="2" s="1"/>
  <c r="W1263" i="2"/>
  <c r="AF1263" i="2" s="1"/>
  <c r="W1264" i="2"/>
  <c r="AF1264" i="2" s="1"/>
  <c r="W1265" i="2"/>
  <c r="W1266" i="2"/>
  <c r="AF1266" i="2" s="1"/>
  <c r="W1267" i="2"/>
  <c r="AF1267" i="2" s="1"/>
  <c r="W1268" i="2"/>
  <c r="AF1268" i="2" s="1"/>
  <c r="W1269" i="2"/>
  <c r="W1270" i="2"/>
  <c r="AF1270" i="2" s="1"/>
  <c r="W1271" i="2"/>
  <c r="AF1271" i="2" s="1"/>
  <c r="W1272" i="2"/>
  <c r="AF1272" i="2" s="1"/>
  <c r="W1273" i="2"/>
  <c r="AF1273" i="2" s="1"/>
  <c r="W1274" i="2"/>
  <c r="AF1274" i="2" s="1"/>
  <c r="W1275" i="2"/>
  <c r="AF1275" i="2" s="1"/>
  <c r="W1276" i="2"/>
  <c r="AF1276" i="2" s="1"/>
  <c r="W1277" i="2"/>
  <c r="AF1277" i="2" s="1"/>
  <c r="W1278" i="2"/>
  <c r="W1279" i="2"/>
  <c r="AF1279" i="2" s="1"/>
  <c r="W1280" i="2"/>
  <c r="AF1280" i="2" s="1"/>
  <c r="W1281" i="2"/>
  <c r="AF1281" i="2" s="1"/>
  <c r="W1282" i="2"/>
  <c r="AF1282" i="2" s="1"/>
  <c r="W1283" i="2"/>
  <c r="AF1283" i="2" s="1"/>
  <c r="W1284" i="2"/>
  <c r="AF1284" i="2" s="1"/>
  <c r="W1285" i="2"/>
  <c r="AF1285" i="2" s="1"/>
  <c r="W1286" i="2"/>
  <c r="AF1286" i="2" s="1"/>
  <c r="W1287" i="2"/>
  <c r="AF1287" i="2" s="1"/>
  <c r="W1288" i="2"/>
  <c r="AF1288" i="2" s="1"/>
  <c r="W1289" i="2"/>
  <c r="AF1289" i="2" s="1"/>
  <c r="W1290" i="2"/>
  <c r="AF1290" i="2" s="1"/>
  <c r="W1291" i="2"/>
  <c r="AF1291" i="2" s="1"/>
  <c r="W1292" i="2"/>
  <c r="AF1292" i="2" s="1"/>
  <c r="W1293" i="2"/>
  <c r="AF1293" i="2" s="1"/>
  <c r="W1294" i="2"/>
  <c r="AF1294" i="2" s="1"/>
  <c r="W1295" i="2"/>
  <c r="AF1295" i="2" s="1"/>
  <c r="W1296" i="2"/>
  <c r="AF1296" i="2" s="1"/>
  <c r="W1297" i="2"/>
  <c r="AF1297" i="2" s="1"/>
  <c r="W1298" i="2"/>
  <c r="AF1298" i="2" s="1"/>
  <c r="W1299" i="2"/>
  <c r="AF1299" i="2" s="1"/>
  <c r="W1300" i="2"/>
  <c r="AF1300" i="2" s="1"/>
  <c r="W1301" i="2"/>
  <c r="AF1301" i="2" s="1"/>
  <c r="W1302" i="2"/>
  <c r="AF1302" i="2" s="1"/>
  <c r="W1303" i="2"/>
  <c r="AF1303" i="2" s="1"/>
  <c r="W1304" i="2"/>
  <c r="AF1304" i="2" s="1"/>
  <c r="W1305" i="2"/>
  <c r="AF1305" i="2" s="1"/>
  <c r="W1306" i="2"/>
  <c r="AF1306" i="2" s="1"/>
  <c r="W1307" i="2"/>
  <c r="AF1307" i="2" s="1"/>
  <c r="W1308" i="2"/>
  <c r="AF1308" i="2" s="1"/>
  <c r="W1309" i="2"/>
  <c r="AF1309" i="2" s="1"/>
  <c r="W1310" i="2"/>
  <c r="AF1310" i="2" s="1"/>
  <c r="W1311" i="2"/>
  <c r="AF1311" i="2" s="1"/>
  <c r="W1312" i="2"/>
  <c r="AF1312" i="2" s="1"/>
  <c r="W1313" i="2"/>
  <c r="AF1313" i="2" s="1"/>
  <c r="W1314" i="2"/>
  <c r="AF1314" i="2" s="1"/>
  <c r="W1315" i="2"/>
  <c r="AF1315" i="2" s="1"/>
  <c r="W1316" i="2"/>
  <c r="AF1316" i="2" s="1"/>
  <c r="W1317" i="2"/>
  <c r="AF1317" i="2" s="1"/>
  <c r="W1318" i="2"/>
  <c r="AF1318" i="2" s="1"/>
  <c r="W1319" i="2"/>
  <c r="AF1319" i="2" s="1"/>
  <c r="W1320" i="2"/>
  <c r="AF1320" i="2" s="1"/>
  <c r="W1321" i="2"/>
  <c r="AF1321" i="2" s="1"/>
  <c r="W1322" i="2"/>
  <c r="AF1322" i="2" s="1"/>
  <c r="W1323" i="2"/>
  <c r="AF1323" i="2" s="1"/>
  <c r="W1324" i="2"/>
  <c r="AF1324" i="2" s="1"/>
  <c r="W1325" i="2"/>
  <c r="AF1325" i="2" s="1"/>
  <c r="W1326" i="2"/>
  <c r="AF1326" i="2" s="1"/>
  <c r="W1327" i="2"/>
  <c r="AF1327" i="2" s="1"/>
  <c r="W1328" i="2"/>
  <c r="AF1328" i="2" s="1"/>
  <c r="W1329" i="2"/>
  <c r="AF1329" i="2" s="1"/>
  <c r="W1330" i="2"/>
  <c r="AF1330" i="2" s="1"/>
  <c r="W1331" i="2"/>
  <c r="AF1331" i="2" s="1"/>
  <c r="W1332" i="2"/>
  <c r="AF1332" i="2" s="1"/>
  <c r="W1333" i="2"/>
  <c r="AF1333" i="2" s="1"/>
  <c r="W1334" i="2"/>
  <c r="AF1334" i="2" s="1"/>
  <c r="W1335" i="2"/>
  <c r="AF1335" i="2" s="1"/>
  <c r="W1336" i="2"/>
  <c r="AF1336" i="2" s="1"/>
  <c r="W1337" i="2"/>
  <c r="AF1337" i="2" s="1"/>
  <c r="W1338" i="2"/>
  <c r="AF1338" i="2" s="1"/>
  <c r="W1339" i="2"/>
  <c r="AF1339" i="2" s="1"/>
  <c r="W1340" i="2"/>
  <c r="AF1340" i="2" s="1"/>
  <c r="W1341" i="2"/>
  <c r="AF1341" i="2" s="1"/>
  <c r="W1342" i="2"/>
  <c r="AF1342" i="2" s="1"/>
  <c r="W1343" i="2"/>
  <c r="AF1343" i="2" s="1"/>
  <c r="W1344" i="2"/>
  <c r="AF1344" i="2" s="1"/>
  <c r="W1345" i="2"/>
  <c r="AF1345" i="2" s="1"/>
  <c r="W1346" i="2"/>
  <c r="AF1346" i="2" s="1"/>
  <c r="W1347" i="2"/>
  <c r="AF1347" i="2" s="1"/>
  <c r="W1348" i="2"/>
  <c r="AF1348" i="2" s="1"/>
  <c r="W1349" i="2"/>
  <c r="AF1349" i="2" s="1"/>
  <c r="W1350" i="2"/>
  <c r="AF1350" i="2" s="1"/>
  <c r="W1351" i="2"/>
  <c r="AF1351" i="2" s="1"/>
  <c r="W1352" i="2"/>
  <c r="AF1352" i="2" s="1"/>
  <c r="W1353" i="2"/>
  <c r="AF1353" i="2" s="1"/>
  <c r="W1354" i="2"/>
  <c r="AF1354" i="2" s="1"/>
  <c r="W1355" i="2"/>
  <c r="AF1355" i="2" s="1"/>
  <c r="W1356" i="2"/>
  <c r="AF1356" i="2" s="1"/>
  <c r="W1357" i="2"/>
  <c r="AF1357" i="2" s="1"/>
  <c r="W1358" i="2"/>
  <c r="AF1358" i="2" s="1"/>
  <c r="W1359" i="2"/>
  <c r="AF1359" i="2" s="1"/>
  <c r="W1360" i="2"/>
  <c r="AF1360" i="2" s="1"/>
  <c r="W1361" i="2"/>
  <c r="AF1361" i="2" s="1"/>
  <c r="W1362" i="2"/>
  <c r="AF1362" i="2" s="1"/>
  <c r="W1363" i="2"/>
  <c r="AF1363" i="2" s="1"/>
  <c r="W1364" i="2"/>
  <c r="AF1364" i="2" s="1"/>
  <c r="W1365" i="2"/>
  <c r="AF1365" i="2" s="1"/>
  <c r="W1366" i="2"/>
  <c r="AF1366" i="2" s="1"/>
  <c r="W1367" i="2"/>
  <c r="AF1367" i="2" s="1"/>
  <c r="W1368" i="2"/>
  <c r="AF1368" i="2" s="1"/>
  <c r="W1369" i="2"/>
  <c r="AF1369" i="2" s="1"/>
  <c r="W1370" i="2"/>
  <c r="AF1370" i="2" s="1"/>
  <c r="W1371" i="2"/>
  <c r="AF1371" i="2" s="1"/>
  <c r="W1372" i="2"/>
  <c r="AF1372" i="2" s="1"/>
  <c r="W1373" i="2"/>
  <c r="AF1373" i="2" s="1"/>
  <c r="W1374" i="2"/>
  <c r="AF1374" i="2" s="1"/>
  <c r="W1375" i="2"/>
  <c r="AF1375" i="2" s="1"/>
  <c r="W1376" i="2"/>
  <c r="AF1376" i="2" s="1"/>
  <c r="W1377" i="2"/>
  <c r="AF1377" i="2" s="1"/>
  <c r="W1378" i="2"/>
  <c r="AF1378" i="2" s="1"/>
  <c r="W1379" i="2"/>
  <c r="AF1379" i="2" s="1"/>
  <c r="W1380" i="2"/>
  <c r="AF1380" i="2" s="1"/>
  <c r="W1381" i="2"/>
  <c r="AF1381" i="2" s="1"/>
  <c r="W1382" i="2"/>
  <c r="AF1382" i="2" s="1"/>
  <c r="W1383" i="2"/>
  <c r="W1384" i="2"/>
  <c r="AF1384" i="2" s="1"/>
  <c r="W1385" i="2"/>
  <c r="AF1385" i="2" s="1"/>
  <c r="W1386" i="2"/>
  <c r="AF1386" i="2" s="1"/>
  <c r="W1387" i="2"/>
  <c r="AF1387" i="2" s="1"/>
  <c r="W1388" i="2"/>
  <c r="AF1388" i="2" s="1"/>
  <c r="W1389" i="2"/>
  <c r="W1390" i="2"/>
  <c r="AF1390" i="2" s="1"/>
  <c r="W1391" i="2"/>
  <c r="AF1391" i="2" s="1"/>
  <c r="W1392" i="2"/>
  <c r="AF1392" i="2" s="1"/>
  <c r="W1393" i="2"/>
  <c r="AF1393" i="2" s="1"/>
  <c r="W1394" i="2"/>
  <c r="AF1394" i="2" s="1"/>
  <c r="W1395" i="2"/>
  <c r="AF1395" i="2" s="1"/>
  <c r="W1396" i="2"/>
  <c r="AF1396" i="2" s="1"/>
  <c r="W1397" i="2"/>
  <c r="AF1397" i="2" s="1"/>
  <c r="W1398" i="2"/>
  <c r="AF1398" i="2" s="1"/>
  <c r="W1399" i="2"/>
  <c r="AF1399" i="2" s="1"/>
  <c r="W1400" i="2"/>
  <c r="AF1400" i="2" s="1"/>
  <c r="W1401" i="2"/>
  <c r="AF1401" i="2" s="1"/>
  <c r="W1402" i="2"/>
  <c r="AF1402" i="2" s="1"/>
  <c r="W1403" i="2"/>
  <c r="W1404" i="2"/>
  <c r="AF1404" i="2" s="1"/>
  <c r="W1405" i="2"/>
  <c r="AF1405" i="2" s="1"/>
  <c r="W1406" i="2"/>
  <c r="AF1406" i="2" s="1"/>
  <c r="W1407" i="2"/>
  <c r="AF1407" i="2" s="1"/>
  <c r="W1408" i="2"/>
  <c r="AF1408" i="2" s="1"/>
  <c r="W1409" i="2"/>
  <c r="AF1409" i="2" s="1"/>
  <c r="W1410" i="2"/>
  <c r="AF1410" i="2" s="1"/>
  <c r="W1411" i="2"/>
  <c r="AF1411" i="2" s="1"/>
  <c r="W1412" i="2"/>
  <c r="AF1412" i="2" s="1"/>
  <c r="W1413" i="2"/>
  <c r="AF1413" i="2" s="1"/>
  <c r="W1414" i="2"/>
  <c r="AF1414" i="2" s="1"/>
  <c r="W1415" i="2"/>
  <c r="AF1415" i="2" s="1"/>
  <c r="W1416" i="2"/>
  <c r="AF1416" i="2" s="1"/>
  <c r="W1417" i="2"/>
  <c r="AF1417" i="2" s="1"/>
  <c r="W1418" i="2"/>
  <c r="AF1418" i="2" s="1"/>
  <c r="W1419" i="2"/>
  <c r="AF1419" i="2" s="1"/>
  <c r="W1420" i="2"/>
  <c r="W1421" i="2"/>
  <c r="AF1421" i="2" s="1"/>
  <c r="W1422" i="2"/>
  <c r="AF1422" i="2" s="1"/>
  <c r="W1423" i="2"/>
  <c r="AF1423" i="2" s="1"/>
  <c r="W1424" i="2"/>
  <c r="AF1424" i="2" s="1"/>
  <c r="W1425" i="2"/>
  <c r="W1426" i="2"/>
  <c r="AF1426" i="2" s="1"/>
  <c r="W1427" i="2"/>
  <c r="AF1427" i="2" s="1"/>
  <c r="W1428" i="2"/>
  <c r="AF1428" i="2" s="1"/>
  <c r="W1429" i="2"/>
  <c r="AF1429" i="2" s="1"/>
  <c r="W1430" i="2"/>
  <c r="W1431" i="2"/>
  <c r="AF1431" i="2" s="1"/>
  <c r="W1432" i="2"/>
  <c r="AF1432" i="2" s="1"/>
  <c r="W1433" i="2"/>
  <c r="W1434" i="2"/>
  <c r="AF1434" i="2" s="1"/>
  <c r="W1435" i="2"/>
  <c r="AF1435" i="2" s="1"/>
  <c r="W1436" i="2"/>
  <c r="AF1436" i="2" s="1"/>
  <c r="W1437" i="2"/>
  <c r="AF1437" i="2" s="1"/>
  <c r="W1438" i="2"/>
  <c r="AF1438" i="2" s="1"/>
  <c r="W1439" i="2"/>
  <c r="AF1439" i="2" s="1"/>
  <c r="W1440" i="2"/>
  <c r="AF1440" i="2" s="1"/>
  <c r="W1441" i="2"/>
  <c r="AF1441" i="2" s="1"/>
  <c r="W1442" i="2"/>
  <c r="AF1442" i="2" s="1"/>
  <c r="W1443" i="2"/>
  <c r="AF1443" i="2" s="1"/>
  <c r="W1444" i="2"/>
  <c r="AF1444" i="2" s="1"/>
  <c r="W1445" i="2"/>
  <c r="AF1445" i="2" s="1"/>
  <c r="W1446" i="2"/>
  <c r="AF1446" i="2" s="1"/>
  <c r="W1447" i="2"/>
  <c r="AF1447" i="2" s="1"/>
  <c r="W1448" i="2"/>
  <c r="W1449" i="2"/>
  <c r="AF1449" i="2" s="1"/>
  <c r="W1450" i="2"/>
  <c r="AF1450" i="2" s="1"/>
  <c r="W1451" i="2"/>
  <c r="AF1451" i="2" s="1"/>
  <c r="W1452" i="2"/>
  <c r="AF1452" i="2" s="1"/>
  <c r="W1453" i="2"/>
  <c r="W1454" i="2"/>
  <c r="AF1454" i="2" s="1"/>
  <c r="W1455" i="2"/>
  <c r="AF1455" i="2" s="1"/>
  <c r="W1456" i="2"/>
  <c r="AF1456" i="2" s="1"/>
  <c r="W1457" i="2"/>
  <c r="AF1457" i="2" s="1"/>
  <c r="W1458" i="2"/>
  <c r="AF1458" i="2" s="1"/>
  <c r="W1459" i="2"/>
  <c r="AF1459" i="2" s="1"/>
  <c r="W1460" i="2"/>
  <c r="AF1460" i="2" s="1"/>
  <c r="W1461" i="2"/>
  <c r="AF1461" i="2" s="1"/>
  <c r="W1462" i="2"/>
  <c r="AF1462" i="2" s="1"/>
  <c r="W1463" i="2"/>
  <c r="AF1463" i="2" s="1"/>
  <c r="W1464" i="2"/>
  <c r="AF1464" i="2" s="1"/>
  <c r="W1465" i="2"/>
  <c r="AF1465" i="2" s="1"/>
  <c r="W1466" i="2"/>
  <c r="AF1466" i="2" s="1"/>
  <c r="W1467" i="2"/>
  <c r="AF1467" i="2" s="1"/>
  <c r="W1468" i="2"/>
  <c r="AF1468" i="2" s="1"/>
  <c r="W1469" i="2"/>
  <c r="W1470" i="2"/>
  <c r="AF1470" i="2" s="1"/>
  <c r="W1471" i="2"/>
  <c r="AF1471" i="2" s="1"/>
  <c r="W1472" i="2"/>
  <c r="AF1472" i="2" s="1"/>
  <c r="W1473" i="2"/>
  <c r="AF1473" i="2" s="1"/>
  <c r="W1474" i="2"/>
  <c r="AF1474" i="2" s="1"/>
  <c r="W1475" i="2"/>
  <c r="AF1475" i="2" s="1"/>
  <c r="W1476" i="2"/>
  <c r="AF1476" i="2" s="1"/>
  <c r="W1477" i="2"/>
  <c r="AF1477" i="2" s="1"/>
  <c r="W1478" i="2"/>
  <c r="AF1478" i="2" s="1"/>
  <c r="W1479" i="2"/>
  <c r="AF1479" i="2" s="1"/>
  <c r="W1480" i="2"/>
  <c r="AF1480" i="2" s="1"/>
  <c r="W1481" i="2"/>
  <c r="AF1481" i="2" s="1"/>
  <c r="W1482" i="2"/>
  <c r="AF1482" i="2" s="1"/>
  <c r="W1483" i="2"/>
  <c r="AF1483" i="2" s="1"/>
  <c r="W1484" i="2"/>
  <c r="AF1484" i="2" s="1"/>
  <c r="W1485" i="2"/>
  <c r="AF1485" i="2" s="1"/>
  <c r="W1486" i="2"/>
  <c r="AF1486" i="2" s="1"/>
  <c r="W1487" i="2"/>
  <c r="AF1487" i="2" s="1"/>
  <c r="W1488" i="2"/>
  <c r="AF1488" i="2" s="1"/>
  <c r="W1489" i="2"/>
  <c r="AF1489" i="2" s="1"/>
  <c r="W1490" i="2"/>
  <c r="AF1490" i="2" s="1"/>
  <c r="W1491" i="2"/>
  <c r="AF1491" i="2" s="1"/>
  <c r="W1492" i="2"/>
  <c r="AF1492" i="2" s="1"/>
  <c r="W1493" i="2"/>
  <c r="AF1493" i="2" s="1"/>
  <c r="W1494" i="2"/>
  <c r="AF1494" i="2" s="1"/>
  <c r="W1495" i="2"/>
  <c r="AF1495" i="2" s="1"/>
  <c r="W1496" i="2"/>
  <c r="AF1496" i="2" s="1"/>
  <c r="W1497" i="2"/>
  <c r="AF1497" i="2" s="1"/>
  <c r="W1498" i="2"/>
  <c r="AF1498" i="2" s="1"/>
  <c r="W1499" i="2"/>
  <c r="AF1499" i="2" s="1"/>
  <c r="W1500" i="2"/>
  <c r="W1501" i="2"/>
  <c r="AF1501" i="2" s="1"/>
  <c r="W1502" i="2"/>
  <c r="AF1502" i="2" s="1"/>
  <c r="W1503" i="2"/>
  <c r="AF1503" i="2" s="1"/>
  <c r="W1504" i="2"/>
  <c r="AF1504" i="2" s="1"/>
  <c r="W1505" i="2"/>
  <c r="AF1505" i="2" s="1"/>
  <c r="W1506" i="2"/>
  <c r="W1507" i="2"/>
  <c r="AF1507" i="2" s="1"/>
  <c r="W1508" i="2"/>
  <c r="W1509" i="2"/>
  <c r="AF1509" i="2" s="1"/>
  <c r="W1510" i="2"/>
  <c r="AF1510" i="2" s="1"/>
  <c r="W1511" i="2"/>
  <c r="AF1511" i="2" s="1"/>
  <c r="W1512" i="2"/>
  <c r="AF1512" i="2" s="1"/>
  <c r="W1513" i="2"/>
  <c r="AF1513" i="2" s="1"/>
  <c r="W1514" i="2"/>
  <c r="AF1514" i="2" s="1"/>
  <c r="W1515" i="2"/>
  <c r="AF1515" i="2" s="1"/>
  <c r="W1516" i="2"/>
  <c r="AF1516" i="2" s="1"/>
  <c r="W1517" i="2"/>
  <c r="AF1517" i="2" s="1"/>
  <c r="W1518" i="2"/>
  <c r="W1519" i="2"/>
  <c r="AF1519" i="2" s="1"/>
  <c r="W1520" i="2"/>
  <c r="AF1520" i="2" s="1"/>
  <c r="W1521" i="2"/>
  <c r="W1522" i="2"/>
  <c r="AF1522" i="2" s="1"/>
  <c r="W1523" i="2"/>
  <c r="AF1523" i="2" s="1"/>
  <c r="W1524" i="2"/>
  <c r="AF1524" i="2" s="1"/>
  <c r="W1525" i="2"/>
  <c r="AF1525" i="2" s="1"/>
  <c r="W1526" i="2"/>
  <c r="AF1526" i="2" s="1"/>
  <c r="W1527" i="2"/>
  <c r="AF1527" i="2" s="1"/>
  <c r="W1528" i="2"/>
  <c r="AF1528" i="2" s="1"/>
  <c r="W1529" i="2"/>
  <c r="AF1529" i="2" s="1"/>
  <c r="W1530" i="2"/>
  <c r="AF1530" i="2" s="1"/>
  <c r="W1531" i="2"/>
  <c r="AF1531" i="2" s="1"/>
  <c r="W1532" i="2"/>
  <c r="AF1532" i="2" s="1"/>
  <c r="W1533" i="2"/>
  <c r="AF1533" i="2" s="1"/>
  <c r="W1534" i="2"/>
  <c r="AF1534" i="2" s="1"/>
  <c r="W1535" i="2"/>
  <c r="AF1535" i="2" s="1"/>
  <c r="W1536" i="2"/>
  <c r="AF1536" i="2" s="1"/>
  <c r="W1537" i="2"/>
  <c r="AF1537" i="2" s="1"/>
  <c r="W1538" i="2"/>
  <c r="AF1538" i="2" s="1"/>
  <c r="W1539" i="2"/>
  <c r="AF1539" i="2" s="1"/>
  <c r="W1540" i="2"/>
  <c r="AF1540" i="2" s="1"/>
  <c r="W1541" i="2"/>
  <c r="AF1541" i="2" s="1"/>
  <c r="W1542" i="2"/>
  <c r="AF1542" i="2" s="1"/>
  <c r="W1543" i="2"/>
  <c r="AF1543" i="2" s="1"/>
  <c r="W1544" i="2"/>
  <c r="AF1544" i="2" s="1"/>
  <c r="W1545" i="2"/>
  <c r="AF1545" i="2" s="1"/>
  <c r="W1546" i="2"/>
  <c r="W1547" i="2"/>
  <c r="AF1547" i="2" s="1"/>
  <c r="W1548" i="2"/>
  <c r="AF1548" i="2" s="1"/>
  <c r="W1549" i="2"/>
  <c r="AF1549" i="2" s="1"/>
  <c r="W1550" i="2"/>
  <c r="AF1550" i="2" s="1"/>
  <c r="W1551" i="2"/>
  <c r="AF1551" i="2" s="1"/>
  <c r="W1552" i="2"/>
  <c r="AF1552" i="2" s="1"/>
  <c r="W1553" i="2"/>
  <c r="AF1553" i="2" s="1"/>
  <c r="W1554" i="2"/>
  <c r="W1555" i="2"/>
  <c r="AF1555" i="2" s="1"/>
  <c r="W1556" i="2"/>
  <c r="AF1556" i="2" s="1"/>
  <c r="W1557" i="2"/>
  <c r="AF1557" i="2" s="1"/>
  <c r="W1558" i="2"/>
  <c r="AF1558" i="2" s="1"/>
  <c r="W1559" i="2"/>
  <c r="AF1559" i="2" s="1"/>
  <c r="W1560" i="2"/>
  <c r="AF1560" i="2" s="1"/>
  <c r="W1561" i="2"/>
  <c r="AF1561" i="2" s="1"/>
  <c r="W1562" i="2"/>
  <c r="AF1562" i="2" s="1"/>
  <c r="W1563" i="2"/>
  <c r="AF1563" i="2" s="1"/>
  <c r="W1564" i="2"/>
  <c r="AF1564" i="2" s="1"/>
  <c r="W1565" i="2"/>
  <c r="AF1565" i="2" s="1"/>
  <c r="W1566" i="2"/>
  <c r="AF1566" i="2" s="1"/>
  <c r="W1567" i="2"/>
  <c r="W1568" i="2"/>
  <c r="W1569" i="2"/>
  <c r="AF1569" i="2" s="1"/>
  <c r="W1570" i="2"/>
  <c r="W1571" i="2"/>
  <c r="AF1571" i="2" s="1"/>
  <c r="W1572" i="2"/>
  <c r="AF1572" i="2" s="1"/>
  <c r="W1573" i="2"/>
  <c r="AF1573" i="2" s="1"/>
  <c r="W1574" i="2"/>
  <c r="AF1574" i="2" s="1"/>
  <c r="W1575" i="2"/>
  <c r="AF1575" i="2" s="1"/>
  <c r="W1576" i="2"/>
  <c r="AF1576" i="2" s="1"/>
  <c r="W1577" i="2"/>
  <c r="AF1577" i="2" s="1"/>
  <c r="W1578" i="2"/>
  <c r="AF1578" i="2" s="1"/>
  <c r="W1579" i="2"/>
  <c r="AF1579" i="2" s="1"/>
  <c r="W1580" i="2"/>
  <c r="AF1580" i="2" s="1"/>
  <c r="W1581" i="2"/>
  <c r="AF1581" i="2" s="1"/>
  <c r="W1582" i="2"/>
  <c r="AF1582" i="2" s="1"/>
  <c r="W1583" i="2"/>
  <c r="AF1583" i="2" s="1"/>
  <c r="W1584" i="2"/>
  <c r="AF1584" i="2" s="1"/>
  <c r="W1585" i="2"/>
  <c r="W1586" i="2"/>
  <c r="AF1586" i="2" s="1"/>
  <c r="W1587" i="2"/>
  <c r="AF1587" i="2" s="1"/>
  <c r="W1588" i="2"/>
  <c r="AF1588" i="2" s="1"/>
  <c r="W1589" i="2"/>
  <c r="AF1589" i="2" s="1"/>
  <c r="W1590" i="2"/>
  <c r="AF1590" i="2" s="1"/>
  <c r="W1591" i="2"/>
  <c r="AF1591" i="2" s="1"/>
  <c r="W1592" i="2"/>
  <c r="AF1592" i="2" s="1"/>
  <c r="W1593" i="2"/>
  <c r="AF1593" i="2" s="1"/>
  <c r="W1594" i="2"/>
  <c r="AF1594" i="2" s="1"/>
  <c r="W1595" i="2"/>
  <c r="AF1595" i="2" s="1"/>
  <c r="W1596" i="2"/>
  <c r="AF1596" i="2" s="1"/>
  <c r="W1597" i="2"/>
  <c r="AF1597" i="2" s="1"/>
  <c r="W1598" i="2"/>
  <c r="AF1598" i="2" s="1"/>
  <c r="W1599" i="2"/>
  <c r="AF1599" i="2" s="1"/>
  <c r="W1600" i="2"/>
  <c r="AF1600" i="2" s="1"/>
  <c r="W1601" i="2"/>
  <c r="AF1601" i="2" s="1"/>
  <c r="W1602" i="2"/>
  <c r="AF1602" i="2" s="1"/>
  <c r="W1603" i="2"/>
  <c r="AF1603" i="2" s="1"/>
  <c r="W1604" i="2"/>
  <c r="AF1604" i="2" s="1"/>
  <c r="W1605" i="2"/>
  <c r="AF1605" i="2" s="1"/>
  <c r="W1606" i="2"/>
  <c r="AF1606" i="2" s="1"/>
  <c r="W1607" i="2"/>
  <c r="AF1607" i="2" s="1"/>
  <c r="W1608" i="2"/>
  <c r="AF1608" i="2" s="1"/>
  <c r="W1609" i="2"/>
  <c r="AF1609" i="2" s="1"/>
  <c r="W1610" i="2"/>
  <c r="AF1610" i="2" s="1"/>
  <c r="W1611" i="2"/>
  <c r="W1612" i="2"/>
  <c r="AF1612" i="2" s="1"/>
  <c r="W1613" i="2"/>
  <c r="AF1613" i="2" s="1"/>
  <c r="W1614" i="2"/>
  <c r="AF1614" i="2" s="1"/>
  <c r="W1615" i="2"/>
  <c r="AF1615" i="2" s="1"/>
  <c r="W1616" i="2"/>
  <c r="AF1616" i="2" s="1"/>
  <c r="W1617" i="2"/>
  <c r="AF1617" i="2" s="1"/>
  <c r="W1618" i="2"/>
  <c r="AF1618" i="2" s="1"/>
  <c r="W1619" i="2"/>
  <c r="AF1619" i="2" s="1"/>
  <c r="W1620" i="2"/>
  <c r="W1621" i="2"/>
  <c r="AF1621" i="2" s="1"/>
  <c r="W1622" i="2"/>
  <c r="AF1622" i="2" s="1"/>
  <c r="W1623" i="2"/>
  <c r="AF1623" i="2" s="1"/>
  <c r="W1624" i="2"/>
  <c r="W1625" i="2"/>
  <c r="AF1625" i="2" s="1"/>
  <c r="W1626" i="2"/>
  <c r="AF1626" i="2" s="1"/>
  <c r="W1627" i="2"/>
  <c r="AF1627" i="2" s="1"/>
  <c r="W1628" i="2"/>
  <c r="AF1628" i="2" s="1"/>
  <c r="W1629" i="2"/>
  <c r="AF1629" i="2" s="1"/>
  <c r="W1630" i="2"/>
  <c r="AF1630" i="2" s="1"/>
  <c r="W1631" i="2"/>
  <c r="AF1631" i="2" s="1"/>
  <c r="W1632" i="2"/>
  <c r="AF1632" i="2" s="1"/>
  <c r="W1633" i="2"/>
  <c r="AF1633" i="2" s="1"/>
  <c r="W1634" i="2"/>
  <c r="AF1634" i="2" s="1"/>
  <c r="W1635" i="2"/>
  <c r="AF1635" i="2" s="1"/>
  <c r="W1636" i="2"/>
  <c r="AF1636" i="2" s="1"/>
  <c r="W1637" i="2"/>
  <c r="AF1637" i="2" s="1"/>
  <c r="W1638" i="2"/>
  <c r="AF1638" i="2" s="1"/>
  <c r="W1639" i="2"/>
  <c r="W1640" i="2"/>
  <c r="AF1640" i="2" s="1"/>
  <c r="W1641" i="2"/>
  <c r="AF1641" i="2" s="1"/>
  <c r="W1642" i="2"/>
  <c r="AF1642" i="2" s="1"/>
  <c r="W1643" i="2"/>
  <c r="AF1643" i="2" s="1"/>
  <c r="W1644" i="2"/>
  <c r="AF1644" i="2" s="1"/>
  <c r="W1645" i="2"/>
  <c r="AF1645" i="2" s="1"/>
  <c r="W1646" i="2"/>
  <c r="AF1646" i="2" s="1"/>
  <c r="W1647" i="2"/>
  <c r="AF1647" i="2" s="1"/>
  <c r="W1648" i="2"/>
  <c r="AF1648" i="2" s="1"/>
  <c r="W1649" i="2"/>
  <c r="AF1649" i="2" s="1"/>
  <c r="W1650" i="2"/>
  <c r="AF1650" i="2" s="1"/>
  <c r="W1651" i="2"/>
  <c r="AF1651" i="2" s="1"/>
  <c r="W1652" i="2"/>
  <c r="AF1652" i="2" s="1"/>
  <c r="W1653" i="2"/>
  <c r="AF1653" i="2" s="1"/>
  <c r="W1654" i="2"/>
  <c r="AF1654" i="2" s="1"/>
  <c r="W1655" i="2"/>
  <c r="AF1655" i="2" s="1"/>
  <c r="W1656" i="2"/>
  <c r="AF1656" i="2" s="1"/>
  <c r="W1657" i="2"/>
  <c r="W1658" i="2"/>
  <c r="AF1658" i="2" s="1"/>
  <c r="W1659" i="2"/>
  <c r="AF1659" i="2" s="1"/>
  <c r="W1660" i="2"/>
  <c r="AF1660" i="2" s="1"/>
  <c r="W1661" i="2"/>
  <c r="AF1661" i="2" s="1"/>
  <c r="W1662" i="2"/>
  <c r="AF1662" i="2" s="1"/>
  <c r="W1663" i="2"/>
  <c r="AF1663" i="2" s="1"/>
  <c r="W1664" i="2"/>
  <c r="W1665" i="2"/>
  <c r="AF1665" i="2" s="1"/>
  <c r="W1666" i="2"/>
  <c r="AF1666" i="2" s="1"/>
  <c r="W1667" i="2"/>
  <c r="AF1667" i="2" s="1"/>
  <c r="W1668" i="2"/>
  <c r="AF1668" i="2" s="1"/>
  <c r="W1669" i="2"/>
  <c r="AF1669" i="2" s="1"/>
  <c r="W1670" i="2"/>
  <c r="W1671" i="2"/>
  <c r="AF1671" i="2" s="1"/>
  <c r="W1672" i="2"/>
  <c r="AF1672" i="2" s="1"/>
  <c r="W1673" i="2"/>
  <c r="AF1673" i="2" s="1"/>
  <c r="W1674" i="2"/>
  <c r="AF1674" i="2" s="1"/>
  <c r="W1675" i="2"/>
  <c r="W1676" i="2"/>
  <c r="AF1676" i="2" s="1"/>
  <c r="W1677" i="2"/>
  <c r="AF1677" i="2" s="1"/>
  <c r="W1678" i="2"/>
  <c r="AF1678" i="2" s="1"/>
  <c r="W1679" i="2"/>
  <c r="AF1679" i="2" s="1"/>
  <c r="W1680" i="2"/>
  <c r="AF1680" i="2" s="1"/>
  <c r="W1681" i="2"/>
  <c r="AF1681" i="2" s="1"/>
  <c r="W1682" i="2"/>
  <c r="AF1682" i="2" s="1"/>
  <c r="W1683" i="2"/>
  <c r="AF1683" i="2" s="1"/>
  <c r="W1684" i="2"/>
  <c r="AF1684" i="2" s="1"/>
  <c r="W1685" i="2"/>
  <c r="AF1685" i="2" s="1"/>
  <c r="W1686" i="2"/>
  <c r="AF1686" i="2" s="1"/>
  <c r="W1687" i="2"/>
  <c r="AF1687" i="2" s="1"/>
  <c r="W1688" i="2"/>
  <c r="AF1688" i="2" s="1"/>
  <c r="W1689" i="2"/>
  <c r="AF1689" i="2" s="1"/>
  <c r="W1690" i="2"/>
  <c r="W1691" i="2"/>
  <c r="AF1691" i="2" s="1"/>
  <c r="W1692" i="2"/>
  <c r="AF1692" i="2" s="1"/>
  <c r="W1693" i="2"/>
  <c r="AF1693" i="2" s="1"/>
  <c r="W1694" i="2"/>
  <c r="AF1694" i="2" s="1"/>
  <c r="W1695" i="2"/>
  <c r="AF1695" i="2" s="1"/>
  <c r="W1696" i="2"/>
  <c r="AF1696" i="2" s="1"/>
  <c r="W1697" i="2"/>
  <c r="AF1697" i="2" s="1"/>
  <c r="W1698" i="2"/>
  <c r="W1699" i="2"/>
  <c r="AF1699" i="2" s="1"/>
  <c r="W1700" i="2"/>
  <c r="W1701" i="2"/>
  <c r="AF1701" i="2" s="1"/>
  <c r="W1702" i="2"/>
  <c r="W1703" i="2"/>
  <c r="AF1703" i="2" s="1"/>
  <c r="W1704" i="2"/>
  <c r="AF1704" i="2" s="1"/>
  <c r="W1705" i="2"/>
  <c r="W1706" i="2"/>
  <c r="AF1706" i="2" s="1"/>
  <c r="W1707" i="2"/>
  <c r="AF1707" i="2" s="1"/>
  <c r="W1708" i="2"/>
  <c r="AF1708" i="2" s="1"/>
  <c r="W1709" i="2"/>
  <c r="AF1709" i="2" s="1"/>
  <c r="W1710" i="2"/>
  <c r="W1711" i="2"/>
  <c r="AF1711" i="2" s="1"/>
  <c r="W1712" i="2"/>
  <c r="AF1712" i="2" s="1"/>
  <c r="W1713" i="2"/>
  <c r="AF1713" i="2" s="1"/>
  <c r="W1714" i="2"/>
  <c r="AF1714" i="2" s="1"/>
  <c r="W1715" i="2"/>
  <c r="AF1715" i="2" s="1"/>
  <c r="W1716" i="2"/>
  <c r="W1717" i="2"/>
  <c r="AF1717" i="2" s="1"/>
  <c r="W1718" i="2"/>
  <c r="AF1718" i="2" s="1"/>
  <c r="W1719" i="2"/>
  <c r="AF1719" i="2" s="1"/>
  <c r="W1720" i="2"/>
  <c r="AF1720" i="2" s="1"/>
  <c r="W1721" i="2"/>
  <c r="W1722" i="2"/>
  <c r="AF1722" i="2" s="1"/>
  <c r="W1723" i="2"/>
  <c r="AF1723" i="2" s="1"/>
  <c r="W1724" i="2"/>
  <c r="AF1724" i="2" s="1"/>
  <c r="W1725" i="2"/>
  <c r="AF1725" i="2" s="1"/>
  <c r="W1726" i="2"/>
  <c r="W1727" i="2"/>
  <c r="AF1727" i="2" s="1"/>
  <c r="W1728" i="2"/>
  <c r="AF1728" i="2" s="1"/>
  <c r="W1729" i="2"/>
  <c r="AF1729" i="2" s="1"/>
  <c r="W1730" i="2"/>
  <c r="AF1730" i="2" s="1"/>
  <c r="W1731" i="2"/>
  <c r="AF1731" i="2" s="1"/>
  <c r="W1732" i="2"/>
  <c r="AF1732" i="2" s="1"/>
  <c r="W1733" i="2"/>
  <c r="AF1733" i="2" s="1"/>
  <c r="W1734" i="2"/>
  <c r="AF1734" i="2" s="1"/>
  <c r="W1735" i="2"/>
  <c r="AF1735" i="2" s="1"/>
  <c r="W1736" i="2"/>
  <c r="AF1736" i="2" s="1"/>
  <c r="W1737" i="2"/>
  <c r="AF1737" i="2" s="1"/>
  <c r="W1738" i="2"/>
  <c r="AF1738" i="2" s="1"/>
  <c r="W1739" i="2"/>
  <c r="W1740" i="2"/>
  <c r="AF1740" i="2" s="1"/>
  <c r="W1741" i="2"/>
  <c r="AF1741" i="2" s="1"/>
  <c r="W1742" i="2"/>
  <c r="AF1742" i="2" s="1"/>
  <c r="W1743" i="2"/>
  <c r="AF1743" i="2" s="1"/>
  <c r="W1744" i="2"/>
  <c r="AF1744" i="2" s="1"/>
  <c r="W1745" i="2"/>
  <c r="AF1745" i="2" s="1"/>
  <c r="W1746" i="2"/>
  <c r="AF1746" i="2" s="1"/>
  <c r="W1747" i="2"/>
  <c r="W1748" i="2"/>
  <c r="AF1748" i="2" s="1"/>
  <c r="W1749" i="2"/>
  <c r="AF1749" i="2" s="1"/>
  <c r="W1750" i="2"/>
  <c r="AF1750" i="2" s="1"/>
  <c r="W1751" i="2"/>
  <c r="AF1751" i="2" s="1"/>
  <c r="W1752" i="2"/>
  <c r="AF1752" i="2" s="1"/>
  <c r="W1753" i="2"/>
  <c r="AF1753" i="2" s="1"/>
  <c r="W1754" i="2"/>
  <c r="AF1754" i="2" s="1"/>
  <c r="W1755" i="2"/>
  <c r="AF1755" i="2" s="1"/>
  <c r="W1756" i="2"/>
  <c r="W1757" i="2"/>
  <c r="AF1757" i="2" s="1"/>
  <c r="W1758" i="2"/>
  <c r="AF1758" i="2" s="1"/>
  <c r="W1759" i="2"/>
  <c r="AF1759" i="2" s="1"/>
  <c r="W1760" i="2"/>
  <c r="W1761" i="2"/>
  <c r="W1762" i="2"/>
  <c r="AF1762" i="2" s="1"/>
  <c r="W1763" i="2"/>
  <c r="W1764" i="2"/>
  <c r="AF1764" i="2" s="1"/>
  <c r="W1765" i="2"/>
  <c r="AF1765" i="2" s="1"/>
  <c r="W1766" i="2"/>
  <c r="W1767" i="2"/>
  <c r="AF1767" i="2" s="1"/>
  <c r="W1768" i="2"/>
  <c r="AF1768" i="2" s="1"/>
  <c r="W1769" i="2"/>
  <c r="AF1769" i="2" s="1"/>
  <c r="W1770" i="2"/>
  <c r="AF1770" i="2" s="1"/>
  <c r="W1771" i="2"/>
  <c r="AF1771" i="2" s="1"/>
  <c r="W1772" i="2"/>
  <c r="AF1772" i="2" s="1"/>
  <c r="W1773" i="2"/>
  <c r="AF1773" i="2" s="1"/>
  <c r="W1774" i="2"/>
  <c r="AF1774" i="2" s="1"/>
  <c r="W1775" i="2"/>
  <c r="AF1775" i="2" s="1"/>
  <c r="W1776" i="2"/>
  <c r="AF1776" i="2" s="1"/>
  <c r="W1777" i="2"/>
  <c r="W1778" i="2"/>
  <c r="AF1778" i="2" s="1"/>
  <c r="W1779" i="2"/>
  <c r="W1780" i="2"/>
  <c r="AF1780" i="2" s="1"/>
  <c r="W1781" i="2"/>
  <c r="AF1781" i="2" s="1"/>
  <c r="W1782" i="2"/>
  <c r="AF1782" i="2" s="1"/>
  <c r="W1783" i="2"/>
  <c r="AF1783" i="2" s="1"/>
  <c r="W1784" i="2"/>
  <c r="AF1784" i="2" s="1"/>
  <c r="W1785" i="2"/>
  <c r="AF1785" i="2" s="1"/>
  <c r="W1786" i="2"/>
  <c r="AF1786" i="2" s="1"/>
  <c r="W1787" i="2"/>
  <c r="AF1787" i="2" s="1"/>
  <c r="W1788" i="2"/>
  <c r="AF1788" i="2" s="1"/>
  <c r="W1789" i="2"/>
  <c r="W1790" i="2"/>
  <c r="W1791" i="2"/>
  <c r="AF1791" i="2" s="1"/>
  <c r="W1792" i="2"/>
  <c r="AF1792" i="2" s="1"/>
  <c r="W1793" i="2"/>
  <c r="AF1793" i="2" s="1"/>
  <c r="W1794" i="2"/>
  <c r="AF1794" i="2" s="1"/>
  <c r="W1795" i="2"/>
  <c r="AF1795" i="2" s="1"/>
  <c r="W1796" i="2"/>
  <c r="AF1796" i="2" s="1"/>
  <c r="W1797" i="2"/>
  <c r="AF1797" i="2" s="1"/>
  <c r="W1798" i="2"/>
  <c r="AF1798" i="2" s="1"/>
  <c r="W1799" i="2"/>
  <c r="AF1799" i="2" s="1"/>
  <c r="W1800" i="2"/>
  <c r="AF1800" i="2" s="1"/>
  <c r="W1801" i="2"/>
  <c r="W1802" i="2"/>
  <c r="AF1802" i="2" s="1"/>
  <c r="W1803" i="2"/>
  <c r="AF1803" i="2" s="1"/>
  <c r="W1804" i="2"/>
  <c r="AF1804" i="2" s="1"/>
  <c r="W1805" i="2"/>
  <c r="AF1805" i="2" s="1"/>
  <c r="W1806" i="2"/>
  <c r="AF1806" i="2" s="1"/>
  <c r="W1807" i="2"/>
  <c r="AF1807" i="2" s="1"/>
  <c r="W1808" i="2"/>
  <c r="AF1808" i="2" s="1"/>
  <c r="W1809" i="2"/>
  <c r="AF1809" i="2" s="1"/>
  <c r="W1810" i="2"/>
  <c r="AF1810" i="2" s="1"/>
  <c r="W1811" i="2"/>
  <c r="AF1811" i="2" s="1"/>
  <c r="W1812" i="2"/>
  <c r="AF1812" i="2" s="1"/>
  <c r="W1813" i="2"/>
  <c r="AF1813" i="2" s="1"/>
  <c r="W1814" i="2"/>
  <c r="AF1814" i="2" s="1"/>
  <c r="W1815" i="2"/>
  <c r="AF1815" i="2" s="1"/>
  <c r="W1816" i="2"/>
  <c r="AF1816" i="2" s="1"/>
  <c r="W1817" i="2"/>
  <c r="AF1817" i="2" s="1"/>
  <c r="W1818" i="2"/>
  <c r="AF1818" i="2" s="1"/>
  <c r="W1819" i="2"/>
  <c r="AF1819" i="2" s="1"/>
  <c r="W1820" i="2"/>
  <c r="AF1820" i="2" s="1"/>
  <c r="W1821" i="2"/>
  <c r="AF1821" i="2" s="1"/>
  <c r="W1822" i="2"/>
  <c r="W1823" i="2"/>
  <c r="W1824" i="2"/>
  <c r="AF1824" i="2" s="1"/>
  <c r="W1825" i="2"/>
  <c r="AF1825" i="2" s="1"/>
  <c r="W1826" i="2"/>
  <c r="AF1826" i="2" s="1"/>
  <c r="W1827" i="2"/>
  <c r="AF1827" i="2" s="1"/>
  <c r="W1828" i="2"/>
  <c r="AF1828" i="2" s="1"/>
  <c r="W1829" i="2"/>
  <c r="AF1829" i="2" s="1"/>
  <c r="W1830" i="2"/>
  <c r="AF1830" i="2" s="1"/>
  <c r="W1831" i="2"/>
  <c r="AF1831" i="2" s="1"/>
  <c r="W1832" i="2"/>
  <c r="AF1832" i="2" s="1"/>
  <c r="W1833" i="2"/>
  <c r="AF1833" i="2" s="1"/>
  <c r="W1834" i="2"/>
  <c r="AF1834" i="2" s="1"/>
  <c r="W1835" i="2"/>
  <c r="AF1835" i="2" s="1"/>
  <c r="W1836" i="2"/>
  <c r="AF1836" i="2" s="1"/>
  <c r="W1837" i="2"/>
  <c r="AF1837" i="2" s="1"/>
  <c r="W1838" i="2"/>
  <c r="AF1838" i="2" s="1"/>
  <c r="W1839" i="2"/>
  <c r="AF1839" i="2" s="1"/>
  <c r="W1840" i="2"/>
  <c r="AF1840" i="2" s="1"/>
  <c r="W1841" i="2"/>
  <c r="AF1841" i="2" s="1"/>
  <c r="W1842" i="2"/>
  <c r="AF1842" i="2" s="1"/>
  <c r="W1843" i="2"/>
  <c r="AF1843" i="2" s="1"/>
  <c r="W1844" i="2"/>
  <c r="AF1844" i="2" s="1"/>
  <c r="W1845" i="2"/>
  <c r="AF1845" i="2" s="1"/>
  <c r="W1846" i="2"/>
  <c r="AF1846" i="2" s="1"/>
  <c r="W1847" i="2"/>
  <c r="AF1847" i="2" s="1"/>
  <c r="W1848" i="2"/>
  <c r="AF1848" i="2" s="1"/>
  <c r="W1849" i="2"/>
  <c r="AF1849" i="2" s="1"/>
  <c r="W1850" i="2"/>
  <c r="AF1850" i="2" s="1"/>
  <c r="W1851" i="2"/>
  <c r="AF1851" i="2" s="1"/>
  <c r="W1852" i="2"/>
  <c r="W1853" i="2"/>
  <c r="W1854" i="2"/>
  <c r="AF1854" i="2" s="1"/>
  <c r="W1855" i="2"/>
  <c r="AF1855" i="2" s="1"/>
  <c r="W1856" i="2"/>
  <c r="AF1856" i="2" s="1"/>
  <c r="W1857" i="2"/>
  <c r="AF1857" i="2" s="1"/>
  <c r="W1858" i="2"/>
  <c r="W1859" i="2"/>
  <c r="W1860" i="2"/>
  <c r="AF1860" i="2" s="1"/>
  <c r="W1861" i="2"/>
  <c r="AF1861" i="2" s="1"/>
  <c r="W1862" i="2"/>
  <c r="AF1862" i="2" s="1"/>
  <c r="W1863" i="2"/>
  <c r="AF1863" i="2" s="1"/>
  <c r="W1864" i="2"/>
  <c r="AF1864" i="2" s="1"/>
  <c r="W1865" i="2"/>
  <c r="AF1865" i="2" s="1"/>
  <c r="W1866" i="2"/>
  <c r="AF1866" i="2" s="1"/>
  <c r="W1867" i="2"/>
  <c r="AF1867" i="2" s="1"/>
  <c r="W1868" i="2"/>
  <c r="AF1868" i="2" s="1"/>
  <c r="W1869" i="2"/>
  <c r="AF1869" i="2" s="1"/>
  <c r="W1870" i="2"/>
  <c r="AF1870" i="2" s="1"/>
  <c r="W1871" i="2"/>
  <c r="AF1871" i="2" s="1"/>
  <c r="W1872" i="2"/>
  <c r="AF1872" i="2" s="1"/>
  <c r="W1873" i="2"/>
  <c r="AF1873" i="2" s="1"/>
  <c r="W1874" i="2"/>
  <c r="W1875" i="2"/>
  <c r="AF1875" i="2" s="1"/>
  <c r="W1876" i="2"/>
  <c r="W1877" i="2"/>
  <c r="AF1877" i="2" s="1"/>
  <c r="W1878" i="2"/>
  <c r="AF1878" i="2" s="1"/>
  <c r="W1879" i="2"/>
  <c r="AF1879" i="2" s="1"/>
  <c r="W1880" i="2"/>
  <c r="AF1880" i="2" s="1"/>
  <c r="W1881" i="2"/>
  <c r="AF1881" i="2" s="1"/>
  <c r="W1882" i="2"/>
  <c r="AF1882" i="2" s="1"/>
  <c r="W1883" i="2"/>
  <c r="AF1883" i="2" s="1"/>
  <c r="W1884" i="2"/>
  <c r="AF1884" i="2" s="1"/>
  <c r="W1885" i="2"/>
  <c r="AF1885" i="2" s="1"/>
  <c r="W1886" i="2"/>
  <c r="AF1886" i="2" s="1"/>
  <c r="W1887" i="2"/>
  <c r="AF1887" i="2" s="1"/>
  <c r="W1888" i="2"/>
  <c r="AF1888" i="2" s="1"/>
  <c r="W1889" i="2"/>
  <c r="AF1889" i="2" s="1"/>
  <c r="W1890" i="2"/>
  <c r="AF1890" i="2" s="1"/>
  <c r="W1891" i="2"/>
  <c r="AF1891" i="2" s="1"/>
  <c r="W1892" i="2"/>
  <c r="AF1892" i="2" s="1"/>
  <c r="W1893" i="2"/>
  <c r="AF1893" i="2" s="1"/>
  <c r="W3" i="2"/>
  <c r="AF3" i="2" s="1"/>
  <c r="W4" i="2"/>
  <c r="AF4" i="2" s="1"/>
  <c r="W5" i="2"/>
  <c r="AF5" i="2" s="1"/>
  <c r="W6" i="2"/>
  <c r="AF6" i="2" s="1"/>
  <c r="W7" i="2"/>
  <c r="AF7" i="2" s="1"/>
  <c r="W8" i="2"/>
  <c r="AF8" i="2" s="1"/>
  <c r="W9" i="2"/>
  <c r="AF9" i="2" s="1"/>
  <c r="W10" i="2"/>
  <c r="AF10" i="2" s="1"/>
  <c r="W11" i="2"/>
  <c r="AF11" i="2" s="1"/>
  <c r="W12" i="2"/>
  <c r="AF12" i="2" s="1"/>
  <c r="W13" i="2"/>
  <c r="AF13" i="2" s="1"/>
  <c r="W14" i="2"/>
  <c r="AF14" i="2" s="1"/>
  <c r="W15" i="2"/>
  <c r="AF15" i="2" s="1"/>
  <c r="W16" i="2"/>
  <c r="AF16" i="2" s="1"/>
  <c r="W17" i="2"/>
  <c r="W18" i="2"/>
  <c r="AF18" i="2" s="1"/>
  <c r="W19" i="2"/>
  <c r="AF19" i="2" s="1"/>
  <c r="W20" i="2"/>
  <c r="AF20" i="2" s="1"/>
  <c r="W21" i="2"/>
  <c r="AF21" i="2" s="1"/>
  <c r="W22" i="2"/>
  <c r="AF22" i="2" s="1"/>
  <c r="W23" i="2"/>
  <c r="AF23" i="2" s="1"/>
  <c r="W24" i="2"/>
  <c r="AF24" i="2" s="1"/>
  <c r="W25" i="2"/>
  <c r="AF25" i="2" s="1"/>
  <c r="W26" i="2"/>
  <c r="AF26" i="2" s="1"/>
  <c r="W27" i="2"/>
  <c r="AF27" i="2" s="1"/>
  <c r="W28" i="2"/>
  <c r="AF28" i="2" s="1"/>
  <c r="W29" i="2"/>
  <c r="AF29" i="2" s="1"/>
  <c r="W30" i="2"/>
  <c r="AF30" i="2" s="1"/>
  <c r="W31" i="2"/>
  <c r="AF31" i="2" s="1"/>
  <c r="W32" i="2"/>
  <c r="W33" i="2"/>
  <c r="AF33" i="2" s="1"/>
  <c r="W34" i="2"/>
  <c r="AF34" i="2" s="1"/>
  <c r="W35" i="2"/>
  <c r="AF35" i="2" s="1"/>
  <c r="W36" i="2"/>
  <c r="AF36" i="2" s="1"/>
  <c r="W37" i="2"/>
  <c r="AF37" i="2" s="1"/>
  <c r="W38" i="2"/>
  <c r="AF38" i="2" s="1"/>
  <c r="W39" i="2"/>
  <c r="AF39" i="2" s="1"/>
  <c r="W40" i="2"/>
  <c r="AF40" i="2" s="1"/>
  <c r="W41" i="2"/>
  <c r="AF41" i="2" s="1"/>
  <c r="W42" i="2"/>
  <c r="AF42" i="2" s="1"/>
  <c r="W43" i="2"/>
  <c r="AF43" i="2" s="1"/>
  <c r="W44" i="2"/>
  <c r="AF44" i="2" s="1"/>
  <c r="W45" i="2"/>
  <c r="AF45" i="2" s="1"/>
  <c r="W46" i="2"/>
  <c r="AF46" i="2" s="1"/>
  <c r="W47" i="2"/>
  <c r="AF47" i="2" s="1"/>
  <c r="W48" i="2"/>
  <c r="AF48" i="2" s="1"/>
  <c r="W49" i="2"/>
  <c r="AF49" i="2" s="1"/>
  <c r="W50" i="2"/>
  <c r="AF50" i="2" s="1"/>
  <c r="W51" i="2"/>
  <c r="AF51" i="2" s="1"/>
  <c r="W52" i="2"/>
  <c r="AF52" i="2" s="1"/>
  <c r="W53" i="2"/>
  <c r="AF53" i="2" s="1"/>
  <c r="W54" i="2"/>
  <c r="AF54" i="2" s="1"/>
  <c r="W55" i="2"/>
  <c r="AF55" i="2" s="1"/>
  <c r="W56" i="2"/>
  <c r="AF56" i="2" s="1"/>
  <c r="W57" i="2"/>
  <c r="AF57" i="2" s="1"/>
  <c r="W58" i="2"/>
  <c r="W59" i="2"/>
  <c r="AF59" i="2" s="1"/>
  <c r="W60" i="2"/>
  <c r="AF60" i="2" s="1"/>
  <c r="W61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7" i="2"/>
  <c r="S18" i="2"/>
  <c r="S19" i="2"/>
  <c r="S20" i="2"/>
  <c r="S21" i="2"/>
  <c r="S22" i="2"/>
  <c r="S23" i="2"/>
  <c r="S24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3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3" i="2"/>
  <c r="L6" i="4" l="1"/>
  <c r="L5" i="4"/>
  <c r="L4" i="4"/>
  <c r="L17" i="3"/>
  <c r="L5" i="3"/>
  <c r="L14" i="3"/>
  <c r="L11" i="3"/>
  <c r="L8" i="3"/>
  <c r="J8" i="3"/>
  <c r="K5" i="3"/>
  <c r="K17" i="3"/>
  <c r="K11" i="3"/>
  <c r="K14" i="3"/>
  <c r="J14" i="3"/>
  <c r="M14" i="3"/>
  <c r="J11" i="3"/>
  <c r="M11" i="3"/>
  <c r="M8" i="3"/>
  <c r="M5" i="3"/>
  <c r="J17" i="3"/>
  <c r="M17" i="3"/>
  <c r="K8" i="3"/>
  <c r="Y1893" i="2"/>
  <c r="Y1881" i="2"/>
  <c r="Y1869" i="2"/>
  <c r="Y1857" i="2"/>
  <c r="Y1845" i="2"/>
  <c r="Y1833" i="2"/>
  <c r="Y1821" i="2"/>
  <c r="Y1809" i="2"/>
  <c r="Y1029" i="2"/>
  <c r="J5" i="3"/>
  <c r="Y1713" i="2"/>
  <c r="Y1581" i="2"/>
  <c r="Y1449" i="2"/>
  <c r="Y1317" i="2"/>
  <c r="Y1185" i="2"/>
  <c r="Y1137" i="2"/>
  <c r="Y1880" i="2"/>
  <c r="Y1748" i="2"/>
  <c r="Y1688" i="2"/>
  <c r="Y1628" i="2"/>
  <c r="Y1544" i="2"/>
  <c r="Y1532" i="2"/>
  <c r="Y1472" i="2"/>
  <c r="Y1460" i="2"/>
  <c r="Y1448" i="2"/>
  <c r="Y1436" i="2"/>
  <c r="Y1424" i="2"/>
  <c r="Y1412" i="2"/>
  <c r="Y1400" i="2"/>
  <c r="Y1388" i="2"/>
  <c r="Y1376" i="2"/>
  <c r="Y1364" i="2"/>
  <c r="Y1352" i="2"/>
  <c r="Y1340" i="2"/>
  <c r="Y1328" i="2"/>
  <c r="Y1316" i="2"/>
  <c r="Y1304" i="2"/>
  <c r="Y1292" i="2"/>
  <c r="Y1280" i="2"/>
  <c r="Y1268" i="2"/>
  <c r="Y1256" i="2"/>
  <c r="Y1244" i="2"/>
  <c r="Y1232" i="2"/>
  <c r="Y1220" i="2"/>
  <c r="Y1208" i="2"/>
  <c r="Y1196" i="2"/>
  <c r="Y1184" i="2"/>
  <c r="Y1172" i="2"/>
  <c r="Y1160" i="2"/>
  <c r="Y1148" i="2"/>
  <c r="Y1136" i="2"/>
  <c r="Y1124" i="2"/>
  <c r="Y1112" i="2"/>
  <c r="Y1100" i="2"/>
  <c r="Y1088" i="2"/>
  <c r="Y1076" i="2"/>
  <c r="Y1064" i="2"/>
  <c r="Y1052" i="2"/>
  <c r="Y1040" i="2"/>
  <c r="Y1028" i="2"/>
  <c r="Y1016" i="2"/>
  <c r="Y1004" i="2"/>
  <c r="Y992" i="2"/>
  <c r="Y980" i="2"/>
  <c r="Y968" i="2"/>
  <c r="Y956" i="2"/>
  <c r="Y944" i="2"/>
  <c r="Y932" i="2"/>
  <c r="Y920" i="2"/>
  <c r="Y908" i="2"/>
  <c r="Y896" i="2"/>
  <c r="Y884" i="2"/>
  <c r="Y872" i="2"/>
  <c r="Y860" i="2"/>
  <c r="Y848" i="2"/>
  <c r="Y836" i="2"/>
  <c r="Y824" i="2"/>
  <c r="Y812" i="2"/>
  <c r="Y800" i="2"/>
  <c r="Y788" i="2"/>
  <c r="Y776" i="2"/>
  <c r="Y764" i="2"/>
  <c r="Y752" i="2"/>
  <c r="Y740" i="2"/>
  <c r="Y728" i="2"/>
  <c r="Y716" i="2"/>
  <c r="Y704" i="2"/>
  <c r="Y692" i="2"/>
  <c r="Y680" i="2"/>
  <c r="Y668" i="2"/>
  <c r="Y656" i="2"/>
  <c r="Y644" i="2"/>
  <c r="Y632" i="2"/>
  <c r="Y620" i="2"/>
  <c r="Y608" i="2"/>
  <c r="Y596" i="2"/>
  <c r="Y584" i="2"/>
  <c r="Y572" i="2"/>
  <c r="Y560" i="2"/>
  <c r="Y548" i="2"/>
  <c r="Y536" i="2"/>
  <c r="Y524" i="2"/>
  <c r="Y512" i="2"/>
  <c r="Y500" i="2"/>
  <c r="Y488" i="2"/>
  <c r="Y476" i="2"/>
  <c r="Y464" i="2"/>
  <c r="Y452" i="2"/>
  <c r="Y440" i="2"/>
  <c r="Y428" i="2"/>
  <c r="Y416" i="2"/>
  <c r="Y404" i="2"/>
  <c r="Y392" i="2"/>
  <c r="Y380" i="2"/>
  <c r="Y368" i="2"/>
  <c r="Y356" i="2"/>
  <c r="Y344" i="2"/>
  <c r="Y332" i="2"/>
  <c r="Y320" i="2"/>
  <c r="Y308" i="2"/>
  <c r="Y296" i="2"/>
  <c r="Y284" i="2"/>
  <c r="Y272" i="2"/>
  <c r="Y260" i="2"/>
  <c r="Y248" i="2"/>
  <c r="Y236" i="2"/>
  <c r="Y224" i="2"/>
  <c r="Y212" i="2"/>
  <c r="Y200" i="2"/>
  <c r="Y188" i="2"/>
  <c r="Y176" i="2"/>
  <c r="Y164" i="2"/>
  <c r="Y152" i="2"/>
  <c r="Y140" i="2"/>
  <c r="Y128" i="2"/>
  <c r="Y116" i="2"/>
  <c r="Y104" i="2"/>
  <c r="Y92" i="2"/>
  <c r="Y80" i="2"/>
  <c r="Y68" i="2"/>
  <c r="Y56" i="2"/>
  <c r="Y44" i="2"/>
  <c r="Y32" i="2"/>
  <c r="Y20" i="2"/>
  <c r="Y8" i="2"/>
  <c r="Y1749" i="2"/>
  <c r="Y1617" i="2"/>
  <c r="Y1485" i="2"/>
  <c r="Y1353" i="2"/>
  <c r="Y1293" i="2"/>
  <c r="Y1149" i="2"/>
  <c r="Y1892" i="2"/>
  <c r="Y1784" i="2"/>
  <c r="Y1700" i="2"/>
  <c r="Y1640" i="2"/>
  <c r="Y1484" i="2"/>
  <c r="Y1891" i="2"/>
  <c r="Y1879" i="2"/>
  <c r="Y1867" i="2"/>
  <c r="Y1855" i="2"/>
  <c r="Y1843" i="2"/>
  <c r="Y1831" i="2"/>
  <c r="Y1819" i="2"/>
  <c r="Y1807" i="2"/>
  <c r="Y1795" i="2"/>
  <c r="Y1783" i="2"/>
  <c r="Y1771" i="2"/>
  <c r="Y1759" i="2"/>
  <c r="Y1747" i="2"/>
  <c r="Y1735" i="2"/>
  <c r="Y1723" i="2"/>
  <c r="Y1711" i="2"/>
  <c r="Y1699" i="2"/>
  <c r="Y1687" i="2"/>
  <c r="Y1675" i="2"/>
  <c r="Y1663" i="2"/>
  <c r="Y1651" i="2"/>
  <c r="Y1639" i="2"/>
  <c r="Y1627" i="2"/>
  <c r="Y1615" i="2"/>
  <c r="Y1603" i="2"/>
  <c r="Y1591" i="2"/>
  <c r="Y1579" i="2"/>
  <c r="Y1567" i="2"/>
  <c r="Y1555" i="2"/>
  <c r="Y1543" i="2"/>
  <c r="Y1531" i="2"/>
  <c r="Y1519" i="2"/>
  <c r="Y1507" i="2"/>
  <c r="Y1495" i="2"/>
  <c r="Y1483" i="2"/>
  <c r="Y1471" i="2"/>
  <c r="Y1459" i="2"/>
  <c r="Y1447" i="2"/>
  <c r="Y1435" i="2"/>
  <c r="Y1423" i="2"/>
  <c r="Y1411" i="2"/>
  <c r="Y1399" i="2"/>
  <c r="Y1387" i="2"/>
  <c r="Y1375" i="2"/>
  <c r="Y1363" i="2"/>
  <c r="Y1351" i="2"/>
  <c r="Y1339" i="2"/>
  <c r="Y1327" i="2"/>
  <c r="Y1315" i="2"/>
  <c r="Y1303" i="2"/>
  <c r="Y1291" i="2"/>
  <c r="Y1279" i="2"/>
  <c r="Y1267" i="2"/>
  <c r="Y1255" i="2"/>
  <c r="Y1243" i="2"/>
  <c r="Y1231" i="2"/>
  <c r="Y1219" i="2"/>
  <c r="Y1207" i="2"/>
  <c r="Y1195" i="2"/>
  <c r="Y1183" i="2"/>
  <c r="Y1171" i="2"/>
  <c r="Y1159" i="2"/>
  <c r="Y1147" i="2"/>
  <c r="Y1135" i="2"/>
  <c r="Y1123" i="2"/>
  <c r="Y1111" i="2"/>
  <c r="Y1099" i="2"/>
  <c r="Y1087" i="2"/>
  <c r="Y1075" i="2"/>
  <c r="Y1063" i="2"/>
  <c r="Y1051" i="2"/>
  <c r="Y1039" i="2"/>
  <c r="Y1027" i="2"/>
  <c r="Y1015" i="2"/>
  <c r="Y1797" i="2"/>
  <c r="Y1641" i="2"/>
  <c r="Y1509" i="2"/>
  <c r="Y1389" i="2"/>
  <c r="Y1221" i="2"/>
  <c r="Y1041" i="2"/>
  <c r="Y1796" i="2"/>
  <c r="Y1712" i="2"/>
  <c r="Y1652" i="2"/>
  <c r="Y1496" i="2"/>
  <c r="Y1890" i="2"/>
  <c r="Y1878" i="2"/>
  <c r="Y1866" i="2"/>
  <c r="Y1854" i="2"/>
  <c r="Y1842" i="2"/>
  <c r="Y1830" i="2"/>
  <c r="Y1818" i="2"/>
  <c r="Y1806" i="2"/>
  <c r="Y1794" i="2"/>
  <c r="Y1782" i="2"/>
  <c r="Y1770" i="2"/>
  <c r="Y1758" i="2"/>
  <c r="Y1746" i="2"/>
  <c r="Y1734" i="2"/>
  <c r="Y1722" i="2"/>
  <c r="Y1710" i="2"/>
  <c r="Y1698" i="2"/>
  <c r="Y1686" i="2"/>
  <c r="Y1674" i="2"/>
  <c r="Y1662" i="2"/>
  <c r="Y1650" i="2"/>
  <c r="Y1638" i="2"/>
  <c r="Y1626" i="2"/>
  <c r="Y1614" i="2"/>
  <c r="Y1602" i="2"/>
  <c r="Y1590" i="2"/>
  <c r="Y1578" i="2"/>
  <c r="Y1566" i="2"/>
  <c r="Y1554" i="2"/>
  <c r="Y1542" i="2"/>
  <c r="Y1530" i="2"/>
  <c r="Y1518" i="2"/>
  <c r="Y1506" i="2"/>
  <c r="Y1494" i="2"/>
  <c r="Y1482" i="2"/>
  <c r="Y1470" i="2"/>
  <c r="Y1458" i="2"/>
  <c r="Y1446" i="2"/>
  <c r="Y1434" i="2"/>
  <c r="Y1422" i="2"/>
  <c r="Y1410" i="2"/>
  <c r="Y1398" i="2"/>
  <c r="Y1386" i="2"/>
  <c r="Y1374" i="2"/>
  <c r="Y1362" i="2"/>
  <c r="Y1350" i="2"/>
  <c r="Y1338" i="2"/>
  <c r="Y1326" i="2"/>
  <c r="Y1314" i="2"/>
  <c r="Y1302" i="2"/>
  <c r="Y1290" i="2"/>
  <c r="Y1278" i="2"/>
  <c r="Y1266" i="2"/>
  <c r="Y1254" i="2"/>
  <c r="Y1242" i="2"/>
  <c r="Y1230" i="2"/>
  <c r="Y1218" i="2"/>
  <c r="Y1206" i="2"/>
  <c r="Y1194" i="2"/>
  <c r="Y1182" i="2"/>
  <c r="Y1170" i="2"/>
  <c r="Y1158" i="2"/>
  <c r="Y1146" i="2"/>
  <c r="Y1134" i="2"/>
  <c r="Y1122" i="2"/>
  <c r="Y1110" i="2"/>
  <c r="Y1098" i="2"/>
  <c r="Y1086" i="2"/>
  <c r="Y1074" i="2"/>
  <c r="Y1062" i="2"/>
  <c r="Y1050" i="2"/>
  <c r="Y1038" i="2"/>
  <c r="Y1026" i="2"/>
  <c r="Y1737" i="2"/>
  <c r="Y1593" i="2"/>
  <c r="Y1461" i="2"/>
  <c r="Y1329" i="2"/>
  <c r="Y1209" i="2"/>
  <c r="Y1113" i="2"/>
  <c r="Y1820" i="2"/>
  <c r="Y1724" i="2"/>
  <c r="Y1664" i="2"/>
  <c r="Y1508" i="2"/>
  <c r="Y1889" i="2"/>
  <c r="Y1877" i="2"/>
  <c r="Y1865" i="2"/>
  <c r="Y1853" i="2"/>
  <c r="Y1841" i="2"/>
  <c r="Y1829" i="2"/>
  <c r="Y1817" i="2"/>
  <c r="Y1805" i="2"/>
  <c r="Y1793" i="2"/>
  <c r="Y1781" i="2"/>
  <c r="Y1769" i="2"/>
  <c r="Y1757" i="2"/>
  <c r="Y1745" i="2"/>
  <c r="Y1733" i="2"/>
  <c r="Y1721" i="2"/>
  <c r="Y1709" i="2"/>
  <c r="Y1697" i="2"/>
  <c r="Y1685" i="2"/>
  <c r="Y1673" i="2"/>
  <c r="Y1661" i="2"/>
  <c r="Y1649" i="2"/>
  <c r="Y1637" i="2"/>
  <c r="Y1625" i="2"/>
  <c r="Y1613" i="2"/>
  <c r="Y1601" i="2"/>
  <c r="Y1589" i="2"/>
  <c r="Y1577" i="2"/>
  <c r="Y1565" i="2"/>
  <c r="Y1553" i="2"/>
  <c r="Y1541" i="2"/>
  <c r="Y1529" i="2"/>
  <c r="Y1517" i="2"/>
  <c r="Y1505" i="2"/>
  <c r="Y1493" i="2"/>
  <c r="Y1481" i="2"/>
  <c r="Y1469" i="2"/>
  <c r="Y1457" i="2"/>
  <c r="Y1445" i="2"/>
  <c r="Y1433" i="2"/>
  <c r="Y1421" i="2"/>
  <c r="Y1409" i="2"/>
  <c r="Y1397" i="2"/>
  <c r="Y1385" i="2"/>
  <c r="Y1373" i="2"/>
  <c r="Y1361" i="2"/>
  <c r="Y1349" i="2"/>
  <c r="Y1337" i="2"/>
  <c r="Y1325" i="2"/>
  <c r="Y1313" i="2"/>
  <c r="Y1301" i="2"/>
  <c r="Y1289" i="2"/>
  <c r="Y1277" i="2"/>
  <c r="Y1265" i="2"/>
  <c r="Y1253" i="2"/>
  <c r="Y1241" i="2"/>
  <c r="Y1229" i="2"/>
  <c r="Y1217" i="2"/>
  <c r="Y1205" i="2"/>
  <c r="Y1193" i="2"/>
  <c r="Y1181" i="2"/>
  <c r="Y1169" i="2"/>
  <c r="Y1157" i="2"/>
  <c r="Y1145" i="2"/>
  <c r="Y1133" i="2"/>
  <c r="Y1121" i="2"/>
  <c r="Y1109" i="2"/>
  <c r="Y1097" i="2"/>
  <c r="Y1085" i="2"/>
  <c r="Y1073" i="2"/>
  <c r="Y1061" i="2"/>
  <c r="Y1049" i="2"/>
  <c r="Y1037" i="2"/>
  <c r="Y1025" i="2"/>
  <c r="Y1013" i="2"/>
  <c r="Y1773" i="2"/>
  <c r="Y1653" i="2"/>
  <c r="Y1521" i="2"/>
  <c r="Y1377" i="2"/>
  <c r="Y1245" i="2"/>
  <c r="Y1077" i="2"/>
  <c r="Y1844" i="2"/>
  <c r="Y1736" i="2"/>
  <c r="Y1676" i="2"/>
  <c r="Y1520" i="2"/>
  <c r="Y1888" i="2"/>
  <c r="Y1876" i="2"/>
  <c r="Y1864" i="2"/>
  <c r="Y1852" i="2"/>
  <c r="Y1840" i="2"/>
  <c r="Y1828" i="2"/>
  <c r="Y1816" i="2"/>
  <c r="Y1804" i="2"/>
  <c r="Y1792" i="2"/>
  <c r="Y1780" i="2"/>
  <c r="Y1768" i="2"/>
  <c r="Y1756" i="2"/>
  <c r="Y1744" i="2"/>
  <c r="Y1732" i="2"/>
  <c r="Y1720" i="2"/>
  <c r="Y1708" i="2"/>
  <c r="Y1696" i="2"/>
  <c r="Y1684" i="2"/>
  <c r="Y1672" i="2"/>
  <c r="Y1660" i="2"/>
  <c r="Y1648" i="2"/>
  <c r="Y1636" i="2"/>
  <c r="Y1624" i="2"/>
  <c r="Y1612" i="2"/>
  <c r="Y1600" i="2"/>
  <c r="Y1588" i="2"/>
  <c r="Y1576" i="2"/>
  <c r="Y1564" i="2"/>
  <c r="Y1552" i="2"/>
  <c r="Y1540" i="2"/>
  <c r="Y1528" i="2"/>
  <c r="Y1516" i="2"/>
  <c r="Y1504" i="2"/>
  <c r="Y1492" i="2"/>
  <c r="Y1480" i="2"/>
  <c r="Y1468" i="2"/>
  <c r="Y1456" i="2"/>
  <c r="Y1444" i="2"/>
  <c r="Y1432" i="2"/>
  <c r="Y1420" i="2"/>
  <c r="Y1408" i="2"/>
  <c r="Y1396" i="2"/>
  <c r="Y1384" i="2"/>
  <c r="Y1372" i="2"/>
  <c r="Y1360" i="2"/>
  <c r="Y1348" i="2"/>
  <c r="Y1336" i="2"/>
  <c r="Y1324" i="2"/>
  <c r="Y1312" i="2"/>
  <c r="Y1300" i="2"/>
  <c r="Y1288" i="2"/>
  <c r="Y1276" i="2"/>
  <c r="Y1264" i="2"/>
  <c r="Y1252" i="2"/>
  <c r="Y1240" i="2"/>
  <c r="Y1228" i="2"/>
  <c r="Y1216" i="2"/>
  <c r="Y1204" i="2"/>
  <c r="Y1192" i="2"/>
  <c r="Y1180" i="2"/>
  <c r="Y1168" i="2"/>
  <c r="Y1156" i="2"/>
  <c r="Y1144" i="2"/>
  <c r="Y1132" i="2"/>
  <c r="Y1120" i="2"/>
  <c r="Y1108" i="2"/>
  <c r="Y1096" i="2"/>
  <c r="Y1084" i="2"/>
  <c r="Y1072" i="2"/>
  <c r="Y1060" i="2"/>
  <c r="Y1048" i="2"/>
  <c r="Y1036" i="2"/>
  <c r="Y1689" i="2"/>
  <c r="Y1545" i="2"/>
  <c r="Y1413" i="2"/>
  <c r="Y1281" i="2"/>
  <c r="Y1053" i="2"/>
  <c r="Y1760" i="2"/>
  <c r="Y1580" i="2"/>
  <c r="Y1887" i="2"/>
  <c r="Y1875" i="2"/>
  <c r="Y1863" i="2"/>
  <c r="Y1851" i="2"/>
  <c r="Y1839" i="2"/>
  <c r="Y1827" i="2"/>
  <c r="Y1815" i="2"/>
  <c r="Y1803" i="2"/>
  <c r="Y1791" i="2"/>
  <c r="Y1779" i="2"/>
  <c r="Y1767" i="2"/>
  <c r="Y1755" i="2"/>
  <c r="Y1743" i="2"/>
  <c r="Y1731" i="2"/>
  <c r="Y1719" i="2"/>
  <c r="Y1707" i="2"/>
  <c r="Y1695" i="2"/>
  <c r="Y1683" i="2"/>
  <c r="Y1671" i="2"/>
  <c r="Y1659" i="2"/>
  <c r="Y1647" i="2"/>
  <c r="Y1635" i="2"/>
  <c r="Y1623" i="2"/>
  <c r="Y1611" i="2"/>
  <c r="Y1599" i="2"/>
  <c r="Y1587" i="2"/>
  <c r="Y1575" i="2"/>
  <c r="Y1563" i="2"/>
  <c r="Y1551" i="2"/>
  <c r="Y1539" i="2"/>
  <c r="Y1527" i="2"/>
  <c r="Y1515" i="2"/>
  <c r="Y1503" i="2"/>
  <c r="Y1491" i="2"/>
  <c r="Y1479" i="2"/>
  <c r="Y1467" i="2"/>
  <c r="Y1455" i="2"/>
  <c r="Y1443" i="2"/>
  <c r="Y1431" i="2"/>
  <c r="Y1419" i="2"/>
  <c r="Y1407" i="2"/>
  <c r="Y1395" i="2"/>
  <c r="Y1383" i="2"/>
  <c r="Y1371" i="2"/>
  <c r="Y1359" i="2"/>
  <c r="Y1347" i="2"/>
  <c r="Y1335" i="2"/>
  <c r="Y1323" i="2"/>
  <c r="Y1311" i="2"/>
  <c r="Y1299" i="2"/>
  <c r="Y1287" i="2"/>
  <c r="Y1275" i="2"/>
  <c r="Y1263" i="2"/>
  <c r="Y1251" i="2"/>
  <c r="Y1239" i="2"/>
  <c r="Y1227" i="2"/>
  <c r="Y1215" i="2"/>
  <c r="Y1203" i="2"/>
  <c r="Y1191" i="2"/>
  <c r="Y1179" i="2"/>
  <c r="Y1167" i="2"/>
  <c r="Y1155" i="2"/>
  <c r="Y1143" i="2"/>
  <c r="Y1131" i="2"/>
  <c r="Y1119" i="2"/>
  <c r="Y1107" i="2"/>
  <c r="Y1095" i="2"/>
  <c r="Y1083" i="2"/>
  <c r="Y1071" i="2"/>
  <c r="Y1059" i="2"/>
  <c r="Y1047" i="2"/>
  <c r="Y1035" i="2"/>
  <c r="Y1023" i="2"/>
  <c r="Y1011" i="2"/>
  <c r="Y999" i="2"/>
  <c r="Y987" i="2"/>
  <c r="Y1701" i="2"/>
  <c r="Y1569" i="2"/>
  <c r="Y1437" i="2"/>
  <c r="Y1305" i="2"/>
  <c r="Y1173" i="2"/>
  <c r="Y1101" i="2"/>
  <c r="Y1868" i="2"/>
  <c r="Y1616" i="2"/>
  <c r="Y1886" i="2"/>
  <c r="Y1874" i="2"/>
  <c r="Y1862" i="2"/>
  <c r="Y1850" i="2"/>
  <c r="Y1838" i="2"/>
  <c r="Y1826" i="2"/>
  <c r="Y1814" i="2"/>
  <c r="Y1802" i="2"/>
  <c r="Y1790" i="2"/>
  <c r="Y1778" i="2"/>
  <c r="Y1766" i="2"/>
  <c r="Y1754" i="2"/>
  <c r="Y1742" i="2"/>
  <c r="Y1730" i="2"/>
  <c r="Y1718" i="2"/>
  <c r="Y1706" i="2"/>
  <c r="Y1694" i="2"/>
  <c r="Y1682" i="2"/>
  <c r="Y1670" i="2"/>
  <c r="Y1658" i="2"/>
  <c r="Y1646" i="2"/>
  <c r="Y1634" i="2"/>
  <c r="Y1622" i="2"/>
  <c r="Y1610" i="2"/>
  <c r="Y1598" i="2"/>
  <c r="Y1586" i="2"/>
  <c r="Y1574" i="2"/>
  <c r="Y1562" i="2"/>
  <c r="Y1550" i="2"/>
  <c r="Y1538" i="2"/>
  <c r="Y1526" i="2"/>
  <c r="Y1514" i="2"/>
  <c r="Y1502" i="2"/>
  <c r="Y1490" i="2"/>
  <c r="Y1478" i="2"/>
  <c r="Y1466" i="2"/>
  <c r="Y1454" i="2"/>
  <c r="Y1442" i="2"/>
  <c r="Y1430" i="2"/>
  <c r="Y1418" i="2"/>
  <c r="Y1406" i="2"/>
  <c r="Y1394" i="2"/>
  <c r="Y1382" i="2"/>
  <c r="Y1370" i="2"/>
  <c r="Y1358" i="2"/>
  <c r="Y1346" i="2"/>
  <c r="Y1334" i="2"/>
  <c r="Y1322" i="2"/>
  <c r="Y1310" i="2"/>
  <c r="Y1298" i="2"/>
  <c r="Y1286" i="2"/>
  <c r="Y1274" i="2"/>
  <c r="Y1262" i="2"/>
  <c r="Y1250" i="2"/>
  <c r="Y1238" i="2"/>
  <c r="Y1226" i="2"/>
  <c r="Y1214" i="2"/>
  <c r="Y1202" i="2"/>
  <c r="Y1190" i="2"/>
  <c r="Y1178" i="2"/>
  <c r="Y1166" i="2"/>
  <c r="Y1154" i="2"/>
  <c r="Y1142" i="2"/>
  <c r="Y1130" i="2"/>
  <c r="Y1118" i="2"/>
  <c r="Y1106" i="2"/>
  <c r="Y1094" i="2"/>
  <c r="Y1082" i="2"/>
  <c r="Y1070" i="2"/>
  <c r="Y1058" i="2"/>
  <c r="Y1677" i="2"/>
  <c r="Y1557" i="2"/>
  <c r="Y1425" i="2"/>
  <c r="Y1269" i="2"/>
  <c r="Y1065" i="2"/>
  <c r="Y1772" i="2"/>
  <c r="Y1568" i="2"/>
  <c r="Y1885" i="2"/>
  <c r="Y1873" i="2"/>
  <c r="Y1861" i="2"/>
  <c r="Y1849" i="2"/>
  <c r="Y1837" i="2"/>
  <c r="Y1825" i="2"/>
  <c r="Y1813" i="2"/>
  <c r="Y1801" i="2"/>
  <c r="Y1789" i="2"/>
  <c r="Y1777" i="2"/>
  <c r="Y1765" i="2"/>
  <c r="Y1753" i="2"/>
  <c r="Y1741" i="2"/>
  <c r="Y1729" i="2"/>
  <c r="Y1717" i="2"/>
  <c r="Y1705" i="2"/>
  <c r="Y1693" i="2"/>
  <c r="Y1681" i="2"/>
  <c r="Y1669" i="2"/>
  <c r="Y1657" i="2"/>
  <c r="Y1645" i="2"/>
  <c r="Y1633" i="2"/>
  <c r="Y1621" i="2"/>
  <c r="Y1609" i="2"/>
  <c r="Y1597" i="2"/>
  <c r="Y1585" i="2"/>
  <c r="Y1573" i="2"/>
  <c r="Y1561" i="2"/>
  <c r="Y1549" i="2"/>
  <c r="Y1537" i="2"/>
  <c r="Y1525" i="2"/>
  <c r="Y1513" i="2"/>
  <c r="Y1501" i="2"/>
  <c r="Y1489" i="2"/>
  <c r="Y1477" i="2"/>
  <c r="Y1465" i="2"/>
  <c r="Y1453" i="2"/>
  <c r="Y1441" i="2"/>
  <c r="Y1429" i="2"/>
  <c r="Y1417" i="2"/>
  <c r="Y1405" i="2"/>
  <c r="Y1393" i="2"/>
  <c r="Y1381" i="2"/>
  <c r="Y1369" i="2"/>
  <c r="Y1357" i="2"/>
  <c r="Y1345" i="2"/>
  <c r="Y1333" i="2"/>
  <c r="Y1321" i="2"/>
  <c r="Y1309" i="2"/>
  <c r="Y1297" i="2"/>
  <c r="Y1285" i="2"/>
  <c r="Y1273" i="2"/>
  <c r="Y1261" i="2"/>
  <c r="Y1249" i="2"/>
  <c r="Y1237" i="2"/>
  <c r="Y1225" i="2"/>
  <c r="Y1213" i="2"/>
  <c r="Y1201" i="2"/>
  <c r="Y1189" i="2"/>
  <c r="Y1177" i="2"/>
  <c r="Y1165" i="2"/>
  <c r="Y1153" i="2"/>
  <c r="Y1141" i="2"/>
  <c r="Y1129" i="2"/>
  <c r="Y1117" i="2"/>
  <c r="Y1105" i="2"/>
  <c r="Y1093" i="2"/>
  <c r="Y1081" i="2"/>
  <c r="Y1069" i="2"/>
  <c r="Y1057" i="2"/>
  <c r="Y1045" i="2"/>
  <c r="Y1033" i="2"/>
  <c r="Y1021" i="2"/>
  <c r="Y1009" i="2"/>
  <c r="Y997" i="2"/>
  <c r="Y985" i="2"/>
  <c r="Y1785" i="2"/>
  <c r="Y1629" i="2"/>
  <c r="Y1497" i="2"/>
  <c r="Y1401" i="2"/>
  <c r="Y1233" i="2"/>
  <c r="Y1161" i="2"/>
  <c r="Y1808" i="2"/>
  <c r="Y1556" i="2"/>
  <c r="Y1884" i="2"/>
  <c r="Y1872" i="2"/>
  <c r="Y1860" i="2"/>
  <c r="Y1848" i="2"/>
  <c r="Y1836" i="2"/>
  <c r="Y1824" i="2"/>
  <c r="Y1812" i="2"/>
  <c r="Y1800" i="2"/>
  <c r="Y1788" i="2"/>
  <c r="Y1776" i="2"/>
  <c r="Y1764" i="2"/>
  <c r="Y1752" i="2"/>
  <c r="Y1740" i="2"/>
  <c r="Y1728" i="2"/>
  <c r="Y1716" i="2"/>
  <c r="Y1704" i="2"/>
  <c r="Y1692" i="2"/>
  <c r="Y1680" i="2"/>
  <c r="Y1668" i="2"/>
  <c r="Y1656" i="2"/>
  <c r="Y1644" i="2"/>
  <c r="Y1632" i="2"/>
  <c r="Y1620" i="2"/>
  <c r="Y1608" i="2"/>
  <c r="Y1596" i="2"/>
  <c r="Y1584" i="2"/>
  <c r="Y1572" i="2"/>
  <c r="Y1560" i="2"/>
  <c r="Y1548" i="2"/>
  <c r="Y1536" i="2"/>
  <c r="Y1524" i="2"/>
  <c r="Y1512" i="2"/>
  <c r="Y1500" i="2"/>
  <c r="Y1488" i="2"/>
  <c r="Y1476" i="2"/>
  <c r="Y1464" i="2"/>
  <c r="Y1452" i="2"/>
  <c r="Y1440" i="2"/>
  <c r="Y1428" i="2"/>
  <c r="Y1416" i="2"/>
  <c r="Y1404" i="2"/>
  <c r="Y1392" i="2"/>
  <c r="Y1380" i="2"/>
  <c r="Y1368" i="2"/>
  <c r="Y1356" i="2"/>
  <c r="Y1344" i="2"/>
  <c r="Y1332" i="2"/>
  <c r="Y1320" i="2"/>
  <c r="Y1308" i="2"/>
  <c r="Y1296" i="2"/>
  <c r="Y1284" i="2"/>
  <c r="Y1272" i="2"/>
  <c r="Y1260" i="2"/>
  <c r="Y1248" i="2"/>
  <c r="Y1236" i="2"/>
  <c r="Y1224" i="2"/>
  <c r="Y1212" i="2"/>
  <c r="Y1200" i="2"/>
  <c r="Y1188" i="2"/>
  <c r="Y1176" i="2"/>
  <c r="Y1164" i="2"/>
  <c r="Y1152" i="2"/>
  <c r="Y1140" i="2"/>
  <c r="Y1128" i="2"/>
  <c r="Y1116" i="2"/>
  <c r="Y1104" i="2"/>
  <c r="Y1092" i="2"/>
  <c r="Y1080" i="2"/>
  <c r="Y1068" i="2"/>
  <c r="Y1056" i="2"/>
  <c r="Y1044" i="2"/>
  <c r="Y1032" i="2"/>
  <c r="Y1020" i="2"/>
  <c r="Y1725" i="2"/>
  <c r="Y1605" i="2"/>
  <c r="Y1473" i="2"/>
  <c r="Y1341" i="2"/>
  <c r="Y1197" i="2"/>
  <c r="Y1125" i="2"/>
  <c r="Y1832" i="2"/>
  <c r="Y1604" i="2"/>
  <c r="Y1883" i="2"/>
  <c r="Y1871" i="2"/>
  <c r="Y1859" i="2"/>
  <c r="Y1847" i="2"/>
  <c r="Y1835" i="2"/>
  <c r="Y1823" i="2"/>
  <c r="Y1811" i="2"/>
  <c r="Y1799" i="2"/>
  <c r="Y1787" i="2"/>
  <c r="Y1775" i="2"/>
  <c r="Y1763" i="2"/>
  <c r="Y1751" i="2"/>
  <c r="Y1739" i="2"/>
  <c r="Y1727" i="2"/>
  <c r="Y1715" i="2"/>
  <c r="Y1703" i="2"/>
  <c r="Y1691" i="2"/>
  <c r="Y1679" i="2"/>
  <c r="Y1667" i="2"/>
  <c r="Y1655" i="2"/>
  <c r="Y1643" i="2"/>
  <c r="Y1631" i="2"/>
  <c r="Y1619" i="2"/>
  <c r="Y1607" i="2"/>
  <c r="Y1595" i="2"/>
  <c r="Y1583" i="2"/>
  <c r="Y1571" i="2"/>
  <c r="Y1559" i="2"/>
  <c r="Y1547" i="2"/>
  <c r="Y1535" i="2"/>
  <c r="Y1523" i="2"/>
  <c r="Y1511" i="2"/>
  <c r="Y1499" i="2"/>
  <c r="Y1487" i="2"/>
  <c r="Y1475" i="2"/>
  <c r="Y1463" i="2"/>
  <c r="Y1451" i="2"/>
  <c r="Y1439" i="2"/>
  <c r="Y1427" i="2"/>
  <c r="Y1415" i="2"/>
  <c r="Y1403" i="2"/>
  <c r="Y1391" i="2"/>
  <c r="Y1379" i="2"/>
  <c r="Y1367" i="2"/>
  <c r="Y1355" i="2"/>
  <c r="Y1343" i="2"/>
  <c r="Y1331" i="2"/>
  <c r="Y1319" i="2"/>
  <c r="Y1307" i="2"/>
  <c r="Y1295" i="2"/>
  <c r="Y1283" i="2"/>
  <c r="Y1271" i="2"/>
  <c r="Y1259" i="2"/>
  <c r="Y1247" i="2"/>
  <c r="Y1235" i="2"/>
  <c r="Y1223" i="2"/>
  <c r="Y1211" i="2"/>
  <c r="Y1199" i="2"/>
  <c r="Y1187" i="2"/>
  <c r="Y1175" i="2"/>
  <c r="Y1163" i="2"/>
  <c r="Y1151" i="2"/>
  <c r="Y1139" i="2"/>
  <c r="Y1127" i="2"/>
  <c r="Y1115" i="2"/>
  <c r="Y1103" i="2"/>
  <c r="Y1091" i="2"/>
  <c r="Y1079" i="2"/>
  <c r="Y1067" i="2"/>
  <c r="Y1055" i="2"/>
  <c r="Y1043" i="2"/>
  <c r="Y1031" i="2"/>
  <c r="Y1019" i="2"/>
  <c r="Y1761" i="2"/>
  <c r="Y1665" i="2"/>
  <c r="Y1533" i="2"/>
  <c r="Y1365" i="2"/>
  <c r="Y1257" i="2"/>
  <c r="Y1089" i="2"/>
  <c r="Y1856" i="2"/>
  <c r="Y1592" i="2"/>
  <c r="Y1882" i="2"/>
  <c r="Y1870" i="2"/>
  <c r="Y1858" i="2"/>
  <c r="Y1846" i="2"/>
  <c r="Y1834" i="2"/>
  <c r="Y1822" i="2"/>
  <c r="Y1810" i="2"/>
  <c r="Y1798" i="2"/>
  <c r="Y1786" i="2"/>
  <c r="Y1774" i="2"/>
  <c r="Y1762" i="2"/>
  <c r="Y1750" i="2"/>
  <c r="Y1738" i="2"/>
  <c r="Y1726" i="2"/>
  <c r="Y1714" i="2"/>
  <c r="Y1702" i="2"/>
  <c r="Y1690" i="2"/>
  <c r="Y1678" i="2"/>
  <c r="Y1666" i="2"/>
  <c r="Y1654" i="2"/>
  <c r="Y1642" i="2"/>
  <c r="Y1630" i="2"/>
  <c r="Y1618" i="2"/>
  <c r="Y1606" i="2"/>
  <c r="Y1594" i="2"/>
  <c r="Y1582" i="2"/>
  <c r="Y1570" i="2"/>
  <c r="Y1558" i="2"/>
  <c r="Y1546" i="2"/>
  <c r="Y1534" i="2"/>
  <c r="Y1522" i="2"/>
  <c r="Y1510" i="2"/>
  <c r="Y1498" i="2"/>
  <c r="Y1486" i="2"/>
  <c r="Y1474" i="2"/>
  <c r="Y1462" i="2"/>
  <c r="Y1450" i="2"/>
  <c r="Y1438" i="2"/>
  <c r="Y1426" i="2"/>
  <c r="Y1414" i="2"/>
  <c r="Y1402" i="2"/>
  <c r="Y1390" i="2"/>
  <c r="Y1378" i="2"/>
  <c r="Y1366" i="2"/>
  <c r="Y1354" i="2"/>
  <c r="Y1342" i="2"/>
  <c r="Y1330" i="2"/>
  <c r="Y1318" i="2"/>
  <c r="Y1306" i="2"/>
  <c r="Y1294" i="2"/>
  <c r="Y1282" i="2"/>
  <c r="Y1270" i="2"/>
  <c r="Y1258" i="2"/>
  <c r="Y1246" i="2"/>
  <c r="Y1234" i="2"/>
  <c r="Y1222" i="2"/>
  <c r="Y1210" i="2"/>
  <c r="Y1198" i="2"/>
  <c r="Y1186" i="2"/>
  <c r="Y1174" i="2"/>
  <c r="Y1162" i="2"/>
  <c r="Y1150" i="2"/>
  <c r="Y1138" i="2"/>
  <c r="Y1126" i="2"/>
  <c r="Y1114" i="2"/>
  <c r="Y1102" i="2"/>
  <c r="Y1090" i="2"/>
  <c r="Y1078" i="2"/>
  <c r="Y1066" i="2"/>
  <c r="Y1054" i="2"/>
  <c r="Y1042" i="2"/>
  <c r="Y1030" i="2"/>
  <c r="Y1017" i="2"/>
  <c r="Y1005" i="2"/>
  <c r="Y993" i="2"/>
  <c r="Y981" i="2"/>
  <c r="Y969" i="2"/>
  <c r="Y957" i="2"/>
  <c r="Y945" i="2"/>
  <c r="Y933" i="2"/>
  <c r="Y921" i="2"/>
  <c r="Y909" i="2"/>
  <c r="Y897" i="2"/>
  <c r="Y885" i="2"/>
  <c r="Y873" i="2"/>
  <c r="Y861" i="2"/>
  <c r="Y849" i="2"/>
  <c r="Y837" i="2"/>
  <c r="Y825" i="2"/>
  <c r="Y813" i="2"/>
  <c r="Y801" i="2"/>
  <c r="Y789" i="2"/>
  <c r="Y777" i="2"/>
  <c r="Y765" i="2"/>
  <c r="Y753" i="2"/>
  <c r="Y741" i="2"/>
  <c r="Y729" i="2"/>
  <c r="Y717" i="2"/>
  <c r="Y705" i="2"/>
  <c r="Y693" i="2"/>
  <c r="Y681" i="2"/>
  <c r="Y669" i="2"/>
  <c r="Y657" i="2"/>
  <c r="Y645" i="2"/>
  <c r="Y633" i="2"/>
  <c r="Y621" i="2"/>
  <c r="Y609" i="2"/>
  <c r="Y597" i="2"/>
  <c r="Y585" i="2"/>
  <c r="Y573" i="2"/>
  <c r="Y561" i="2"/>
  <c r="Y549" i="2"/>
  <c r="Y537" i="2"/>
  <c r="Y525" i="2"/>
  <c r="Y513" i="2"/>
  <c r="Y501" i="2"/>
  <c r="Y489" i="2"/>
  <c r="Y477" i="2"/>
  <c r="Y465" i="2"/>
  <c r="Y453" i="2"/>
  <c r="Y441" i="2"/>
  <c r="Y429" i="2"/>
  <c r="Y417" i="2"/>
  <c r="Y405" i="2"/>
  <c r="Y393" i="2"/>
  <c r="Y381" i="2"/>
  <c r="Y369" i="2"/>
  <c r="Y357" i="2"/>
  <c r="Y345" i="2"/>
  <c r="Y333" i="2"/>
  <c r="Y321" i="2"/>
  <c r="Y309" i="2"/>
  <c r="Y297" i="2"/>
  <c r="Y285" i="2"/>
  <c r="Y273" i="2"/>
  <c r="Y261" i="2"/>
  <c r="Y249" i="2"/>
  <c r="Y237" i="2"/>
  <c r="Y225" i="2"/>
  <c r="Y213" i="2"/>
  <c r="Y201" i="2"/>
  <c r="Y189" i="2"/>
  <c r="Y177" i="2"/>
  <c r="Y165" i="2"/>
  <c r="Y153" i="2"/>
  <c r="Y141" i="2"/>
  <c r="Y129" i="2"/>
  <c r="Y117" i="2"/>
  <c r="Y105" i="2"/>
  <c r="Y93" i="2"/>
  <c r="Y81" i="2"/>
  <c r="Y69" i="2"/>
  <c r="Y57" i="2"/>
  <c r="Y45" i="2"/>
  <c r="Y33" i="2"/>
  <c r="Y21" i="2"/>
  <c r="Y9" i="2"/>
  <c r="Y1003" i="2"/>
  <c r="Y991" i="2"/>
  <c r="Y979" i="2"/>
  <c r="Y967" i="2"/>
  <c r="Y955" i="2"/>
  <c r="Y943" i="2"/>
  <c r="Y931" i="2"/>
  <c r="Y919" i="2"/>
  <c r="Y907" i="2"/>
  <c r="Y895" i="2"/>
  <c r="Y883" i="2"/>
  <c r="Y871" i="2"/>
  <c r="Y859" i="2"/>
  <c r="Y847" i="2"/>
  <c r="Y835" i="2"/>
  <c r="Y823" i="2"/>
  <c r="Y811" i="2"/>
  <c r="Y799" i="2"/>
  <c r="Y787" i="2"/>
  <c r="Y775" i="2"/>
  <c r="Y763" i="2"/>
  <c r="Y751" i="2"/>
  <c r="Y739" i="2"/>
  <c r="Y727" i="2"/>
  <c r="Y715" i="2"/>
  <c r="Y703" i="2"/>
  <c r="Y691" i="2"/>
  <c r="Y679" i="2"/>
  <c r="Y667" i="2"/>
  <c r="Y655" i="2"/>
  <c r="Y643" i="2"/>
  <c r="Y631" i="2"/>
  <c r="Y619" i="2"/>
  <c r="Y607" i="2"/>
  <c r="Y595" i="2"/>
  <c r="Y583" i="2"/>
  <c r="Y571" i="2"/>
  <c r="Y559" i="2"/>
  <c r="Y547" i="2"/>
  <c r="Y535" i="2"/>
  <c r="Y523" i="2"/>
  <c r="Y511" i="2"/>
  <c r="Y499" i="2"/>
  <c r="Y487" i="2"/>
  <c r="Y475" i="2"/>
  <c r="Y463" i="2"/>
  <c r="Y451" i="2"/>
  <c r="Y439" i="2"/>
  <c r="Y427" i="2"/>
  <c r="Y415" i="2"/>
  <c r="Y403" i="2"/>
  <c r="Y391" i="2"/>
  <c r="Y379" i="2"/>
  <c r="Y367" i="2"/>
  <c r="Y355" i="2"/>
  <c r="Y343" i="2"/>
  <c r="Y331" i="2"/>
  <c r="Y319" i="2"/>
  <c r="Y307" i="2"/>
  <c r="Y295" i="2"/>
  <c r="Y283" i="2"/>
  <c r="Y271" i="2"/>
  <c r="Y259" i="2"/>
  <c r="Y247" i="2"/>
  <c r="Y235" i="2"/>
  <c r="Y223" i="2"/>
  <c r="Y211" i="2"/>
  <c r="Y199" i="2"/>
  <c r="Y187" i="2"/>
  <c r="Y175" i="2"/>
  <c r="Y163" i="2"/>
  <c r="Y151" i="2"/>
  <c r="Y139" i="2"/>
  <c r="Y127" i="2"/>
  <c r="Y115" i="2"/>
  <c r="Y103" i="2"/>
  <c r="Y91" i="2"/>
  <c r="Y79" i="2"/>
  <c r="Y67" i="2"/>
  <c r="Y55" i="2"/>
  <c r="Y43" i="2"/>
  <c r="Y31" i="2"/>
  <c r="Y19" i="2"/>
  <c r="Y7" i="2"/>
  <c r="Y1014" i="2"/>
  <c r="Y1002" i="2"/>
  <c r="Y990" i="2"/>
  <c r="Y978" i="2"/>
  <c r="Y966" i="2"/>
  <c r="Y954" i="2"/>
  <c r="Y942" i="2"/>
  <c r="Y930" i="2"/>
  <c r="Y918" i="2"/>
  <c r="Y906" i="2"/>
  <c r="Y894" i="2"/>
  <c r="Y882" i="2"/>
  <c r="Y870" i="2"/>
  <c r="Y858" i="2"/>
  <c r="Y846" i="2"/>
  <c r="Y834" i="2"/>
  <c r="Y822" i="2"/>
  <c r="Y810" i="2"/>
  <c r="Y798" i="2"/>
  <c r="Y786" i="2"/>
  <c r="Y774" i="2"/>
  <c r="Y762" i="2"/>
  <c r="Y750" i="2"/>
  <c r="Y738" i="2"/>
  <c r="Y726" i="2"/>
  <c r="Y714" i="2"/>
  <c r="Y702" i="2"/>
  <c r="Y690" i="2"/>
  <c r="Y678" i="2"/>
  <c r="Y666" i="2"/>
  <c r="Y654" i="2"/>
  <c r="Y642" i="2"/>
  <c r="Y630" i="2"/>
  <c r="Y618" i="2"/>
  <c r="Y606" i="2"/>
  <c r="Y594" i="2"/>
  <c r="Y582" i="2"/>
  <c r="Y570" i="2"/>
  <c r="Y558" i="2"/>
  <c r="Y546" i="2"/>
  <c r="Y534" i="2"/>
  <c r="Y522" i="2"/>
  <c r="Y510" i="2"/>
  <c r="Y498" i="2"/>
  <c r="Y486" i="2"/>
  <c r="Y474" i="2"/>
  <c r="Y462" i="2"/>
  <c r="Y450" i="2"/>
  <c r="Y438" i="2"/>
  <c r="Y426" i="2"/>
  <c r="Y414" i="2"/>
  <c r="Y402" i="2"/>
  <c r="Y390" i="2"/>
  <c r="Y378" i="2"/>
  <c r="Y366" i="2"/>
  <c r="Y354" i="2"/>
  <c r="Y342" i="2"/>
  <c r="Y330" i="2"/>
  <c r="Y318" i="2"/>
  <c r="Y306" i="2"/>
  <c r="Y294" i="2"/>
  <c r="Y282" i="2"/>
  <c r="Y270" i="2"/>
  <c r="Y258" i="2"/>
  <c r="Y246" i="2"/>
  <c r="Y234" i="2"/>
  <c r="Y222" i="2"/>
  <c r="Y210" i="2"/>
  <c r="Y198" i="2"/>
  <c r="Y186" i="2"/>
  <c r="Y174" i="2"/>
  <c r="Y162" i="2"/>
  <c r="Y150" i="2"/>
  <c r="Y138" i="2"/>
  <c r="Y126" i="2"/>
  <c r="Y114" i="2"/>
  <c r="Y102" i="2"/>
  <c r="Y90" i="2"/>
  <c r="Y78" i="2"/>
  <c r="Y66" i="2"/>
  <c r="Y54" i="2"/>
  <c r="Y42" i="2"/>
  <c r="Y30" i="2"/>
  <c r="Y18" i="2"/>
  <c r="Y6" i="2"/>
  <c r="Y1001" i="2"/>
  <c r="Y989" i="2"/>
  <c r="Y977" i="2"/>
  <c r="Y965" i="2"/>
  <c r="Y953" i="2"/>
  <c r="Y941" i="2"/>
  <c r="Y929" i="2"/>
  <c r="Y917" i="2"/>
  <c r="Y905" i="2"/>
  <c r="Y893" i="2"/>
  <c r="Y881" i="2"/>
  <c r="Y869" i="2"/>
  <c r="Y857" i="2"/>
  <c r="Y845" i="2"/>
  <c r="Y833" i="2"/>
  <c r="Y821" i="2"/>
  <c r="Y809" i="2"/>
  <c r="Y797" i="2"/>
  <c r="Y785" i="2"/>
  <c r="Y773" i="2"/>
  <c r="Y761" i="2"/>
  <c r="Y749" i="2"/>
  <c r="Y737" i="2"/>
  <c r="Y725" i="2"/>
  <c r="Y713" i="2"/>
  <c r="Y701" i="2"/>
  <c r="Y689" i="2"/>
  <c r="Y677" i="2"/>
  <c r="Y665" i="2"/>
  <c r="Y653" i="2"/>
  <c r="Y641" i="2"/>
  <c r="Y629" i="2"/>
  <c r="Y617" i="2"/>
  <c r="Y605" i="2"/>
  <c r="Y593" i="2"/>
  <c r="Y581" i="2"/>
  <c r="Y569" i="2"/>
  <c r="Y557" i="2"/>
  <c r="Y545" i="2"/>
  <c r="Y533" i="2"/>
  <c r="Y521" i="2"/>
  <c r="Y509" i="2"/>
  <c r="Y497" i="2"/>
  <c r="Y485" i="2"/>
  <c r="Y473" i="2"/>
  <c r="Y461" i="2"/>
  <c r="Y449" i="2"/>
  <c r="Y437" i="2"/>
  <c r="Y425" i="2"/>
  <c r="Y413" i="2"/>
  <c r="Y401" i="2"/>
  <c r="Y389" i="2"/>
  <c r="Y377" i="2"/>
  <c r="Y365" i="2"/>
  <c r="Y353" i="2"/>
  <c r="Y341" i="2"/>
  <c r="Y329" i="2"/>
  <c r="Y317" i="2"/>
  <c r="Y305" i="2"/>
  <c r="Y293" i="2"/>
  <c r="Y281" i="2"/>
  <c r="Y269" i="2"/>
  <c r="Y257" i="2"/>
  <c r="Y245" i="2"/>
  <c r="Y233" i="2"/>
  <c r="Y221" i="2"/>
  <c r="Y209" i="2"/>
  <c r="Y197" i="2"/>
  <c r="Y185" i="2"/>
  <c r="Y173" i="2"/>
  <c r="Y161" i="2"/>
  <c r="Y149" i="2"/>
  <c r="Y137" i="2"/>
  <c r="Y125" i="2"/>
  <c r="Y113" i="2"/>
  <c r="Y101" i="2"/>
  <c r="Y89" i="2"/>
  <c r="Y77" i="2"/>
  <c r="Y65" i="2"/>
  <c r="Y53" i="2"/>
  <c r="Y41" i="2"/>
  <c r="Y29" i="2"/>
  <c r="Y17" i="2"/>
  <c r="Y5" i="2"/>
  <c r="Y1024" i="2"/>
  <c r="Y1012" i="2"/>
  <c r="Y1000" i="2"/>
  <c r="Y988" i="2"/>
  <c r="Y976" i="2"/>
  <c r="Y964" i="2"/>
  <c r="Y952" i="2"/>
  <c r="Y940" i="2"/>
  <c r="Y928" i="2"/>
  <c r="Y916" i="2"/>
  <c r="Y904" i="2"/>
  <c r="Y892" i="2"/>
  <c r="Y880" i="2"/>
  <c r="Y868" i="2"/>
  <c r="Y856" i="2"/>
  <c r="Y844" i="2"/>
  <c r="Y832" i="2"/>
  <c r="Y820" i="2"/>
  <c r="Y808" i="2"/>
  <c r="Y796" i="2"/>
  <c r="Y784" i="2"/>
  <c r="Y772" i="2"/>
  <c r="Y760" i="2"/>
  <c r="Y748" i="2"/>
  <c r="Y736" i="2"/>
  <c r="Y724" i="2"/>
  <c r="Y712" i="2"/>
  <c r="Y700" i="2"/>
  <c r="Y688" i="2"/>
  <c r="Y676" i="2"/>
  <c r="Y664" i="2"/>
  <c r="Y652" i="2"/>
  <c r="Y640" i="2"/>
  <c r="Y628" i="2"/>
  <c r="Y616" i="2"/>
  <c r="Y604" i="2"/>
  <c r="Y592" i="2"/>
  <c r="Y580" i="2"/>
  <c r="Y568" i="2"/>
  <c r="Y556" i="2"/>
  <c r="Y544" i="2"/>
  <c r="Y532" i="2"/>
  <c r="Y520" i="2"/>
  <c r="Y508" i="2"/>
  <c r="Y496" i="2"/>
  <c r="Y484" i="2"/>
  <c r="Y472" i="2"/>
  <c r="Y460" i="2"/>
  <c r="Y448" i="2"/>
  <c r="Y436" i="2"/>
  <c r="Y424" i="2"/>
  <c r="Y412" i="2"/>
  <c r="Y400" i="2"/>
  <c r="Y388" i="2"/>
  <c r="Y376" i="2"/>
  <c r="Y364" i="2"/>
  <c r="Y352" i="2"/>
  <c r="Y340" i="2"/>
  <c r="Y328" i="2"/>
  <c r="Y316" i="2"/>
  <c r="Y304" i="2"/>
  <c r="Y292" i="2"/>
  <c r="Y280" i="2"/>
  <c r="Y268" i="2"/>
  <c r="Y256" i="2"/>
  <c r="Y244" i="2"/>
  <c r="Y232" i="2"/>
  <c r="Y220" i="2"/>
  <c r="Y208" i="2"/>
  <c r="Y196" i="2"/>
  <c r="Y184" i="2"/>
  <c r="Y172" i="2"/>
  <c r="Y160" i="2"/>
  <c r="Y148" i="2"/>
  <c r="Y136" i="2"/>
  <c r="Y124" i="2"/>
  <c r="Y112" i="2"/>
  <c r="Y100" i="2"/>
  <c r="Y88" i="2"/>
  <c r="Y76" i="2"/>
  <c r="Y64" i="2"/>
  <c r="Y52" i="2"/>
  <c r="Y40" i="2"/>
  <c r="Y28" i="2"/>
  <c r="Y16" i="2"/>
  <c r="Y4" i="2"/>
  <c r="Y975" i="2"/>
  <c r="Y963" i="2"/>
  <c r="Y951" i="2"/>
  <c r="Y939" i="2"/>
  <c r="Y927" i="2"/>
  <c r="Y915" i="2"/>
  <c r="Y903" i="2"/>
  <c r="Y891" i="2"/>
  <c r="Y879" i="2"/>
  <c r="Y867" i="2"/>
  <c r="Y855" i="2"/>
  <c r="Y843" i="2"/>
  <c r="Y831" i="2"/>
  <c r="Y819" i="2"/>
  <c r="Y807" i="2"/>
  <c r="Y795" i="2"/>
  <c r="Y783" i="2"/>
  <c r="Y771" i="2"/>
  <c r="Y759" i="2"/>
  <c r="Y747" i="2"/>
  <c r="Y735" i="2"/>
  <c r="Y723" i="2"/>
  <c r="Y711" i="2"/>
  <c r="Y699" i="2"/>
  <c r="Y687" i="2"/>
  <c r="Y675" i="2"/>
  <c r="Y663" i="2"/>
  <c r="Y651" i="2"/>
  <c r="Y639" i="2"/>
  <c r="Y627" i="2"/>
  <c r="Y615" i="2"/>
  <c r="Y603" i="2"/>
  <c r="Y591" i="2"/>
  <c r="Y579" i="2"/>
  <c r="Y567" i="2"/>
  <c r="Y555" i="2"/>
  <c r="Y543" i="2"/>
  <c r="Y531" i="2"/>
  <c r="Y519" i="2"/>
  <c r="Y507" i="2"/>
  <c r="Y495" i="2"/>
  <c r="Y483" i="2"/>
  <c r="Y471" i="2"/>
  <c r="Y459" i="2"/>
  <c r="Y447" i="2"/>
  <c r="Y435" i="2"/>
  <c r="Y423" i="2"/>
  <c r="Y411" i="2"/>
  <c r="Y399" i="2"/>
  <c r="Y387" i="2"/>
  <c r="Y375" i="2"/>
  <c r="Y363" i="2"/>
  <c r="Y351" i="2"/>
  <c r="Y339" i="2"/>
  <c r="Y327" i="2"/>
  <c r="Y315" i="2"/>
  <c r="Y303" i="2"/>
  <c r="Y291" i="2"/>
  <c r="Y279" i="2"/>
  <c r="Y267" i="2"/>
  <c r="Y255" i="2"/>
  <c r="Y243" i="2"/>
  <c r="Y231" i="2"/>
  <c r="Y219" i="2"/>
  <c r="Y207" i="2"/>
  <c r="Y195" i="2"/>
  <c r="Y183" i="2"/>
  <c r="Y171" i="2"/>
  <c r="Y159" i="2"/>
  <c r="Y147" i="2"/>
  <c r="Y135" i="2"/>
  <c r="Y123" i="2"/>
  <c r="Y111" i="2"/>
  <c r="Y99" i="2"/>
  <c r="Y87" i="2"/>
  <c r="Y75" i="2"/>
  <c r="Y63" i="2"/>
  <c r="Y51" i="2"/>
  <c r="Y39" i="2"/>
  <c r="Y27" i="2"/>
  <c r="Y15" i="2"/>
  <c r="Y1046" i="2"/>
  <c r="Y1034" i="2"/>
  <c r="Y1022" i="2"/>
  <c r="Y1010" i="2"/>
  <c r="Y998" i="2"/>
  <c r="Y986" i="2"/>
  <c r="Y974" i="2"/>
  <c r="Y962" i="2"/>
  <c r="Y950" i="2"/>
  <c r="Y938" i="2"/>
  <c r="Y926" i="2"/>
  <c r="Y914" i="2"/>
  <c r="Y902" i="2"/>
  <c r="Y890" i="2"/>
  <c r="Y878" i="2"/>
  <c r="Y866" i="2"/>
  <c r="Y854" i="2"/>
  <c r="Y842" i="2"/>
  <c r="Y830" i="2"/>
  <c r="Y818" i="2"/>
  <c r="Y806" i="2"/>
  <c r="Y794" i="2"/>
  <c r="Y782" i="2"/>
  <c r="Y770" i="2"/>
  <c r="Y758" i="2"/>
  <c r="Y746" i="2"/>
  <c r="Y734" i="2"/>
  <c r="Y722" i="2"/>
  <c r="Y710" i="2"/>
  <c r="Y698" i="2"/>
  <c r="Y686" i="2"/>
  <c r="Y674" i="2"/>
  <c r="Y662" i="2"/>
  <c r="Y650" i="2"/>
  <c r="Y638" i="2"/>
  <c r="Y626" i="2"/>
  <c r="Y614" i="2"/>
  <c r="Y602" i="2"/>
  <c r="Y590" i="2"/>
  <c r="Y578" i="2"/>
  <c r="Y566" i="2"/>
  <c r="Y554" i="2"/>
  <c r="Y542" i="2"/>
  <c r="Y530" i="2"/>
  <c r="Y518" i="2"/>
  <c r="Y506" i="2"/>
  <c r="Y494" i="2"/>
  <c r="Y482" i="2"/>
  <c r="Y470" i="2"/>
  <c r="Y458" i="2"/>
  <c r="Y446" i="2"/>
  <c r="Y434" i="2"/>
  <c r="Y422" i="2"/>
  <c r="Y410" i="2"/>
  <c r="Y398" i="2"/>
  <c r="Y386" i="2"/>
  <c r="Y374" i="2"/>
  <c r="Y362" i="2"/>
  <c r="Y350" i="2"/>
  <c r="Y338" i="2"/>
  <c r="Y326" i="2"/>
  <c r="Y314" i="2"/>
  <c r="Y302" i="2"/>
  <c r="Y290" i="2"/>
  <c r="Y278" i="2"/>
  <c r="Y266" i="2"/>
  <c r="Y254" i="2"/>
  <c r="Y242" i="2"/>
  <c r="Y230" i="2"/>
  <c r="Y218" i="2"/>
  <c r="Y206" i="2"/>
  <c r="Y194" i="2"/>
  <c r="Y182" i="2"/>
  <c r="Y170" i="2"/>
  <c r="Y158" i="2"/>
  <c r="Y146" i="2"/>
  <c r="Y134" i="2"/>
  <c r="Y122" i="2"/>
  <c r="Y110" i="2"/>
  <c r="Y98" i="2"/>
  <c r="Y86" i="2"/>
  <c r="Y74" i="2"/>
  <c r="Y62" i="2"/>
  <c r="Y50" i="2"/>
  <c r="Y38" i="2"/>
  <c r="Y26" i="2"/>
  <c r="Y14" i="2"/>
  <c r="Y973" i="2"/>
  <c r="Y961" i="2"/>
  <c r="Y949" i="2"/>
  <c r="Y937" i="2"/>
  <c r="Y925" i="2"/>
  <c r="Y913" i="2"/>
  <c r="Y901" i="2"/>
  <c r="Y889" i="2"/>
  <c r="Y877" i="2"/>
  <c r="Y865" i="2"/>
  <c r="Y853" i="2"/>
  <c r="Y841" i="2"/>
  <c r="Y829" i="2"/>
  <c r="Y817" i="2"/>
  <c r="Y805" i="2"/>
  <c r="Y793" i="2"/>
  <c r="Y781" i="2"/>
  <c r="Y769" i="2"/>
  <c r="Y757" i="2"/>
  <c r="Y745" i="2"/>
  <c r="Y733" i="2"/>
  <c r="Y721" i="2"/>
  <c r="Y709" i="2"/>
  <c r="Y697" i="2"/>
  <c r="Y685" i="2"/>
  <c r="Y673" i="2"/>
  <c r="Y661" i="2"/>
  <c r="Y649" i="2"/>
  <c r="Y637" i="2"/>
  <c r="Y625" i="2"/>
  <c r="Y613" i="2"/>
  <c r="Y601" i="2"/>
  <c r="Y589" i="2"/>
  <c r="Y577" i="2"/>
  <c r="Y565" i="2"/>
  <c r="Y553" i="2"/>
  <c r="Y541" i="2"/>
  <c r="Y529" i="2"/>
  <c r="Y517" i="2"/>
  <c r="Y505" i="2"/>
  <c r="Y493" i="2"/>
  <c r="Y481" i="2"/>
  <c r="Y469" i="2"/>
  <c r="Y457" i="2"/>
  <c r="Y445" i="2"/>
  <c r="Y433" i="2"/>
  <c r="Y421" i="2"/>
  <c r="Y409" i="2"/>
  <c r="Y397" i="2"/>
  <c r="Y385" i="2"/>
  <c r="Y373" i="2"/>
  <c r="Y361" i="2"/>
  <c r="Y349" i="2"/>
  <c r="Y337" i="2"/>
  <c r="Y325" i="2"/>
  <c r="Y313" i="2"/>
  <c r="Y301" i="2"/>
  <c r="Y289" i="2"/>
  <c r="Y277" i="2"/>
  <c r="Y265" i="2"/>
  <c r="Y253" i="2"/>
  <c r="Y241" i="2"/>
  <c r="Y229" i="2"/>
  <c r="Y217" i="2"/>
  <c r="Y205" i="2"/>
  <c r="Y193" i="2"/>
  <c r="Y181" i="2"/>
  <c r="Y169" i="2"/>
  <c r="Y157" i="2"/>
  <c r="Y145" i="2"/>
  <c r="Y133" i="2"/>
  <c r="Y121" i="2"/>
  <c r="Y109" i="2"/>
  <c r="Y97" i="2"/>
  <c r="Y85" i="2"/>
  <c r="Y73" i="2"/>
  <c r="Y61" i="2"/>
  <c r="Y49" i="2"/>
  <c r="Y37" i="2"/>
  <c r="Y25" i="2"/>
  <c r="Y13" i="2"/>
  <c r="Y1008" i="2"/>
  <c r="Y996" i="2"/>
  <c r="Y984" i="2"/>
  <c r="Y972" i="2"/>
  <c r="Y960" i="2"/>
  <c r="Y948" i="2"/>
  <c r="Y936" i="2"/>
  <c r="Y924" i="2"/>
  <c r="Y912" i="2"/>
  <c r="Y900" i="2"/>
  <c r="Y888" i="2"/>
  <c r="Y876" i="2"/>
  <c r="Y864" i="2"/>
  <c r="Y852" i="2"/>
  <c r="Y840" i="2"/>
  <c r="Y828" i="2"/>
  <c r="Y816" i="2"/>
  <c r="Y804" i="2"/>
  <c r="Y792" i="2"/>
  <c r="Y780" i="2"/>
  <c r="Y768" i="2"/>
  <c r="Y756" i="2"/>
  <c r="Y744" i="2"/>
  <c r="Y732" i="2"/>
  <c r="Y720" i="2"/>
  <c r="Y708" i="2"/>
  <c r="Y696" i="2"/>
  <c r="Y684" i="2"/>
  <c r="Y672" i="2"/>
  <c r="Y660" i="2"/>
  <c r="Y648" i="2"/>
  <c r="Y636" i="2"/>
  <c r="Y624" i="2"/>
  <c r="Y612" i="2"/>
  <c r="Y600" i="2"/>
  <c r="Y588" i="2"/>
  <c r="Y576" i="2"/>
  <c r="Y564" i="2"/>
  <c r="Y552" i="2"/>
  <c r="Y540" i="2"/>
  <c r="Y528" i="2"/>
  <c r="Y516" i="2"/>
  <c r="Y504" i="2"/>
  <c r="Y492" i="2"/>
  <c r="Y480" i="2"/>
  <c r="Y468" i="2"/>
  <c r="Y456" i="2"/>
  <c r="Y444" i="2"/>
  <c r="Y432" i="2"/>
  <c r="Y420" i="2"/>
  <c r="Y408" i="2"/>
  <c r="Y396" i="2"/>
  <c r="Y384" i="2"/>
  <c r="Y372" i="2"/>
  <c r="Y360" i="2"/>
  <c r="Y348" i="2"/>
  <c r="Y336" i="2"/>
  <c r="Y324" i="2"/>
  <c r="Y312" i="2"/>
  <c r="Y300" i="2"/>
  <c r="Y288" i="2"/>
  <c r="Y276" i="2"/>
  <c r="Y264" i="2"/>
  <c r="Y252" i="2"/>
  <c r="Y240" i="2"/>
  <c r="Y228" i="2"/>
  <c r="Y216" i="2"/>
  <c r="Y204" i="2"/>
  <c r="Y192" i="2"/>
  <c r="Y180" i="2"/>
  <c r="Y168" i="2"/>
  <c r="Y156" i="2"/>
  <c r="Y144" i="2"/>
  <c r="Y132" i="2"/>
  <c r="Y120" i="2"/>
  <c r="Y108" i="2"/>
  <c r="Y96" i="2"/>
  <c r="Y84" i="2"/>
  <c r="Y72" i="2"/>
  <c r="Y60" i="2"/>
  <c r="Y48" i="2"/>
  <c r="Y36" i="2"/>
  <c r="Y24" i="2"/>
  <c r="Y12" i="2"/>
  <c r="Y1007" i="2"/>
  <c r="Y995" i="2"/>
  <c r="Y983" i="2"/>
  <c r="Y971" i="2"/>
  <c r="Y959" i="2"/>
  <c r="Y947" i="2"/>
  <c r="Y935" i="2"/>
  <c r="Y923" i="2"/>
  <c r="Y911" i="2"/>
  <c r="Y899" i="2"/>
  <c r="Y887" i="2"/>
  <c r="Y875" i="2"/>
  <c r="Y863" i="2"/>
  <c r="Y851" i="2"/>
  <c r="Y839" i="2"/>
  <c r="Y827" i="2"/>
  <c r="Y815" i="2"/>
  <c r="Y803" i="2"/>
  <c r="Y791" i="2"/>
  <c r="Y779" i="2"/>
  <c r="Y767" i="2"/>
  <c r="Y755" i="2"/>
  <c r="Y743" i="2"/>
  <c r="Y731" i="2"/>
  <c r="Y719" i="2"/>
  <c r="Y707" i="2"/>
  <c r="Y695" i="2"/>
  <c r="Y683" i="2"/>
  <c r="Y671" i="2"/>
  <c r="Y659" i="2"/>
  <c r="Y647" i="2"/>
  <c r="Y635" i="2"/>
  <c r="Y623" i="2"/>
  <c r="Y611" i="2"/>
  <c r="Y599" i="2"/>
  <c r="Y587" i="2"/>
  <c r="Y575" i="2"/>
  <c r="Y563" i="2"/>
  <c r="Y551" i="2"/>
  <c r="Y539" i="2"/>
  <c r="Y527" i="2"/>
  <c r="Y515" i="2"/>
  <c r="Y503" i="2"/>
  <c r="Y491" i="2"/>
  <c r="Y479" i="2"/>
  <c r="Y467" i="2"/>
  <c r="Y455" i="2"/>
  <c r="Y443" i="2"/>
  <c r="Y431" i="2"/>
  <c r="Y419" i="2"/>
  <c r="Y407" i="2"/>
  <c r="Y395" i="2"/>
  <c r="Y383" i="2"/>
  <c r="Y371" i="2"/>
  <c r="Y359" i="2"/>
  <c r="Y347" i="2"/>
  <c r="Y335" i="2"/>
  <c r="Y323" i="2"/>
  <c r="Y311" i="2"/>
  <c r="Y299" i="2"/>
  <c r="Y287" i="2"/>
  <c r="Y275" i="2"/>
  <c r="Y263" i="2"/>
  <c r="Y251" i="2"/>
  <c r="Y239" i="2"/>
  <c r="Y227" i="2"/>
  <c r="Y215" i="2"/>
  <c r="Y203" i="2"/>
  <c r="Y191" i="2"/>
  <c r="Y179" i="2"/>
  <c r="Y167" i="2"/>
  <c r="Y155" i="2"/>
  <c r="Y143" i="2"/>
  <c r="Y131" i="2"/>
  <c r="Y119" i="2"/>
  <c r="Y107" i="2"/>
  <c r="Y95" i="2"/>
  <c r="Y83" i="2"/>
  <c r="Y71" i="2"/>
  <c r="Y59" i="2"/>
  <c r="Y47" i="2"/>
  <c r="Y35" i="2"/>
  <c r="Y23" i="2"/>
  <c r="Y11" i="2"/>
  <c r="Y1018" i="2"/>
  <c r="Y1006" i="2"/>
  <c r="Y994" i="2"/>
  <c r="Y982" i="2"/>
  <c r="Y970" i="2"/>
  <c r="Y958" i="2"/>
  <c r="Y946" i="2"/>
  <c r="Y934" i="2"/>
  <c r="Y922" i="2"/>
  <c r="Y910" i="2"/>
  <c r="Y898" i="2"/>
  <c r="Y886" i="2"/>
  <c r="Y874" i="2"/>
  <c r="Y862" i="2"/>
  <c r="Y850" i="2"/>
  <c r="Y838" i="2"/>
  <c r="Y826" i="2"/>
  <c r="Y814" i="2"/>
  <c r="Y802" i="2"/>
  <c r="Y790" i="2"/>
  <c r="Y778" i="2"/>
  <c r="Y766" i="2"/>
  <c r="Y754" i="2"/>
  <c r="Y742" i="2"/>
  <c r="Y730" i="2"/>
  <c r="Y718" i="2"/>
  <c r="Y706" i="2"/>
  <c r="Y694" i="2"/>
  <c r="Y682" i="2"/>
  <c r="Y670" i="2"/>
  <c r="Y658" i="2"/>
  <c r="Y646" i="2"/>
  <c r="Y634" i="2"/>
  <c r="Y622" i="2"/>
  <c r="Y610" i="2"/>
  <c r="Y598" i="2"/>
  <c r="Y586" i="2"/>
  <c r="Y574" i="2"/>
  <c r="Y562" i="2"/>
  <c r="Y550" i="2"/>
  <c r="Y538" i="2"/>
  <c r="Y526" i="2"/>
  <c r="Y514" i="2"/>
  <c r="Y502" i="2"/>
  <c r="Y490" i="2"/>
  <c r="Y478" i="2"/>
  <c r="Y466" i="2"/>
  <c r="Y454" i="2"/>
  <c r="Y442" i="2"/>
  <c r="Y430" i="2"/>
  <c r="Y418" i="2"/>
  <c r="Y406" i="2"/>
  <c r="Y394" i="2"/>
  <c r="Y382" i="2"/>
  <c r="Y370" i="2"/>
  <c r="Y358" i="2"/>
  <c r="Y346" i="2"/>
  <c r="Y334" i="2"/>
  <c r="Y322" i="2"/>
  <c r="Y310" i="2"/>
  <c r="Y298" i="2"/>
  <c r="Y286" i="2"/>
  <c r="Y274" i="2"/>
  <c r="Y262" i="2"/>
  <c r="Y250" i="2"/>
  <c r="Y238" i="2"/>
  <c r="Y226" i="2"/>
  <c r="Y214" i="2"/>
  <c r="Y202" i="2"/>
  <c r="Y190" i="2"/>
  <c r="Y178" i="2"/>
  <c r="Y166" i="2"/>
  <c r="Y154" i="2"/>
  <c r="Y142" i="2"/>
  <c r="Y130" i="2"/>
  <c r="Y118" i="2"/>
  <c r="Y106" i="2"/>
  <c r="Y94" i="2"/>
  <c r="Y82" i="2"/>
  <c r="Y70" i="2"/>
  <c r="Y58" i="2"/>
  <c r="Y46" i="2"/>
  <c r="Y34" i="2"/>
  <c r="Y22" i="2"/>
  <c r="Y10" i="2"/>
  <c r="B20" i="3"/>
  <c r="B17" i="3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3" i="2"/>
  <c r="E8" i="3"/>
  <c r="E18" i="3"/>
  <c r="E19" i="3"/>
  <c r="E20" i="3"/>
  <c r="E22" i="3"/>
  <c r="E23" i="3"/>
  <c r="E24" i="3"/>
  <c r="E25" i="3"/>
  <c r="E26" i="3"/>
  <c r="E28" i="3"/>
  <c r="E29" i="3"/>
  <c r="E30" i="3"/>
  <c r="E31" i="3"/>
  <c r="E32" i="3"/>
  <c r="E34" i="3"/>
  <c r="E35" i="3"/>
  <c r="E36" i="3"/>
  <c r="E37" i="3"/>
  <c r="E38" i="3"/>
  <c r="E40" i="3"/>
  <c r="E41" i="3"/>
  <c r="E42" i="3"/>
  <c r="E43" i="3"/>
  <c r="E44" i="3"/>
  <c r="E46" i="3"/>
  <c r="E47" i="3"/>
  <c r="E48" i="3"/>
  <c r="E49" i="3"/>
  <c r="E50" i="3"/>
  <c r="E52" i="3"/>
  <c r="E53" i="3"/>
  <c r="E54" i="3"/>
  <c r="E55" i="3"/>
  <c r="E56" i="3"/>
  <c r="E6" i="3"/>
  <c r="E7" i="3"/>
  <c r="E10" i="3"/>
  <c r="E11" i="3"/>
  <c r="E12" i="3"/>
  <c r="E13" i="3"/>
  <c r="E14" i="3"/>
  <c r="E16" i="3"/>
  <c r="E17" i="3"/>
  <c r="Q7" i="3" l="1"/>
  <c r="Q19" i="3"/>
  <c r="P13" i="3"/>
  <c r="P5" i="3"/>
  <c r="Q20" i="3"/>
  <c r="Q9" i="3"/>
  <c r="Q21" i="3"/>
  <c r="P15" i="3"/>
  <c r="Q4" i="3"/>
  <c r="P18" i="3"/>
  <c r="Q16" i="3"/>
  <c r="Q18" i="3"/>
  <c r="P14" i="3"/>
  <c r="Q10" i="3"/>
  <c r="Q22" i="3"/>
  <c r="P16" i="3"/>
  <c r="P6" i="3"/>
  <c r="P22" i="3"/>
  <c r="Q6" i="3"/>
  <c r="Q11" i="3"/>
  <c r="Q23" i="3"/>
  <c r="P17" i="3"/>
  <c r="Q12" i="3"/>
  <c r="P11" i="3"/>
  <c r="Q8" i="3"/>
  <c r="P23" i="3"/>
  <c r="Q13" i="3"/>
  <c r="P7" i="3"/>
  <c r="P19" i="3"/>
  <c r="P9" i="3"/>
  <c r="P10" i="3"/>
  <c r="P12" i="3"/>
  <c r="Q14" i="3"/>
  <c r="P8" i="3"/>
  <c r="P20" i="3"/>
  <c r="Q15" i="3"/>
  <c r="P21" i="3"/>
  <c r="Q17" i="3"/>
  <c r="Q5" i="3"/>
  <c r="P4" i="3"/>
  <c r="F15" i="3"/>
  <c r="F45" i="3"/>
  <c r="F9" i="3"/>
  <c r="F33" i="3"/>
  <c r="F51" i="3"/>
  <c r="F39" i="3"/>
  <c r="F21" i="3"/>
  <c r="F3" i="3"/>
  <c r="F27" i="3"/>
  <c r="P28" i="3" l="1"/>
  <c r="P29" i="3"/>
  <c r="P30" i="3"/>
  <c r="P31" i="3"/>
  <c r="P32" i="3"/>
  <c r="P33" i="3"/>
  <c r="P34" i="3"/>
  <c r="P35" i="3"/>
  <c r="P27" i="3"/>
  <c r="B14" i="3"/>
  <c r="B11" i="3"/>
  <c r="B23" i="3" l="1"/>
</calcChain>
</file>

<file path=xl/sharedStrings.xml><?xml version="1.0" encoding="utf-8"?>
<sst xmlns="http://schemas.openxmlformats.org/spreadsheetml/2006/main" count="5884" uniqueCount="88">
  <si>
    <t>Номер транзакции</t>
  </si>
  <si>
    <t>Имя</t>
  </si>
  <si>
    <t>Дата</t>
  </si>
  <si>
    <t>Продукт</t>
  </si>
  <si>
    <t>Единицы</t>
  </si>
  <si>
    <t>Сумма</t>
  </si>
  <si>
    <t>Местоположение</t>
  </si>
  <si>
    <t>Бетси</t>
  </si>
  <si>
    <t>Халлаган</t>
  </si>
  <si>
    <t>Эшли</t>
  </si>
  <si>
    <t>Зарет</t>
  </si>
  <si>
    <t>Колин</t>
  </si>
  <si>
    <t>Кристина</t>
  </si>
  <si>
    <t>Эмили</t>
  </si>
  <si>
    <t>Джен</t>
  </si>
  <si>
    <t>Сиси</t>
  </si>
  <si>
    <t>карандаш для глаз</t>
  </si>
  <si>
    <t>блеск для губ</t>
  </si>
  <si>
    <t>тон</t>
  </si>
  <si>
    <t>губная помада</t>
  </si>
  <si>
    <t>тушь</t>
  </si>
  <si>
    <t>юг</t>
  </si>
  <si>
    <t>ср. запад</t>
  </si>
  <si>
    <t>запад</t>
  </si>
  <si>
    <t>восток</t>
  </si>
  <si>
    <t>Общий итог</t>
  </si>
  <si>
    <t>Список всех продавцов данной компании</t>
  </si>
  <si>
    <t>Список всех товаров</t>
  </si>
  <si>
    <t xml:space="preserve">Сумма на которую продал товаров </t>
  </si>
  <si>
    <t>Сумма от сделок за IV квартал 2005 года</t>
  </si>
  <si>
    <t>Проверка на 2005 год</t>
  </si>
  <si>
    <t>Лучший за IV квартал 2005 года</t>
  </si>
  <si>
    <t>Проверка на 2006 год</t>
  </si>
  <si>
    <t>Тюбиков товара продано за 2006</t>
  </si>
  <si>
    <t>Минимум за 2006 год</t>
  </si>
  <si>
    <t>Блеск для губ</t>
  </si>
  <si>
    <t>1 квартал 2004</t>
  </si>
  <si>
    <t>2 квартал 2004</t>
  </si>
  <si>
    <t>3 квартал 2004</t>
  </si>
  <si>
    <t>4 квартал 2004</t>
  </si>
  <si>
    <t>Проверка на 4й квартал 2005 года</t>
  </si>
  <si>
    <t>Проверка на 1й квартал 2004 года</t>
  </si>
  <si>
    <t>Проверка на 2й квартал 2004 года</t>
  </si>
  <si>
    <t>Проверка на 3й квартал 2004 года</t>
  </si>
  <si>
    <t>Проверка на 4й квартал 2004 года</t>
  </si>
  <si>
    <t>Губная помада</t>
  </si>
  <si>
    <t>Карандаш для глаз</t>
  </si>
  <si>
    <t>Тон</t>
  </si>
  <si>
    <t>Тушь</t>
  </si>
  <si>
    <t xml:space="preserve">Объём продаж каждого товара </t>
  </si>
  <si>
    <t>Стоимость единицы товара</t>
  </si>
  <si>
    <t>Самая дорогая продажа (шт)</t>
  </si>
  <si>
    <t xml:space="preserve">Регион самой дорогой продажи </t>
  </si>
  <si>
    <t>Продавец</t>
  </si>
  <si>
    <t>Сумма сделки 2005 года</t>
  </si>
  <si>
    <t>Сумма сделки</t>
  </si>
  <si>
    <t>Ранг</t>
  </si>
  <si>
    <t>20 наиболее прибыльных торговых сделок</t>
  </si>
  <si>
    <t>Ранг сделки 2005 года</t>
  </si>
  <si>
    <t>Продаж на продовца</t>
  </si>
  <si>
    <t>Из 20 ↑</t>
  </si>
  <si>
    <t>Лучший по 20 сделкам 2005</t>
  </si>
  <si>
    <t>Все регионы страны</t>
  </si>
  <si>
    <t>Проверка на нечётные кварталы 2005 года</t>
  </si>
  <si>
    <t>Проверка на чётные кварталы 2005 года</t>
  </si>
  <si>
    <t xml:space="preserve">Количество каждого из проданных товаров </t>
  </si>
  <si>
    <t>продавец</t>
  </si>
  <si>
    <t>Тюбиков</t>
  </si>
  <si>
    <t>Тюбиков в нечётный квартал 2005</t>
  </si>
  <si>
    <t>Тюбиков в чётный квартал 2005 года</t>
  </si>
  <si>
    <t xml:space="preserve">Средние продажи тюбиков в течение нечётных кварталов 2005 года </t>
  </si>
  <si>
    <t>Лучший</t>
  </si>
  <si>
    <t xml:space="preserve">Средние продажи тюбиков в течение чётных кварталов 2005 года </t>
  </si>
  <si>
    <t>Количество возвратов на продавца</t>
  </si>
  <si>
    <t>Возвраты</t>
  </si>
  <si>
    <t>Cамый дешёвый товар</t>
  </si>
  <si>
    <t>товар</t>
  </si>
  <si>
    <t>дата</t>
  </si>
  <si>
    <t>Цены купленных товаров</t>
  </si>
  <si>
    <t>Ранг сделки</t>
  </si>
  <si>
    <t>Прибыльные сделки 2004 года</t>
  </si>
  <si>
    <t>Количество сделок</t>
  </si>
  <si>
    <t>15% сделок</t>
  </si>
  <si>
    <t>Регион</t>
  </si>
  <si>
    <t>Регион лидер в 15% наиболее прибыльных торговых сделках, в течение 2004 года</t>
  </si>
  <si>
    <t>Всего сделок</t>
  </si>
  <si>
    <t>Лидер</t>
  </si>
  <si>
    <t>Рейтинг 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</si>
</sst>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-* #,##0.00\ _₽_-;\-* #,##0.00\ _₽_-;_-* &quot;-&quot;??\ _₽_-;_-@_-"/>
    <numFmt numFmtId="166" formatCode="[$$-409]#,##0.00_ ;\-[$$-409]#,##0.00\ "/>
    <numFmt numFmtId="167" formatCode="[$$-409]#,##0.00"/>
    <numFmt numFmtId="168" formatCode="0.0"/>
  </numFmts>
  <fonts count="7" x14ac:knownFonts="1">
    <font>
      <sz val="10"/>
      <name val="Arial"/>
    </font>
    <font>
      <sz val="10"/>
      <name val="Arial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164" fontId="0" fillId="0" borderId="0" xfId="1" applyFont="1"/>
    <xf numFmtId="1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1" applyNumberFormat="1" applyFont="1" applyBorder="1"/>
    <xf numFmtId="0" fontId="2" fillId="2" borderId="1" xfId="0" applyNumberFormat="1" applyFont="1" applyFill="1" applyBorder="1" applyAlignment="1">
      <alignment horizont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3" fillId="2" borderId="1" xfId="0" applyFont="1" applyFill="1" applyBorder="1" applyAlignment="1">
      <alignment wrapText="1"/>
    </xf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</cellXfs>
  <cellStyles count="2">
    <cellStyle name="Денежный" xfId="1" builtinId="4"/>
    <cellStyle name="Обычный" xfId="0" builtinId="0"/>
  </cellStyles>
  <dxfs count="51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8" tint="0.79998168889431442"/>
        </patternFill>
      </fill>
    </dxf>
    <dxf>
      <alignment vertical="center"/>
    </dxf>
    <dxf>
      <alignment horizontal="center"/>
    </dxf>
    <dxf>
      <font>
        <color theme="0"/>
      </font>
    </dxf>
    <dxf>
      <fill>
        <patternFill patternType="solid">
          <bgColor theme="0"/>
        </patternFill>
      </fill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 patternType="solid">
          <bgColor theme="0"/>
        </patternFill>
      </fill>
    </dxf>
    <dxf>
      <border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auto="1"/>
        </patternFill>
      </fill>
    </dxf>
    <dxf>
      <font>
        <color theme="4" tint="0.79998168889431442"/>
      </font>
    </dxf>
    <dxf>
      <fill>
        <patternFill>
          <bgColor auto="1"/>
        </patternFill>
      </fill>
    </dxf>
    <dxf>
      <font>
        <b/>
        <family val="2"/>
        <charset val="204"/>
      </font>
    </dxf>
    <dxf>
      <fill>
        <patternFill>
          <bgColor theme="4" tint="0.79998168889431442"/>
        </patternFill>
      </fill>
    </dxf>
    <dxf>
      <alignment horizontal="center"/>
    </dxf>
    <dxf>
      <alignment vertical="center"/>
    </dxf>
    <dxf>
      <alignment wrapText="1"/>
    </dxf>
    <dxf>
      <border>
        <bottom style="thin">
          <color indexed="64"/>
        </bottom>
      </border>
    </dxf>
    <dxf>
      <border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color theme="0"/>
      </font>
    </dxf>
    <dxf>
      <fill>
        <patternFill>
          <bgColor theme="0"/>
        </patternFill>
      </fill>
    </dxf>
    <dxf>
      <font>
        <color theme="8" tint="0.7999816888943144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bottom style="thin">
          <color indexed="64"/>
        </bottom>
        <vertical style="thin">
          <color indexed="64"/>
        </vertical>
      </border>
    </dxf>
    <dxf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4" tint="0.79998168889431442"/>
      </font>
    </dxf>
    <dxf>
      <alignment horizontal="center"/>
    </dxf>
    <dxf>
      <alignment vertical="center"/>
    </dxf>
    <dxf>
      <alignment wrapText="1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ita Gordeev" refreshedDate="44549.380713541665" createdVersion="7" refreshedVersion="7" minRefreshableVersion="3" recordCount="1891" xr:uid="{1C19FBBF-691B-4A32-BA6C-F3C701E3E0DD}">
  <cacheSource type="worksheet">
    <worksheetSource ref="H2:N1893" sheet="Данные"/>
  </cacheSource>
  <cacheFields count="7">
    <cacheField name="Номер транзакции" numFmtId="0">
      <sharedItems containsSemiMixedTypes="0" containsString="0" containsNumber="1" containsInteger="1" minValue="1" maxValue="1900"/>
    </cacheField>
    <cacheField name="Имя" numFmtId="0">
      <sharedItems count="9">
        <s v="Бетси"/>
        <s v="Халлаган"/>
        <s v="Эшли"/>
        <s v="Зарет"/>
        <s v="Колин"/>
        <s v="Кристина"/>
        <s v="Эмили"/>
        <s v="Джен"/>
        <s v="Сиси"/>
      </sharedItems>
    </cacheField>
    <cacheField name="Дата" numFmtId="14">
      <sharedItems containsSemiMixedTypes="0" containsNonDate="0" containsDate="1" containsString="0" minDate="2004-01-04T00:00:00" maxDate="2006-12-29T00:00:00"/>
    </cacheField>
    <cacheField name="Продукт" numFmtId="0">
      <sharedItems count="5">
        <s v="блеск для губ"/>
        <s v="тон"/>
        <s v="губная помада"/>
        <s v="карандаш для глаз"/>
        <s v="тушь"/>
      </sharedItems>
    </cacheField>
    <cacheField name="Единицы" numFmtId="1">
      <sharedItems containsSemiMixedTypes="0" containsString="0" containsNumber="1" containsInteger="1" minValue="-10" maxValue="95"/>
    </cacheField>
    <cacheField name="Сумма" numFmtId="164">
      <sharedItems containsSemiMixedTypes="0" containsString="0" containsNumber="1" minValue="-28.888600496770302" maxValue="287.79738255613682"/>
    </cacheField>
    <cacheField name="Местоположение" numFmtId="0">
      <sharedItems count="4">
        <s v="юг"/>
        <s v="ср. запад"/>
        <s v="запад"/>
        <s v="восток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ita Gordeev" refreshedDate="44549.382807638889" createdVersion="7" refreshedVersion="7" minRefreshableVersion="3" recordCount="1890" xr:uid="{15F01269-404C-4A46-B7E8-BB0290C5AAED}">
  <cacheSource type="worksheet">
    <worksheetSource ref="K3:K1893" sheet="Данные"/>
  </cacheSource>
  <cacheFields count="1">
    <cacheField name="блеск для губ" numFmtId="0">
      <sharedItems count="5">
        <s v="тон"/>
        <s v="губная помада"/>
        <s v="блеск для губ"/>
        <s v="карандаш для глаз"/>
        <s v="тушь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1">
  <r>
    <n v="1"/>
    <x v="0"/>
    <d v="2004-04-01T00:00:00"/>
    <x v="0"/>
    <n v="45"/>
    <n v="137.20455832336393"/>
    <x v="0"/>
  </r>
  <r>
    <n v="2"/>
    <x v="1"/>
    <d v="2004-03-10T00:00:00"/>
    <x v="1"/>
    <n v="50"/>
    <n v="152.00730307485438"/>
    <x v="1"/>
  </r>
  <r>
    <n v="3"/>
    <x v="2"/>
    <d v="2005-02-25T00:00:00"/>
    <x v="2"/>
    <n v="9"/>
    <n v="28.719483117139745"/>
    <x v="1"/>
  </r>
  <r>
    <n v="4"/>
    <x v="1"/>
    <d v="2006-05-22T00:00:00"/>
    <x v="0"/>
    <n v="55"/>
    <n v="167.07532251655616"/>
    <x v="2"/>
  </r>
  <r>
    <n v="5"/>
    <x v="3"/>
    <d v="2004-06-17T00:00:00"/>
    <x v="0"/>
    <n v="43"/>
    <n v="130.60287243901442"/>
    <x v="1"/>
  </r>
  <r>
    <n v="6"/>
    <x v="4"/>
    <d v="2005-11-27T00:00:00"/>
    <x v="3"/>
    <n v="58"/>
    <n v="175.99097407072162"/>
    <x v="1"/>
  </r>
  <r>
    <n v="7"/>
    <x v="5"/>
    <d v="2004-03-21T00:00:00"/>
    <x v="3"/>
    <n v="8"/>
    <n v="25.800692176216739"/>
    <x v="1"/>
  </r>
  <r>
    <n v="8"/>
    <x v="4"/>
    <d v="2006-12-17T00:00:00"/>
    <x v="0"/>
    <n v="72"/>
    <n v="217.83965386113226"/>
    <x v="1"/>
  </r>
  <r>
    <n v="9"/>
    <x v="2"/>
    <d v="2006-07-05T00:00:00"/>
    <x v="3"/>
    <n v="75"/>
    <n v="226.64232685518837"/>
    <x v="0"/>
  </r>
  <r>
    <n v="10"/>
    <x v="0"/>
    <d v="2006-08-07T00:00:00"/>
    <x v="0"/>
    <n v="24"/>
    <n v="73.502342173405509"/>
    <x v="3"/>
  </r>
  <r>
    <n v="11"/>
    <x v="2"/>
    <d v="2004-11-29T00:00:00"/>
    <x v="4"/>
    <n v="43"/>
    <n v="130.83536844241408"/>
    <x v="3"/>
  </r>
  <r>
    <n v="12"/>
    <x v="2"/>
    <d v="2004-11-18T00:00:00"/>
    <x v="0"/>
    <n v="23"/>
    <n v="71.034367691096961"/>
    <x v="2"/>
  </r>
  <r>
    <n v="13"/>
    <x v="6"/>
    <d v="2005-08-31T00:00:00"/>
    <x v="0"/>
    <n v="49"/>
    <n v="149.59279694174981"/>
    <x v="2"/>
  </r>
  <r>
    <n v="14"/>
    <x v="1"/>
    <d v="2005-01-01T00:00:00"/>
    <x v="3"/>
    <n v="18"/>
    <n v="56.471999230139573"/>
    <x v="0"/>
  </r>
  <r>
    <n v="15"/>
    <x v="3"/>
    <d v="2006-09-20T00:00:00"/>
    <x v="1"/>
    <n v="-8"/>
    <n v="-21.993044717303864"/>
    <x v="3"/>
  </r>
  <r>
    <n v="16"/>
    <x v="6"/>
    <d v="2004-04-12T00:00:00"/>
    <x v="4"/>
    <n v="45"/>
    <n v="137.39037590916232"/>
    <x v="3"/>
  </r>
  <r>
    <n v="17"/>
    <x v="4"/>
    <d v="2006-04-30T00:00:00"/>
    <x v="4"/>
    <n v="66"/>
    <n v="199.65433473774931"/>
    <x v="0"/>
  </r>
  <r>
    <n v="18"/>
    <x v="7"/>
    <d v="2005-08-31T00:00:00"/>
    <x v="0"/>
    <n v="88"/>
    <n v="265.18755145539586"/>
    <x v="1"/>
  </r>
  <r>
    <n v="19"/>
    <x v="7"/>
    <d v="2004-10-27T00:00:00"/>
    <x v="3"/>
    <n v="78"/>
    <n v="236.14697789113248"/>
    <x v="0"/>
  </r>
  <r>
    <n v="20"/>
    <x v="3"/>
    <d v="2005-11-27T00:00:00"/>
    <x v="0"/>
    <n v="57"/>
    <n v="173.11529461915569"/>
    <x v="1"/>
  </r>
  <r>
    <n v="21"/>
    <x v="3"/>
    <d v="2006-06-02T00:00:00"/>
    <x v="4"/>
    <n v="12"/>
    <n v="38.081435709433634"/>
    <x v="2"/>
  </r>
  <r>
    <n v="22"/>
    <x v="0"/>
    <d v="2004-09-24T00:00:00"/>
    <x v="3"/>
    <n v="28"/>
    <n v="86.512775700642493"/>
    <x v="1"/>
  </r>
  <r>
    <n v="23"/>
    <x v="4"/>
    <d v="2006-02-01T00:00:00"/>
    <x v="4"/>
    <n v="25"/>
    <n v="77.307151643363554"/>
    <x v="1"/>
  </r>
  <r>
    <n v="26"/>
    <x v="6"/>
    <d v="2006-12-06T00:00:00"/>
    <x v="0"/>
    <n v="24"/>
    <n v="74.622434460070465"/>
    <x v="2"/>
  </r>
  <r>
    <n v="27"/>
    <x v="7"/>
    <d v="2004-04-12T00:00:00"/>
    <x v="2"/>
    <n v="38"/>
    <n v="115.98517718889856"/>
    <x v="1"/>
  </r>
  <r>
    <n v="28"/>
    <x v="5"/>
    <d v="2005-09-22T00:00:00"/>
    <x v="1"/>
    <n v="77"/>
    <n v="233.05438870487612"/>
    <x v="1"/>
  </r>
  <r>
    <n v="32"/>
    <x v="5"/>
    <d v="2006-03-28T00:00:00"/>
    <x v="0"/>
    <n v="53"/>
    <n v="161.46395235499537"/>
    <x v="1"/>
  </r>
  <r>
    <n v="33"/>
    <x v="8"/>
    <d v="2004-06-17T00:00:00"/>
    <x v="4"/>
    <n v="41"/>
    <n v="125.2697558819725"/>
    <x v="2"/>
  </r>
  <r>
    <n v="34"/>
    <x v="3"/>
    <d v="2006-09-09T00:00:00"/>
    <x v="4"/>
    <n v="19"/>
    <n v="59.153898700773034"/>
    <x v="2"/>
  </r>
  <r>
    <n v="39"/>
    <x v="8"/>
    <d v="2006-02-23T00:00:00"/>
    <x v="1"/>
    <n v="-9"/>
    <n v="-24.625751249139931"/>
    <x v="2"/>
  </r>
  <r>
    <n v="40"/>
    <x v="1"/>
    <d v="2006-06-24T00:00:00"/>
    <x v="1"/>
    <n v="38"/>
    <n v="115.58433775100286"/>
    <x v="0"/>
  </r>
  <r>
    <n v="41"/>
    <x v="6"/>
    <d v="2004-02-06T00:00:00"/>
    <x v="3"/>
    <n v="25"/>
    <n v="76.562095842195291"/>
    <x v="0"/>
  </r>
  <r>
    <n v="42"/>
    <x v="6"/>
    <d v="2005-04-10T00:00:00"/>
    <x v="4"/>
    <n v="19"/>
    <n v="59.382749361194016"/>
    <x v="1"/>
  </r>
  <r>
    <n v="43"/>
    <x v="0"/>
    <d v="2004-04-01T00:00:00"/>
    <x v="1"/>
    <n v="86"/>
    <n v="259.85996934004856"/>
    <x v="2"/>
  </r>
  <r>
    <n v="44"/>
    <x v="4"/>
    <d v="2004-06-06T00:00:00"/>
    <x v="0"/>
    <n v="55"/>
    <n v="167.11761356978838"/>
    <x v="1"/>
  </r>
  <r>
    <n v="45"/>
    <x v="6"/>
    <d v="2006-09-20T00:00:00"/>
    <x v="0"/>
    <n v="2"/>
    <n v="7.8483600384211831"/>
    <x v="3"/>
  </r>
  <r>
    <n v="46"/>
    <x v="2"/>
    <d v="2005-08-09T00:00:00"/>
    <x v="4"/>
    <n v="93"/>
    <n v="280.68747862762837"/>
    <x v="3"/>
  </r>
  <r>
    <n v="47"/>
    <x v="3"/>
    <d v="2004-09-24T00:00:00"/>
    <x v="3"/>
    <n v="14"/>
    <n v="43.931553656204748"/>
    <x v="2"/>
  </r>
  <r>
    <n v="48"/>
    <x v="6"/>
    <d v="2005-05-24T00:00:00"/>
    <x v="3"/>
    <n v="37"/>
    <n v="113.03491000904664"/>
    <x v="0"/>
  </r>
  <r>
    <n v="49"/>
    <x v="0"/>
    <d v="2004-11-18T00:00:00"/>
    <x v="1"/>
    <n v="63"/>
    <n v="190.69511057123685"/>
    <x v="2"/>
  </r>
  <r>
    <n v="50"/>
    <x v="3"/>
    <d v="2004-11-18T00:00:00"/>
    <x v="0"/>
    <n v="1"/>
    <n v="5.599704779498877"/>
    <x v="2"/>
  </r>
  <r>
    <n v="51"/>
    <x v="3"/>
    <d v="2005-06-15T00:00:00"/>
    <x v="3"/>
    <n v="24"/>
    <n v="73.599272692165783"/>
    <x v="1"/>
  </r>
  <r>
    <n v="52"/>
    <x v="1"/>
    <d v="2004-01-04T00:00:00"/>
    <x v="3"/>
    <n v="83"/>
    <n v="250.33273832124888"/>
    <x v="1"/>
  </r>
  <r>
    <n v="53"/>
    <x v="8"/>
    <d v="2005-07-07T00:00:00"/>
    <x v="3"/>
    <n v="49"/>
    <n v="148.50659729480034"/>
    <x v="1"/>
  </r>
  <r>
    <n v="54"/>
    <x v="5"/>
    <d v="2005-04-10T00:00:00"/>
    <x v="0"/>
    <n v="26"/>
    <n v="80.197912185633001"/>
    <x v="2"/>
  </r>
  <r>
    <n v="55"/>
    <x v="7"/>
    <d v="2006-05-22T00:00:00"/>
    <x v="0"/>
    <n v="35"/>
    <n v="107.99264815962536"/>
    <x v="2"/>
  </r>
  <r>
    <n v="56"/>
    <x v="5"/>
    <d v="2004-04-12T00:00:00"/>
    <x v="0"/>
    <n v="8"/>
    <n v="26.909399775034267"/>
    <x v="0"/>
  </r>
  <r>
    <n v="57"/>
    <x v="8"/>
    <d v="2004-06-28T00:00:00"/>
    <x v="4"/>
    <n v="49"/>
    <n v="148.777847479907"/>
    <x v="1"/>
  </r>
  <r>
    <n v="58"/>
    <x v="5"/>
    <d v="2004-04-12T00:00:00"/>
    <x v="1"/>
    <n v="34"/>
    <n v="104.09375694795658"/>
    <x v="3"/>
  </r>
  <r>
    <n v="59"/>
    <x v="5"/>
    <d v="2005-12-08T00:00:00"/>
    <x v="0"/>
    <n v="8"/>
    <n v="26.236564211223342"/>
    <x v="1"/>
  </r>
  <r>
    <n v="60"/>
    <x v="7"/>
    <d v="2004-10-27T00:00:00"/>
    <x v="4"/>
    <n v="89"/>
    <n v="269.09085017901094"/>
    <x v="3"/>
  </r>
  <r>
    <n v="61"/>
    <x v="4"/>
    <d v="2005-11-16T00:00:00"/>
    <x v="1"/>
    <n v="62"/>
    <n v="189.25415891346557"/>
    <x v="1"/>
  </r>
  <r>
    <n v="62"/>
    <x v="6"/>
    <d v="2004-08-11T00:00:00"/>
    <x v="1"/>
    <n v="23"/>
    <n v="71.313211840267556"/>
    <x v="0"/>
  </r>
  <r>
    <n v="63"/>
    <x v="8"/>
    <d v="2004-06-17T00:00:00"/>
    <x v="3"/>
    <n v="95"/>
    <n v="287.76081692141696"/>
    <x v="1"/>
  </r>
  <r>
    <n v="64"/>
    <x v="6"/>
    <d v="2006-05-11T00:00:00"/>
    <x v="3"/>
    <n v="41"/>
    <n v="125.00018840758105"/>
    <x v="0"/>
  </r>
  <r>
    <n v="65"/>
    <x v="2"/>
    <d v="2005-04-10T00:00:00"/>
    <x v="0"/>
    <n v="-6"/>
    <n v="-15.942861162173479"/>
    <x v="1"/>
  </r>
  <r>
    <n v="66"/>
    <x v="0"/>
    <d v="2005-01-01T00:00:00"/>
    <x v="4"/>
    <n v="84"/>
    <n v="253.99061782802139"/>
    <x v="0"/>
  </r>
  <r>
    <n v="67"/>
    <x v="1"/>
    <d v="2005-11-05T00:00:00"/>
    <x v="1"/>
    <n v="63"/>
    <n v="191.36713896782123"/>
    <x v="0"/>
  </r>
  <r>
    <n v="68"/>
    <x v="3"/>
    <d v="2006-07-16T00:00:00"/>
    <x v="0"/>
    <n v="0"/>
    <n v="2.3682330895483967"/>
    <x v="2"/>
  </r>
  <r>
    <n v="69"/>
    <x v="5"/>
    <d v="2005-01-23T00:00:00"/>
    <x v="3"/>
    <n v="73"/>
    <n v="221.4068752836437"/>
    <x v="3"/>
  </r>
  <r>
    <n v="70"/>
    <x v="6"/>
    <d v="2004-12-21T00:00:00"/>
    <x v="3"/>
    <n v="95"/>
    <n v="287.05320060576679"/>
    <x v="1"/>
  </r>
  <r>
    <n v="71"/>
    <x v="2"/>
    <d v="2005-11-16T00:00:00"/>
    <x v="2"/>
    <n v="93"/>
    <n v="280.76798505156279"/>
    <x v="2"/>
  </r>
  <r>
    <n v="72"/>
    <x v="3"/>
    <d v="2004-06-17T00:00:00"/>
    <x v="2"/>
    <n v="54"/>
    <n v="163.86605406277587"/>
    <x v="0"/>
  </r>
  <r>
    <n v="73"/>
    <x v="5"/>
    <d v="2005-06-26T00:00:00"/>
    <x v="1"/>
    <n v="33"/>
    <n v="101.36706423848841"/>
    <x v="0"/>
  </r>
  <r>
    <n v="74"/>
    <x v="2"/>
    <d v="2004-04-12T00:00:00"/>
    <x v="4"/>
    <n v="48"/>
    <n v="145.83607322448287"/>
    <x v="2"/>
  </r>
  <r>
    <n v="75"/>
    <x v="7"/>
    <d v="2005-01-23T00:00:00"/>
    <x v="3"/>
    <n v="-7"/>
    <n v="-18.531454427544542"/>
    <x v="1"/>
  </r>
  <r>
    <n v="76"/>
    <x v="4"/>
    <d v="2006-03-06T00:00:00"/>
    <x v="1"/>
    <n v="-2"/>
    <n v="-3.941491558920891"/>
    <x v="2"/>
  </r>
  <r>
    <n v="77"/>
    <x v="5"/>
    <d v="2004-01-15T00:00:00"/>
    <x v="4"/>
    <n v="27"/>
    <n v="83.29090970219859"/>
    <x v="3"/>
  </r>
  <r>
    <n v="78"/>
    <x v="6"/>
    <d v="2006-12-17T00:00:00"/>
    <x v="1"/>
    <n v="56"/>
    <n v="170.23780299763459"/>
    <x v="0"/>
  </r>
  <r>
    <n v="79"/>
    <x v="5"/>
    <d v="2005-02-14T00:00:00"/>
    <x v="4"/>
    <n v="70"/>
    <n v="212.29242314468692"/>
    <x v="0"/>
  </r>
  <r>
    <n v="80"/>
    <x v="7"/>
    <d v="2005-03-30T00:00:00"/>
    <x v="4"/>
    <n v="16"/>
    <n v="49.457645878335306"/>
    <x v="2"/>
  </r>
  <r>
    <n v="81"/>
    <x v="7"/>
    <d v="2006-01-10T00:00:00"/>
    <x v="0"/>
    <n v="69"/>
    <n v="208.68512958069783"/>
    <x v="3"/>
  </r>
  <r>
    <n v="82"/>
    <x v="4"/>
    <d v="2005-07-29T00:00:00"/>
    <x v="1"/>
    <n v="67"/>
    <n v="203.01428430380912"/>
    <x v="1"/>
  </r>
  <r>
    <n v="83"/>
    <x v="8"/>
    <d v="2004-11-07T00:00:00"/>
    <x v="1"/>
    <n v="82"/>
    <n v="248.09860782564255"/>
    <x v="2"/>
  </r>
  <r>
    <n v="84"/>
    <x v="2"/>
    <d v="2006-10-01T00:00:00"/>
    <x v="3"/>
    <n v="73"/>
    <n v="221.4762294351379"/>
    <x v="2"/>
  </r>
  <r>
    <n v="85"/>
    <x v="8"/>
    <d v="2004-02-17T00:00:00"/>
    <x v="1"/>
    <n v="80"/>
    <n v="241.26239073863908"/>
    <x v="0"/>
  </r>
  <r>
    <n v="86"/>
    <x v="7"/>
    <d v="2005-08-09T00:00:00"/>
    <x v="3"/>
    <n v="-2"/>
    <n v="-4.2379405606125751"/>
    <x v="3"/>
  </r>
  <r>
    <n v="87"/>
    <x v="6"/>
    <d v="2005-08-31T00:00:00"/>
    <x v="3"/>
    <n v="5"/>
    <n v="17.026058044096466"/>
    <x v="3"/>
  </r>
  <r>
    <n v="88"/>
    <x v="3"/>
    <d v="2005-12-19T00:00:00"/>
    <x v="3"/>
    <n v="26"/>
    <n v="80.296764498097943"/>
    <x v="0"/>
  </r>
  <r>
    <n v="89"/>
    <x v="8"/>
    <d v="2005-03-19T00:00:00"/>
    <x v="1"/>
    <n v="1"/>
    <n v="5.0101440126936883"/>
    <x v="1"/>
  </r>
  <r>
    <n v="90"/>
    <x v="8"/>
    <d v="2006-06-13T00:00:00"/>
    <x v="2"/>
    <n v="-3"/>
    <n v="-7.6150918857367635"/>
    <x v="0"/>
  </r>
  <r>
    <n v="91"/>
    <x v="0"/>
    <d v="2006-08-18T00:00:00"/>
    <x v="3"/>
    <n v="83"/>
    <n v="251.18350564763173"/>
    <x v="0"/>
  </r>
  <r>
    <n v="92"/>
    <x v="7"/>
    <d v="2004-05-26T00:00:00"/>
    <x v="4"/>
    <n v="33"/>
    <n v="100.32795234701418"/>
    <x v="1"/>
  </r>
  <r>
    <n v="93"/>
    <x v="3"/>
    <d v="2004-04-12T00:00:00"/>
    <x v="1"/>
    <n v="62"/>
    <n v="188.06461550204614"/>
    <x v="2"/>
  </r>
  <r>
    <n v="94"/>
    <x v="4"/>
    <d v="2006-05-11T00:00:00"/>
    <x v="3"/>
    <n v="58"/>
    <n v="176.47069512712616"/>
    <x v="1"/>
  </r>
  <r>
    <n v="95"/>
    <x v="6"/>
    <d v="2005-08-20T00:00:00"/>
    <x v="1"/>
    <n v="28"/>
    <n v="85.544260264222203"/>
    <x v="0"/>
  </r>
  <r>
    <n v="96"/>
    <x v="7"/>
    <d v="2006-12-17T00:00:00"/>
    <x v="0"/>
    <n v="33"/>
    <n v="100.68612237181482"/>
    <x v="2"/>
  </r>
  <r>
    <n v="97"/>
    <x v="5"/>
    <d v="2006-11-25T00:00:00"/>
    <x v="1"/>
    <n v="92"/>
    <n v="278.15933854048899"/>
    <x v="0"/>
  </r>
  <r>
    <n v="98"/>
    <x v="7"/>
    <d v="2004-04-12T00:00:00"/>
    <x v="0"/>
    <n v="92"/>
    <n v="277.53974563422275"/>
    <x v="3"/>
  </r>
  <r>
    <n v="99"/>
    <x v="4"/>
    <d v="2006-01-21T00:00:00"/>
    <x v="0"/>
    <n v="75"/>
    <n v="226.73977333901354"/>
    <x v="0"/>
  </r>
  <r>
    <n v="100"/>
    <x v="0"/>
    <d v="2005-10-03T00:00:00"/>
    <x v="3"/>
    <n v="74"/>
    <n v="224.23346975523705"/>
    <x v="2"/>
  </r>
  <r>
    <n v="101"/>
    <x v="3"/>
    <d v="2004-01-15T00:00:00"/>
    <x v="1"/>
    <n v="67"/>
    <n v="202.45009266432331"/>
    <x v="2"/>
  </r>
  <r>
    <n v="102"/>
    <x v="5"/>
    <d v="2004-08-11T00:00:00"/>
    <x v="1"/>
    <n v="16"/>
    <n v="49.450018506623742"/>
    <x v="0"/>
  </r>
  <r>
    <n v="103"/>
    <x v="1"/>
    <d v="2005-05-13T00:00:00"/>
    <x v="1"/>
    <n v="90"/>
    <n v="272.33991590998778"/>
    <x v="2"/>
  </r>
  <r>
    <n v="104"/>
    <x v="7"/>
    <d v="2006-03-17T00:00:00"/>
    <x v="2"/>
    <n v="-8"/>
    <n v="-22.10755433572842"/>
    <x v="2"/>
  </r>
  <r>
    <n v="105"/>
    <x v="5"/>
    <d v="2004-09-13T00:00:00"/>
    <x v="2"/>
    <n v="51"/>
    <n v="155.29818889700317"/>
    <x v="1"/>
  </r>
  <r>
    <n v="106"/>
    <x v="7"/>
    <d v="2005-03-30T00:00:00"/>
    <x v="1"/>
    <n v="-7"/>
    <n v="-19.532896832828285"/>
    <x v="0"/>
  </r>
  <r>
    <n v="107"/>
    <x v="6"/>
    <d v="2004-03-21T00:00:00"/>
    <x v="0"/>
    <n v="9"/>
    <n v="29.277821643264524"/>
    <x v="1"/>
  </r>
  <r>
    <n v="108"/>
    <x v="8"/>
    <d v="2005-08-31T00:00:00"/>
    <x v="0"/>
    <n v="-10"/>
    <n v="-28.406748282006184"/>
    <x v="3"/>
  </r>
  <r>
    <n v="109"/>
    <x v="2"/>
    <d v="2006-07-16T00:00:00"/>
    <x v="1"/>
    <n v="10"/>
    <n v="32.113204788074981"/>
    <x v="0"/>
  </r>
  <r>
    <n v="110"/>
    <x v="2"/>
    <d v="2005-03-08T00:00:00"/>
    <x v="4"/>
    <n v="35"/>
    <n v="107.58710427119863"/>
    <x v="1"/>
  </r>
  <r>
    <n v="111"/>
    <x v="8"/>
    <d v="2004-10-05T00:00:00"/>
    <x v="4"/>
    <n v="81"/>
    <n v="244.46099351680689"/>
    <x v="2"/>
  </r>
  <r>
    <n v="112"/>
    <x v="8"/>
    <d v="2004-11-18T00:00:00"/>
    <x v="4"/>
    <n v="38"/>
    <n v="115.86487308982943"/>
    <x v="0"/>
  </r>
  <r>
    <n v="113"/>
    <x v="6"/>
    <d v="2006-12-06T00:00:00"/>
    <x v="4"/>
    <n v="26"/>
    <n v="80.488645084091601"/>
    <x v="2"/>
  </r>
  <r>
    <n v="114"/>
    <x v="0"/>
    <d v="2005-09-22T00:00:00"/>
    <x v="2"/>
    <n v="77"/>
    <n v="233.33103169462888"/>
    <x v="3"/>
  </r>
  <r>
    <n v="115"/>
    <x v="6"/>
    <d v="2006-01-21T00:00:00"/>
    <x v="1"/>
    <n v="39"/>
    <n v="118.62706142640471"/>
    <x v="0"/>
  </r>
  <r>
    <n v="116"/>
    <x v="3"/>
    <d v="2006-06-24T00:00:00"/>
    <x v="3"/>
    <n v="22"/>
    <n v="68.07066358826728"/>
    <x v="3"/>
  </r>
  <r>
    <n v="117"/>
    <x v="3"/>
    <d v="2006-06-02T00:00:00"/>
    <x v="1"/>
    <n v="68"/>
    <n v="205.76676002797973"/>
    <x v="1"/>
  </r>
  <r>
    <n v="118"/>
    <x v="8"/>
    <d v="2005-05-24T00:00:00"/>
    <x v="1"/>
    <n v="59"/>
    <n v="178.71308198822226"/>
    <x v="1"/>
  </r>
  <r>
    <n v="119"/>
    <x v="4"/>
    <d v="2006-05-22T00:00:00"/>
    <x v="3"/>
    <n v="20"/>
    <n v="62.366566165716954"/>
    <x v="3"/>
  </r>
  <r>
    <n v="120"/>
    <x v="1"/>
    <d v="2005-10-25T00:00:00"/>
    <x v="4"/>
    <n v="61"/>
    <n v="184.56247310465258"/>
    <x v="0"/>
  </r>
  <r>
    <n v="121"/>
    <x v="3"/>
    <d v="2006-03-06T00:00:00"/>
    <x v="1"/>
    <n v="30"/>
    <n v="92.434422469644105"/>
    <x v="0"/>
  </r>
  <r>
    <n v="122"/>
    <x v="7"/>
    <d v="2006-07-27T00:00:00"/>
    <x v="4"/>
    <n v="10"/>
    <n v="32.298727574185413"/>
    <x v="2"/>
  </r>
  <r>
    <n v="123"/>
    <x v="3"/>
    <d v="2006-04-30T00:00:00"/>
    <x v="3"/>
    <n v="72"/>
    <n v="217.45289850686984"/>
    <x v="0"/>
  </r>
  <r>
    <n v="124"/>
    <x v="2"/>
    <d v="2006-01-10T00:00:00"/>
    <x v="3"/>
    <n v="57"/>
    <n v="173.36376703616165"/>
    <x v="2"/>
  </r>
  <r>
    <n v="125"/>
    <x v="1"/>
    <d v="2005-11-16T00:00:00"/>
    <x v="0"/>
    <n v="41"/>
    <n v="124.3880808412182"/>
    <x v="1"/>
  </r>
  <r>
    <n v="126"/>
    <x v="3"/>
    <d v="2004-04-23T00:00:00"/>
    <x v="3"/>
    <n v="54"/>
    <n v="163.7455521062605"/>
    <x v="2"/>
  </r>
  <r>
    <n v="127"/>
    <x v="6"/>
    <d v="2005-07-07T00:00:00"/>
    <x v="2"/>
    <n v="9"/>
    <n v="29.259949674062039"/>
    <x v="1"/>
  </r>
  <r>
    <n v="128"/>
    <x v="8"/>
    <d v="2005-05-13T00:00:00"/>
    <x v="0"/>
    <n v="1"/>
    <n v="5.0062586848309145"/>
    <x v="0"/>
  </r>
  <r>
    <n v="129"/>
    <x v="3"/>
    <d v="2006-02-12T00:00:00"/>
    <x v="4"/>
    <n v="-10"/>
    <n v="-28.888600496770302"/>
    <x v="2"/>
  </r>
  <r>
    <n v="130"/>
    <x v="2"/>
    <d v="2006-11-14T00:00:00"/>
    <x v="1"/>
    <n v="-9"/>
    <n v="-25.059711277411697"/>
    <x v="2"/>
  </r>
  <r>
    <n v="131"/>
    <x v="7"/>
    <d v="2004-11-29T00:00:00"/>
    <x v="4"/>
    <n v="56"/>
    <n v="168.8685012955201"/>
    <x v="3"/>
  </r>
  <r>
    <n v="132"/>
    <x v="8"/>
    <d v="2004-03-21T00:00:00"/>
    <x v="2"/>
    <n v="28"/>
    <n v="85.600623651403808"/>
    <x v="1"/>
  </r>
  <r>
    <n v="133"/>
    <x v="0"/>
    <d v="2004-07-09T00:00:00"/>
    <x v="4"/>
    <n v="11"/>
    <n v="34.417378586902672"/>
    <x v="3"/>
  </r>
  <r>
    <n v="134"/>
    <x v="5"/>
    <d v="2006-12-17T00:00:00"/>
    <x v="0"/>
    <n v="11"/>
    <n v="34.910086692815099"/>
    <x v="0"/>
  </r>
  <r>
    <n v="135"/>
    <x v="5"/>
    <d v="2005-02-14T00:00:00"/>
    <x v="3"/>
    <n v="67"/>
    <n v="202.86608183653496"/>
    <x v="2"/>
  </r>
  <r>
    <n v="136"/>
    <x v="4"/>
    <d v="2005-03-30T00:00:00"/>
    <x v="0"/>
    <n v="10"/>
    <n v="31.43203475838104"/>
    <x v="2"/>
  </r>
  <r>
    <n v="137"/>
    <x v="6"/>
    <d v="2004-10-27T00:00:00"/>
    <x v="1"/>
    <n v="40"/>
    <n v="121.94725640981379"/>
    <x v="2"/>
  </r>
  <r>
    <n v="138"/>
    <x v="4"/>
    <d v="2005-07-07T00:00:00"/>
    <x v="4"/>
    <n v="77"/>
    <n v="233.07983567827679"/>
    <x v="2"/>
  </r>
  <r>
    <n v="139"/>
    <x v="0"/>
    <d v="2005-05-24T00:00:00"/>
    <x v="2"/>
    <n v="50"/>
    <n v="152.04318524136269"/>
    <x v="0"/>
  </r>
  <r>
    <n v="140"/>
    <x v="7"/>
    <d v="2004-06-28T00:00:00"/>
    <x v="3"/>
    <n v="80"/>
    <n v="242.49550041476004"/>
    <x v="3"/>
  </r>
  <r>
    <n v="141"/>
    <x v="7"/>
    <d v="2006-12-28T00:00:00"/>
    <x v="3"/>
    <n v="83"/>
    <n v="250.79460647762514"/>
    <x v="0"/>
  </r>
  <r>
    <n v="142"/>
    <x v="0"/>
    <d v="2006-02-01T00:00:00"/>
    <x v="0"/>
    <n v="-4"/>
    <n v="-9.4996327629453567"/>
    <x v="2"/>
  </r>
  <r>
    <n v="143"/>
    <x v="4"/>
    <d v="2005-02-03T00:00:00"/>
    <x v="1"/>
    <n v="46"/>
    <n v="139.75509706516939"/>
    <x v="0"/>
  </r>
  <r>
    <n v="144"/>
    <x v="2"/>
    <d v="2006-10-23T00:00:00"/>
    <x v="4"/>
    <n v="55"/>
    <n v="167.19317791229159"/>
    <x v="0"/>
  </r>
  <r>
    <n v="145"/>
    <x v="8"/>
    <d v="2004-09-24T00:00:00"/>
    <x v="4"/>
    <n v="89"/>
    <n v="269.40466549843933"/>
    <x v="3"/>
  </r>
  <r>
    <n v="146"/>
    <x v="6"/>
    <d v="2005-07-07T00:00:00"/>
    <x v="3"/>
    <n v="59"/>
    <n v="179.11590007622482"/>
    <x v="2"/>
  </r>
  <r>
    <n v="147"/>
    <x v="6"/>
    <d v="2005-03-08T00:00:00"/>
    <x v="2"/>
    <n v="90"/>
    <n v="271.75315679180818"/>
    <x v="3"/>
  </r>
  <r>
    <n v="148"/>
    <x v="2"/>
    <d v="2006-11-03T00:00:00"/>
    <x v="2"/>
    <n v="17"/>
    <n v="53.665884026524566"/>
    <x v="1"/>
  </r>
  <r>
    <n v="149"/>
    <x v="8"/>
    <d v="2005-03-08T00:00:00"/>
    <x v="2"/>
    <n v="37"/>
    <n v="113.6496958349757"/>
    <x v="3"/>
  </r>
  <r>
    <n v="150"/>
    <x v="5"/>
    <d v="2006-03-17T00:00:00"/>
    <x v="1"/>
    <n v="-4"/>
    <n v="-9.4240327280666669"/>
    <x v="0"/>
  </r>
  <r>
    <n v="151"/>
    <x v="6"/>
    <d v="2005-07-07T00:00:00"/>
    <x v="0"/>
    <n v="-8"/>
    <n v="-22.376386657781136"/>
    <x v="2"/>
  </r>
  <r>
    <n v="152"/>
    <x v="3"/>
    <d v="2004-09-02T00:00:00"/>
    <x v="2"/>
    <n v="6"/>
    <n v="20.32160187847996"/>
    <x v="1"/>
  </r>
  <r>
    <n v="153"/>
    <x v="8"/>
    <d v="2004-10-16T00:00:00"/>
    <x v="2"/>
    <n v="63"/>
    <n v="191.67996095772898"/>
    <x v="2"/>
  </r>
  <r>
    <n v="154"/>
    <x v="7"/>
    <d v="2004-08-11T00:00:00"/>
    <x v="2"/>
    <n v="16"/>
    <n v="49.943726296074821"/>
    <x v="0"/>
  </r>
  <r>
    <n v="155"/>
    <x v="0"/>
    <d v="2005-02-03T00:00:00"/>
    <x v="4"/>
    <n v="22"/>
    <n v="67.814347194557499"/>
    <x v="0"/>
  </r>
  <r>
    <n v="156"/>
    <x v="6"/>
    <d v="2005-12-30T00:00:00"/>
    <x v="1"/>
    <n v="81"/>
    <n v="244.96866878935498"/>
    <x v="2"/>
  </r>
  <r>
    <n v="157"/>
    <x v="6"/>
    <d v="2005-09-11T00:00:00"/>
    <x v="0"/>
    <n v="85"/>
    <n v="256.55696414737832"/>
    <x v="0"/>
  </r>
  <r>
    <n v="158"/>
    <x v="7"/>
    <d v="2004-05-15T00:00:00"/>
    <x v="1"/>
    <n v="-3"/>
    <n v="-7.083148189481113"/>
    <x v="1"/>
  </r>
  <r>
    <n v="159"/>
    <x v="6"/>
    <d v="2005-01-23T00:00:00"/>
    <x v="0"/>
    <n v="51"/>
    <n v="154.48755641985605"/>
    <x v="0"/>
  </r>
  <r>
    <n v="160"/>
    <x v="8"/>
    <d v="2005-01-01T00:00:00"/>
    <x v="0"/>
    <n v="72"/>
    <n v="217.42437258205749"/>
    <x v="0"/>
  </r>
  <r>
    <n v="161"/>
    <x v="5"/>
    <d v="2004-02-17T00:00:00"/>
    <x v="0"/>
    <n v="46"/>
    <n v="139.92999594688814"/>
    <x v="1"/>
  </r>
  <r>
    <n v="162"/>
    <x v="1"/>
    <d v="2005-02-25T00:00:00"/>
    <x v="4"/>
    <n v="-10"/>
    <n v="-27.996195351956981"/>
    <x v="0"/>
  </r>
  <r>
    <n v="163"/>
    <x v="8"/>
    <d v="2005-08-09T00:00:00"/>
    <x v="1"/>
    <n v="-5"/>
    <n v="-12.197238533968166"/>
    <x v="0"/>
  </r>
  <r>
    <n v="164"/>
    <x v="1"/>
    <d v="2006-10-12T00:00:00"/>
    <x v="3"/>
    <n v="16"/>
    <n v="49.917622272183785"/>
    <x v="3"/>
  </r>
  <r>
    <n v="165"/>
    <x v="1"/>
    <d v="2005-12-19T00:00:00"/>
    <x v="1"/>
    <n v="25"/>
    <n v="76.986898914774684"/>
    <x v="3"/>
  </r>
  <r>
    <n v="166"/>
    <x v="6"/>
    <d v="2005-03-30T00:00:00"/>
    <x v="3"/>
    <n v="49"/>
    <n v="148.90711866414762"/>
    <x v="1"/>
  </r>
  <r>
    <n v="167"/>
    <x v="0"/>
    <d v="2004-03-21T00:00:00"/>
    <x v="0"/>
    <n v="21"/>
    <n v="64.326659101878747"/>
    <x v="2"/>
  </r>
  <r>
    <n v="168"/>
    <x v="5"/>
    <d v="2006-05-22T00:00:00"/>
    <x v="0"/>
    <n v="29"/>
    <n v="88.984161458299795"/>
    <x v="0"/>
  </r>
  <r>
    <n v="169"/>
    <x v="2"/>
    <d v="2004-02-17T00:00:00"/>
    <x v="0"/>
    <n v="63"/>
    <n v="191.11407977738014"/>
    <x v="3"/>
  </r>
  <r>
    <n v="170"/>
    <x v="7"/>
    <d v="2006-06-13T00:00:00"/>
    <x v="0"/>
    <n v="21"/>
    <n v="64.602960723055489"/>
    <x v="0"/>
  </r>
  <r>
    <n v="171"/>
    <x v="0"/>
    <d v="2005-10-14T00:00:00"/>
    <x v="1"/>
    <n v="93"/>
    <n v="280.17276926587908"/>
    <x v="2"/>
  </r>
  <r>
    <n v="172"/>
    <x v="4"/>
    <d v="2004-02-28T00:00:00"/>
    <x v="1"/>
    <n v="55"/>
    <n v="167.55415680156585"/>
    <x v="0"/>
  </r>
  <r>
    <n v="173"/>
    <x v="6"/>
    <d v="2006-07-16T00:00:00"/>
    <x v="1"/>
    <n v="14"/>
    <n v="43.897196992459193"/>
    <x v="0"/>
  </r>
  <r>
    <n v="174"/>
    <x v="7"/>
    <d v="2004-03-10T00:00:00"/>
    <x v="2"/>
    <n v="91"/>
    <n v="275.24479602731037"/>
    <x v="0"/>
  </r>
  <r>
    <n v="175"/>
    <x v="6"/>
    <d v="2004-04-23T00:00:00"/>
    <x v="3"/>
    <n v="80"/>
    <n v="242.44859600981886"/>
    <x v="0"/>
  </r>
  <r>
    <n v="176"/>
    <x v="0"/>
    <d v="2005-11-27T00:00:00"/>
    <x v="3"/>
    <n v="70"/>
    <n v="211.755231476809"/>
    <x v="0"/>
  </r>
  <r>
    <n v="177"/>
    <x v="8"/>
    <d v="2004-07-20T00:00:00"/>
    <x v="4"/>
    <n v="54"/>
    <n v="164.30496670412208"/>
    <x v="2"/>
  </r>
  <r>
    <n v="178"/>
    <x v="2"/>
    <d v="2005-12-19T00:00:00"/>
    <x v="4"/>
    <n v="19"/>
    <n v="58.362898336492826"/>
    <x v="3"/>
  </r>
  <r>
    <n v="179"/>
    <x v="1"/>
    <d v="2005-09-22T00:00:00"/>
    <x v="1"/>
    <n v="38"/>
    <n v="115.82878872794043"/>
    <x v="0"/>
  </r>
  <r>
    <n v="180"/>
    <x v="4"/>
    <d v="2004-05-26T00:00:00"/>
    <x v="2"/>
    <n v="60"/>
    <n v="182.02229380076153"/>
    <x v="3"/>
  </r>
  <r>
    <n v="181"/>
    <x v="1"/>
    <d v="2005-10-14T00:00:00"/>
    <x v="2"/>
    <n v="51"/>
    <n v="155.73788458275871"/>
    <x v="1"/>
  </r>
  <r>
    <n v="182"/>
    <x v="2"/>
    <d v="2004-05-04T00:00:00"/>
    <x v="0"/>
    <n v="78"/>
    <n v="236.14223463826744"/>
    <x v="1"/>
  </r>
  <r>
    <n v="183"/>
    <x v="1"/>
    <d v="2004-11-29T00:00:00"/>
    <x v="1"/>
    <n v="17"/>
    <n v="52.469218210599529"/>
    <x v="2"/>
  </r>
  <r>
    <n v="184"/>
    <x v="7"/>
    <d v="2004-08-22T00:00:00"/>
    <x v="3"/>
    <n v="13"/>
    <n v="40.808192712139302"/>
    <x v="1"/>
  </r>
  <r>
    <n v="185"/>
    <x v="6"/>
    <d v="2005-07-07T00:00:00"/>
    <x v="4"/>
    <n v="2"/>
    <n v="8.0360535540736908"/>
    <x v="0"/>
  </r>
  <r>
    <n v="186"/>
    <x v="0"/>
    <d v="2006-11-25T00:00:00"/>
    <x v="4"/>
    <n v="74"/>
    <n v="223.87783259743091"/>
    <x v="3"/>
  </r>
  <r>
    <n v="187"/>
    <x v="4"/>
    <d v="2006-03-17T00:00:00"/>
    <x v="1"/>
    <n v="57"/>
    <n v="172.92421427081234"/>
    <x v="0"/>
  </r>
  <r>
    <n v="188"/>
    <x v="7"/>
    <d v="2004-05-04T00:00:00"/>
    <x v="4"/>
    <n v="79"/>
    <n v="239.34428625432886"/>
    <x v="2"/>
  </r>
  <r>
    <n v="189"/>
    <x v="4"/>
    <d v="2005-06-15T00:00:00"/>
    <x v="1"/>
    <n v="82"/>
    <n v="247.46177448016923"/>
    <x v="2"/>
  </r>
  <r>
    <n v="190"/>
    <x v="8"/>
    <d v="2006-10-01T00:00:00"/>
    <x v="0"/>
    <n v="28"/>
    <n v="85.957225474601458"/>
    <x v="0"/>
  </r>
  <r>
    <n v="191"/>
    <x v="7"/>
    <d v="2004-02-06T00:00:00"/>
    <x v="4"/>
    <n v="63"/>
    <n v="191.0302935038041"/>
    <x v="1"/>
  </r>
  <r>
    <n v="192"/>
    <x v="5"/>
    <d v="2005-10-03T00:00:00"/>
    <x v="1"/>
    <n v="72"/>
    <n v="217.59287860664901"/>
    <x v="2"/>
  </r>
  <r>
    <n v="193"/>
    <x v="5"/>
    <d v="2006-01-10T00:00:00"/>
    <x v="2"/>
    <n v="68"/>
    <n v="205.93270340856287"/>
    <x v="1"/>
  </r>
  <r>
    <n v="194"/>
    <x v="6"/>
    <d v="2006-01-21T00:00:00"/>
    <x v="3"/>
    <n v="8"/>
    <n v="26.138739127477177"/>
    <x v="2"/>
  </r>
  <r>
    <n v="195"/>
    <x v="1"/>
    <d v="2004-12-10T00:00:00"/>
    <x v="2"/>
    <n v="62"/>
    <n v="188.51634230729906"/>
    <x v="1"/>
  </r>
  <r>
    <n v="196"/>
    <x v="7"/>
    <d v="2005-03-19T00:00:00"/>
    <x v="3"/>
    <n v="5"/>
    <n v="16.348427234046856"/>
    <x v="3"/>
  </r>
  <r>
    <n v="197"/>
    <x v="4"/>
    <d v="2004-02-06T00:00:00"/>
    <x v="4"/>
    <n v="-5"/>
    <n v="-12.898061088841523"/>
    <x v="3"/>
  </r>
  <r>
    <n v="198"/>
    <x v="4"/>
    <d v="2006-05-22T00:00:00"/>
    <x v="4"/>
    <n v="-4"/>
    <n v="-9.998213253386103"/>
    <x v="2"/>
  </r>
  <r>
    <n v="199"/>
    <x v="5"/>
    <d v="2006-11-25T00:00:00"/>
    <x v="4"/>
    <n v="81"/>
    <n v="244.68104192003952"/>
    <x v="2"/>
  </r>
  <r>
    <n v="200"/>
    <x v="5"/>
    <d v="2006-03-17T00:00:00"/>
    <x v="3"/>
    <n v="21"/>
    <n v="64.744003374094902"/>
    <x v="0"/>
  </r>
  <r>
    <n v="201"/>
    <x v="8"/>
    <d v="2005-06-26T00:00:00"/>
    <x v="3"/>
    <n v="21"/>
    <n v="64.863192319117914"/>
    <x v="3"/>
  </r>
  <r>
    <n v="202"/>
    <x v="1"/>
    <d v="2005-12-30T00:00:00"/>
    <x v="1"/>
    <n v="-3"/>
    <n v="-7.154085897104931"/>
    <x v="0"/>
  </r>
  <r>
    <n v="203"/>
    <x v="8"/>
    <d v="2006-12-28T00:00:00"/>
    <x v="0"/>
    <n v="57"/>
    <n v="173.64445114790863"/>
    <x v="2"/>
  </r>
  <r>
    <n v="204"/>
    <x v="8"/>
    <d v="2006-08-18T00:00:00"/>
    <x v="0"/>
    <n v="86"/>
    <n v="259.30970727563493"/>
    <x v="2"/>
  </r>
  <r>
    <n v="205"/>
    <x v="7"/>
    <d v="2006-04-19T00:00:00"/>
    <x v="1"/>
    <n v="14"/>
    <n v="44.139016120906668"/>
    <x v="2"/>
  </r>
  <r>
    <n v="206"/>
    <x v="1"/>
    <d v="2006-12-06T00:00:00"/>
    <x v="2"/>
    <n v="20"/>
    <n v="61.955881135465603"/>
    <x v="1"/>
  </r>
  <r>
    <n v="207"/>
    <x v="4"/>
    <d v="2004-02-06T00:00:00"/>
    <x v="4"/>
    <n v="60"/>
    <n v="181.93942640636905"/>
    <x v="3"/>
  </r>
  <r>
    <n v="208"/>
    <x v="7"/>
    <d v="2006-07-05T00:00:00"/>
    <x v="3"/>
    <n v="45"/>
    <n v="137.15507832075065"/>
    <x v="2"/>
  </r>
  <r>
    <n v="209"/>
    <x v="7"/>
    <d v="2004-04-01T00:00:00"/>
    <x v="3"/>
    <n v="7"/>
    <n v="22.99759982335349"/>
    <x v="1"/>
  </r>
  <r>
    <n v="210"/>
    <x v="0"/>
    <d v="2006-03-06T00:00:00"/>
    <x v="0"/>
    <n v="-6"/>
    <n v="-16.334472666280842"/>
    <x v="1"/>
  </r>
  <r>
    <n v="211"/>
    <x v="7"/>
    <d v="2006-04-30T00:00:00"/>
    <x v="0"/>
    <n v="35"/>
    <n v="106.89982221762149"/>
    <x v="0"/>
  </r>
  <r>
    <n v="212"/>
    <x v="4"/>
    <d v="2006-05-11T00:00:00"/>
    <x v="1"/>
    <n v="31"/>
    <n v="95.13200096066403"/>
    <x v="3"/>
  </r>
  <r>
    <n v="213"/>
    <x v="7"/>
    <d v="2005-11-16T00:00:00"/>
    <x v="0"/>
    <n v="19"/>
    <n v="59.075740928551383"/>
    <x v="2"/>
  </r>
  <r>
    <n v="214"/>
    <x v="3"/>
    <d v="2006-02-12T00:00:00"/>
    <x v="3"/>
    <n v="35"/>
    <n v="106.64339916643026"/>
    <x v="2"/>
  </r>
  <r>
    <n v="215"/>
    <x v="0"/>
    <d v="2005-01-01T00:00:00"/>
    <x v="2"/>
    <n v="51"/>
    <n v="154.59771582934854"/>
    <x v="3"/>
  </r>
  <r>
    <n v="216"/>
    <x v="1"/>
    <d v="2006-02-23T00:00:00"/>
    <x v="4"/>
    <n v="1"/>
    <n v="5.3867139626812968"/>
    <x v="3"/>
  </r>
  <r>
    <n v="217"/>
    <x v="8"/>
    <d v="2004-09-24T00:00:00"/>
    <x v="1"/>
    <n v="67"/>
    <n v="203.35912709646638"/>
    <x v="1"/>
  </r>
  <r>
    <n v="218"/>
    <x v="8"/>
    <d v="2005-03-30T00:00:00"/>
    <x v="4"/>
    <n v="23"/>
    <n v="71.412597536524615"/>
    <x v="1"/>
  </r>
  <r>
    <n v="219"/>
    <x v="4"/>
    <d v="2005-02-03T00:00:00"/>
    <x v="1"/>
    <n v="41"/>
    <n v="125.23475441561757"/>
    <x v="3"/>
  </r>
  <r>
    <n v="220"/>
    <x v="2"/>
    <d v="2004-01-15T00:00:00"/>
    <x v="4"/>
    <n v="27"/>
    <n v="83.195110350521588"/>
    <x v="2"/>
  </r>
  <r>
    <n v="221"/>
    <x v="5"/>
    <d v="2006-09-20T00:00:00"/>
    <x v="1"/>
    <n v="56"/>
    <n v="170.17512557022724"/>
    <x v="1"/>
  </r>
  <r>
    <n v="222"/>
    <x v="2"/>
    <d v="2004-07-20T00:00:00"/>
    <x v="4"/>
    <n v="67"/>
    <n v="203.35311949602652"/>
    <x v="2"/>
  </r>
  <r>
    <n v="223"/>
    <x v="0"/>
    <d v="2004-09-13T00:00:00"/>
    <x v="1"/>
    <n v="94"/>
    <n v="283.74141758000144"/>
    <x v="2"/>
  </r>
  <r>
    <n v="224"/>
    <x v="5"/>
    <d v="2004-10-05T00:00:00"/>
    <x v="3"/>
    <n v="52"/>
    <n v="158.2973319694853"/>
    <x v="2"/>
  </r>
  <r>
    <n v="225"/>
    <x v="3"/>
    <d v="2004-02-06T00:00:00"/>
    <x v="2"/>
    <n v="24"/>
    <n v="74.243899422562194"/>
    <x v="2"/>
  </r>
  <r>
    <n v="226"/>
    <x v="7"/>
    <d v="2004-06-06T00:00:00"/>
    <x v="0"/>
    <n v="-1"/>
    <n v="-0.91770776800017373"/>
    <x v="0"/>
  </r>
  <r>
    <n v="227"/>
    <x v="1"/>
    <d v="2006-01-21T00:00:00"/>
    <x v="3"/>
    <n v="37"/>
    <n v="112.52158206006119"/>
    <x v="0"/>
  </r>
  <r>
    <n v="228"/>
    <x v="0"/>
    <d v="2006-02-23T00:00:00"/>
    <x v="1"/>
    <n v="63"/>
    <n v="191.4542393048981"/>
    <x v="0"/>
  </r>
  <r>
    <n v="229"/>
    <x v="8"/>
    <d v="2004-04-12T00:00:00"/>
    <x v="0"/>
    <n v="13"/>
    <n v="41.010346846521706"/>
    <x v="2"/>
  </r>
  <r>
    <n v="230"/>
    <x v="1"/>
    <d v="2006-11-25T00:00:00"/>
    <x v="0"/>
    <n v="7"/>
    <n v="22.334877359058812"/>
    <x v="2"/>
  </r>
  <r>
    <n v="231"/>
    <x v="3"/>
    <d v="2004-03-21T00:00:00"/>
    <x v="0"/>
    <n v="64"/>
    <n v="193.83879299726061"/>
    <x v="2"/>
  </r>
  <r>
    <n v="232"/>
    <x v="2"/>
    <d v="2004-06-06T00:00:00"/>
    <x v="0"/>
    <n v="63"/>
    <n v="190.90668689411601"/>
    <x v="1"/>
  </r>
  <r>
    <n v="233"/>
    <x v="6"/>
    <d v="2004-08-11T00:00:00"/>
    <x v="4"/>
    <n v="57"/>
    <n v="173.59022125804509"/>
    <x v="1"/>
  </r>
  <r>
    <n v="234"/>
    <x v="6"/>
    <d v="2004-11-07T00:00:00"/>
    <x v="4"/>
    <n v="59"/>
    <n v="178.9266502635322"/>
    <x v="3"/>
  </r>
  <r>
    <n v="235"/>
    <x v="7"/>
    <d v="2004-12-21T00:00:00"/>
    <x v="1"/>
    <n v="-3"/>
    <n v="-7.2637597489178187"/>
    <x v="1"/>
  </r>
  <r>
    <n v="236"/>
    <x v="8"/>
    <d v="2006-10-01T00:00:00"/>
    <x v="0"/>
    <n v="86"/>
    <n v="260.32907018535167"/>
    <x v="0"/>
  </r>
  <r>
    <n v="237"/>
    <x v="5"/>
    <d v="2004-09-24T00:00:00"/>
    <x v="3"/>
    <n v="-4"/>
    <n v="-9.9939520680829617"/>
    <x v="3"/>
  </r>
  <r>
    <n v="238"/>
    <x v="2"/>
    <d v="2005-01-01T00:00:00"/>
    <x v="0"/>
    <n v="7"/>
    <n v="23.654332569914828"/>
    <x v="2"/>
  </r>
  <r>
    <n v="239"/>
    <x v="8"/>
    <d v="2006-10-01T00:00:00"/>
    <x v="0"/>
    <n v="43"/>
    <n v="131.67769291502447"/>
    <x v="3"/>
  </r>
  <r>
    <n v="240"/>
    <x v="6"/>
    <d v="2005-11-05T00:00:00"/>
    <x v="0"/>
    <n v="2"/>
    <n v="7.6348447793459382"/>
    <x v="0"/>
  </r>
  <r>
    <n v="241"/>
    <x v="6"/>
    <d v="2005-05-02T00:00:00"/>
    <x v="4"/>
    <n v="85"/>
    <n v="256.87957020946436"/>
    <x v="1"/>
  </r>
  <r>
    <n v="242"/>
    <x v="6"/>
    <d v="2005-04-21T00:00:00"/>
    <x v="3"/>
    <n v="52"/>
    <n v="158.18704198984506"/>
    <x v="1"/>
  </r>
  <r>
    <n v="243"/>
    <x v="4"/>
    <d v="2004-07-09T00:00:00"/>
    <x v="2"/>
    <n v="-3"/>
    <n v="-7.3950210500886264"/>
    <x v="0"/>
  </r>
  <r>
    <n v="244"/>
    <x v="5"/>
    <d v="2005-02-25T00:00:00"/>
    <x v="3"/>
    <n v="8"/>
    <n v="25.546689047987762"/>
    <x v="3"/>
  </r>
  <r>
    <n v="245"/>
    <x v="8"/>
    <d v="2004-07-09T00:00:00"/>
    <x v="4"/>
    <n v="5"/>
    <n v="17.198905576452098"/>
    <x v="3"/>
  </r>
  <r>
    <n v="246"/>
    <x v="1"/>
    <d v="2006-08-29T00:00:00"/>
    <x v="4"/>
    <n v="90"/>
    <n v="272.09870438545738"/>
    <x v="0"/>
  </r>
  <r>
    <n v="247"/>
    <x v="0"/>
    <d v="2006-11-14T00:00:00"/>
    <x v="4"/>
    <n v="36"/>
    <n v="110.33744975059108"/>
    <x v="3"/>
  </r>
  <r>
    <n v="248"/>
    <x v="3"/>
    <d v="2005-08-20T00:00:00"/>
    <x v="4"/>
    <n v="25"/>
    <n v="77.014900645073141"/>
    <x v="2"/>
  </r>
  <r>
    <n v="249"/>
    <x v="0"/>
    <d v="2005-03-19T00:00:00"/>
    <x v="4"/>
    <n v="7"/>
    <n v="23.133204884254319"/>
    <x v="3"/>
  </r>
  <r>
    <n v="250"/>
    <x v="4"/>
    <d v="2006-11-03T00:00:00"/>
    <x v="4"/>
    <n v="64"/>
    <n v="194.25372471684716"/>
    <x v="3"/>
  </r>
  <r>
    <n v="251"/>
    <x v="4"/>
    <d v="2004-05-04T00:00:00"/>
    <x v="4"/>
    <n v="71"/>
    <n v="215.49309366005642"/>
    <x v="2"/>
  </r>
  <r>
    <n v="252"/>
    <x v="2"/>
    <d v="2005-04-10T00:00:00"/>
    <x v="3"/>
    <n v="41"/>
    <n v="124.81042324173134"/>
    <x v="3"/>
  </r>
  <r>
    <n v="253"/>
    <x v="2"/>
    <d v="2004-09-24T00:00:00"/>
    <x v="1"/>
    <n v="84"/>
    <n v="253.28617965312779"/>
    <x v="3"/>
  </r>
  <r>
    <n v="254"/>
    <x v="6"/>
    <d v="2005-03-30T00:00:00"/>
    <x v="3"/>
    <n v="3"/>
    <n v="10.703015398687583"/>
    <x v="3"/>
  </r>
  <r>
    <n v="255"/>
    <x v="2"/>
    <d v="2004-04-01T00:00:00"/>
    <x v="1"/>
    <n v="15"/>
    <n v="46.761676481443232"/>
    <x v="2"/>
  </r>
  <r>
    <n v="256"/>
    <x v="1"/>
    <d v="2004-02-06T00:00:00"/>
    <x v="3"/>
    <n v="1"/>
    <n v="4.8820462029427096"/>
    <x v="0"/>
  </r>
  <r>
    <n v="257"/>
    <x v="1"/>
    <d v="2005-07-07T00:00:00"/>
    <x v="4"/>
    <n v="10"/>
    <n v="32.468400196905996"/>
    <x v="3"/>
  </r>
  <r>
    <n v="258"/>
    <x v="6"/>
    <d v="2005-01-12T00:00:00"/>
    <x v="3"/>
    <n v="77"/>
    <n v="233.3993347830984"/>
    <x v="2"/>
  </r>
  <r>
    <n v="259"/>
    <x v="4"/>
    <d v="2005-02-14T00:00:00"/>
    <x v="2"/>
    <n v="65"/>
    <n v="196.49346597044766"/>
    <x v="0"/>
  </r>
  <r>
    <n v="260"/>
    <x v="3"/>
    <d v="2004-01-15T00:00:00"/>
    <x v="3"/>
    <n v="25"/>
    <n v="77.329572231774151"/>
    <x v="1"/>
  </r>
  <r>
    <n v="261"/>
    <x v="8"/>
    <d v="2006-07-16T00:00:00"/>
    <x v="4"/>
    <n v="-1"/>
    <n v="-1.930462865623249"/>
    <x v="0"/>
  </r>
  <r>
    <n v="262"/>
    <x v="7"/>
    <d v="2006-08-29T00:00:00"/>
    <x v="1"/>
    <n v="2"/>
    <n v="7.9709250117717731"/>
    <x v="1"/>
  </r>
  <r>
    <n v="263"/>
    <x v="3"/>
    <d v="2006-11-03T00:00:00"/>
    <x v="0"/>
    <n v="62"/>
    <n v="187.61965072290988"/>
    <x v="1"/>
  </r>
  <r>
    <n v="264"/>
    <x v="4"/>
    <d v="2005-05-13T00:00:00"/>
    <x v="1"/>
    <n v="28"/>
    <n v="86.788113277044275"/>
    <x v="2"/>
  </r>
  <r>
    <n v="265"/>
    <x v="1"/>
    <d v="2005-07-18T00:00:00"/>
    <x v="3"/>
    <n v="55"/>
    <n v="167.05079786120268"/>
    <x v="0"/>
  </r>
  <r>
    <n v="266"/>
    <x v="4"/>
    <d v="2005-06-15T00:00:00"/>
    <x v="0"/>
    <n v="28"/>
    <n v="86.636057383669893"/>
    <x v="0"/>
  </r>
  <r>
    <n v="267"/>
    <x v="5"/>
    <d v="2005-07-29T00:00:00"/>
    <x v="1"/>
    <n v="5"/>
    <n v="16.670839286326668"/>
    <x v="0"/>
  </r>
  <r>
    <n v="268"/>
    <x v="5"/>
    <d v="2004-11-07T00:00:00"/>
    <x v="3"/>
    <n v="1"/>
    <n v="4.7722172541512009"/>
    <x v="3"/>
  </r>
  <r>
    <n v="269"/>
    <x v="5"/>
    <d v="2005-06-15T00:00:00"/>
    <x v="1"/>
    <n v="26"/>
    <n v="80.012011803068276"/>
    <x v="3"/>
  </r>
  <r>
    <n v="270"/>
    <x v="3"/>
    <d v="2004-06-06T00:00:00"/>
    <x v="1"/>
    <n v="47"/>
    <n v="142.84602668228962"/>
    <x v="0"/>
  </r>
  <r>
    <n v="271"/>
    <x v="1"/>
    <d v="2005-05-02T00:00:00"/>
    <x v="3"/>
    <n v="74"/>
    <n v="224.75435048565893"/>
    <x v="3"/>
  </r>
  <r>
    <n v="272"/>
    <x v="8"/>
    <d v="2006-05-11T00:00:00"/>
    <x v="0"/>
    <n v="22"/>
    <n v="68.710607050620922"/>
    <x v="1"/>
  </r>
  <r>
    <n v="273"/>
    <x v="2"/>
    <d v="2006-06-24T00:00:00"/>
    <x v="2"/>
    <n v="70"/>
    <n v="212.26238499892682"/>
    <x v="0"/>
  </r>
  <r>
    <n v="274"/>
    <x v="8"/>
    <d v="2005-11-27T00:00:00"/>
    <x v="1"/>
    <n v="83"/>
    <n v="251.31042576912338"/>
    <x v="1"/>
  </r>
  <r>
    <n v="275"/>
    <x v="1"/>
    <d v="2005-12-08T00:00:00"/>
    <x v="3"/>
    <n v="59"/>
    <n v="179.38546683395009"/>
    <x v="2"/>
  </r>
  <r>
    <n v="276"/>
    <x v="8"/>
    <d v="2005-08-09T00:00:00"/>
    <x v="4"/>
    <n v="0"/>
    <n v="1.5831115612014064"/>
    <x v="1"/>
  </r>
  <r>
    <n v="277"/>
    <x v="1"/>
    <d v="2005-01-12T00:00:00"/>
    <x v="3"/>
    <n v="82"/>
    <n v="247.58247918220624"/>
    <x v="2"/>
  </r>
  <r>
    <n v="278"/>
    <x v="0"/>
    <d v="2005-03-08T00:00:00"/>
    <x v="3"/>
    <n v="29"/>
    <n v="89.053128978062901"/>
    <x v="2"/>
  </r>
  <r>
    <n v="279"/>
    <x v="8"/>
    <d v="2004-05-15T00:00:00"/>
    <x v="1"/>
    <n v="63"/>
    <n v="191.08641465198994"/>
    <x v="3"/>
  </r>
  <r>
    <n v="280"/>
    <x v="7"/>
    <d v="2006-10-01T00:00:00"/>
    <x v="0"/>
    <n v="67"/>
    <n v="203.10846928946893"/>
    <x v="3"/>
  </r>
  <r>
    <n v="281"/>
    <x v="5"/>
    <d v="2005-07-29T00:00:00"/>
    <x v="3"/>
    <n v="3"/>
    <n v="10.780730703026945"/>
    <x v="3"/>
  </r>
  <r>
    <n v="282"/>
    <x v="1"/>
    <d v="2004-12-10T00:00:00"/>
    <x v="3"/>
    <n v="65"/>
    <n v="197.40778751122588"/>
    <x v="3"/>
  </r>
  <r>
    <n v="283"/>
    <x v="6"/>
    <d v="2004-05-26T00:00:00"/>
    <x v="2"/>
    <n v="75"/>
    <n v="227.4564792557687"/>
    <x v="2"/>
  </r>
  <r>
    <n v="284"/>
    <x v="6"/>
    <d v="2004-08-22T00:00:00"/>
    <x v="0"/>
    <n v="79"/>
    <n v="239.89546823670116"/>
    <x v="2"/>
  </r>
  <r>
    <n v="285"/>
    <x v="7"/>
    <d v="2006-08-18T00:00:00"/>
    <x v="4"/>
    <n v="-5"/>
    <n v="-12.920960169584891"/>
    <x v="1"/>
  </r>
  <r>
    <n v="286"/>
    <x v="7"/>
    <d v="2005-03-30T00:00:00"/>
    <x v="1"/>
    <n v="31"/>
    <n v="95.512317695132197"/>
    <x v="0"/>
  </r>
  <r>
    <n v="287"/>
    <x v="2"/>
    <d v="2006-12-17T00:00:00"/>
    <x v="4"/>
    <n v="21"/>
    <n v="65.343473312315112"/>
    <x v="0"/>
  </r>
  <r>
    <n v="288"/>
    <x v="2"/>
    <d v="2005-09-11T00:00:00"/>
    <x v="2"/>
    <n v="-8"/>
    <n v="-21.912545800386049"/>
    <x v="3"/>
  </r>
  <r>
    <n v="289"/>
    <x v="7"/>
    <d v="2005-07-07T00:00:00"/>
    <x v="2"/>
    <n v="88"/>
    <n v="266.0518691009172"/>
    <x v="2"/>
  </r>
  <r>
    <n v="290"/>
    <x v="6"/>
    <d v="2005-11-16T00:00:00"/>
    <x v="1"/>
    <n v="94"/>
    <n v="283.84678757282279"/>
    <x v="1"/>
  </r>
  <r>
    <n v="291"/>
    <x v="3"/>
    <d v="2006-10-01T00:00:00"/>
    <x v="4"/>
    <n v="83"/>
    <n v="251.49840546378712"/>
    <x v="1"/>
  </r>
  <r>
    <n v="292"/>
    <x v="2"/>
    <d v="2004-08-11T00:00:00"/>
    <x v="4"/>
    <n v="16"/>
    <n v="49.955539493154028"/>
    <x v="0"/>
  </r>
  <r>
    <n v="293"/>
    <x v="0"/>
    <d v="2006-08-07T00:00:00"/>
    <x v="4"/>
    <n v="33"/>
    <n v="100.51753262027832"/>
    <x v="1"/>
  </r>
  <r>
    <n v="294"/>
    <x v="0"/>
    <d v="2004-02-28T00:00:00"/>
    <x v="3"/>
    <n v="-1"/>
    <n v="-0.90814028681463199"/>
    <x v="1"/>
  </r>
  <r>
    <n v="295"/>
    <x v="0"/>
    <d v="2006-07-27T00:00:00"/>
    <x v="4"/>
    <n v="94"/>
    <n v="284.13590593464426"/>
    <x v="2"/>
  </r>
  <r>
    <n v="296"/>
    <x v="7"/>
    <d v="2005-04-21T00:00:00"/>
    <x v="1"/>
    <n v="76"/>
    <n v="230.25557022435729"/>
    <x v="1"/>
  </r>
  <r>
    <n v="297"/>
    <x v="0"/>
    <d v="2006-03-06T00:00:00"/>
    <x v="1"/>
    <n v="71"/>
    <n v="215.15645769752564"/>
    <x v="3"/>
  </r>
  <r>
    <n v="298"/>
    <x v="3"/>
    <d v="2004-05-26T00:00:00"/>
    <x v="2"/>
    <n v="56"/>
    <n v="169.19487194523822"/>
    <x v="0"/>
  </r>
  <r>
    <n v="299"/>
    <x v="1"/>
    <d v="2005-08-31T00:00:00"/>
    <x v="0"/>
    <n v="81"/>
    <n v="245.58577912839797"/>
    <x v="0"/>
  </r>
  <r>
    <n v="300"/>
    <x v="3"/>
    <d v="2004-06-28T00:00:00"/>
    <x v="3"/>
    <n v="3"/>
    <n v="11.162502018809288"/>
    <x v="0"/>
  </r>
  <r>
    <n v="301"/>
    <x v="3"/>
    <d v="2005-04-21T00:00:00"/>
    <x v="0"/>
    <n v="60"/>
    <n v="182.21269449394873"/>
    <x v="3"/>
  </r>
  <r>
    <n v="302"/>
    <x v="7"/>
    <d v="2006-10-23T00:00:00"/>
    <x v="1"/>
    <n v="81"/>
    <n v="245.54232115102224"/>
    <x v="0"/>
  </r>
  <r>
    <n v="303"/>
    <x v="4"/>
    <d v="2004-05-04T00:00:00"/>
    <x v="1"/>
    <n v="70"/>
    <n v="211.43323649343893"/>
    <x v="1"/>
  </r>
  <r>
    <n v="304"/>
    <x v="8"/>
    <d v="2006-05-22T00:00:00"/>
    <x v="4"/>
    <n v="18"/>
    <n v="56.272584064658759"/>
    <x v="1"/>
  </r>
  <r>
    <n v="305"/>
    <x v="1"/>
    <d v="2005-02-14T00:00:00"/>
    <x v="2"/>
    <n v="73"/>
    <n v="221.17007144401961"/>
    <x v="2"/>
  </r>
  <r>
    <n v="306"/>
    <x v="3"/>
    <d v="2005-02-25T00:00:00"/>
    <x v="1"/>
    <n v="-7"/>
    <n v="-18.782320494671733"/>
    <x v="3"/>
  </r>
  <r>
    <n v="307"/>
    <x v="3"/>
    <d v="2005-08-20T00:00:00"/>
    <x v="1"/>
    <n v="55"/>
    <n v="166.60609215413587"/>
    <x v="1"/>
  </r>
  <r>
    <n v="308"/>
    <x v="8"/>
    <d v="2004-05-15T00:00:00"/>
    <x v="0"/>
    <n v="7"/>
    <n v="23.387374937264937"/>
    <x v="3"/>
  </r>
  <r>
    <n v="309"/>
    <x v="8"/>
    <d v="2004-11-18T00:00:00"/>
    <x v="3"/>
    <n v="63"/>
    <n v="191.44929977621479"/>
    <x v="1"/>
  </r>
  <r>
    <n v="310"/>
    <x v="3"/>
    <d v="2005-07-07T00:00:00"/>
    <x v="0"/>
    <n v="83"/>
    <n v="251.62937525083981"/>
    <x v="2"/>
  </r>
  <r>
    <n v="311"/>
    <x v="0"/>
    <d v="2004-02-28T00:00:00"/>
    <x v="0"/>
    <n v="43"/>
    <n v="130.971908096161"/>
    <x v="3"/>
  </r>
  <r>
    <n v="312"/>
    <x v="3"/>
    <d v="2004-07-31T00:00:00"/>
    <x v="3"/>
    <n v="67"/>
    <n v="203.30298779689218"/>
    <x v="0"/>
  </r>
  <r>
    <n v="313"/>
    <x v="4"/>
    <d v="2005-12-30T00:00:00"/>
    <x v="3"/>
    <n v="-9"/>
    <n v="-24.966227969201331"/>
    <x v="1"/>
  </r>
  <r>
    <n v="314"/>
    <x v="8"/>
    <d v="2004-06-28T00:00:00"/>
    <x v="1"/>
    <n v="-1"/>
    <n v="-1.475132378251053"/>
    <x v="1"/>
  </r>
  <r>
    <n v="315"/>
    <x v="0"/>
    <d v="2005-01-12T00:00:00"/>
    <x v="1"/>
    <n v="21"/>
    <n v="65.196598797725159"/>
    <x v="0"/>
  </r>
  <r>
    <n v="316"/>
    <x v="5"/>
    <d v="2005-11-05T00:00:00"/>
    <x v="4"/>
    <n v="6"/>
    <n v="20.103063549411871"/>
    <x v="3"/>
  </r>
  <r>
    <n v="317"/>
    <x v="5"/>
    <d v="2004-01-15T00:00:00"/>
    <x v="3"/>
    <n v="0"/>
    <n v="1.6052060341349688"/>
    <x v="3"/>
  </r>
  <r>
    <n v="318"/>
    <x v="7"/>
    <d v="2004-10-16T00:00:00"/>
    <x v="3"/>
    <n v="20"/>
    <n v="61.994811968474004"/>
    <x v="3"/>
  </r>
  <r>
    <n v="319"/>
    <x v="2"/>
    <d v="2004-11-07T00:00:00"/>
    <x v="1"/>
    <n v="70"/>
    <n v="212.50263306463722"/>
    <x v="0"/>
  </r>
  <r>
    <n v="320"/>
    <x v="7"/>
    <d v="2004-05-15T00:00:00"/>
    <x v="3"/>
    <n v="94"/>
    <n v="283.88166832886924"/>
    <x v="3"/>
  </r>
  <r>
    <n v="321"/>
    <x v="1"/>
    <d v="2004-10-16T00:00:00"/>
    <x v="0"/>
    <n v="9"/>
    <n v="28.830512766101304"/>
    <x v="2"/>
  </r>
  <r>
    <n v="322"/>
    <x v="7"/>
    <d v="2005-06-26T00:00:00"/>
    <x v="4"/>
    <n v="27"/>
    <n v="83.64015403043436"/>
    <x v="3"/>
  </r>
  <r>
    <n v="323"/>
    <x v="4"/>
    <d v="2006-03-17T00:00:00"/>
    <x v="2"/>
    <n v="43"/>
    <n v="130.94656180680516"/>
    <x v="0"/>
  </r>
  <r>
    <n v="324"/>
    <x v="6"/>
    <d v="2006-09-20T00:00:00"/>
    <x v="1"/>
    <n v="84"/>
    <n v="254.38984191598573"/>
    <x v="3"/>
  </r>
  <r>
    <n v="325"/>
    <x v="1"/>
    <d v="2004-06-06T00:00:00"/>
    <x v="3"/>
    <n v="83"/>
    <n v="251.63175698562648"/>
    <x v="1"/>
  </r>
  <r>
    <n v="326"/>
    <x v="1"/>
    <d v="2004-08-11T00:00:00"/>
    <x v="2"/>
    <n v="89"/>
    <n v="268.67182931807514"/>
    <x v="1"/>
  </r>
  <r>
    <n v="327"/>
    <x v="6"/>
    <d v="2006-10-12T00:00:00"/>
    <x v="0"/>
    <n v="7"/>
    <n v="22.668540241379059"/>
    <x v="0"/>
  </r>
  <r>
    <n v="328"/>
    <x v="1"/>
    <d v="2004-07-09T00:00:00"/>
    <x v="1"/>
    <n v="68"/>
    <n v="205.75644454699685"/>
    <x v="0"/>
  </r>
  <r>
    <n v="329"/>
    <x v="6"/>
    <d v="2005-10-14T00:00:00"/>
    <x v="3"/>
    <n v="38"/>
    <n v="116.14288251700734"/>
    <x v="2"/>
  </r>
  <r>
    <n v="330"/>
    <x v="8"/>
    <d v="2004-01-26T00:00:00"/>
    <x v="3"/>
    <n v="90"/>
    <n v="271.3332095451583"/>
    <x v="1"/>
  </r>
  <r>
    <n v="331"/>
    <x v="8"/>
    <d v="2004-08-11T00:00:00"/>
    <x v="3"/>
    <n v="10"/>
    <n v="31.740063454597557"/>
    <x v="2"/>
  </r>
  <r>
    <n v="332"/>
    <x v="5"/>
    <d v="2006-11-03T00:00:00"/>
    <x v="1"/>
    <n v="13"/>
    <n v="40.182824201163783"/>
    <x v="3"/>
  </r>
  <r>
    <n v="333"/>
    <x v="7"/>
    <d v="2004-06-17T00:00:00"/>
    <x v="0"/>
    <n v="68"/>
    <n v="206.37862292228638"/>
    <x v="2"/>
  </r>
  <r>
    <n v="334"/>
    <x v="3"/>
    <d v="2004-06-06T00:00:00"/>
    <x v="1"/>
    <n v="40"/>
    <n v="122.17079112578179"/>
    <x v="0"/>
  </r>
  <r>
    <n v="335"/>
    <x v="7"/>
    <d v="2005-06-04T00:00:00"/>
    <x v="1"/>
    <n v="17"/>
    <n v="52.575815801836917"/>
    <x v="2"/>
  </r>
  <r>
    <n v="336"/>
    <x v="5"/>
    <d v="2004-11-29T00:00:00"/>
    <x v="1"/>
    <n v="6"/>
    <n v="19.233532374060513"/>
    <x v="2"/>
  </r>
  <r>
    <n v="337"/>
    <x v="5"/>
    <d v="2006-05-11T00:00:00"/>
    <x v="1"/>
    <n v="27"/>
    <n v="83.786086457485794"/>
    <x v="2"/>
  </r>
  <r>
    <n v="338"/>
    <x v="3"/>
    <d v="2006-07-27T00:00:00"/>
    <x v="1"/>
    <n v="80"/>
    <n v="242.1940649977725"/>
    <x v="1"/>
  </r>
  <r>
    <n v="339"/>
    <x v="4"/>
    <d v="2004-08-11T00:00:00"/>
    <x v="4"/>
    <n v="-1"/>
    <n v="-0.92679798413568193"/>
    <x v="2"/>
  </r>
  <r>
    <n v="340"/>
    <x v="1"/>
    <d v="2006-03-28T00:00:00"/>
    <x v="4"/>
    <n v="89"/>
    <n v="269.26351673512869"/>
    <x v="0"/>
  </r>
  <r>
    <n v="341"/>
    <x v="1"/>
    <d v="2005-03-30T00:00:00"/>
    <x v="3"/>
    <n v="21"/>
    <n v="65.224154633884041"/>
    <x v="1"/>
  </r>
  <r>
    <n v="342"/>
    <x v="5"/>
    <d v="2006-12-17T00:00:00"/>
    <x v="0"/>
    <n v="37"/>
    <n v="113.11652988941213"/>
    <x v="3"/>
  </r>
  <r>
    <n v="343"/>
    <x v="4"/>
    <d v="2005-02-14T00:00:00"/>
    <x v="2"/>
    <n v="15"/>
    <n v="46.637898863261832"/>
    <x v="3"/>
  </r>
  <r>
    <n v="344"/>
    <x v="2"/>
    <d v="2004-05-26T00:00:00"/>
    <x v="4"/>
    <n v="94"/>
    <n v="283.62009758002927"/>
    <x v="1"/>
  </r>
  <r>
    <n v="345"/>
    <x v="8"/>
    <d v="2005-07-18T00:00:00"/>
    <x v="4"/>
    <n v="85"/>
    <n v="257.28530472715238"/>
    <x v="0"/>
  </r>
  <r>
    <n v="346"/>
    <x v="4"/>
    <d v="2004-11-18T00:00:00"/>
    <x v="0"/>
    <n v="95"/>
    <n v="286.86402627293558"/>
    <x v="2"/>
  </r>
  <r>
    <n v="347"/>
    <x v="6"/>
    <d v="2005-05-24T00:00:00"/>
    <x v="2"/>
    <n v="25"/>
    <n v="76.368933708358369"/>
    <x v="0"/>
  </r>
  <r>
    <n v="348"/>
    <x v="1"/>
    <d v="2006-04-19T00:00:00"/>
    <x v="4"/>
    <n v="69"/>
    <n v="208.60710544458851"/>
    <x v="2"/>
  </r>
  <r>
    <n v="349"/>
    <x v="7"/>
    <d v="2005-08-31T00:00:00"/>
    <x v="1"/>
    <n v="72"/>
    <n v="218.66914833137886"/>
    <x v="1"/>
  </r>
  <r>
    <n v="350"/>
    <x v="3"/>
    <d v="2006-02-12T00:00:00"/>
    <x v="2"/>
    <n v="-4"/>
    <n v="-9.5040489301123898"/>
    <x v="2"/>
  </r>
  <r>
    <n v="351"/>
    <x v="4"/>
    <d v="2005-06-26T00:00:00"/>
    <x v="2"/>
    <n v="21"/>
    <n v="64.847838929147329"/>
    <x v="2"/>
  </r>
  <r>
    <n v="352"/>
    <x v="4"/>
    <d v="2005-01-12T00:00:00"/>
    <x v="3"/>
    <n v="85"/>
    <n v="256.96799909003533"/>
    <x v="3"/>
  </r>
  <r>
    <n v="353"/>
    <x v="6"/>
    <d v="2005-09-11T00:00:00"/>
    <x v="3"/>
    <n v="85"/>
    <n v="257.09598807037378"/>
    <x v="0"/>
  </r>
  <r>
    <n v="354"/>
    <x v="2"/>
    <d v="2005-10-14T00:00:00"/>
    <x v="0"/>
    <n v="79"/>
    <n v="239.75589662492749"/>
    <x v="0"/>
  </r>
  <r>
    <n v="355"/>
    <x v="7"/>
    <d v="2006-09-09T00:00:00"/>
    <x v="0"/>
    <n v="81"/>
    <n v="245.01127594931819"/>
    <x v="0"/>
  </r>
  <r>
    <n v="356"/>
    <x v="2"/>
    <d v="2006-08-29T00:00:00"/>
    <x v="3"/>
    <n v="76"/>
    <n v="229.57757100656295"/>
    <x v="3"/>
  </r>
  <r>
    <n v="357"/>
    <x v="2"/>
    <d v="2005-06-15T00:00:00"/>
    <x v="0"/>
    <n v="31"/>
    <n v="95.411837871052697"/>
    <x v="3"/>
  </r>
  <r>
    <n v="358"/>
    <x v="3"/>
    <d v="2005-09-22T00:00:00"/>
    <x v="3"/>
    <n v="44"/>
    <n v="133.84155746359221"/>
    <x v="0"/>
  </r>
  <r>
    <n v="359"/>
    <x v="0"/>
    <d v="2006-12-17T00:00:00"/>
    <x v="2"/>
    <n v="44"/>
    <n v="133.90724137081764"/>
    <x v="2"/>
  </r>
  <r>
    <n v="360"/>
    <x v="5"/>
    <d v="2004-05-26T00:00:00"/>
    <x v="4"/>
    <n v="70"/>
    <n v="211.68588054687572"/>
    <x v="0"/>
  </r>
  <r>
    <n v="361"/>
    <x v="5"/>
    <d v="2004-11-29T00:00:00"/>
    <x v="1"/>
    <n v="-4"/>
    <n v="-9.4531080152815825"/>
    <x v="3"/>
  </r>
  <r>
    <n v="362"/>
    <x v="7"/>
    <d v="2005-11-16T00:00:00"/>
    <x v="0"/>
    <n v="28"/>
    <n v="86.334638190049276"/>
    <x v="1"/>
  </r>
  <r>
    <n v="363"/>
    <x v="2"/>
    <d v="2006-10-12T00:00:00"/>
    <x v="4"/>
    <n v="83"/>
    <n v="250.60923862889706"/>
    <x v="0"/>
  </r>
  <r>
    <n v="364"/>
    <x v="8"/>
    <d v="2006-07-05T00:00:00"/>
    <x v="0"/>
    <n v="46"/>
    <n v="140.47993678432567"/>
    <x v="0"/>
  </r>
  <r>
    <n v="365"/>
    <x v="7"/>
    <d v="2006-05-22T00:00:00"/>
    <x v="0"/>
    <n v="88"/>
    <n v="266.35125676130951"/>
    <x v="2"/>
  </r>
  <r>
    <n v="366"/>
    <x v="6"/>
    <d v="2005-10-14T00:00:00"/>
    <x v="0"/>
    <n v="-9"/>
    <n v="-24.537461299444743"/>
    <x v="3"/>
  </r>
  <r>
    <n v="367"/>
    <x v="1"/>
    <d v="2005-08-09T00:00:00"/>
    <x v="1"/>
    <n v="-8"/>
    <n v="-21.825357589950652"/>
    <x v="2"/>
  </r>
  <r>
    <n v="368"/>
    <x v="4"/>
    <d v="2006-07-05T00:00:00"/>
    <x v="1"/>
    <n v="37"/>
    <n v="113.0101592216552"/>
    <x v="1"/>
  </r>
  <r>
    <n v="369"/>
    <x v="1"/>
    <d v="2004-02-28T00:00:00"/>
    <x v="1"/>
    <n v="20"/>
    <n v="61.67879282842005"/>
    <x v="3"/>
  </r>
  <r>
    <n v="370"/>
    <x v="5"/>
    <d v="2005-09-11T00:00:00"/>
    <x v="0"/>
    <n v="2"/>
    <n v="7.7509272810830456"/>
    <x v="2"/>
  </r>
  <r>
    <n v="371"/>
    <x v="2"/>
    <d v="2005-08-20T00:00:00"/>
    <x v="3"/>
    <n v="36"/>
    <n v="110.59418125988078"/>
    <x v="0"/>
  </r>
  <r>
    <n v="372"/>
    <x v="2"/>
    <d v="2005-10-03T00:00:00"/>
    <x v="4"/>
    <n v="34"/>
    <n v="103.88965096458593"/>
    <x v="2"/>
  </r>
  <r>
    <n v="373"/>
    <x v="8"/>
    <d v="2006-04-30T00:00:00"/>
    <x v="3"/>
    <n v="84"/>
    <n v="253.89322061575038"/>
    <x v="1"/>
  </r>
  <r>
    <n v="374"/>
    <x v="1"/>
    <d v="2006-08-18T00:00:00"/>
    <x v="4"/>
    <n v="89"/>
    <n v="268.47594870423103"/>
    <x v="3"/>
  </r>
  <r>
    <n v="375"/>
    <x v="3"/>
    <d v="2006-02-01T00:00:00"/>
    <x v="0"/>
    <n v="31"/>
    <n v="95.680691267513808"/>
    <x v="0"/>
  </r>
  <r>
    <n v="376"/>
    <x v="8"/>
    <d v="2004-03-21T00:00:00"/>
    <x v="0"/>
    <n v="7"/>
    <n v="22.545863255239365"/>
    <x v="2"/>
  </r>
  <r>
    <n v="377"/>
    <x v="1"/>
    <d v="2004-02-06T00:00:00"/>
    <x v="0"/>
    <n v="7"/>
    <n v="22.939193343037168"/>
    <x v="2"/>
  </r>
  <r>
    <n v="378"/>
    <x v="6"/>
    <d v="2006-02-23T00:00:00"/>
    <x v="3"/>
    <n v="76"/>
    <n v="229.89259006043184"/>
    <x v="3"/>
  </r>
  <r>
    <n v="379"/>
    <x v="3"/>
    <d v="2004-07-31T00:00:00"/>
    <x v="1"/>
    <n v="6"/>
    <n v="19.561017308486775"/>
    <x v="2"/>
  </r>
  <r>
    <n v="380"/>
    <x v="5"/>
    <d v="2006-10-23T00:00:00"/>
    <x v="0"/>
    <n v="43"/>
    <n v="130.28590210776713"/>
    <x v="2"/>
  </r>
  <r>
    <n v="381"/>
    <x v="8"/>
    <d v="2004-01-15T00:00:00"/>
    <x v="4"/>
    <n v="20"/>
    <n v="62.18277208256027"/>
    <x v="2"/>
  </r>
  <r>
    <n v="382"/>
    <x v="3"/>
    <d v="2006-03-17T00:00:00"/>
    <x v="2"/>
    <n v="11"/>
    <n v="35.076818705440886"/>
    <x v="0"/>
  </r>
  <r>
    <n v="383"/>
    <x v="7"/>
    <d v="2005-06-26T00:00:00"/>
    <x v="3"/>
    <n v="35"/>
    <n v="107.05323824700537"/>
    <x v="3"/>
  </r>
  <r>
    <n v="384"/>
    <x v="6"/>
    <d v="2006-03-17T00:00:00"/>
    <x v="1"/>
    <n v="72"/>
    <n v="218.15023917907857"/>
    <x v="0"/>
  </r>
  <r>
    <n v="385"/>
    <x v="8"/>
    <d v="2004-05-26T00:00:00"/>
    <x v="1"/>
    <n v="49"/>
    <n v="148.92692975074797"/>
    <x v="2"/>
  </r>
  <r>
    <n v="386"/>
    <x v="7"/>
    <d v="2006-03-06T00:00:00"/>
    <x v="1"/>
    <n v="88"/>
    <n v="266.64631383797939"/>
    <x v="1"/>
  </r>
  <r>
    <n v="387"/>
    <x v="2"/>
    <d v="2006-03-28T00:00:00"/>
    <x v="1"/>
    <n v="45"/>
    <n v="136.00734165157533"/>
    <x v="1"/>
  </r>
  <r>
    <n v="388"/>
    <x v="2"/>
    <d v="2004-03-21T00:00:00"/>
    <x v="0"/>
    <n v="37"/>
    <n v="112.92900415721101"/>
    <x v="1"/>
  </r>
  <r>
    <n v="389"/>
    <x v="4"/>
    <d v="2005-04-10T00:00:00"/>
    <x v="0"/>
    <n v="12"/>
    <n v="38.618337900456311"/>
    <x v="1"/>
  </r>
  <r>
    <n v="390"/>
    <x v="7"/>
    <d v="2004-05-15T00:00:00"/>
    <x v="4"/>
    <n v="18"/>
    <n v="55.932067779481031"/>
    <x v="1"/>
  </r>
  <r>
    <n v="391"/>
    <x v="1"/>
    <d v="2006-01-21T00:00:00"/>
    <x v="0"/>
    <n v="75"/>
    <n v="226.99796556311475"/>
    <x v="0"/>
  </r>
  <r>
    <n v="392"/>
    <x v="7"/>
    <d v="2005-02-25T00:00:00"/>
    <x v="1"/>
    <n v="8"/>
    <n v="26.314204821327241"/>
    <x v="0"/>
  </r>
  <r>
    <n v="393"/>
    <x v="0"/>
    <d v="2004-04-01T00:00:00"/>
    <x v="0"/>
    <n v="37"/>
    <n v="112.53534248627696"/>
    <x v="3"/>
  </r>
  <r>
    <n v="394"/>
    <x v="2"/>
    <d v="2004-12-21T00:00:00"/>
    <x v="0"/>
    <n v="-6"/>
    <n v="-16.412365818215765"/>
    <x v="0"/>
  </r>
  <r>
    <n v="395"/>
    <x v="0"/>
    <d v="2004-05-15T00:00:00"/>
    <x v="2"/>
    <n v="56"/>
    <n v="169.27515470165261"/>
    <x v="1"/>
  </r>
  <r>
    <n v="396"/>
    <x v="7"/>
    <d v="2004-12-10T00:00:00"/>
    <x v="3"/>
    <n v="53"/>
    <n v="161.32546557795675"/>
    <x v="1"/>
  </r>
  <r>
    <n v="397"/>
    <x v="5"/>
    <d v="2004-05-26T00:00:00"/>
    <x v="0"/>
    <n v="62"/>
    <n v="187.71993550398903"/>
    <x v="0"/>
  </r>
  <r>
    <n v="398"/>
    <x v="2"/>
    <d v="2005-03-30T00:00:00"/>
    <x v="4"/>
    <n v="90"/>
    <n v="271.30519777626336"/>
    <x v="1"/>
  </r>
  <r>
    <n v="399"/>
    <x v="2"/>
    <d v="2004-01-15T00:00:00"/>
    <x v="3"/>
    <n v="30"/>
    <n v="92.293324121451917"/>
    <x v="1"/>
  </r>
  <r>
    <n v="400"/>
    <x v="4"/>
    <d v="2005-02-14T00:00:00"/>
    <x v="1"/>
    <n v="36"/>
    <n v="110.39391248869612"/>
    <x v="3"/>
  </r>
  <r>
    <n v="401"/>
    <x v="5"/>
    <d v="2005-03-08T00:00:00"/>
    <x v="3"/>
    <n v="76"/>
    <n v="230.11911772178482"/>
    <x v="2"/>
  </r>
  <r>
    <n v="402"/>
    <x v="6"/>
    <d v="2005-04-10T00:00:00"/>
    <x v="0"/>
    <n v="-4"/>
    <n v="-10.045852408088738"/>
    <x v="0"/>
  </r>
  <r>
    <n v="403"/>
    <x v="4"/>
    <d v="2004-12-10T00:00:00"/>
    <x v="2"/>
    <n v="26"/>
    <n v="80.067286712333498"/>
    <x v="1"/>
  </r>
  <r>
    <n v="404"/>
    <x v="5"/>
    <d v="2005-05-13T00:00:00"/>
    <x v="0"/>
    <n v="-5"/>
    <n v="-12.799843018696107"/>
    <x v="2"/>
  </r>
  <r>
    <n v="405"/>
    <x v="3"/>
    <d v="2004-05-04T00:00:00"/>
    <x v="1"/>
    <n v="44"/>
    <n v="133.92031416884828"/>
    <x v="1"/>
  </r>
  <r>
    <n v="406"/>
    <x v="4"/>
    <d v="2004-02-17T00:00:00"/>
    <x v="4"/>
    <n v="91"/>
    <n v="274.81127367201924"/>
    <x v="0"/>
  </r>
  <r>
    <n v="407"/>
    <x v="6"/>
    <d v="2004-03-10T00:00:00"/>
    <x v="0"/>
    <n v="78"/>
    <n v="235.98595343131922"/>
    <x v="2"/>
  </r>
  <r>
    <n v="408"/>
    <x v="7"/>
    <d v="2006-05-22T00:00:00"/>
    <x v="0"/>
    <n v="69"/>
    <n v="208.58962786585158"/>
    <x v="1"/>
  </r>
  <r>
    <n v="409"/>
    <x v="0"/>
    <d v="2004-10-16T00:00:00"/>
    <x v="4"/>
    <n v="74"/>
    <n v="224.0430547727791"/>
    <x v="3"/>
  </r>
  <r>
    <n v="410"/>
    <x v="3"/>
    <d v="2005-07-29T00:00:00"/>
    <x v="1"/>
    <n v="71"/>
    <n v="215.12402518996404"/>
    <x v="0"/>
  </r>
  <r>
    <n v="411"/>
    <x v="0"/>
    <d v="2006-09-09T00:00:00"/>
    <x v="2"/>
    <n v="34"/>
    <n v="103.84939593855748"/>
    <x v="1"/>
  </r>
  <r>
    <n v="412"/>
    <x v="7"/>
    <d v="2005-06-04T00:00:00"/>
    <x v="4"/>
    <n v="93"/>
    <n v="281.17054419951137"/>
    <x v="0"/>
  </r>
  <r>
    <n v="413"/>
    <x v="1"/>
    <d v="2005-02-25T00:00:00"/>
    <x v="1"/>
    <n v="60"/>
    <n v="182.60959965033061"/>
    <x v="2"/>
  </r>
  <r>
    <n v="414"/>
    <x v="8"/>
    <d v="2004-04-23T00:00:00"/>
    <x v="1"/>
    <n v="37"/>
    <n v="112.43397722732024"/>
    <x v="1"/>
  </r>
  <r>
    <n v="415"/>
    <x v="7"/>
    <d v="2004-06-28T00:00:00"/>
    <x v="3"/>
    <n v="26"/>
    <n v="79.913804333123736"/>
    <x v="0"/>
  </r>
  <r>
    <n v="416"/>
    <x v="3"/>
    <d v="2005-07-07T00:00:00"/>
    <x v="3"/>
    <n v="2"/>
    <n v="8.5397555339606015"/>
    <x v="3"/>
  </r>
  <r>
    <n v="417"/>
    <x v="5"/>
    <d v="2005-10-03T00:00:00"/>
    <x v="1"/>
    <n v="-9"/>
    <n v="-25.920453761182117"/>
    <x v="3"/>
  </r>
  <r>
    <n v="418"/>
    <x v="0"/>
    <d v="2006-02-23T00:00:00"/>
    <x v="1"/>
    <n v="46"/>
    <n v="139.68753059266518"/>
    <x v="2"/>
  </r>
  <r>
    <n v="419"/>
    <x v="5"/>
    <d v="2004-03-10T00:00:00"/>
    <x v="4"/>
    <n v="0"/>
    <n v="2.3470477551262947"/>
    <x v="1"/>
  </r>
  <r>
    <n v="420"/>
    <x v="1"/>
    <d v="2004-11-29T00:00:00"/>
    <x v="1"/>
    <n v="79"/>
    <n v="239.2208514522392"/>
    <x v="3"/>
  </r>
  <r>
    <n v="421"/>
    <x v="2"/>
    <d v="2005-01-12T00:00:00"/>
    <x v="1"/>
    <n v="48"/>
    <n v="146.50697859164157"/>
    <x v="1"/>
  </r>
  <r>
    <n v="422"/>
    <x v="3"/>
    <d v="2006-01-21T00:00:00"/>
    <x v="3"/>
    <n v="77"/>
    <n v="233.0800910699262"/>
    <x v="2"/>
  </r>
  <r>
    <n v="423"/>
    <x v="7"/>
    <d v="2006-02-12T00:00:00"/>
    <x v="1"/>
    <n v="-10"/>
    <n v="-26.967932789902449"/>
    <x v="3"/>
  </r>
  <r>
    <n v="424"/>
    <x v="0"/>
    <d v="2005-08-09T00:00:00"/>
    <x v="2"/>
    <n v="45"/>
    <n v="137.23163667167327"/>
    <x v="2"/>
  </r>
  <r>
    <n v="425"/>
    <x v="4"/>
    <d v="2005-01-23T00:00:00"/>
    <x v="1"/>
    <n v="17"/>
    <n v="53.565793196028118"/>
    <x v="3"/>
  </r>
  <r>
    <n v="426"/>
    <x v="7"/>
    <d v="2005-08-20T00:00:00"/>
    <x v="3"/>
    <n v="-4"/>
    <n v="-10.36408331456853"/>
    <x v="0"/>
  </r>
  <r>
    <n v="427"/>
    <x v="3"/>
    <d v="2006-12-17T00:00:00"/>
    <x v="4"/>
    <n v="43"/>
    <n v="130.80350038976189"/>
    <x v="2"/>
  </r>
  <r>
    <n v="428"/>
    <x v="4"/>
    <d v="2004-10-05T00:00:00"/>
    <x v="3"/>
    <n v="41"/>
    <n v="125.18937528559893"/>
    <x v="2"/>
  </r>
  <r>
    <n v="429"/>
    <x v="7"/>
    <d v="2006-06-24T00:00:00"/>
    <x v="2"/>
    <n v="-4"/>
    <n v="-9.8762446340450722"/>
    <x v="1"/>
  </r>
  <r>
    <n v="430"/>
    <x v="6"/>
    <d v="2004-09-13T00:00:00"/>
    <x v="1"/>
    <n v="6"/>
    <n v="20.388215317654449"/>
    <x v="0"/>
  </r>
  <r>
    <n v="431"/>
    <x v="2"/>
    <d v="2006-05-11T00:00:00"/>
    <x v="1"/>
    <n v="8"/>
    <n v="25.124465791488021"/>
    <x v="3"/>
  </r>
  <r>
    <n v="432"/>
    <x v="1"/>
    <d v="2004-07-09T00:00:00"/>
    <x v="3"/>
    <n v="43"/>
    <n v="131.20326238549768"/>
    <x v="2"/>
  </r>
  <r>
    <n v="433"/>
    <x v="0"/>
    <d v="2004-06-06T00:00:00"/>
    <x v="3"/>
    <n v="47"/>
    <n v="142.67305731753257"/>
    <x v="0"/>
  </r>
  <r>
    <n v="434"/>
    <x v="1"/>
    <d v="2006-08-18T00:00:00"/>
    <x v="0"/>
    <n v="13"/>
    <n v="41.344467136527072"/>
    <x v="0"/>
  </r>
  <r>
    <n v="435"/>
    <x v="7"/>
    <d v="2006-02-01T00:00:00"/>
    <x v="1"/>
    <n v="9"/>
    <n v="28.804240494297932"/>
    <x v="2"/>
  </r>
  <r>
    <n v="436"/>
    <x v="0"/>
    <d v="2004-02-28T00:00:00"/>
    <x v="3"/>
    <n v="22"/>
    <n v="67.510047922862512"/>
    <x v="3"/>
  </r>
  <r>
    <n v="437"/>
    <x v="3"/>
    <d v="2006-03-17T00:00:00"/>
    <x v="3"/>
    <n v="87"/>
    <n v="263.06877286650899"/>
    <x v="0"/>
  </r>
  <r>
    <n v="438"/>
    <x v="5"/>
    <d v="2006-10-23T00:00:00"/>
    <x v="1"/>
    <n v="15"/>
    <n v="46.297252141958666"/>
    <x v="2"/>
  </r>
  <r>
    <n v="439"/>
    <x v="8"/>
    <d v="2006-10-23T00:00:00"/>
    <x v="3"/>
    <n v="27"/>
    <n v="83.407614775333784"/>
    <x v="2"/>
  </r>
  <r>
    <n v="440"/>
    <x v="4"/>
    <d v="2006-04-30T00:00:00"/>
    <x v="2"/>
    <n v="78"/>
    <n v="236.44426202228297"/>
    <x v="1"/>
  </r>
  <r>
    <n v="441"/>
    <x v="8"/>
    <d v="2005-03-19T00:00:00"/>
    <x v="4"/>
    <n v="27"/>
    <n v="82.997777309268898"/>
    <x v="0"/>
  </r>
  <r>
    <n v="442"/>
    <x v="8"/>
    <d v="2004-01-26T00:00:00"/>
    <x v="1"/>
    <n v="19"/>
    <n v="59.621865554565929"/>
    <x v="3"/>
  </r>
  <r>
    <n v="443"/>
    <x v="2"/>
    <d v="2004-02-17T00:00:00"/>
    <x v="4"/>
    <n v="0"/>
    <n v="2.3705199513077329"/>
    <x v="2"/>
  </r>
  <r>
    <n v="444"/>
    <x v="0"/>
    <d v="2004-12-10T00:00:00"/>
    <x v="3"/>
    <n v="30"/>
    <n v="91.969621588308584"/>
    <x v="0"/>
  </r>
  <r>
    <n v="445"/>
    <x v="5"/>
    <d v="2006-08-07T00:00:00"/>
    <x v="2"/>
    <n v="17"/>
    <n v="52.938579538531904"/>
    <x v="1"/>
  </r>
  <r>
    <n v="446"/>
    <x v="1"/>
    <d v="2005-06-04T00:00:00"/>
    <x v="0"/>
    <n v="36"/>
    <n v="109.95144430067725"/>
    <x v="0"/>
  </r>
  <r>
    <n v="447"/>
    <x v="1"/>
    <d v="2006-01-21T00:00:00"/>
    <x v="1"/>
    <n v="-4"/>
    <n v="-10.242938195130456"/>
    <x v="0"/>
  </r>
  <r>
    <n v="448"/>
    <x v="8"/>
    <d v="2004-01-15T00:00:00"/>
    <x v="4"/>
    <n v="4"/>
    <n v="14.170380845910964"/>
    <x v="3"/>
  </r>
  <r>
    <n v="449"/>
    <x v="2"/>
    <d v="2004-06-06T00:00:00"/>
    <x v="3"/>
    <n v="81"/>
    <n v="244.97499865385612"/>
    <x v="3"/>
  </r>
  <r>
    <n v="450"/>
    <x v="5"/>
    <d v="2004-12-21T00:00:00"/>
    <x v="3"/>
    <n v="87"/>
    <n v="263.83037846281559"/>
    <x v="0"/>
  </r>
  <r>
    <n v="451"/>
    <x v="0"/>
    <d v="2004-02-06T00:00:00"/>
    <x v="3"/>
    <n v="13"/>
    <n v="40.507831778483222"/>
    <x v="0"/>
  </r>
  <r>
    <n v="452"/>
    <x v="3"/>
    <d v="2004-05-04T00:00:00"/>
    <x v="0"/>
    <n v="48"/>
    <n v="145.84691044279441"/>
    <x v="3"/>
  </r>
  <r>
    <n v="453"/>
    <x v="0"/>
    <d v="2005-10-03T00:00:00"/>
    <x v="2"/>
    <n v="2"/>
    <n v="7.0981331873476012"/>
    <x v="2"/>
  </r>
  <r>
    <n v="454"/>
    <x v="7"/>
    <d v="2004-06-17T00:00:00"/>
    <x v="0"/>
    <n v="32"/>
    <n v="98.366647965700452"/>
    <x v="3"/>
  </r>
  <r>
    <n v="455"/>
    <x v="2"/>
    <d v="2005-08-31T00:00:00"/>
    <x v="0"/>
    <n v="13"/>
    <n v="41.16877365274803"/>
    <x v="2"/>
  </r>
  <r>
    <n v="456"/>
    <x v="8"/>
    <d v="2006-10-01T00:00:00"/>
    <x v="4"/>
    <n v="94"/>
    <n v="283.45251417423401"/>
    <x v="2"/>
  </r>
  <r>
    <n v="457"/>
    <x v="7"/>
    <d v="2006-03-06T00:00:00"/>
    <x v="4"/>
    <n v="63"/>
    <n v="190.83724952198969"/>
    <x v="3"/>
  </r>
  <r>
    <n v="458"/>
    <x v="3"/>
    <d v="2006-06-13T00:00:00"/>
    <x v="1"/>
    <n v="45"/>
    <n v="136.97942653814263"/>
    <x v="2"/>
  </r>
  <r>
    <n v="459"/>
    <x v="4"/>
    <d v="2005-04-10T00:00:00"/>
    <x v="4"/>
    <n v="71"/>
    <n v="214.76898776471646"/>
    <x v="0"/>
  </r>
  <r>
    <n v="460"/>
    <x v="4"/>
    <d v="2004-04-23T00:00:00"/>
    <x v="4"/>
    <n v="74"/>
    <n v="224.18238847872837"/>
    <x v="3"/>
  </r>
  <r>
    <n v="461"/>
    <x v="2"/>
    <d v="2004-01-26T00:00:00"/>
    <x v="4"/>
    <n v="48"/>
    <n v="145.64951342948135"/>
    <x v="2"/>
  </r>
  <r>
    <n v="462"/>
    <x v="5"/>
    <d v="2004-02-28T00:00:00"/>
    <x v="0"/>
    <n v="63"/>
    <n v="191.1884163928766"/>
    <x v="3"/>
  </r>
  <r>
    <n v="463"/>
    <x v="4"/>
    <d v="2005-04-21T00:00:00"/>
    <x v="0"/>
    <n v="48"/>
    <n v="145.69127497854927"/>
    <x v="2"/>
  </r>
  <r>
    <n v="464"/>
    <x v="1"/>
    <d v="2006-08-29T00:00:00"/>
    <x v="4"/>
    <n v="26"/>
    <n v="80.6144268681997"/>
    <x v="1"/>
  </r>
  <r>
    <n v="465"/>
    <x v="2"/>
    <d v="2006-06-13T00:00:00"/>
    <x v="3"/>
    <n v="58"/>
    <n v="176.26520049915879"/>
    <x v="0"/>
  </r>
  <r>
    <n v="466"/>
    <x v="3"/>
    <d v="2006-02-12T00:00:00"/>
    <x v="0"/>
    <n v="2"/>
    <n v="8.7479494068217463"/>
    <x v="1"/>
  </r>
  <r>
    <n v="467"/>
    <x v="4"/>
    <d v="2006-08-07T00:00:00"/>
    <x v="0"/>
    <n v="36"/>
    <n v="109.67661001591094"/>
    <x v="1"/>
  </r>
  <r>
    <n v="468"/>
    <x v="8"/>
    <d v="2005-06-26T00:00:00"/>
    <x v="4"/>
    <n v="22"/>
    <n v="68.355074793823817"/>
    <x v="3"/>
  </r>
  <r>
    <n v="469"/>
    <x v="8"/>
    <d v="2005-08-09T00:00:00"/>
    <x v="0"/>
    <n v="92"/>
    <n v="277.66680522408262"/>
    <x v="1"/>
  </r>
  <r>
    <n v="470"/>
    <x v="0"/>
    <d v="2004-10-05T00:00:00"/>
    <x v="1"/>
    <n v="29"/>
    <n v="88.713589465763263"/>
    <x v="3"/>
  </r>
  <r>
    <n v="471"/>
    <x v="2"/>
    <d v="2006-10-12T00:00:00"/>
    <x v="0"/>
    <n v="42"/>
    <n v="128.17075092766001"/>
    <x v="0"/>
  </r>
  <r>
    <n v="472"/>
    <x v="5"/>
    <d v="2004-04-23T00:00:00"/>
    <x v="0"/>
    <n v="25"/>
    <n v="77.315706522508677"/>
    <x v="0"/>
  </r>
  <r>
    <n v="473"/>
    <x v="4"/>
    <d v="2005-03-19T00:00:00"/>
    <x v="1"/>
    <n v="40"/>
    <n v="122.53928167294391"/>
    <x v="1"/>
  </r>
  <r>
    <n v="474"/>
    <x v="8"/>
    <d v="2004-05-04T00:00:00"/>
    <x v="0"/>
    <n v="3"/>
    <n v="10.570883063872969"/>
    <x v="0"/>
  </r>
  <r>
    <n v="475"/>
    <x v="0"/>
    <d v="2005-07-18T00:00:00"/>
    <x v="1"/>
    <n v="-1"/>
    <n v="-0.82178994105370951"/>
    <x v="0"/>
  </r>
  <r>
    <n v="476"/>
    <x v="2"/>
    <d v="2006-09-09T00:00:00"/>
    <x v="1"/>
    <n v="12"/>
    <n v="37.686101056343105"/>
    <x v="3"/>
  </r>
  <r>
    <n v="477"/>
    <x v="8"/>
    <d v="2004-06-17T00:00:00"/>
    <x v="3"/>
    <n v="0"/>
    <n v="2.0013600167772623"/>
    <x v="0"/>
  </r>
  <r>
    <n v="478"/>
    <x v="1"/>
    <d v="2006-02-12T00:00:00"/>
    <x v="0"/>
    <n v="35"/>
    <n v="106.26347084870943"/>
    <x v="0"/>
  </r>
  <r>
    <n v="479"/>
    <x v="6"/>
    <d v="2005-05-24T00:00:00"/>
    <x v="1"/>
    <n v="2"/>
    <n v="7.6817477771075868"/>
    <x v="3"/>
  </r>
  <r>
    <n v="480"/>
    <x v="3"/>
    <d v="2006-05-22T00:00:00"/>
    <x v="2"/>
    <n v="10"/>
    <n v="31.785155418327982"/>
    <x v="3"/>
  </r>
  <r>
    <n v="481"/>
    <x v="7"/>
    <d v="2005-10-14T00:00:00"/>
    <x v="3"/>
    <n v="6"/>
    <n v="19.733545359470948"/>
    <x v="1"/>
  </r>
  <r>
    <n v="482"/>
    <x v="7"/>
    <d v="2004-03-10T00:00:00"/>
    <x v="0"/>
    <n v="4"/>
    <n v="14.10456917940213"/>
    <x v="2"/>
  </r>
  <r>
    <n v="483"/>
    <x v="8"/>
    <d v="2006-10-12T00:00:00"/>
    <x v="4"/>
    <n v="91"/>
    <n v="274.92032051274288"/>
    <x v="3"/>
  </r>
  <r>
    <n v="484"/>
    <x v="7"/>
    <d v="2006-07-05T00:00:00"/>
    <x v="0"/>
    <n v="12"/>
    <n v="37.877226411963186"/>
    <x v="3"/>
  </r>
  <r>
    <n v="485"/>
    <x v="3"/>
    <d v="2004-11-07T00:00:00"/>
    <x v="1"/>
    <n v="21"/>
    <n v="65.281423150866814"/>
    <x v="2"/>
  </r>
  <r>
    <n v="486"/>
    <x v="7"/>
    <d v="2005-03-30T00:00:00"/>
    <x v="4"/>
    <n v="44"/>
    <n v="134.31454889834902"/>
    <x v="2"/>
  </r>
  <r>
    <n v="487"/>
    <x v="0"/>
    <d v="2005-01-23T00:00:00"/>
    <x v="3"/>
    <n v="75"/>
    <n v="227.09867242909783"/>
    <x v="2"/>
  </r>
  <r>
    <n v="488"/>
    <x v="0"/>
    <d v="2004-07-20T00:00:00"/>
    <x v="3"/>
    <n v="37"/>
    <n v="112.99692232382439"/>
    <x v="0"/>
  </r>
  <r>
    <n v="489"/>
    <x v="3"/>
    <d v="2006-07-27T00:00:00"/>
    <x v="3"/>
    <n v="58"/>
    <n v="176.06598986452823"/>
    <x v="1"/>
  </r>
  <r>
    <n v="490"/>
    <x v="7"/>
    <d v="2006-02-12T00:00:00"/>
    <x v="3"/>
    <n v="74"/>
    <n v="223.60878513520231"/>
    <x v="0"/>
  </r>
  <r>
    <n v="491"/>
    <x v="1"/>
    <d v="2004-06-06T00:00:00"/>
    <x v="1"/>
    <n v="64"/>
    <n v="193.54947188165715"/>
    <x v="0"/>
  </r>
  <r>
    <n v="492"/>
    <x v="0"/>
    <d v="2005-11-27T00:00:00"/>
    <x v="2"/>
    <n v="53"/>
    <n v="160.46113209921771"/>
    <x v="0"/>
  </r>
  <r>
    <n v="493"/>
    <x v="2"/>
    <d v="2004-04-23T00:00:00"/>
    <x v="3"/>
    <n v="-1"/>
    <n v="-0.45003305566648821"/>
    <x v="1"/>
  </r>
  <r>
    <n v="494"/>
    <x v="2"/>
    <d v="2006-03-06T00:00:00"/>
    <x v="4"/>
    <n v="21"/>
    <n v="65.06546054796479"/>
    <x v="2"/>
  </r>
  <r>
    <n v="495"/>
    <x v="7"/>
    <d v="2006-02-23T00:00:00"/>
    <x v="4"/>
    <n v="90"/>
    <n v="271.33770442615577"/>
    <x v="3"/>
  </r>
  <r>
    <n v="496"/>
    <x v="7"/>
    <d v="2005-10-25T00:00:00"/>
    <x v="2"/>
    <n v="61"/>
    <n v="184.82822454861244"/>
    <x v="1"/>
  </r>
  <r>
    <n v="497"/>
    <x v="0"/>
    <d v="2005-05-13T00:00:00"/>
    <x v="4"/>
    <n v="64"/>
    <n v="193.98125439867269"/>
    <x v="3"/>
  </r>
  <r>
    <n v="498"/>
    <x v="3"/>
    <d v="2006-03-06T00:00:00"/>
    <x v="3"/>
    <n v="79"/>
    <n v="238.60895261406517"/>
    <x v="3"/>
  </r>
  <r>
    <n v="499"/>
    <x v="3"/>
    <d v="2006-05-11T00:00:00"/>
    <x v="1"/>
    <n v="11"/>
    <n v="34.580350260479243"/>
    <x v="2"/>
  </r>
  <r>
    <n v="500"/>
    <x v="4"/>
    <d v="2006-06-13T00:00:00"/>
    <x v="4"/>
    <n v="17"/>
    <n v="52.992178326548526"/>
    <x v="1"/>
  </r>
  <r>
    <n v="501"/>
    <x v="4"/>
    <d v="2006-10-12T00:00:00"/>
    <x v="0"/>
    <n v="-10"/>
    <n v="-28.507437864458012"/>
    <x v="3"/>
  </r>
  <r>
    <n v="502"/>
    <x v="5"/>
    <d v="2004-05-04T00:00:00"/>
    <x v="4"/>
    <n v="61"/>
    <n v="185.38151200169028"/>
    <x v="0"/>
  </r>
  <r>
    <n v="503"/>
    <x v="2"/>
    <d v="2005-07-07T00:00:00"/>
    <x v="3"/>
    <n v="81"/>
    <n v="245.19138414086007"/>
    <x v="2"/>
  </r>
  <r>
    <n v="504"/>
    <x v="4"/>
    <d v="2004-12-21T00:00:00"/>
    <x v="4"/>
    <n v="86"/>
    <n v="259.65061904974743"/>
    <x v="3"/>
  </r>
  <r>
    <n v="505"/>
    <x v="5"/>
    <d v="2004-06-28T00:00:00"/>
    <x v="3"/>
    <n v="-6"/>
    <n v="-16.598209454734359"/>
    <x v="3"/>
  </r>
  <r>
    <n v="506"/>
    <x v="7"/>
    <d v="2005-09-22T00:00:00"/>
    <x v="2"/>
    <n v="75"/>
    <n v="226.29108110625336"/>
    <x v="2"/>
  </r>
  <r>
    <n v="507"/>
    <x v="3"/>
    <d v="2005-07-18T00:00:00"/>
    <x v="4"/>
    <n v="87"/>
    <n v="262.49660177211871"/>
    <x v="2"/>
  </r>
  <r>
    <n v="508"/>
    <x v="8"/>
    <d v="2006-07-16T00:00:00"/>
    <x v="1"/>
    <n v="15"/>
    <n v="47.143262888260409"/>
    <x v="2"/>
  </r>
  <r>
    <n v="509"/>
    <x v="7"/>
    <d v="2005-03-19T00:00:00"/>
    <x v="2"/>
    <n v="6"/>
    <n v="20.042838163999704"/>
    <x v="3"/>
  </r>
  <r>
    <n v="510"/>
    <x v="3"/>
    <d v="2004-02-28T00:00:00"/>
    <x v="3"/>
    <n v="4"/>
    <n v="14.012285541104387"/>
    <x v="3"/>
  </r>
  <r>
    <n v="511"/>
    <x v="7"/>
    <d v="2006-04-08T00:00:00"/>
    <x v="3"/>
    <n v="56"/>
    <n v="169.24877716888537"/>
    <x v="2"/>
  </r>
  <r>
    <n v="512"/>
    <x v="0"/>
    <d v="2004-05-04T00:00:00"/>
    <x v="1"/>
    <n v="76"/>
    <n v="230.1804612249874"/>
    <x v="0"/>
  </r>
  <r>
    <n v="513"/>
    <x v="1"/>
    <d v="2005-07-07T00:00:00"/>
    <x v="2"/>
    <n v="27"/>
    <n v="82.599143929902795"/>
    <x v="0"/>
  </r>
  <r>
    <n v="514"/>
    <x v="0"/>
    <d v="2005-12-19T00:00:00"/>
    <x v="1"/>
    <n v="58"/>
    <n v="175.77181619024202"/>
    <x v="0"/>
  </r>
  <r>
    <n v="515"/>
    <x v="7"/>
    <d v="2004-02-17T00:00:00"/>
    <x v="2"/>
    <n v="67"/>
    <n v="202.62226122372601"/>
    <x v="3"/>
  </r>
  <r>
    <n v="516"/>
    <x v="4"/>
    <d v="2005-09-11T00:00:00"/>
    <x v="0"/>
    <n v="79"/>
    <n v="238.78594564649822"/>
    <x v="0"/>
  </r>
  <r>
    <n v="517"/>
    <x v="5"/>
    <d v="2004-09-13T00:00:00"/>
    <x v="4"/>
    <n v="38"/>
    <n v="116.68598743448534"/>
    <x v="0"/>
  </r>
  <r>
    <n v="518"/>
    <x v="0"/>
    <d v="2004-04-01T00:00:00"/>
    <x v="4"/>
    <n v="4"/>
    <n v="13.641635237019504"/>
    <x v="0"/>
  </r>
  <r>
    <n v="519"/>
    <x v="3"/>
    <d v="2006-03-17T00:00:00"/>
    <x v="3"/>
    <n v="45"/>
    <n v="137.06873634212499"/>
    <x v="0"/>
  </r>
  <r>
    <n v="520"/>
    <x v="0"/>
    <d v="2004-05-15T00:00:00"/>
    <x v="1"/>
    <n v="10"/>
    <n v="32.194899991771997"/>
    <x v="2"/>
  </r>
  <r>
    <n v="521"/>
    <x v="1"/>
    <d v="2005-11-05T00:00:00"/>
    <x v="1"/>
    <n v="86"/>
    <n v="260.39717870163332"/>
    <x v="1"/>
  </r>
  <r>
    <n v="522"/>
    <x v="8"/>
    <d v="2006-05-11T00:00:00"/>
    <x v="1"/>
    <n v="75"/>
    <n v="226.71443824204945"/>
    <x v="2"/>
  </r>
  <r>
    <n v="523"/>
    <x v="6"/>
    <d v="2005-03-19T00:00:00"/>
    <x v="3"/>
    <n v="77"/>
    <n v="232.49630521155086"/>
    <x v="2"/>
  </r>
  <r>
    <n v="524"/>
    <x v="6"/>
    <d v="2004-03-21T00:00:00"/>
    <x v="3"/>
    <n v="10"/>
    <n v="31.818132134554009"/>
    <x v="2"/>
  </r>
  <r>
    <n v="525"/>
    <x v="5"/>
    <d v="2004-10-05T00:00:00"/>
    <x v="1"/>
    <n v="62"/>
    <n v="188.38088235582651"/>
    <x v="2"/>
  </r>
  <r>
    <n v="526"/>
    <x v="0"/>
    <d v="2004-01-26T00:00:00"/>
    <x v="0"/>
    <n v="73"/>
    <n v="221.29214849175239"/>
    <x v="3"/>
  </r>
  <r>
    <n v="527"/>
    <x v="7"/>
    <d v="2004-01-15T00:00:00"/>
    <x v="1"/>
    <n v="62"/>
    <n v="187.23352558776915"/>
    <x v="0"/>
  </r>
  <r>
    <n v="528"/>
    <x v="3"/>
    <d v="2006-06-24T00:00:00"/>
    <x v="4"/>
    <n v="11"/>
    <n v="35.723241285873279"/>
    <x v="3"/>
  </r>
  <r>
    <n v="529"/>
    <x v="1"/>
    <d v="2005-12-19T00:00:00"/>
    <x v="4"/>
    <n v="28"/>
    <n v="86.078223340302799"/>
    <x v="0"/>
  </r>
  <r>
    <n v="530"/>
    <x v="1"/>
    <d v="2004-08-22T00:00:00"/>
    <x v="4"/>
    <n v="57"/>
    <n v="172.3620870689609"/>
    <x v="2"/>
  </r>
  <r>
    <n v="531"/>
    <x v="8"/>
    <d v="2004-12-10T00:00:00"/>
    <x v="3"/>
    <n v="34"/>
    <n v="103.4937406460938"/>
    <x v="0"/>
  </r>
  <r>
    <n v="532"/>
    <x v="7"/>
    <d v="2005-10-14T00:00:00"/>
    <x v="3"/>
    <n v="89"/>
    <n v="267.86415015075153"/>
    <x v="2"/>
  </r>
  <r>
    <n v="533"/>
    <x v="1"/>
    <d v="2004-09-24T00:00:00"/>
    <x v="0"/>
    <n v="32"/>
    <n v="97.889348643674225"/>
    <x v="1"/>
  </r>
  <r>
    <n v="534"/>
    <x v="3"/>
    <d v="2006-11-25T00:00:00"/>
    <x v="3"/>
    <n v="38"/>
    <n v="116.04458768996518"/>
    <x v="3"/>
  </r>
  <r>
    <n v="535"/>
    <x v="5"/>
    <d v="2005-08-20T00:00:00"/>
    <x v="0"/>
    <n v="82"/>
    <n v="248.04707692390426"/>
    <x v="3"/>
  </r>
  <r>
    <n v="536"/>
    <x v="7"/>
    <d v="2004-05-26T00:00:00"/>
    <x v="1"/>
    <n v="29"/>
    <n v="89.294687359204545"/>
    <x v="0"/>
  </r>
  <r>
    <n v="537"/>
    <x v="6"/>
    <d v="2006-10-01T00:00:00"/>
    <x v="2"/>
    <n v="17"/>
    <n v="52.246197330854876"/>
    <x v="2"/>
  </r>
  <r>
    <n v="538"/>
    <x v="1"/>
    <d v="2004-08-11T00:00:00"/>
    <x v="3"/>
    <n v="50"/>
    <n v="151.86525901218997"/>
    <x v="3"/>
  </r>
  <r>
    <n v="539"/>
    <x v="4"/>
    <d v="2004-04-01T00:00:00"/>
    <x v="2"/>
    <n v="7"/>
    <n v="22.95994805531884"/>
    <x v="3"/>
  </r>
  <r>
    <n v="540"/>
    <x v="2"/>
    <d v="2005-03-19T00:00:00"/>
    <x v="0"/>
    <n v="50"/>
    <n v="151.36182402448466"/>
    <x v="3"/>
  </r>
  <r>
    <n v="541"/>
    <x v="5"/>
    <d v="2005-02-25T00:00:00"/>
    <x v="2"/>
    <n v="20"/>
    <n v="61.878678847796238"/>
    <x v="1"/>
  </r>
  <r>
    <n v="542"/>
    <x v="7"/>
    <d v="2005-02-25T00:00:00"/>
    <x v="1"/>
    <n v="37"/>
    <n v="112.83363370259229"/>
    <x v="3"/>
  </r>
  <r>
    <n v="543"/>
    <x v="3"/>
    <d v="2004-09-02T00:00:00"/>
    <x v="4"/>
    <n v="58"/>
    <n v="176.6097113560426"/>
    <x v="3"/>
  </r>
  <r>
    <n v="544"/>
    <x v="4"/>
    <d v="2006-01-21T00:00:00"/>
    <x v="1"/>
    <n v="25"/>
    <n v="76.920283125674487"/>
    <x v="0"/>
  </r>
  <r>
    <n v="545"/>
    <x v="1"/>
    <d v="2004-04-01T00:00:00"/>
    <x v="3"/>
    <n v="34"/>
    <n v="103.18208157525912"/>
    <x v="1"/>
  </r>
  <r>
    <n v="546"/>
    <x v="0"/>
    <d v="2006-10-23T00:00:00"/>
    <x v="1"/>
    <n v="3"/>
    <n v="11.582072936390588"/>
    <x v="1"/>
  </r>
  <r>
    <n v="547"/>
    <x v="0"/>
    <d v="2006-10-01T00:00:00"/>
    <x v="2"/>
    <n v="63"/>
    <n v="190.58521809047551"/>
    <x v="3"/>
  </r>
  <r>
    <n v="548"/>
    <x v="0"/>
    <d v="2006-01-10T00:00:00"/>
    <x v="3"/>
    <n v="44"/>
    <n v="133.61508244900483"/>
    <x v="1"/>
  </r>
  <r>
    <n v="549"/>
    <x v="8"/>
    <d v="2004-04-12T00:00:00"/>
    <x v="3"/>
    <n v="87"/>
    <n v="263.16283259571526"/>
    <x v="1"/>
  </r>
  <r>
    <n v="550"/>
    <x v="7"/>
    <d v="2005-02-25T00:00:00"/>
    <x v="2"/>
    <n v="4"/>
    <n v="14.191095035521025"/>
    <x v="0"/>
  </r>
  <r>
    <n v="551"/>
    <x v="2"/>
    <d v="2006-04-19T00:00:00"/>
    <x v="1"/>
    <n v="93"/>
    <n v="281.17072628162578"/>
    <x v="1"/>
  </r>
  <r>
    <n v="552"/>
    <x v="5"/>
    <d v="2004-11-29T00:00:00"/>
    <x v="2"/>
    <n v="10"/>
    <n v="32.065090501540446"/>
    <x v="3"/>
  </r>
  <r>
    <n v="553"/>
    <x v="3"/>
    <d v="2006-12-17T00:00:00"/>
    <x v="4"/>
    <n v="19"/>
    <n v="58.972126169367577"/>
    <x v="3"/>
  </r>
  <r>
    <n v="554"/>
    <x v="1"/>
    <d v="2005-07-18T00:00:00"/>
    <x v="3"/>
    <n v="30"/>
    <n v="92.527630840276103"/>
    <x v="0"/>
  </r>
  <r>
    <n v="555"/>
    <x v="2"/>
    <d v="2006-11-14T00:00:00"/>
    <x v="4"/>
    <n v="-1"/>
    <n v="-1.2782372664639507"/>
    <x v="0"/>
  </r>
  <r>
    <n v="556"/>
    <x v="7"/>
    <d v="2006-04-30T00:00:00"/>
    <x v="3"/>
    <n v="46"/>
    <n v="139.41162650743053"/>
    <x v="3"/>
  </r>
  <r>
    <n v="557"/>
    <x v="5"/>
    <d v="2004-09-02T00:00:00"/>
    <x v="1"/>
    <n v="44"/>
    <n v="133.50877739627518"/>
    <x v="1"/>
  </r>
  <r>
    <n v="558"/>
    <x v="0"/>
    <d v="2004-10-27T00:00:00"/>
    <x v="3"/>
    <n v="47"/>
    <n v="143.21221530085697"/>
    <x v="1"/>
  </r>
  <r>
    <n v="559"/>
    <x v="7"/>
    <d v="2006-09-09T00:00:00"/>
    <x v="3"/>
    <n v="86"/>
    <n v="260.39157259526775"/>
    <x v="3"/>
  </r>
  <r>
    <n v="560"/>
    <x v="7"/>
    <d v="2006-07-27T00:00:00"/>
    <x v="1"/>
    <n v="76"/>
    <n v="229.96347977242982"/>
    <x v="1"/>
  </r>
  <r>
    <n v="561"/>
    <x v="3"/>
    <d v="2004-04-01T00:00:00"/>
    <x v="4"/>
    <n v="55"/>
    <n v="166.99029890676019"/>
    <x v="2"/>
  </r>
  <r>
    <n v="562"/>
    <x v="2"/>
    <d v="2004-05-26T00:00:00"/>
    <x v="3"/>
    <n v="-1"/>
    <n v="-0.79289798318866422"/>
    <x v="0"/>
  </r>
  <r>
    <n v="563"/>
    <x v="2"/>
    <d v="2004-07-20T00:00:00"/>
    <x v="4"/>
    <n v="62"/>
    <n v="187.63361707571198"/>
    <x v="2"/>
  </r>
  <r>
    <n v="564"/>
    <x v="2"/>
    <d v="2004-01-26T00:00:00"/>
    <x v="1"/>
    <n v="73"/>
    <n v="220.96515803490902"/>
    <x v="1"/>
  </r>
  <r>
    <n v="565"/>
    <x v="1"/>
    <d v="2004-11-07T00:00:00"/>
    <x v="2"/>
    <n v="12"/>
    <n v="38.43875396047023"/>
    <x v="2"/>
  </r>
  <r>
    <n v="566"/>
    <x v="6"/>
    <d v="2004-08-22T00:00:00"/>
    <x v="4"/>
    <n v="0"/>
    <n v="1.5994060348452668"/>
    <x v="2"/>
  </r>
  <r>
    <n v="567"/>
    <x v="8"/>
    <d v="2006-08-18T00:00:00"/>
    <x v="3"/>
    <n v="23"/>
    <n v="71.39535724005502"/>
    <x v="2"/>
  </r>
  <r>
    <n v="568"/>
    <x v="8"/>
    <d v="2005-01-23T00:00:00"/>
    <x v="3"/>
    <n v="73"/>
    <n v="220.80778472883722"/>
    <x v="1"/>
  </r>
  <r>
    <n v="569"/>
    <x v="7"/>
    <d v="2005-06-04T00:00:00"/>
    <x v="0"/>
    <n v="73"/>
    <n v="221.78112807048697"/>
    <x v="2"/>
  </r>
  <r>
    <n v="570"/>
    <x v="6"/>
    <d v="2005-03-19T00:00:00"/>
    <x v="1"/>
    <n v="43"/>
    <n v="131.05809583118935"/>
    <x v="0"/>
  </r>
  <r>
    <n v="571"/>
    <x v="1"/>
    <d v="2006-07-27T00:00:00"/>
    <x v="2"/>
    <n v="60"/>
    <n v="182.29246065825532"/>
    <x v="3"/>
  </r>
  <r>
    <n v="572"/>
    <x v="6"/>
    <d v="2006-12-06T00:00:00"/>
    <x v="0"/>
    <n v="40"/>
    <n v="121.86602847443184"/>
    <x v="1"/>
  </r>
  <r>
    <n v="573"/>
    <x v="7"/>
    <d v="2005-07-29T00:00:00"/>
    <x v="0"/>
    <n v="-7"/>
    <n v="-18.9155229231676"/>
    <x v="1"/>
  </r>
  <r>
    <n v="574"/>
    <x v="0"/>
    <d v="2004-09-24T00:00:00"/>
    <x v="1"/>
    <n v="39"/>
    <n v="118.36577315011976"/>
    <x v="1"/>
  </r>
  <r>
    <n v="575"/>
    <x v="4"/>
    <d v="2005-01-01T00:00:00"/>
    <x v="4"/>
    <n v="84"/>
    <n v="253.79033414178701"/>
    <x v="2"/>
  </r>
  <r>
    <n v="576"/>
    <x v="7"/>
    <d v="2006-04-30T00:00:00"/>
    <x v="2"/>
    <n v="92"/>
    <n v="277.80911377540116"/>
    <x v="2"/>
  </r>
  <r>
    <n v="577"/>
    <x v="1"/>
    <d v="2005-10-03T00:00:00"/>
    <x v="4"/>
    <n v="68"/>
    <n v="206.08318598884486"/>
    <x v="0"/>
  </r>
  <r>
    <n v="578"/>
    <x v="1"/>
    <d v="2004-11-07T00:00:00"/>
    <x v="0"/>
    <n v="7"/>
    <n v="23.192583270070902"/>
    <x v="3"/>
  </r>
  <r>
    <n v="579"/>
    <x v="3"/>
    <d v="2006-10-12T00:00:00"/>
    <x v="3"/>
    <n v="-9"/>
    <n v="-24.836237139949766"/>
    <x v="0"/>
  </r>
  <r>
    <n v="580"/>
    <x v="8"/>
    <d v="2005-10-14T00:00:00"/>
    <x v="4"/>
    <n v="51"/>
    <n v="154.40065127641515"/>
    <x v="1"/>
  </r>
  <r>
    <n v="581"/>
    <x v="1"/>
    <d v="2005-11-27T00:00:00"/>
    <x v="0"/>
    <n v="59"/>
    <n v="178.89731679899467"/>
    <x v="0"/>
  </r>
  <r>
    <n v="582"/>
    <x v="5"/>
    <d v="2005-11-05T00:00:00"/>
    <x v="4"/>
    <n v="64"/>
    <n v="194.44151134010454"/>
    <x v="2"/>
  </r>
  <r>
    <n v="583"/>
    <x v="8"/>
    <d v="2005-11-16T00:00:00"/>
    <x v="0"/>
    <n v="0"/>
    <n v="2.516330534249033"/>
    <x v="3"/>
  </r>
  <r>
    <n v="584"/>
    <x v="7"/>
    <d v="2005-02-14T00:00:00"/>
    <x v="4"/>
    <n v="81"/>
    <n v="243.81590205081088"/>
    <x v="1"/>
  </r>
  <r>
    <n v="585"/>
    <x v="6"/>
    <d v="2005-04-10T00:00:00"/>
    <x v="2"/>
    <n v="93"/>
    <n v="280.7978115895645"/>
    <x v="1"/>
  </r>
  <r>
    <n v="586"/>
    <x v="8"/>
    <d v="2006-02-01T00:00:00"/>
    <x v="0"/>
    <n v="20"/>
    <n v="61.967424849894947"/>
    <x v="0"/>
  </r>
  <r>
    <n v="587"/>
    <x v="2"/>
    <d v="2005-06-04T00:00:00"/>
    <x v="3"/>
    <n v="39"/>
    <n v="119.9083594229058"/>
    <x v="3"/>
  </r>
  <r>
    <n v="588"/>
    <x v="5"/>
    <d v="2004-10-27T00:00:00"/>
    <x v="1"/>
    <n v="6"/>
    <n v="20.018331980892231"/>
    <x v="0"/>
  </r>
  <r>
    <n v="589"/>
    <x v="5"/>
    <d v="2004-02-17T00:00:00"/>
    <x v="1"/>
    <n v="34"/>
    <n v="103.67942872150846"/>
    <x v="0"/>
  </r>
  <r>
    <n v="590"/>
    <x v="1"/>
    <d v="2006-02-01T00:00:00"/>
    <x v="0"/>
    <n v="33"/>
    <n v="101.31101808549928"/>
    <x v="2"/>
  </r>
  <r>
    <n v="591"/>
    <x v="2"/>
    <d v="2004-01-15T00:00:00"/>
    <x v="2"/>
    <n v="-10"/>
    <n v="-28.463885870908516"/>
    <x v="2"/>
  </r>
  <r>
    <n v="592"/>
    <x v="8"/>
    <d v="2006-08-07T00:00:00"/>
    <x v="3"/>
    <n v="47"/>
    <n v="141.97140662710891"/>
    <x v="1"/>
  </r>
  <r>
    <n v="593"/>
    <x v="6"/>
    <d v="2004-01-15T00:00:00"/>
    <x v="1"/>
    <n v="94"/>
    <n v="284.61276074739663"/>
    <x v="3"/>
  </r>
  <r>
    <n v="594"/>
    <x v="1"/>
    <d v="2006-06-02T00:00:00"/>
    <x v="1"/>
    <n v="92"/>
    <n v="278.22640918878471"/>
    <x v="1"/>
  </r>
  <r>
    <n v="595"/>
    <x v="4"/>
    <d v="2005-01-12T00:00:00"/>
    <x v="0"/>
    <n v="68"/>
    <n v="205.95905527766212"/>
    <x v="0"/>
  </r>
  <r>
    <n v="596"/>
    <x v="7"/>
    <d v="2004-03-21T00:00:00"/>
    <x v="0"/>
    <n v="37"/>
    <n v="112.85151912863849"/>
    <x v="1"/>
  </r>
  <r>
    <n v="597"/>
    <x v="6"/>
    <d v="2004-07-20T00:00:00"/>
    <x v="3"/>
    <n v="78"/>
    <n v="235.37144026519812"/>
    <x v="0"/>
  </r>
  <r>
    <n v="598"/>
    <x v="1"/>
    <d v="2006-12-06T00:00:00"/>
    <x v="3"/>
    <n v="14"/>
    <n v="43.756013144501985"/>
    <x v="3"/>
  </r>
  <r>
    <n v="599"/>
    <x v="8"/>
    <d v="2006-11-03T00:00:00"/>
    <x v="1"/>
    <n v="33"/>
    <n v="100.54958475062591"/>
    <x v="3"/>
  </r>
  <r>
    <n v="600"/>
    <x v="6"/>
    <d v="2004-06-17T00:00:00"/>
    <x v="3"/>
    <n v="64"/>
    <n v="194.18188189830369"/>
    <x v="2"/>
  </r>
  <r>
    <n v="601"/>
    <x v="3"/>
    <d v="2006-08-07T00:00:00"/>
    <x v="0"/>
    <n v="6"/>
    <n v="20.229703821540529"/>
    <x v="0"/>
  </r>
  <r>
    <n v="602"/>
    <x v="8"/>
    <d v="2006-06-02T00:00:00"/>
    <x v="2"/>
    <n v="65"/>
    <n v="197.4890682991998"/>
    <x v="2"/>
  </r>
  <r>
    <n v="603"/>
    <x v="0"/>
    <d v="2004-01-15T00:00:00"/>
    <x v="4"/>
    <n v="24"/>
    <n v="74.283089497229128"/>
    <x v="0"/>
  </r>
  <r>
    <n v="604"/>
    <x v="4"/>
    <d v="2005-12-19T00:00:00"/>
    <x v="2"/>
    <n v="89"/>
    <n v="269.00888504806545"/>
    <x v="1"/>
  </r>
  <r>
    <n v="605"/>
    <x v="4"/>
    <d v="2005-10-03T00:00:00"/>
    <x v="4"/>
    <n v="94"/>
    <n v="284.24987523561106"/>
    <x v="3"/>
  </r>
  <r>
    <n v="606"/>
    <x v="3"/>
    <d v="2005-12-08T00:00:00"/>
    <x v="1"/>
    <n v="67"/>
    <n v="203.71315269974144"/>
    <x v="0"/>
  </r>
  <r>
    <n v="607"/>
    <x v="4"/>
    <d v="2004-08-11T00:00:00"/>
    <x v="4"/>
    <n v="7"/>
    <n v="23.434372885216568"/>
    <x v="0"/>
  </r>
  <r>
    <n v="608"/>
    <x v="4"/>
    <d v="2004-09-24T00:00:00"/>
    <x v="1"/>
    <n v="58"/>
    <n v="176.00311303023639"/>
    <x v="3"/>
  </r>
  <r>
    <n v="609"/>
    <x v="7"/>
    <d v="2004-06-17T00:00:00"/>
    <x v="4"/>
    <n v="77"/>
    <n v="232.66821530494673"/>
    <x v="1"/>
  </r>
  <r>
    <n v="610"/>
    <x v="3"/>
    <d v="2005-09-11T00:00:00"/>
    <x v="3"/>
    <n v="50"/>
    <n v="151.12327703696886"/>
    <x v="3"/>
  </r>
  <r>
    <n v="611"/>
    <x v="0"/>
    <d v="2006-08-07T00:00:00"/>
    <x v="0"/>
    <n v="10"/>
    <n v="32.139866181276794"/>
    <x v="0"/>
  </r>
  <r>
    <n v="612"/>
    <x v="1"/>
    <d v="2005-08-31T00:00:00"/>
    <x v="4"/>
    <n v="2"/>
    <n v="7.7805066936063501"/>
    <x v="2"/>
  </r>
  <r>
    <n v="613"/>
    <x v="2"/>
    <d v="2006-07-27T00:00:00"/>
    <x v="4"/>
    <n v="17"/>
    <n v="53.692138808043005"/>
    <x v="3"/>
  </r>
  <r>
    <n v="614"/>
    <x v="5"/>
    <d v="2005-05-02T00:00:00"/>
    <x v="4"/>
    <n v="90"/>
    <n v="272.41389128062559"/>
    <x v="1"/>
  </r>
  <r>
    <n v="615"/>
    <x v="1"/>
    <d v="2006-11-25T00:00:00"/>
    <x v="1"/>
    <n v="58"/>
    <n v="175.59064342356595"/>
    <x v="0"/>
  </r>
  <r>
    <n v="616"/>
    <x v="5"/>
    <d v="2006-01-21T00:00:00"/>
    <x v="4"/>
    <n v="66"/>
    <n v="199.92690698146819"/>
    <x v="1"/>
  </r>
  <r>
    <n v="617"/>
    <x v="7"/>
    <d v="2004-06-28T00:00:00"/>
    <x v="3"/>
    <n v="6"/>
    <n v="20.242222983134283"/>
    <x v="1"/>
  </r>
  <r>
    <n v="618"/>
    <x v="4"/>
    <d v="2006-04-19T00:00:00"/>
    <x v="0"/>
    <n v="90"/>
    <n v="272.58718593660444"/>
    <x v="0"/>
  </r>
  <r>
    <n v="619"/>
    <x v="4"/>
    <d v="2006-05-22T00:00:00"/>
    <x v="0"/>
    <n v="38"/>
    <n v="115.85799136725458"/>
    <x v="2"/>
  </r>
  <r>
    <n v="620"/>
    <x v="5"/>
    <d v="2004-10-05T00:00:00"/>
    <x v="4"/>
    <n v="3"/>
    <n v="10.907655295049528"/>
    <x v="1"/>
  </r>
  <r>
    <n v="621"/>
    <x v="6"/>
    <d v="2004-04-12T00:00:00"/>
    <x v="1"/>
    <n v="-4"/>
    <n v="-10.39215955971811"/>
    <x v="1"/>
  </r>
  <r>
    <n v="622"/>
    <x v="2"/>
    <d v="2004-06-17T00:00:00"/>
    <x v="3"/>
    <n v="8"/>
    <n v="25.899680153324056"/>
    <x v="2"/>
  </r>
  <r>
    <n v="623"/>
    <x v="4"/>
    <d v="2004-04-01T00:00:00"/>
    <x v="4"/>
    <n v="-8"/>
    <n v="-22.23218548835203"/>
    <x v="2"/>
  </r>
  <r>
    <n v="624"/>
    <x v="1"/>
    <d v="2004-09-24T00:00:00"/>
    <x v="4"/>
    <n v="72"/>
    <n v="218.68777878091251"/>
    <x v="1"/>
  </r>
  <r>
    <n v="625"/>
    <x v="7"/>
    <d v="2006-01-21T00:00:00"/>
    <x v="3"/>
    <n v="83"/>
    <n v="250.66590250032371"/>
    <x v="2"/>
  </r>
  <r>
    <n v="626"/>
    <x v="3"/>
    <d v="2006-06-02T00:00:00"/>
    <x v="1"/>
    <n v="12"/>
    <n v="38.977588204951147"/>
    <x v="2"/>
  </r>
  <r>
    <n v="627"/>
    <x v="4"/>
    <d v="2006-05-22T00:00:00"/>
    <x v="1"/>
    <n v="-8"/>
    <n v="-21.533260342562944"/>
    <x v="0"/>
  </r>
  <r>
    <n v="628"/>
    <x v="0"/>
    <d v="2006-02-12T00:00:00"/>
    <x v="3"/>
    <n v="22"/>
    <n v="68.129641213452771"/>
    <x v="2"/>
  </r>
  <r>
    <n v="629"/>
    <x v="5"/>
    <d v="2006-11-03T00:00:00"/>
    <x v="4"/>
    <n v="-2"/>
    <n v="-3.8295287737581956"/>
    <x v="2"/>
  </r>
  <r>
    <n v="630"/>
    <x v="1"/>
    <d v="2006-01-10T00:00:00"/>
    <x v="1"/>
    <n v="55"/>
    <n v="166.77106419074752"/>
    <x v="0"/>
  </r>
  <r>
    <n v="631"/>
    <x v="7"/>
    <d v="2006-06-24T00:00:00"/>
    <x v="3"/>
    <n v="40"/>
    <n v="122.55166369572477"/>
    <x v="2"/>
  </r>
  <r>
    <n v="632"/>
    <x v="0"/>
    <d v="2005-06-26T00:00:00"/>
    <x v="1"/>
    <n v="61"/>
    <n v="183.9597681482735"/>
    <x v="1"/>
  </r>
  <r>
    <n v="633"/>
    <x v="1"/>
    <d v="2005-06-15T00:00:00"/>
    <x v="3"/>
    <n v="40"/>
    <n v="122.54107894599883"/>
    <x v="0"/>
  </r>
  <r>
    <n v="634"/>
    <x v="7"/>
    <d v="2006-09-09T00:00:00"/>
    <x v="3"/>
    <n v="31"/>
    <n v="94.683925421109407"/>
    <x v="1"/>
  </r>
  <r>
    <n v="635"/>
    <x v="0"/>
    <d v="2004-04-23T00:00:00"/>
    <x v="4"/>
    <n v="6"/>
    <n v="20.454607256507078"/>
    <x v="1"/>
  </r>
  <r>
    <n v="636"/>
    <x v="1"/>
    <d v="2005-10-25T00:00:00"/>
    <x v="1"/>
    <n v="-6"/>
    <n v="-16.100658619760122"/>
    <x v="0"/>
  </r>
  <r>
    <n v="637"/>
    <x v="1"/>
    <d v="2005-07-07T00:00:00"/>
    <x v="3"/>
    <n v="14"/>
    <n v="43.396216100245972"/>
    <x v="1"/>
  </r>
  <r>
    <n v="638"/>
    <x v="1"/>
    <d v="2004-07-31T00:00:00"/>
    <x v="4"/>
    <n v="94"/>
    <n v="283.87519041996188"/>
    <x v="3"/>
  </r>
  <r>
    <n v="639"/>
    <x v="7"/>
    <d v="2005-07-29T00:00:00"/>
    <x v="4"/>
    <n v="70"/>
    <n v="212.26863794218977"/>
    <x v="3"/>
  </r>
  <r>
    <n v="640"/>
    <x v="6"/>
    <d v="2004-11-07T00:00:00"/>
    <x v="0"/>
    <n v="-8"/>
    <n v="-21.44176526239897"/>
    <x v="0"/>
  </r>
  <r>
    <n v="641"/>
    <x v="6"/>
    <d v="2006-11-03T00:00:00"/>
    <x v="0"/>
    <n v="-8"/>
    <n v="-21.90881602461678"/>
    <x v="0"/>
  </r>
  <r>
    <n v="642"/>
    <x v="2"/>
    <d v="2005-12-30T00:00:00"/>
    <x v="4"/>
    <n v="2"/>
    <n v="7.6416014365752867"/>
    <x v="1"/>
  </r>
  <r>
    <n v="643"/>
    <x v="1"/>
    <d v="2004-01-04T00:00:00"/>
    <x v="2"/>
    <n v="10"/>
    <n v="31.842188072685396"/>
    <x v="0"/>
  </r>
  <r>
    <n v="644"/>
    <x v="8"/>
    <d v="2005-05-02T00:00:00"/>
    <x v="3"/>
    <n v="51"/>
    <n v="154.53175695635341"/>
    <x v="0"/>
  </r>
  <r>
    <n v="645"/>
    <x v="8"/>
    <d v="2004-04-01T00:00:00"/>
    <x v="3"/>
    <n v="5"/>
    <n v="16.85379509706091"/>
    <x v="0"/>
  </r>
  <r>
    <n v="646"/>
    <x v="6"/>
    <d v="2006-06-02T00:00:00"/>
    <x v="3"/>
    <n v="39"/>
    <n v="119.48835042374725"/>
    <x v="0"/>
  </r>
  <r>
    <n v="647"/>
    <x v="2"/>
    <d v="2004-03-21T00:00:00"/>
    <x v="3"/>
    <n v="20"/>
    <n v="61.926239627210521"/>
    <x v="2"/>
  </r>
  <r>
    <n v="648"/>
    <x v="6"/>
    <d v="2004-11-29T00:00:00"/>
    <x v="1"/>
    <n v="29"/>
    <n v="88.79031532479398"/>
    <x v="0"/>
  </r>
  <r>
    <n v="649"/>
    <x v="3"/>
    <d v="2006-02-01T00:00:00"/>
    <x v="1"/>
    <n v="43"/>
    <n v="130.59550390758056"/>
    <x v="1"/>
  </r>
  <r>
    <n v="650"/>
    <x v="2"/>
    <d v="2004-09-02T00:00:00"/>
    <x v="4"/>
    <n v="40"/>
    <n v="122.34177646477217"/>
    <x v="1"/>
  </r>
  <r>
    <n v="651"/>
    <x v="6"/>
    <d v="2006-02-12T00:00:00"/>
    <x v="1"/>
    <n v="36"/>
    <n v="109.40924257339921"/>
    <x v="0"/>
  </r>
  <r>
    <n v="652"/>
    <x v="6"/>
    <d v="2005-01-23T00:00:00"/>
    <x v="3"/>
    <n v="88"/>
    <n v="265.7031232579136"/>
    <x v="0"/>
  </r>
  <r>
    <n v="653"/>
    <x v="0"/>
    <d v="2005-02-03T00:00:00"/>
    <x v="4"/>
    <n v="55"/>
    <n v="166.43173248267502"/>
    <x v="0"/>
  </r>
  <r>
    <n v="654"/>
    <x v="7"/>
    <d v="2004-12-21T00:00:00"/>
    <x v="3"/>
    <n v="65"/>
    <n v="196.86478787466569"/>
    <x v="2"/>
  </r>
  <r>
    <n v="655"/>
    <x v="7"/>
    <d v="2005-07-07T00:00:00"/>
    <x v="0"/>
    <n v="6"/>
    <n v="19.488992935915519"/>
    <x v="2"/>
  </r>
  <r>
    <n v="656"/>
    <x v="8"/>
    <d v="2006-05-22T00:00:00"/>
    <x v="1"/>
    <n v="-1"/>
    <n v="-1.2299707953687746"/>
    <x v="1"/>
  </r>
  <r>
    <n v="657"/>
    <x v="7"/>
    <d v="2006-09-20T00:00:00"/>
    <x v="1"/>
    <n v="32"/>
    <n v="97.808768000127685"/>
    <x v="0"/>
  </r>
  <r>
    <n v="658"/>
    <x v="1"/>
    <d v="2006-01-21T00:00:00"/>
    <x v="4"/>
    <n v="17"/>
    <n v="53.061016492331653"/>
    <x v="0"/>
  </r>
  <r>
    <n v="659"/>
    <x v="3"/>
    <d v="2004-07-09T00:00:00"/>
    <x v="3"/>
    <n v="25"/>
    <n v="76.378602488098551"/>
    <x v="3"/>
  </r>
  <r>
    <n v="660"/>
    <x v="3"/>
    <d v="2005-03-30T00:00:00"/>
    <x v="3"/>
    <n v="11"/>
    <n v="35.7534803858521"/>
    <x v="3"/>
  </r>
  <r>
    <n v="661"/>
    <x v="3"/>
    <d v="2004-02-17T00:00:00"/>
    <x v="4"/>
    <n v="51"/>
    <n v="155.019536467064"/>
    <x v="0"/>
  </r>
  <r>
    <n v="662"/>
    <x v="6"/>
    <d v="2006-11-03T00:00:00"/>
    <x v="2"/>
    <n v="25"/>
    <n v="78.068436112651099"/>
    <x v="2"/>
  </r>
  <r>
    <n v="663"/>
    <x v="1"/>
    <d v="2006-11-14T00:00:00"/>
    <x v="3"/>
    <n v="27"/>
    <n v="82.450851057331235"/>
    <x v="3"/>
  </r>
  <r>
    <n v="664"/>
    <x v="0"/>
    <d v="2005-06-15T00:00:00"/>
    <x v="0"/>
    <n v="38"/>
    <n v="116.7885336432518"/>
    <x v="2"/>
  </r>
  <r>
    <n v="665"/>
    <x v="5"/>
    <d v="2006-09-20T00:00:00"/>
    <x v="1"/>
    <n v="27"/>
    <n v="82.569702610812897"/>
    <x v="1"/>
  </r>
  <r>
    <n v="666"/>
    <x v="7"/>
    <d v="2006-06-13T00:00:00"/>
    <x v="3"/>
    <n v="59"/>
    <n v="178.6321576680669"/>
    <x v="2"/>
  </r>
  <r>
    <n v="667"/>
    <x v="8"/>
    <d v="2006-02-12T00:00:00"/>
    <x v="1"/>
    <n v="73"/>
    <n v="220.44792756124494"/>
    <x v="2"/>
  </r>
  <r>
    <n v="668"/>
    <x v="4"/>
    <d v="2005-08-31T00:00:00"/>
    <x v="3"/>
    <n v="43"/>
    <n v="131.45497532370047"/>
    <x v="1"/>
  </r>
  <r>
    <n v="669"/>
    <x v="5"/>
    <d v="2006-07-05T00:00:00"/>
    <x v="4"/>
    <n v="51"/>
    <n v="154.77819453893821"/>
    <x v="2"/>
  </r>
  <r>
    <n v="670"/>
    <x v="0"/>
    <d v="2004-09-13T00:00:00"/>
    <x v="0"/>
    <n v="32"/>
    <n v="98.006987571648764"/>
    <x v="1"/>
  </r>
  <r>
    <n v="671"/>
    <x v="3"/>
    <d v="2006-04-08T00:00:00"/>
    <x v="0"/>
    <n v="89"/>
    <n v="268.58829363415754"/>
    <x v="1"/>
  </r>
  <r>
    <n v="672"/>
    <x v="7"/>
    <d v="2005-11-27T00:00:00"/>
    <x v="4"/>
    <n v="-1"/>
    <n v="-0.61047743439715862"/>
    <x v="3"/>
  </r>
  <r>
    <n v="673"/>
    <x v="1"/>
    <d v="2006-03-17T00:00:00"/>
    <x v="3"/>
    <n v="26"/>
    <n v="81.086402502793618"/>
    <x v="3"/>
  </r>
  <r>
    <n v="674"/>
    <x v="7"/>
    <d v="2005-02-25T00:00:00"/>
    <x v="1"/>
    <n v="56"/>
    <n v="170.28880484978066"/>
    <x v="1"/>
  </r>
  <r>
    <n v="675"/>
    <x v="0"/>
    <d v="2004-08-22T00:00:00"/>
    <x v="0"/>
    <n v="10"/>
    <n v="32.446099013561927"/>
    <x v="1"/>
  </r>
  <r>
    <n v="676"/>
    <x v="1"/>
    <d v="2004-02-06T00:00:00"/>
    <x v="2"/>
    <n v="8"/>
    <n v="25.639457060752605"/>
    <x v="3"/>
  </r>
  <r>
    <n v="677"/>
    <x v="4"/>
    <d v="2005-05-02T00:00:00"/>
    <x v="3"/>
    <n v="75"/>
    <n v="226.81359807971779"/>
    <x v="0"/>
  </r>
  <r>
    <n v="678"/>
    <x v="7"/>
    <d v="2005-02-03T00:00:00"/>
    <x v="1"/>
    <n v="79"/>
    <n v="239.4766385714239"/>
    <x v="3"/>
  </r>
  <r>
    <n v="679"/>
    <x v="4"/>
    <d v="2005-05-13T00:00:00"/>
    <x v="1"/>
    <n v="25"/>
    <n v="75.944187671627063"/>
    <x v="0"/>
  </r>
  <r>
    <n v="680"/>
    <x v="5"/>
    <d v="2006-10-12T00:00:00"/>
    <x v="0"/>
    <n v="22"/>
    <n v="68.814390503031333"/>
    <x v="3"/>
  </r>
  <r>
    <n v="681"/>
    <x v="0"/>
    <d v="2004-09-13T00:00:00"/>
    <x v="2"/>
    <n v="88"/>
    <n v="265.64166976022739"/>
    <x v="2"/>
  </r>
  <r>
    <n v="682"/>
    <x v="6"/>
    <d v="2004-11-07T00:00:00"/>
    <x v="1"/>
    <n v="94"/>
    <n v="284.32899274536834"/>
    <x v="1"/>
  </r>
  <r>
    <n v="683"/>
    <x v="7"/>
    <d v="2005-10-03T00:00:00"/>
    <x v="4"/>
    <n v="58"/>
    <n v="176.72593852578336"/>
    <x v="0"/>
  </r>
  <r>
    <n v="684"/>
    <x v="6"/>
    <d v="2005-06-04T00:00:00"/>
    <x v="0"/>
    <n v="66"/>
    <n v="200.20830019781053"/>
    <x v="0"/>
  </r>
  <r>
    <n v="685"/>
    <x v="7"/>
    <d v="2006-08-07T00:00:00"/>
    <x v="3"/>
    <n v="82"/>
    <n v="247.93546068655294"/>
    <x v="2"/>
  </r>
  <r>
    <n v="686"/>
    <x v="1"/>
    <d v="2006-10-01T00:00:00"/>
    <x v="1"/>
    <n v="94"/>
    <n v="283.7655668516507"/>
    <x v="0"/>
  </r>
  <r>
    <n v="687"/>
    <x v="2"/>
    <d v="2006-12-28T00:00:00"/>
    <x v="0"/>
    <n v="27"/>
    <n v="82.883173616974645"/>
    <x v="2"/>
  </r>
  <r>
    <n v="688"/>
    <x v="0"/>
    <d v="2004-04-12T00:00:00"/>
    <x v="2"/>
    <n v="56"/>
    <n v="169.95658667826987"/>
    <x v="1"/>
  </r>
  <r>
    <n v="689"/>
    <x v="6"/>
    <d v="2006-04-19T00:00:00"/>
    <x v="4"/>
    <n v="82"/>
    <n v="247.80094907753815"/>
    <x v="0"/>
  </r>
  <r>
    <n v="690"/>
    <x v="6"/>
    <d v="2005-09-11T00:00:00"/>
    <x v="4"/>
    <n v="7"/>
    <n v="23.067714309015152"/>
    <x v="0"/>
  </r>
  <r>
    <n v="691"/>
    <x v="0"/>
    <d v="2006-01-10T00:00:00"/>
    <x v="0"/>
    <n v="25"/>
    <n v="77.367215999588439"/>
    <x v="2"/>
  </r>
  <r>
    <n v="692"/>
    <x v="2"/>
    <d v="2006-12-28T00:00:00"/>
    <x v="1"/>
    <n v="15"/>
    <n v="46.808970139122437"/>
    <x v="0"/>
  </r>
  <r>
    <n v="693"/>
    <x v="7"/>
    <d v="2004-10-05T00:00:00"/>
    <x v="1"/>
    <n v="39"/>
    <n v="118.82068608795676"/>
    <x v="0"/>
  </r>
  <r>
    <n v="694"/>
    <x v="0"/>
    <d v="2005-10-03T00:00:00"/>
    <x v="0"/>
    <n v="22"/>
    <n v="67.920921050637091"/>
    <x v="1"/>
  </r>
  <r>
    <n v="695"/>
    <x v="3"/>
    <d v="2005-03-19T00:00:00"/>
    <x v="2"/>
    <n v="0"/>
    <n v="1.5802940518086344"/>
    <x v="2"/>
  </r>
  <r>
    <n v="696"/>
    <x v="0"/>
    <d v="2004-07-20T00:00:00"/>
    <x v="4"/>
    <n v="47"/>
    <n v="142.62566704955398"/>
    <x v="0"/>
  </r>
  <r>
    <n v="697"/>
    <x v="7"/>
    <d v="2006-03-06T00:00:00"/>
    <x v="2"/>
    <n v="36"/>
    <n v="110.25851548113316"/>
    <x v="3"/>
  </r>
  <r>
    <n v="698"/>
    <x v="7"/>
    <d v="2004-09-13T00:00:00"/>
    <x v="3"/>
    <n v="46"/>
    <n v="139.52847109810006"/>
    <x v="2"/>
  </r>
  <r>
    <n v="699"/>
    <x v="6"/>
    <d v="2006-04-30T00:00:00"/>
    <x v="3"/>
    <n v="84"/>
    <n v="253.68258531303155"/>
    <x v="3"/>
  </r>
  <r>
    <n v="700"/>
    <x v="5"/>
    <d v="2004-03-21T00:00:00"/>
    <x v="0"/>
    <n v="38"/>
    <n v="115.76504648002317"/>
    <x v="3"/>
  </r>
  <r>
    <n v="701"/>
    <x v="0"/>
    <d v="2004-05-26T00:00:00"/>
    <x v="0"/>
    <n v="13"/>
    <n v="40.473506204312045"/>
    <x v="3"/>
  </r>
  <r>
    <n v="702"/>
    <x v="6"/>
    <d v="2006-04-19T00:00:00"/>
    <x v="1"/>
    <n v="40"/>
    <n v="122.42180451643387"/>
    <x v="1"/>
  </r>
  <r>
    <n v="703"/>
    <x v="4"/>
    <d v="2004-06-17T00:00:00"/>
    <x v="2"/>
    <n v="46"/>
    <n v="139.4072220659846"/>
    <x v="1"/>
  </r>
  <r>
    <n v="704"/>
    <x v="8"/>
    <d v="2004-07-31T00:00:00"/>
    <x v="3"/>
    <n v="11"/>
    <n v="35.105222117013575"/>
    <x v="3"/>
  </r>
  <r>
    <n v="705"/>
    <x v="2"/>
    <d v="2005-06-15T00:00:00"/>
    <x v="0"/>
    <n v="-1"/>
    <n v="-0.89822589573278755"/>
    <x v="2"/>
  </r>
  <r>
    <n v="706"/>
    <x v="2"/>
    <d v="2004-03-10T00:00:00"/>
    <x v="0"/>
    <n v="32"/>
    <n v="98.618549497009866"/>
    <x v="3"/>
  </r>
  <r>
    <n v="707"/>
    <x v="8"/>
    <d v="2004-01-15T00:00:00"/>
    <x v="1"/>
    <n v="78"/>
    <n v="235.37746360511863"/>
    <x v="1"/>
  </r>
  <r>
    <n v="708"/>
    <x v="2"/>
    <d v="2005-01-23T00:00:00"/>
    <x v="2"/>
    <n v="71"/>
    <n v="215.14334620644152"/>
    <x v="3"/>
  </r>
  <r>
    <n v="709"/>
    <x v="4"/>
    <d v="2004-04-23T00:00:00"/>
    <x v="0"/>
    <n v="36"/>
    <n v="109.79941093344995"/>
    <x v="1"/>
  </r>
  <r>
    <n v="710"/>
    <x v="7"/>
    <d v="2004-08-22T00:00:00"/>
    <x v="4"/>
    <n v="79"/>
    <n v="238.7528909715526"/>
    <x v="2"/>
  </r>
  <r>
    <n v="711"/>
    <x v="2"/>
    <d v="2005-08-09T00:00:00"/>
    <x v="2"/>
    <n v="92"/>
    <n v="278.33689319640729"/>
    <x v="2"/>
  </r>
  <r>
    <n v="712"/>
    <x v="1"/>
    <d v="2004-01-15T00:00:00"/>
    <x v="1"/>
    <n v="38"/>
    <n v="116.20226134841927"/>
    <x v="1"/>
  </r>
  <r>
    <n v="713"/>
    <x v="0"/>
    <d v="2006-12-06T00:00:00"/>
    <x v="4"/>
    <n v="50"/>
    <n v="152.08468006915191"/>
    <x v="3"/>
  </r>
  <r>
    <n v="714"/>
    <x v="5"/>
    <d v="2006-02-23T00:00:00"/>
    <x v="1"/>
    <n v="31"/>
    <n v="93.734083542235183"/>
    <x v="2"/>
  </r>
  <r>
    <n v="715"/>
    <x v="7"/>
    <d v="2006-06-13T00:00:00"/>
    <x v="0"/>
    <n v="9"/>
    <n v="29.386098665239906"/>
    <x v="3"/>
  </r>
  <r>
    <n v="716"/>
    <x v="1"/>
    <d v="2005-02-25T00:00:00"/>
    <x v="3"/>
    <n v="24"/>
    <n v="73.278886055388639"/>
    <x v="2"/>
  </r>
  <r>
    <n v="717"/>
    <x v="2"/>
    <d v="2005-01-12T00:00:00"/>
    <x v="0"/>
    <n v="50"/>
    <n v="152.58608557503928"/>
    <x v="2"/>
  </r>
  <r>
    <n v="718"/>
    <x v="7"/>
    <d v="2006-02-12T00:00:00"/>
    <x v="2"/>
    <n v="32"/>
    <n v="98.191983875169328"/>
    <x v="2"/>
  </r>
  <r>
    <n v="719"/>
    <x v="8"/>
    <d v="2004-09-13T00:00:00"/>
    <x v="1"/>
    <n v="71"/>
    <n v="214.9278284338051"/>
    <x v="0"/>
  </r>
  <r>
    <n v="720"/>
    <x v="5"/>
    <d v="2006-11-03T00:00:00"/>
    <x v="4"/>
    <n v="28"/>
    <n v="86.107203598905883"/>
    <x v="0"/>
  </r>
  <r>
    <n v="721"/>
    <x v="2"/>
    <d v="2006-10-23T00:00:00"/>
    <x v="0"/>
    <n v="40"/>
    <n v="121.83146625489913"/>
    <x v="3"/>
  </r>
  <r>
    <n v="722"/>
    <x v="5"/>
    <d v="2004-01-15T00:00:00"/>
    <x v="3"/>
    <n v="75"/>
    <n v="226.98711570221042"/>
    <x v="3"/>
  </r>
  <r>
    <n v="723"/>
    <x v="3"/>
    <d v="2004-08-22T00:00:00"/>
    <x v="0"/>
    <n v="30"/>
    <n v="92.030625673172352"/>
    <x v="1"/>
  </r>
  <r>
    <n v="724"/>
    <x v="7"/>
    <d v="2005-12-08T00:00:00"/>
    <x v="0"/>
    <n v="78"/>
    <n v="235.89718296494317"/>
    <x v="0"/>
  </r>
  <r>
    <n v="725"/>
    <x v="4"/>
    <d v="2005-08-09T00:00:00"/>
    <x v="4"/>
    <n v="15"/>
    <n v="47.09802134338382"/>
    <x v="0"/>
  </r>
  <r>
    <n v="726"/>
    <x v="5"/>
    <d v="2004-11-07T00:00:00"/>
    <x v="2"/>
    <n v="30"/>
    <n v="91.800989942743342"/>
    <x v="2"/>
  </r>
  <r>
    <n v="727"/>
    <x v="3"/>
    <d v="2005-10-03T00:00:00"/>
    <x v="1"/>
    <n v="27"/>
    <n v="83.564417753264919"/>
    <x v="2"/>
  </r>
  <r>
    <n v="728"/>
    <x v="1"/>
    <d v="2006-06-13T00:00:00"/>
    <x v="0"/>
    <n v="95"/>
    <n v="286.68421658470419"/>
    <x v="1"/>
  </r>
  <r>
    <n v="729"/>
    <x v="7"/>
    <d v="2004-02-17T00:00:00"/>
    <x v="1"/>
    <n v="62"/>
    <n v="188.69979320640692"/>
    <x v="0"/>
  </r>
  <r>
    <n v="730"/>
    <x v="5"/>
    <d v="2006-03-17T00:00:00"/>
    <x v="0"/>
    <n v="-4"/>
    <n v="-10.151413084603679"/>
    <x v="2"/>
  </r>
  <r>
    <n v="731"/>
    <x v="0"/>
    <d v="2004-07-20T00:00:00"/>
    <x v="4"/>
    <n v="-3"/>
    <n v="-7.2263762915654137"/>
    <x v="2"/>
  </r>
  <r>
    <n v="732"/>
    <x v="1"/>
    <d v="2005-07-07T00:00:00"/>
    <x v="4"/>
    <n v="62"/>
    <n v="187.71484715081846"/>
    <x v="1"/>
  </r>
  <r>
    <n v="733"/>
    <x v="0"/>
    <d v="2004-08-11T00:00:00"/>
    <x v="2"/>
    <n v="92"/>
    <n v="277.67657907264578"/>
    <x v="1"/>
  </r>
  <r>
    <n v="734"/>
    <x v="3"/>
    <d v="2006-12-17T00:00:00"/>
    <x v="1"/>
    <n v="35"/>
    <n v="107.09519938129719"/>
    <x v="0"/>
  </r>
  <r>
    <n v="735"/>
    <x v="0"/>
    <d v="2005-05-02T00:00:00"/>
    <x v="3"/>
    <n v="91"/>
    <n v="274.96271641831527"/>
    <x v="2"/>
  </r>
  <r>
    <n v="736"/>
    <x v="5"/>
    <d v="2004-07-09T00:00:00"/>
    <x v="4"/>
    <n v="21"/>
    <n v="64.321884288799509"/>
    <x v="0"/>
  </r>
  <r>
    <n v="737"/>
    <x v="4"/>
    <d v="2006-01-21T00:00:00"/>
    <x v="4"/>
    <n v="49"/>
    <n v="148.73893149445496"/>
    <x v="0"/>
  </r>
  <r>
    <n v="738"/>
    <x v="3"/>
    <d v="2005-03-19T00:00:00"/>
    <x v="1"/>
    <n v="34"/>
    <n v="103.34843435833068"/>
    <x v="1"/>
  </r>
  <r>
    <n v="739"/>
    <x v="1"/>
    <d v="2005-01-23T00:00:00"/>
    <x v="0"/>
    <n v="56"/>
    <n v="170.12124352907122"/>
    <x v="3"/>
  </r>
  <r>
    <n v="740"/>
    <x v="5"/>
    <d v="2004-05-26T00:00:00"/>
    <x v="3"/>
    <n v="81"/>
    <n v="244.85421438007515"/>
    <x v="2"/>
  </r>
  <r>
    <n v="741"/>
    <x v="0"/>
    <d v="2004-04-12T00:00:00"/>
    <x v="3"/>
    <n v="63"/>
    <n v="191.24656039127012"/>
    <x v="2"/>
  </r>
  <r>
    <n v="742"/>
    <x v="5"/>
    <d v="2005-05-02T00:00:00"/>
    <x v="1"/>
    <n v="-3"/>
    <n v="-7.3657850032017285"/>
    <x v="1"/>
  </r>
  <r>
    <n v="743"/>
    <x v="4"/>
    <d v="2005-07-07T00:00:00"/>
    <x v="1"/>
    <n v="8"/>
    <n v="25.810666689825588"/>
    <x v="3"/>
  </r>
  <r>
    <n v="744"/>
    <x v="7"/>
    <d v="2004-04-01T00:00:00"/>
    <x v="0"/>
    <n v="46"/>
    <n v="139.61633299698832"/>
    <x v="2"/>
  </r>
  <r>
    <n v="745"/>
    <x v="4"/>
    <d v="2005-02-14T00:00:00"/>
    <x v="0"/>
    <n v="3"/>
    <n v="10.87686297512148"/>
    <x v="0"/>
  </r>
  <r>
    <n v="746"/>
    <x v="4"/>
    <d v="2006-05-22T00:00:00"/>
    <x v="1"/>
    <n v="68"/>
    <n v="205.86039765882776"/>
    <x v="2"/>
  </r>
  <r>
    <n v="747"/>
    <x v="0"/>
    <d v="2006-04-19T00:00:00"/>
    <x v="1"/>
    <n v="83"/>
    <n v="251.06283096017734"/>
    <x v="3"/>
  </r>
  <r>
    <n v="748"/>
    <x v="5"/>
    <d v="2005-02-14T00:00:00"/>
    <x v="3"/>
    <n v="51"/>
    <n v="155.12341917228474"/>
    <x v="2"/>
  </r>
  <r>
    <n v="749"/>
    <x v="8"/>
    <d v="2006-04-19T00:00:00"/>
    <x v="1"/>
    <n v="16"/>
    <n v="50.203538747394113"/>
    <x v="2"/>
  </r>
  <r>
    <n v="750"/>
    <x v="8"/>
    <d v="2006-05-11T00:00:00"/>
    <x v="3"/>
    <n v="-2"/>
    <n v="-3.9135627833735267"/>
    <x v="0"/>
  </r>
  <r>
    <n v="751"/>
    <x v="5"/>
    <d v="2004-11-29T00:00:00"/>
    <x v="0"/>
    <n v="6"/>
    <n v="20.370424027363761"/>
    <x v="0"/>
  </r>
  <r>
    <n v="752"/>
    <x v="4"/>
    <d v="2005-10-25T00:00:00"/>
    <x v="0"/>
    <n v="-5"/>
    <n v="-12.571701775011148"/>
    <x v="3"/>
  </r>
  <r>
    <n v="753"/>
    <x v="0"/>
    <d v="2006-01-21T00:00:00"/>
    <x v="3"/>
    <n v="42"/>
    <n v="127.71123178411425"/>
    <x v="0"/>
  </r>
  <r>
    <n v="754"/>
    <x v="5"/>
    <d v="2005-01-12T00:00:00"/>
    <x v="3"/>
    <n v="47"/>
    <n v="143.38409457230034"/>
    <x v="1"/>
  </r>
  <r>
    <n v="755"/>
    <x v="1"/>
    <d v="2006-07-27T00:00:00"/>
    <x v="4"/>
    <n v="16"/>
    <n v="50.193862989445165"/>
    <x v="2"/>
  </r>
  <r>
    <n v="756"/>
    <x v="8"/>
    <d v="2004-05-15T00:00:00"/>
    <x v="0"/>
    <n v="11"/>
    <n v="35.356196404749518"/>
    <x v="2"/>
  </r>
  <r>
    <n v="757"/>
    <x v="0"/>
    <d v="2004-11-29T00:00:00"/>
    <x v="3"/>
    <n v="-10"/>
    <n v="-27.896760549483552"/>
    <x v="3"/>
  </r>
  <r>
    <n v="758"/>
    <x v="2"/>
    <d v="2004-03-10T00:00:00"/>
    <x v="3"/>
    <n v="21"/>
    <n v="65.379195576752196"/>
    <x v="0"/>
  </r>
  <r>
    <n v="759"/>
    <x v="8"/>
    <d v="2005-10-25T00:00:00"/>
    <x v="4"/>
    <n v="52"/>
    <n v="157.72596503790041"/>
    <x v="3"/>
  </r>
  <r>
    <n v="760"/>
    <x v="5"/>
    <d v="2004-04-12T00:00:00"/>
    <x v="2"/>
    <n v="5"/>
    <n v="17.005120052550815"/>
    <x v="0"/>
  </r>
  <r>
    <n v="761"/>
    <x v="5"/>
    <d v="2005-07-29T00:00:00"/>
    <x v="3"/>
    <n v="52"/>
    <n v="158.43447603180036"/>
    <x v="1"/>
  </r>
  <r>
    <n v="762"/>
    <x v="4"/>
    <d v="2005-03-30T00:00:00"/>
    <x v="4"/>
    <n v="38"/>
    <n v="115.38889596804569"/>
    <x v="0"/>
  </r>
  <r>
    <n v="763"/>
    <x v="6"/>
    <d v="2006-05-11T00:00:00"/>
    <x v="4"/>
    <n v="84"/>
    <n v="254.2621659223083"/>
    <x v="3"/>
  </r>
  <r>
    <n v="764"/>
    <x v="8"/>
    <d v="2006-12-06T00:00:00"/>
    <x v="2"/>
    <n v="18"/>
    <n v="55.343428443559006"/>
    <x v="0"/>
  </r>
  <r>
    <n v="765"/>
    <x v="7"/>
    <d v="2004-05-04T00:00:00"/>
    <x v="0"/>
    <n v="-6"/>
    <n v="-15.742829763147856"/>
    <x v="2"/>
  </r>
  <r>
    <n v="766"/>
    <x v="8"/>
    <d v="2004-04-01T00:00:00"/>
    <x v="0"/>
    <n v="5"/>
    <n v="16.913541625810112"/>
    <x v="2"/>
  </r>
  <r>
    <n v="767"/>
    <x v="4"/>
    <d v="2006-12-06T00:00:00"/>
    <x v="1"/>
    <n v="59"/>
    <n v="178.89597357687876"/>
    <x v="0"/>
  </r>
  <r>
    <n v="768"/>
    <x v="4"/>
    <d v="2005-06-26T00:00:00"/>
    <x v="4"/>
    <n v="-1"/>
    <n v="-1.4317242178607446"/>
    <x v="3"/>
  </r>
  <r>
    <n v="769"/>
    <x v="7"/>
    <d v="2005-01-23T00:00:00"/>
    <x v="2"/>
    <n v="12"/>
    <n v="37.854496358374917"/>
    <x v="3"/>
  </r>
  <r>
    <n v="770"/>
    <x v="4"/>
    <d v="2004-03-21T00:00:00"/>
    <x v="2"/>
    <n v="25"/>
    <n v="76.808458339015715"/>
    <x v="3"/>
  </r>
  <r>
    <n v="771"/>
    <x v="5"/>
    <d v="2005-06-26T00:00:00"/>
    <x v="4"/>
    <n v="33"/>
    <n v="101.42418309364238"/>
    <x v="3"/>
  </r>
  <r>
    <n v="772"/>
    <x v="0"/>
    <d v="2004-02-28T00:00:00"/>
    <x v="4"/>
    <n v="12"/>
    <n v="37.887038047747772"/>
    <x v="2"/>
  </r>
  <r>
    <n v="773"/>
    <x v="6"/>
    <d v="2005-08-09T00:00:00"/>
    <x v="3"/>
    <n v="52"/>
    <n v="158.30772051149228"/>
    <x v="3"/>
  </r>
  <r>
    <n v="774"/>
    <x v="7"/>
    <d v="2005-03-30T00:00:00"/>
    <x v="3"/>
    <n v="34"/>
    <n v="103.62316183025368"/>
    <x v="2"/>
  </r>
  <r>
    <n v="775"/>
    <x v="5"/>
    <d v="2005-07-29T00:00:00"/>
    <x v="1"/>
    <n v="66"/>
    <n v="200.65880996778469"/>
    <x v="0"/>
  </r>
  <r>
    <n v="776"/>
    <x v="5"/>
    <d v="2004-07-31T00:00:00"/>
    <x v="2"/>
    <n v="10"/>
    <n v="31.853247271934272"/>
    <x v="0"/>
  </r>
  <r>
    <n v="777"/>
    <x v="8"/>
    <d v="2004-02-28T00:00:00"/>
    <x v="1"/>
    <n v="-5"/>
    <n v="-12.547627479219663"/>
    <x v="1"/>
  </r>
  <r>
    <n v="778"/>
    <x v="2"/>
    <d v="2005-08-09T00:00:00"/>
    <x v="4"/>
    <n v="89"/>
    <n v="269.48918997457559"/>
    <x v="0"/>
  </r>
  <r>
    <n v="779"/>
    <x v="8"/>
    <d v="2005-04-10T00:00:00"/>
    <x v="1"/>
    <n v="5"/>
    <n v="16.818206363269947"/>
    <x v="0"/>
  </r>
  <r>
    <n v="780"/>
    <x v="7"/>
    <d v="2006-10-12T00:00:00"/>
    <x v="4"/>
    <n v="48"/>
    <n v="145.98516396408215"/>
    <x v="1"/>
  </r>
  <r>
    <n v="781"/>
    <x v="0"/>
    <d v="2006-12-06T00:00:00"/>
    <x v="4"/>
    <n v="36"/>
    <n v="109.92397437204225"/>
    <x v="1"/>
  </r>
  <r>
    <n v="782"/>
    <x v="5"/>
    <d v="2006-11-14T00:00:00"/>
    <x v="4"/>
    <n v="80"/>
    <n v="241.99741515278305"/>
    <x v="2"/>
  </r>
  <r>
    <n v="783"/>
    <x v="0"/>
    <d v="2006-11-25T00:00:00"/>
    <x v="0"/>
    <n v="64"/>
    <n v="193.891081917441"/>
    <x v="2"/>
  </r>
  <r>
    <n v="784"/>
    <x v="0"/>
    <d v="2005-10-14T00:00:00"/>
    <x v="1"/>
    <n v="51"/>
    <n v="155.49981680350626"/>
    <x v="3"/>
  </r>
  <r>
    <n v="785"/>
    <x v="2"/>
    <d v="2005-04-10T00:00:00"/>
    <x v="3"/>
    <n v="92"/>
    <n v="278.34020387718806"/>
    <x v="3"/>
  </r>
  <r>
    <n v="786"/>
    <x v="8"/>
    <d v="2005-04-21T00:00:00"/>
    <x v="3"/>
    <n v="93"/>
    <n v="280.85575758245068"/>
    <x v="1"/>
  </r>
  <r>
    <n v="787"/>
    <x v="7"/>
    <d v="2005-02-03T00:00:00"/>
    <x v="1"/>
    <n v="36"/>
    <n v="110.48116735303131"/>
    <x v="2"/>
  </r>
  <r>
    <n v="788"/>
    <x v="2"/>
    <d v="2006-10-12T00:00:00"/>
    <x v="0"/>
    <n v="-9"/>
    <n v="-24.826904970027119"/>
    <x v="1"/>
  </r>
  <r>
    <n v="789"/>
    <x v="7"/>
    <d v="2005-05-24T00:00:00"/>
    <x v="0"/>
    <n v="48"/>
    <n v="146.23287015814799"/>
    <x v="2"/>
  </r>
  <r>
    <n v="790"/>
    <x v="8"/>
    <d v="2005-11-16T00:00:00"/>
    <x v="3"/>
    <n v="11"/>
    <n v="34.54792782212121"/>
    <x v="3"/>
  </r>
  <r>
    <n v="791"/>
    <x v="8"/>
    <d v="2004-07-20T00:00:00"/>
    <x v="2"/>
    <n v="8"/>
    <n v="25.453618816298423"/>
    <x v="2"/>
  </r>
  <r>
    <n v="792"/>
    <x v="4"/>
    <d v="2004-04-12T00:00:00"/>
    <x v="1"/>
    <n v="36"/>
    <n v="110.09171904672033"/>
    <x v="3"/>
  </r>
  <r>
    <n v="793"/>
    <x v="8"/>
    <d v="2005-11-05T00:00:00"/>
    <x v="4"/>
    <n v="93"/>
    <n v="280.77976287020761"/>
    <x v="2"/>
  </r>
  <r>
    <n v="794"/>
    <x v="1"/>
    <d v="2004-04-12T00:00:00"/>
    <x v="0"/>
    <n v="39"/>
    <n v="119.20284079894812"/>
    <x v="3"/>
  </r>
  <r>
    <n v="795"/>
    <x v="1"/>
    <d v="2004-05-26T00:00:00"/>
    <x v="3"/>
    <n v="72"/>
    <n v="218.07728873022205"/>
    <x v="0"/>
  </r>
  <r>
    <n v="796"/>
    <x v="6"/>
    <d v="2006-03-06T00:00:00"/>
    <x v="0"/>
    <n v="3"/>
    <n v="10.416176420457935"/>
    <x v="1"/>
  </r>
  <r>
    <n v="797"/>
    <x v="3"/>
    <d v="2005-01-01T00:00:00"/>
    <x v="4"/>
    <n v="47"/>
    <n v="142.8388636236887"/>
    <x v="3"/>
  </r>
  <r>
    <n v="798"/>
    <x v="5"/>
    <d v="2006-12-28T00:00:00"/>
    <x v="4"/>
    <n v="72"/>
    <n v="217.32445132799407"/>
    <x v="2"/>
  </r>
  <r>
    <n v="799"/>
    <x v="4"/>
    <d v="2006-12-06T00:00:00"/>
    <x v="4"/>
    <n v="26"/>
    <n v="79.748589199087291"/>
    <x v="1"/>
  </r>
  <r>
    <n v="800"/>
    <x v="3"/>
    <d v="2004-10-05T00:00:00"/>
    <x v="3"/>
    <n v="47"/>
    <n v="142.48755479367787"/>
    <x v="0"/>
  </r>
  <r>
    <n v="801"/>
    <x v="5"/>
    <d v="2006-01-10T00:00:00"/>
    <x v="0"/>
    <n v="14"/>
    <n v="43.403824731122626"/>
    <x v="3"/>
  </r>
  <r>
    <n v="802"/>
    <x v="3"/>
    <d v="2005-06-26T00:00:00"/>
    <x v="4"/>
    <n v="71"/>
    <n v="215.07582310104507"/>
    <x v="0"/>
  </r>
  <r>
    <n v="803"/>
    <x v="1"/>
    <d v="2006-08-18T00:00:00"/>
    <x v="1"/>
    <n v="95"/>
    <n v="287.79738255613682"/>
    <x v="1"/>
  </r>
  <r>
    <n v="804"/>
    <x v="8"/>
    <d v="2006-03-06T00:00:00"/>
    <x v="4"/>
    <n v="37"/>
    <n v="112.77919739726129"/>
    <x v="0"/>
  </r>
  <r>
    <n v="805"/>
    <x v="1"/>
    <d v="2005-12-08T00:00:00"/>
    <x v="0"/>
    <n v="-1"/>
    <n v="-0.39117514400995779"/>
    <x v="3"/>
  </r>
  <r>
    <n v="806"/>
    <x v="6"/>
    <d v="2006-08-18T00:00:00"/>
    <x v="3"/>
    <n v="26"/>
    <n v="80.208589830999188"/>
    <x v="1"/>
  </r>
  <r>
    <n v="807"/>
    <x v="3"/>
    <d v="2004-01-04T00:00:00"/>
    <x v="3"/>
    <n v="67"/>
    <n v="203.54299038710067"/>
    <x v="3"/>
  </r>
  <r>
    <n v="808"/>
    <x v="6"/>
    <d v="2004-02-17T00:00:00"/>
    <x v="0"/>
    <n v="15"/>
    <n v="47.198351483731813"/>
    <x v="1"/>
  </r>
  <r>
    <n v="809"/>
    <x v="7"/>
    <d v="2006-02-23T00:00:00"/>
    <x v="0"/>
    <n v="73"/>
    <n v="221.33612349849449"/>
    <x v="0"/>
  </r>
  <r>
    <n v="810"/>
    <x v="7"/>
    <d v="2004-10-05T00:00:00"/>
    <x v="4"/>
    <n v="13"/>
    <n v="40.899875452377259"/>
    <x v="2"/>
  </r>
  <r>
    <n v="811"/>
    <x v="6"/>
    <d v="2004-03-21T00:00:00"/>
    <x v="1"/>
    <n v="76"/>
    <n v="229.55812152109252"/>
    <x v="3"/>
  </r>
  <r>
    <n v="812"/>
    <x v="8"/>
    <d v="2004-06-06T00:00:00"/>
    <x v="3"/>
    <n v="-9"/>
    <n v="-24.933082918901754"/>
    <x v="0"/>
  </r>
  <r>
    <n v="813"/>
    <x v="4"/>
    <d v="2005-06-04T00:00:00"/>
    <x v="2"/>
    <n v="36"/>
    <n v="109.53328220052806"/>
    <x v="2"/>
  </r>
  <r>
    <n v="814"/>
    <x v="2"/>
    <d v="2004-05-26T00:00:00"/>
    <x v="1"/>
    <n v="11"/>
    <n v="35.52180509936634"/>
    <x v="0"/>
  </r>
  <r>
    <n v="815"/>
    <x v="4"/>
    <d v="2006-01-21T00:00:00"/>
    <x v="0"/>
    <n v="73"/>
    <n v="220.50049794203733"/>
    <x v="3"/>
  </r>
  <r>
    <n v="816"/>
    <x v="7"/>
    <d v="2004-10-16T00:00:00"/>
    <x v="2"/>
    <n v="93"/>
    <n v="280.26544889145606"/>
    <x v="0"/>
  </r>
  <r>
    <n v="817"/>
    <x v="0"/>
    <d v="2006-04-08T00:00:00"/>
    <x v="1"/>
    <n v="69"/>
    <n v="209.31670948874884"/>
    <x v="3"/>
  </r>
  <r>
    <n v="818"/>
    <x v="1"/>
    <d v="2004-04-12T00:00:00"/>
    <x v="3"/>
    <n v="86"/>
    <n v="259.4849368720744"/>
    <x v="1"/>
  </r>
  <r>
    <n v="819"/>
    <x v="0"/>
    <d v="2006-06-02T00:00:00"/>
    <x v="4"/>
    <n v="54"/>
    <n v="164.37938973773885"/>
    <x v="0"/>
  </r>
  <r>
    <n v="820"/>
    <x v="5"/>
    <d v="2005-04-21T00:00:00"/>
    <x v="4"/>
    <n v="-2"/>
    <n v="-4.040363555098244"/>
    <x v="1"/>
  </r>
  <r>
    <n v="821"/>
    <x v="3"/>
    <d v="2006-09-20T00:00:00"/>
    <x v="1"/>
    <n v="83"/>
    <n v="250.16533632828239"/>
    <x v="2"/>
  </r>
  <r>
    <n v="822"/>
    <x v="8"/>
    <d v="2005-10-14T00:00:00"/>
    <x v="4"/>
    <n v="2"/>
    <n v="8.0012184182764319"/>
    <x v="2"/>
  </r>
  <r>
    <n v="823"/>
    <x v="4"/>
    <d v="2006-08-18T00:00:00"/>
    <x v="3"/>
    <n v="54"/>
    <n v="164.14962862314266"/>
    <x v="1"/>
  </r>
  <r>
    <n v="824"/>
    <x v="1"/>
    <d v="2004-04-01T00:00:00"/>
    <x v="1"/>
    <n v="76"/>
    <n v="230.41943809745561"/>
    <x v="3"/>
  </r>
  <r>
    <n v="825"/>
    <x v="0"/>
    <d v="2005-08-31T00:00:00"/>
    <x v="3"/>
    <n v="10"/>
    <n v="32.250567590543547"/>
    <x v="1"/>
  </r>
  <r>
    <n v="826"/>
    <x v="7"/>
    <d v="2006-10-12T00:00:00"/>
    <x v="1"/>
    <n v="81"/>
    <n v="245.03936147229382"/>
    <x v="2"/>
  </r>
  <r>
    <n v="827"/>
    <x v="7"/>
    <d v="2006-09-20T00:00:00"/>
    <x v="3"/>
    <n v="83"/>
    <n v="251.14060708825255"/>
    <x v="1"/>
  </r>
  <r>
    <n v="828"/>
    <x v="3"/>
    <d v="2006-11-03T00:00:00"/>
    <x v="1"/>
    <n v="6"/>
    <n v="19.522370228620925"/>
    <x v="0"/>
  </r>
  <r>
    <n v="829"/>
    <x v="4"/>
    <d v="2006-11-14T00:00:00"/>
    <x v="4"/>
    <n v="77"/>
    <n v="233.15631874033514"/>
    <x v="3"/>
  </r>
  <r>
    <n v="830"/>
    <x v="7"/>
    <d v="2006-03-28T00:00:00"/>
    <x v="4"/>
    <n v="41"/>
    <n v="125.28397193085664"/>
    <x v="2"/>
  </r>
  <r>
    <n v="831"/>
    <x v="2"/>
    <d v="2006-12-06T00:00:00"/>
    <x v="0"/>
    <n v="80"/>
    <n v="241.70735878482179"/>
    <x v="0"/>
  </r>
  <r>
    <n v="832"/>
    <x v="3"/>
    <d v="2006-05-22T00:00:00"/>
    <x v="3"/>
    <n v="20"/>
    <n v="62.210097856811508"/>
    <x v="3"/>
  </r>
  <r>
    <n v="833"/>
    <x v="6"/>
    <d v="2004-01-26T00:00:00"/>
    <x v="3"/>
    <n v="31"/>
    <n v="95.327196648200925"/>
    <x v="1"/>
  </r>
  <r>
    <n v="834"/>
    <x v="1"/>
    <d v="2006-01-10T00:00:00"/>
    <x v="1"/>
    <n v="34"/>
    <n v="103.89654308960344"/>
    <x v="3"/>
  </r>
  <r>
    <n v="835"/>
    <x v="2"/>
    <d v="2005-08-31T00:00:00"/>
    <x v="1"/>
    <n v="2"/>
    <n v="8.0342514695562706"/>
    <x v="2"/>
  </r>
  <r>
    <n v="836"/>
    <x v="7"/>
    <d v="2006-02-12T00:00:00"/>
    <x v="1"/>
    <n v="17"/>
    <n v="53.331838418625381"/>
    <x v="0"/>
  </r>
  <r>
    <n v="837"/>
    <x v="6"/>
    <d v="2006-06-02T00:00:00"/>
    <x v="3"/>
    <n v="16"/>
    <n v="50.310894482412991"/>
    <x v="0"/>
  </r>
  <r>
    <n v="838"/>
    <x v="5"/>
    <d v="2006-03-06T00:00:00"/>
    <x v="1"/>
    <n v="54"/>
    <n v="163.70197903495185"/>
    <x v="2"/>
  </r>
  <r>
    <n v="839"/>
    <x v="3"/>
    <d v="2004-02-17T00:00:00"/>
    <x v="0"/>
    <n v="-9"/>
    <n v="-24.921999927055641"/>
    <x v="3"/>
  </r>
  <r>
    <n v="840"/>
    <x v="3"/>
    <d v="2006-04-30T00:00:00"/>
    <x v="3"/>
    <n v="94"/>
    <n v="284.53575317756747"/>
    <x v="2"/>
  </r>
  <r>
    <n v="841"/>
    <x v="7"/>
    <d v="2004-09-02T00:00:00"/>
    <x v="1"/>
    <n v="-3"/>
    <n v="-7.4497114042005954"/>
    <x v="1"/>
  </r>
  <r>
    <n v="842"/>
    <x v="5"/>
    <d v="2004-11-07T00:00:00"/>
    <x v="4"/>
    <n v="9"/>
    <n v="28.830809944248564"/>
    <x v="2"/>
  </r>
  <r>
    <n v="843"/>
    <x v="1"/>
    <d v="2004-03-21T00:00:00"/>
    <x v="1"/>
    <n v="25"/>
    <n v="77.108203405128648"/>
    <x v="3"/>
  </r>
  <r>
    <n v="844"/>
    <x v="2"/>
    <d v="2006-10-23T00:00:00"/>
    <x v="0"/>
    <n v="29"/>
    <n v="89.310545900397301"/>
    <x v="0"/>
  </r>
  <r>
    <n v="845"/>
    <x v="8"/>
    <d v="2004-08-22T00:00:00"/>
    <x v="3"/>
    <n v="37"/>
    <n v="113.21323460768004"/>
    <x v="3"/>
  </r>
  <r>
    <n v="846"/>
    <x v="3"/>
    <d v="2005-06-26T00:00:00"/>
    <x v="1"/>
    <n v="19"/>
    <n v="59.003760475925063"/>
    <x v="2"/>
  </r>
  <r>
    <n v="847"/>
    <x v="5"/>
    <d v="2004-04-12T00:00:00"/>
    <x v="0"/>
    <n v="28"/>
    <n v="86.04518510559123"/>
    <x v="1"/>
  </r>
  <r>
    <n v="848"/>
    <x v="7"/>
    <d v="2004-06-06T00:00:00"/>
    <x v="3"/>
    <n v="18"/>
    <n v="55.858549479616173"/>
    <x v="2"/>
  </r>
  <r>
    <n v="849"/>
    <x v="2"/>
    <d v="2006-06-02T00:00:00"/>
    <x v="2"/>
    <n v="84"/>
    <n v="254.04302513210774"/>
    <x v="0"/>
  </r>
  <r>
    <n v="850"/>
    <x v="6"/>
    <d v="2004-10-16T00:00:00"/>
    <x v="1"/>
    <n v="79"/>
    <n v="238.82743961542425"/>
    <x v="2"/>
  </r>
  <r>
    <n v="851"/>
    <x v="8"/>
    <d v="2004-11-07T00:00:00"/>
    <x v="1"/>
    <n v="31"/>
    <n v="94.972961203791044"/>
    <x v="1"/>
  </r>
  <r>
    <n v="852"/>
    <x v="7"/>
    <d v="2006-07-27T00:00:00"/>
    <x v="2"/>
    <n v="34"/>
    <n v="103.39863614232333"/>
    <x v="3"/>
  </r>
  <r>
    <n v="853"/>
    <x v="8"/>
    <d v="2005-11-16T00:00:00"/>
    <x v="4"/>
    <n v="66"/>
    <n v="201.25536797949457"/>
    <x v="0"/>
  </r>
  <r>
    <n v="854"/>
    <x v="6"/>
    <d v="2006-05-22T00:00:00"/>
    <x v="4"/>
    <n v="44"/>
    <n v="134.44985862590835"/>
    <x v="3"/>
  </r>
  <r>
    <n v="855"/>
    <x v="0"/>
    <d v="2005-01-23T00:00:00"/>
    <x v="3"/>
    <n v="94"/>
    <n v="284.41944495958916"/>
    <x v="0"/>
  </r>
  <r>
    <n v="856"/>
    <x v="4"/>
    <d v="2004-04-12T00:00:00"/>
    <x v="1"/>
    <n v="11"/>
    <n v="35.299860689817372"/>
    <x v="3"/>
  </r>
  <r>
    <n v="857"/>
    <x v="1"/>
    <d v="2004-08-22T00:00:00"/>
    <x v="0"/>
    <n v="74"/>
    <n v="223.97457991298864"/>
    <x v="3"/>
  </r>
  <r>
    <n v="858"/>
    <x v="7"/>
    <d v="2006-12-06T00:00:00"/>
    <x v="4"/>
    <n v="28"/>
    <n v="86.485564911199845"/>
    <x v="2"/>
  </r>
  <r>
    <n v="859"/>
    <x v="5"/>
    <d v="2005-06-04T00:00:00"/>
    <x v="0"/>
    <n v="40"/>
    <n v="121.92180749554807"/>
    <x v="2"/>
  </r>
  <r>
    <n v="860"/>
    <x v="5"/>
    <d v="2004-02-06T00:00:00"/>
    <x v="0"/>
    <n v="34"/>
    <n v="104.1689153871453"/>
    <x v="0"/>
  </r>
  <r>
    <n v="861"/>
    <x v="0"/>
    <d v="2005-09-11T00:00:00"/>
    <x v="3"/>
    <n v="38"/>
    <n v="115.85180148886141"/>
    <x v="0"/>
  </r>
  <r>
    <n v="862"/>
    <x v="1"/>
    <d v="2005-06-15T00:00:00"/>
    <x v="4"/>
    <n v="69"/>
    <n v="209.14336391515394"/>
    <x v="1"/>
  </r>
  <r>
    <n v="863"/>
    <x v="2"/>
    <d v="2005-08-20T00:00:00"/>
    <x v="3"/>
    <n v="34"/>
    <n v="103.97058317140277"/>
    <x v="1"/>
  </r>
  <r>
    <n v="864"/>
    <x v="0"/>
    <d v="2005-08-09T00:00:00"/>
    <x v="4"/>
    <n v="29"/>
    <n v="89.383943739445868"/>
    <x v="1"/>
  </r>
  <r>
    <n v="865"/>
    <x v="4"/>
    <d v="2004-02-17T00:00:00"/>
    <x v="1"/>
    <n v="-10"/>
    <n v="-27.724939048319342"/>
    <x v="1"/>
  </r>
  <r>
    <n v="866"/>
    <x v="8"/>
    <d v="2004-10-27T00:00:00"/>
    <x v="2"/>
    <n v="42"/>
    <n v="128.42870398782102"/>
    <x v="1"/>
  </r>
  <r>
    <n v="867"/>
    <x v="3"/>
    <d v="2006-03-17T00:00:00"/>
    <x v="4"/>
    <n v="58"/>
    <n v="175.97423505292562"/>
    <x v="2"/>
  </r>
  <r>
    <n v="868"/>
    <x v="6"/>
    <d v="2004-03-10T00:00:00"/>
    <x v="1"/>
    <n v="27"/>
    <n v="83.01665013993393"/>
    <x v="1"/>
  </r>
  <r>
    <n v="869"/>
    <x v="8"/>
    <d v="2006-07-05T00:00:00"/>
    <x v="3"/>
    <n v="47"/>
    <n v="143.2742036645771"/>
    <x v="3"/>
  </r>
  <r>
    <n v="870"/>
    <x v="6"/>
    <d v="2004-02-06T00:00:00"/>
    <x v="1"/>
    <n v="29"/>
    <n v="88.696716331090727"/>
    <x v="0"/>
  </r>
  <r>
    <n v="871"/>
    <x v="8"/>
    <d v="2006-05-11T00:00:00"/>
    <x v="4"/>
    <n v="28"/>
    <n v="86.226420950611285"/>
    <x v="0"/>
  </r>
  <r>
    <n v="872"/>
    <x v="0"/>
    <d v="2006-09-20T00:00:00"/>
    <x v="3"/>
    <n v="79"/>
    <n v="239.05774059830441"/>
    <x v="0"/>
  </r>
  <r>
    <n v="873"/>
    <x v="2"/>
    <d v="2004-11-07T00:00:00"/>
    <x v="3"/>
    <n v="41"/>
    <n v="124.81786407447923"/>
    <x v="3"/>
  </r>
  <r>
    <n v="874"/>
    <x v="6"/>
    <d v="2005-07-07T00:00:00"/>
    <x v="2"/>
    <n v="57"/>
    <n v="172.96188521453885"/>
    <x v="1"/>
  </r>
  <r>
    <n v="875"/>
    <x v="8"/>
    <d v="2006-07-16T00:00:00"/>
    <x v="0"/>
    <n v="45"/>
    <n v="137.62002289021942"/>
    <x v="2"/>
  </r>
  <r>
    <n v="876"/>
    <x v="7"/>
    <d v="2006-03-17T00:00:00"/>
    <x v="4"/>
    <n v="91"/>
    <n v="274.91230216083113"/>
    <x v="2"/>
  </r>
  <r>
    <n v="877"/>
    <x v="6"/>
    <d v="2005-01-23T00:00:00"/>
    <x v="4"/>
    <n v="49"/>
    <n v="149.04131306617498"/>
    <x v="2"/>
  </r>
  <r>
    <n v="878"/>
    <x v="0"/>
    <d v="2004-09-24T00:00:00"/>
    <x v="0"/>
    <n v="68"/>
    <n v="206.16097800045316"/>
    <x v="2"/>
  </r>
  <r>
    <n v="879"/>
    <x v="4"/>
    <d v="2005-02-14T00:00:00"/>
    <x v="2"/>
    <n v="38"/>
    <n v="116.64480895861564"/>
    <x v="2"/>
  </r>
  <r>
    <n v="880"/>
    <x v="2"/>
    <d v="2006-09-20T00:00:00"/>
    <x v="1"/>
    <n v="4"/>
    <n v="15.205643253032669"/>
    <x v="0"/>
  </r>
  <r>
    <n v="881"/>
    <x v="6"/>
    <d v="2005-04-10T00:00:00"/>
    <x v="4"/>
    <n v="45"/>
    <n v="137.05484034063696"/>
    <x v="3"/>
  </r>
  <r>
    <n v="882"/>
    <x v="5"/>
    <d v="2004-12-10T00:00:00"/>
    <x v="4"/>
    <n v="85"/>
    <n v="256.6581063828105"/>
    <x v="1"/>
  </r>
  <r>
    <n v="883"/>
    <x v="6"/>
    <d v="2005-07-07T00:00:00"/>
    <x v="2"/>
    <n v="57"/>
    <n v="173.05666995199584"/>
    <x v="1"/>
  </r>
  <r>
    <n v="884"/>
    <x v="3"/>
    <d v="2005-11-16T00:00:00"/>
    <x v="4"/>
    <n v="-3"/>
    <n v="-6.3637861287644046"/>
    <x v="3"/>
  </r>
  <r>
    <n v="885"/>
    <x v="8"/>
    <d v="2006-08-07T00:00:00"/>
    <x v="1"/>
    <n v="-9"/>
    <n v="-24.858670230760346"/>
    <x v="1"/>
  </r>
  <r>
    <n v="886"/>
    <x v="3"/>
    <d v="2004-04-23T00:00:00"/>
    <x v="3"/>
    <n v="86"/>
    <n v="260.29381913398618"/>
    <x v="1"/>
  </r>
  <r>
    <n v="887"/>
    <x v="7"/>
    <d v="2005-03-08T00:00:00"/>
    <x v="1"/>
    <n v="11"/>
    <n v="35.041684359746164"/>
    <x v="3"/>
  </r>
  <r>
    <n v="888"/>
    <x v="4"/>
    <d v="2004-01-15T00:00:00"/>
    <x v="4"/>
    <n v="87"/>
    <n v="262.7592489136066"/>
    <x v="1"/>
  </r>
  <r>
    <n v="889"/>
    <x v="4"/>
    <d v="2004-07-31T00:00:00"/>
    <x v="3"/>
    <n v="86"/>
    <n v="260.00914889996403"/>
    <x v="0"/>
  </r>
  <r>
    <n v="890"/>
    <x v="0"/>
    <d v="2006-02-01T00:00:00"/>
    <x v="0"/>
    <n v="62"/>
    <n v="187.81034616092504"/>
    <x v="2"/>
  </r>
  <r>
    <n v="891"/>
    <x v="6"/>
    <d v="2006-07-16T00:00:00"/>
    <x v="4"/>
    <n v="80"/>
    <n v="241.85917425037732"/>
    <x v="2"/>
  </r>
  <r>
    <n v="892"/>
    <x v="4"/>
    <d v="2004-07-20T00:00:00"/>
    <x v="2"/>
    <n v="11"/>
    <n v="34.782314831792192"/>
    <x v="0"/>
  </r>
  <r>
    <n v="893"/>
    <x v="4"/>
    <d v="2005-12-08T00:00:00"/>
    <x v="2"/>
    <n v="11"/>
    <n v="34.680822827797087"/>
    <x v="1"/>
  </r>
  <r>
    <n v="894"/>
    <x v="8"/>
    <d v="2005-11-05T00:00:00"/>
    <x v="3"/>
    <n v="-4"/>
    <n v="-9.7904020756587578"/>
    <x v="0"/>
  </r>
  <r>
    <n v="895"/>
    <x v="5"/>
    <d v="2004-12-10T00:00:00"/>
    <x v="2"/>
    <n v="42"/>
    <n v="128.02610607664568"/>
    <x v="2"/>
  </r>
  <r>
    <n v="896"/>
    <x v="5"/>
    <d v="2004-06-28T00:00:00"/>
    <x v="0"/>
    <n v="51"/>
    <n v="154.71800722699501"/>
    <x v="0"/>
  </r>
  <r>
    <n v="897"/>
    <x v="4"/>
    <d v="2004-07-20T00:00:00"/>
    <x v="1"/>
    <n v="91"/>
    <n v="274.77216405152751"/>
    <x v="0"/>
  </r>
  <r>
    <n v="898"/>
    <x v="6"/>
    <d v="2006-08-18T00:00:00"/>
    <x v="0"/>
    <n v="24"/>
    <n v="73.406307306618515"/>
    <x v="2"/>
  </r>
  <r>
    <n v="899"/>
    <x v="6"/>
    <d v="2004-01-26T00:00:00"/>
    <x v="3"/>
    <n v="19"/>
    <n v="59.122730804832166"/>
    <x v="1"/>
  </r>
  <r>
    <n v="900"/>
    <x v="4"/>
    <d v="2004-03-21T00:00:00"/>
    <x v="0"/>
    <n v="80"/>
    <n v="241.74723336571216"/>
    <x v="1"/>
  </r>
  <r>
    <n v="901"/>
    <x v="0"/>
    <d v="2006-12-06T00:00:00"/>
    <x v="1"/>
    <n v="0"/>
    <n v="1.6796900586638657"/>
    <x v="3"/>
  </r>
  <r>
    <n v="902"/>
    <x v="7"/>
    <d v="2006-10-01T00:00:00"/>
    <x v="1"/>
    <n v="69"/>
    <n v="209.14203916980014"/>
    <x v="3"/>
  </r>
  <r>
    <n v="903"/>
    <x v="6"/>
    <d v="2006-07-16T00:00:00"/>
    <x v="4"/>
    <n v="84"/>
    <n v="253.78421313059829"/>
    <x v="1"/>
  </r>
  <r>
    <n v="904"/>
    <x v="1"/>
    <d v="2005-08-20T00:00:00"/>
    <x v="2"/>
    <n v="31"/>
    <n v="94.752143463742286"/>
    <x v="2"/>
  </r>
  <r>
    <n v="905"/>
    <x v="3"/>
    <d v="2005-08-31T00:00:00"/>
    <x v="3"/>
    <n v="11"/>
    <n v="35.274537093655269"/>
    <x v="0"/>
  </r>
  <r>
    <n v="906"/>
    <x v="2"/>
    <d v="2005-03-30T00:00:00"/>
    <x v="0"/>
    <n v="79"/>
    <n v="239.3445563093955"/>
    <x v="1"/>
  </r>
  <r>
    <n v="907"/>
    <x v="7"/>
    <d v="2006-06-24T00:00:00"/>
    <x v="3"/>
    <n v="22"/>
    <n v="68.549031242200385"/>
    <x v="1"/>
  </r>
  <r>
    <n v="908"/>
    <x v="0"/>
    <d v="2005-02-03T00:00:00"/>
    <x v="1"/>
    <n v="76"/>
    <n v="231.1298624050425"/>
    <x v="3"/>
  </r>
  <r>
    <n v="909"/>
    <x v="2"/>
    <d v="2004-10-05T00:00:00"/>
    <x v="3"/>
    <n v="0"/>
    <n v="2.7444174420335523"/>
    <x v="1"/>
  </r>
  <r>
    <n v="910"/>
    <x v="6"/>
    <d v="2005-03-19T00:00:00"/>
    <x v="0"/>
    <n v="94"/>
    <n v="283.56226306241973"/>
    <x v="2"/>
  </r>
  <r>
    <n v="911"/>
    <x v="3"/>
    <d v="2004-11-07T00:00:00"/>
    <x v="1"/>
    <n v="14"/>
    <n v="44.2457022640235"/>
    <x v="0"/>
  </r>
  <r>
    <n v="912"/>
    <x v="6"/>
    <d v="2006-07-05T00:00:00"/>
    <x v="4"/>
    <n v="57"/>
    <n v="172.69724242963656"/>
    <x v="2"/>
  </r>
  <r>
    <n v="913"/>
    <x v="7"/>
    <d v="2005-04-21T00:00:00"/>
    <x v="0"/>
    <n v="3"/>
    <n v="11.082849552887902"/>
    <x v="3"/>
  </r>
  <r>
    <n v="914"/>
    <x v="8"/>
    <d v="2006-07-05T00:00:00"/>
    <x v="0"/>
    <n v="50"/>
    <n v="151.95954978745411"/>
    <x v="2"/>
  </r>
  <r>
    <n v="915"/>
    <x v="2"/>
    <d v="2006-06-13T00:00:00"/>
    <x v="3"/>
    <n v="25"/>
    <n v="76.624560231864265"/>
    <x v="3"/>
  </r>
  <r>
    <n v="916"/>
    <x v="5"/>
    <d v="2005-08-31T00:00:00"/>
    <x v="1"/>
    <n v="46"/>
    <n v="140.2736912488281"/>
    <x v="0"/>
  </r>
  <r>
    <n v="917"/>
    <x v="3"/>
    <d v="2006-07-16T00:00:00"/>
    <x v="0"/>
    <n v="19"/>
    <n v="58.735580557472737"/>
    <x v="3"/>
  </r>
  <r>
    <n v="918"/>
    <x v="6"/>
    <d v="2006-05-22T00:00:00"/>
    <x v="3"/>
    <n v="6"/>
    <n v="20.099629096975125"/>
    <x v="2"/>
  </r>
  <r>
    <n v="919"/>
    <x v="7"/>
    <d v="2006-07-05T00:00:00"/>
    <x v="2"/>
    <n v="8"/>
    <n v="26.084862644671222"/>
    <x v="1"/>
  </r>
  <r>
    <n v="920"/>
    <x v="6"/>
    <d v="2006-01-10T00:00:00"/>
    <x v="4"/>
    <n v="-2"/>
    <n v="-3.7309676865630421"/>
    <x v="1"/>
  </r>
  <r>
    <n v="921"/>
    <x v="3"/>
    <d v="2005-04-10T00:00:00"/>
    <x v="0"/>
    <n v="80"/>
    <n v="240.69010526776344"/>
    <x v="3"/>
  </r>
  <r>
    <n v="922"/>
    <x v="7"/>
    <d v="2005-05-02T00:00:00"/>
    <x v="1"/>
    <n v="19"/>
    <n v="58.904121420487954"/>
    <x v="0"/>
  </r>
  <r>
    <n v="923"/>
    <x v="0"/>
    <d v="2005-04-10T00:00:00"/>
    <x v="2"/>
    <n v="27"/>
    <n v="82.994094545634482"/>
    <x v="0"/>
  </r>
  <r>
    <n v="924"/>
    <x v="2"/>
    <d v="2004-02-06T00:00:00"/>
    <x v="4"/>
    <n v="79"/>
    <n v="239.44869651132598"/>
    <x v="2"/>
  </r>
  <r>
    <n v="925"/>
    <x v="7"/>
    <d v="2006-01-10T00:00:00"/>
    <x v="1"/>
    <n v="57"/>
    <n v="173.32970466821706"/>
    <x v="0"/>
  </r>
  <r>
    <n v="926"/>
    <x v="8"/>
    <d v="2005-12-19T00:00:00"/>
    <x v="0"/>
    <n v="47"/>
    <n v="143.60165141540284"/>
    <x v="3"/>
  </r>
  <r>
    <n v="927"/>
    <x v="8"/>
    <d v="2004-11-07T00:00:00"/>
    <x v="0"/>
    <n v="9"/>
    <n v="28.827091013525987"/>
    <x v="0"/>
  </r>
  <r>
    <n v="928"/>
    <x v="7"/>
    <d v="2005-11-27T00:00:00"/>
    <x v="0"/>
    <n v="65"/>
    <n v="196.85925384860963"/>
    <x v="1"/>
  </r>
  <r>
    <n v="929"/>
    <x v="3"/>
    <d v="2004-03-10T00:00:00"/>
    <x v="1"/>
    <n v="58"/>
    <n v="175.22266670553387"/>
    <x v="2"/>
  </r>
  <r>
    <n v="930"/>
    <x v="8"/>
    <d v="2004-09-13T00:00:00"/>
    <x v="4"/>
    <n v="48"/>
    <n v="145.9379301268051"/>
    <x v="0"/>
  </r>
  <r>
    <n v="931"/>
    <x v="3"/>
    <d v="2005-10-14T00:00:00"/>
    <x v="1"/>
    <n v="75"/>
    <n v="226.61201635446793"/>
    <x v="3"/>
  </r>
  <r>
    <n v="932"/>
    <x v="8"/>
    <d v="2006-01-21T00:00:00"/>
    <x v="1"/>
    <n v="59"/>
    <n v="179.37483712712185"/>
    <x v="2"/>
  </r>
  <r>
    <n v="933"/>
    <x v="7"/>
    <d v="2005-01-23T00:00:00"/>
    <x v="4"/>
    <n v="34"/>
    <n v="104.445032643001"/>
    <x v="1"/>
  </r>
  <r>
    <n v="934"/>
    <x v="3"/>
    <d v="2004-04-01T00:00:00"/>
    <x v="2"/>
    <n v="57"/>
    <n v="173.06756590039018"/>
    <x v="3"/>
  </r>
  <r>
    <n v="935"/>
    <x v="6"/>
    <d v="2006-03-28T00:00:00"/>
    <x v="0"/>
    <n v="62"/>
    <n v="187.88584432496489"/>
    <x v="0"/>
  </r>
  <r>
    <n v="936"/>
    <x v="5"/>
    <d v="2006-07-05T00:00:00"/>
    <x v="2"/>
    <n v="17"/>
    <n v="53.048677008733435"/>
    <x v="0"/>
  </r>
  <r>
    <n v="937"/>
    <x v="2"/>
    <d v="2005-07-29T00:00:00"/>
    <x v="1"/>
    <n v="83"/>
    <n v="250.82439492521385"/>
    <x v="2"/>
  </r>
  <r>
    <n v="938"/>
    <x v="2"/>
    <d v="2004-07-20T00:00:00"/>
    <x v="0"/>
    <n v="56"/>
    <n v="169.84037281505195"/>
    <x v="3"/>
  </r>
  <r>
    <n v="939"/>
    <x v="1"/>
    <d v="2004-02-28T00:00:00"/>
    <x v="0"/>
    <n v="14"/>
    <n v="44.194328055358937"/>
    <x v="2"/>
  </r>
  <r>
    <n v="940"/>
    <x v="4"/>
    <d v="2005-01-01T00:00:00"/>
    <x v="2"/>
    <n v="-9"/>
    <n v="-24.562782237120555"/>
    <x v="2"/>
  </r>
  <r>
    <n v="941"/>
    <x v="0"/>
    <d v="2005-07-18T00:00:00"/>
    <x v="1"/>
    <n v="44"/>
    <n v="134.50349016705422"/>
    <x v="0"/>
  </r>
  <r>
    <n v="942"/>
    <x v="3"/>
    <d v="2004-02-06T00:00:00"/>
    <x v="3"/>
    <n v="32"/>
    <n v="97.6497815079464"/>
    <x v="3"/>
  </r>
  <r>
    <n v="943"/>
    <x v="7"/>
    <d v="2005-01-12T00:00:00"/>
    <x v="3"/>
    <n v="85"/>
    <n v="256.97037064610868"/>
    <x v="3"/>
  </r>
  <r>
    <n v="944"/>
    <x v="0"/>
    <d v="2004-09-24T00:00:00"/>
    <x v="0"/>
    <n v="-2"/>
    <n v="-3.7233562380367276"/>
    <x v="2"/>
  </r>
  <r>
    <n v="945"/>
    <x v="6"/>
    <d v="2005-02-03T00:00:00"/>
    <x v="2"/>
    <n v="31"/>
    <n v="94.439645321373334"/>
    <x v="0"/>
  </r>
  <r>
    <n v="946"/>
    <x v="8"/>
    <d v="2004-08-22T00:00:00"/>
    <x v="3"/>
    <n v="-7"/>
    <n v="-19.822062355825821"/>
    <x v="0"/>
  </r>
  <r>
    <n v="947"/>
    <x v="4"/>
    <d v="2004-01-26T00:00:00"/>
    <x v="2"/>
    <n v="-1"/>
    <n v="-0.28735784707427747"/>
    <x v="1"/>
  </r>
  <r>
    <n v="948"/>
    <x v="2"/>
    <d v="2006-11-25T00:00:00"/>
    <x v="0"/>
    <n v="6"/>
    <n v="20.397135812092845"/>
    <x v="3"/>
  </r>
  <r>
    <n v="949"/>
    <x v="5"/>
    <d v="2004-06-06T00:00:00"/>
    <x v="1"/>
    <n v="13"/>
    <n v="41.830169969209855"/>
    <x v="2"/>
  </r>
  <r>
    <n v="950"/>
    <x v="2"/>
    <d v="2004-10-27T00:00:00"/>
    <x v="0"/>
    <n v="70"/>
    <n v="212.45510789670757"/>
    <x v="0"/>
  </r>
  <r>
    <n v="951"/>
    <x v="4"/>
    <d v="2004-06-17T00:00:00"/>
    <x v="1"/>
    <n v="15"/>
    <n v="47.749438891041251"/>
    <x v="2"/>
  </r>
  <r>
    <n v="952"/>
    <x v="5"/>
    <d v="2006-04-19T00:00:00"/>
    <x v="4"/>
    <n v="18"/>
    <n v="56.257832632332345"/>
    <x v="0"/>
  </r>
  <r>
    <n v="953"/>
    <x v="5"/>
    <d v="2006-02-23T00:00:00"/>
    <x v="3"/>
    <n v="30"/>
    <n v="92.196479665554932"/>
    <x v="0"/>
  </r>
  <r>
    <n v="954"/>
    <x v="3"/>
    <d v="2006-11-03T00:00:00"/>
    <x v="4"/>
    <n v="17"/>
    <n v="53.067953295003726"/>
    <x v="3"/>
  </r>
  <r>
    <n v="955"/>
    <x v="3"/>
    <d v="2005-01-12T00:00:00"/>
    <x v="3"/>
    <n v="-1"/>
    <n v="-1.4540693559294799"/>
    <x v="1"/>
  </r>
  <r>
    <n v="956"/>
    <x v="7"/>
    <d v="2005-03-19T00:00:00"/>
    <x v="1"/>
    <n v="50"/>
    <n v="152.31719787311525"/>
    <x v="0"/>
  </r>
  <r>
    <n v="957"/>
    <x v="2"/>
    <d v="2005-12-30T00:00:00"/>
    <x v="0"/>
    <n v="83"/>
    <n v="251.0948967308864"/>
    <x v="3"/>
  </r>
  <r>
    <n v="958"/>
    <x v="6"/>
    <d v="2004-05-04T00:00:00"/>
    <x v="4"/>
    <n v="54"/>
    <n v="164.08170340636366"/>
    <x v="1"/>
  </r>
  <r>
    <n v="959"/>
    <x v="2"/>
    <d v="2005-04-21T00:00:00"/>
    <x v="0"/>
    <n v="16"/>
    <n v="49.968087631431565"/>
    <x v="0"/>
  </r>
  <r>
    <n v="960"/>
    <x v="6"/>
    <d v="2006-09-20T00:00:00"/>
    <x v="0"/>
    <n v="53"/>
    <n v="160.95914621811275"/>
    <x v="3"/>
  </r>
  <r>
    <n v="961"/>
    <x v="5"/>
    <d v="2006-01-10T00:00:00"/>
    <x v="3"/>
    <n v="95"/>
    <n v="286.71922939024518"/>
    <x v="2"/>
  </r>
  <r>
    <n v="962"/>
    <x v="2"/>
    <d v="2004-01-04T00:00:00"/>
    <x v="4"/>
    <n v="74"/>
    <n v="224.1344883418044"/>
    <x v="0"/>
  </r>
  <r>
    <n v="963"/>
    <x v="4"/>
    <d v="2005-08-20T00:00:00"/>
    <x v="4"/>
    <n v="11"/>
    <n v="35.126507167926178"/>
    <x v="1"/>
  </r>
  <r>
    <n v="964"/>
    <x v="1"/>
    <d v="2006-09-20T00:00:00"/>
    <x v="1"/>
    <n v="63"/>
    <n v="191.00092010309442"/>
    <x v="2"/>
  </r>
  <r>
    <n v="965"/>
    <x v="0"/>
    <d v="2005-08-31T00:00:00"/>
    <x v="3"/>
    <n v="53"/>
    <n v="161.23768017364921"/>
    <x v="3"/>
  </r>
  <r>
    <n v="966"/>
    <x v="3"/>
    <d v="2006-07-27T00:00:00"/>
    <x v="0"/>
    <n v="1"/>
    <n v="5.2816840348822387"/>
    <x v="0"/>
  </r>
  <r>
    <n v="967"/>
    <x v="5"/>
    <d v="2004-11-18T00:00:00"/>
    <x v="1"/>
    <n v="24"/>
    <n v="74.30729541001925"/>
    <x v="1"/>
  </r>
  <r>
    <n v="968"/>
    <x v="3"/>
    <d v="2006-04-08T00:00:00"/>
    <x v="2"/>
    <n v="5"/>
    <n v="16.422750032809695"/>
    <x v="2"/>
  </r>
  <r>
    <n v="969"/>
    <x v="0"/>
    <d v="2005-02-25T00:00:00"/>
    <x v="0"/>
    <n v="35"/>
    <n v="107.34237990295979"/>
    <x v="3"/>
  </r>
  <r>
    <n v="970"/>
    <x v="0"/>
    <d v="2006-05-22T00:00:00"/>
    <x v="3"/>
    <n v="33"/>
    <n v="100.6187200673516"/>
    <x v="0"/>
  </r>
  <r>
    <n v="971"/>
    <x v="6"/>
    <d v="2006-02-01T00:00:00"/>
    <x v="4"/>
    <n v="65"/>
    <n v="196.63630077143569"/>
    <x v="0"/>
  </r>
  <r>
    <n v="972"/>
    <x v="8"/>
    <d v="2006-02-12T00:00:00"/>
    <x v="4"/>
    <n v="52"/>
    <n v="158.33506008490392"/>
    <x v="3"/>
  </r>
  <r>
    <n v="973"/>
    <x v="8"/>
    <d v="2006-08-18T00:00:00"/>
    <x v="4"/>
    <n v="44"/>
    <n v="133.42498328468113"/>
    <x v="3"/>
  </r>
  <r>
    <n v="974"/>
    <x v="2"/>
    <d v="2006-10-12T00:00:00"/>
    <x v="2"/>
    <n v="72"/>
    <n v="218.057153790916"/>
    <x v="3"/>
  </r>
  <r>
    <n v="975"/>
    <x v="6"/>
    <d v="2004-09-13T00:00:00"/>
    <x v="4"/>
    <n v="13"/>
    <n v="41.138712352864658"/>
    <x v="3"/>
  </r>
  <r>
    <n v="976"/>
    <x v="3"/>
    <d v="2006-09-09T00:00:00"/>
    <x v="1"/>
    <n v="16"/>
    <n v="50.15918619514666"/>
    <x v="0"/>
  </r>
  <r>
    <n v="977"/>
    <x v="8"/>
    <d v="2006-02-12T00:00:00"/>
    <x v="1"/>
    <n v="19"/>
    <n v="59.265314003350476"/>
    <x v="2"/>
  </r>
  <r>
    <n v="978"/>
    <x v="3"/>
    <d v="2005-05-13T00:00:00"/>
    <x v="4"/>
    <n v="67"/>
    <n v="203.43497713652508"/>
    <x v="2"/>
  </r>
  <r>
    <n v="979"/>
    <x v="6"/>
    <d v="2006-02-12T00:00:00"/>
    <x v="0"/>
    <n v="2"/>
    <n v="8.3122868755040553"/>
    <x v="1"/>
  </r>
  <r>
    <n v="980"/>
    <x v="3"/>
    <d v="2006-06-02T00:00:00"/>
    <x v="4"/>
    <n v="28"/>
    <n v="85.787320991735939"/>
    <x v="0"/>
  </r>
  <r>
    <n v="981"/>
    <x v="4"/>
    <d v="2005-08-20T00:00:00"/>
    <x v="1"/>
    <n v="-6"/>
    <n v="-15.854559071603056"/>
    <x v="1"/>
  </r>
  <r>
    <n v="982"/>
    <x v="2"/>
    <d v="2005-03-30T00:00:00"/>
    <x v="4"/>
    <n v="70"/>
    <n v="212.03178089307775"/>
    <x v="1"/>
  </r>
  <r>
    <n v="983"/>
    <x v="1"/>
    <d v="2006-02-23T00:00:00"/>
    <x v="0"/>
    <n v="65"/>
    <n v="197.18663086835969"/>
    <x v="0"/>
  </r>
  <r>
    <n v="984"/>
    <x v="6"/>
    <d v="2006-12-28T00:00:00"/>
    <x v="1"/>
    <n v="39"/>
    <n v="119.05118285965317"/>
    <x v="3"/>
  </r>
  <r>
    <n v="985"/>
    <x v="1"/>
    <d v="2006-08-29T00:00:00"/>
    <x v="1"/>
    <n v="72"/>
    <n v="218.19229267045282"/>
    <x v="2"/>
  </r>
  <r>
    <n v="986"/>
    <x v="0"/>
    <d v="2005-05-02T00:00:00"/>
    <x v="2"/>
    <n v="47"/>
    <n v="142.53694145811323"/>
    <x v="2"/>
  </r>
  <r>
    <n v="987"/>
    <x v="6"/>
    <d v="2006-05-11T00:00:00"/>
    <x v="0"/>
    <n v="94"/>
    <n v="283.57943523104291"/>
    <x v="3"/>
  </r>
  <r>
    <n v="988"/>
    <x v="0"/>
    <d v="2005-05-13T00:00:00"/>
    <x v="0"/>
    <n v="58"/>
    <n v="175.8230061159172"/>
    <x v="2"/>
  </r>
  <r>
    <n v="989"/>
    <x v="7"/>
    <d v="2004-05-15T00:00:00"/>
    <x v="3"/>
    <n v="-6"/>
    <n v="-17.288821571122082"/>
    <x v="3"/>
  </r>
  <r>
    <n v="990"/>
    <x v="4"/>
    <d v="2004-02-17T00:00:00"/>
    <x v="3"/>
    <n v="38"/>
    <n v="115.96163338782357"/>
    <x v="0"/>
  </r>
  <r>
    <n v="991"/>
    <x v="5"/>
    <d v="2004-01-15T00:00:00"/>
    <x v="3"/>
    <n v="-1"/>
    <n v="-1.0160108133922805"/>
    <x v="1"/>
  </r>
  <r>
    <n v="992"/>
    <x v="7"/>
    <d v="2005-11-16T00:00:00"/>
    <x v="3"/>
    <n v="34"/>
    <n v="104.57917159926555"/>
    <x v="2"/>
  </r>
  <r>
    <n v="993"/>
    <x v="3"/>
    <d v="2004-04-01T00:00:00"/>
    <x v="0"/>
    <n v="30"/>
    <n v="91.71732531853138"/>
    <x v="2"/>
  </r>
  <r>
    <n v="994"/>
    <x v="4"/>
    <d v="2004-05-26T00:00:00"/>
    <x v="1"/>
    <n v="62"/>
    <n v="187.43238539805822"/>
    <x v="0"/>
  </r>
  <r>
    <n v="995"/>
    <x v="0"/>
    <d v="2006-02-12T00:00:00"/>
    <x v="0"/>
    <n v="24"/>
    <n v="74.211669903196139"/>
    <x v="3"/>
  </r>
  <r>
    <n v="996"/>
    <x v="4"/>
    <d v="2004-09-13T00:00:00"/>
    <x v="3"/>
    <n v="4"/>
    <n v="13.654188955553082"/>
    <x v="2"/>
  </r>
  <r>
    <n v="997"/>
    <x v="6"/>
    <d v="2004-06-06T00:00:00"/>
    <x v="0"/>
    <n v="88"/>
    <n v="265.2916292071763"/>
    <x v="2"/>
  </r>
  <r>
    <n v="998"/>
    <x v="6"/>
    <d v="2005-10-03T00:00:00"/>
    <x v="3"/>
    <n v="78"/>
    <n v="235.69356375172592"/>
    <x v="3"/>
  </r>
  <r>
    <n v="999"/>
    <x v="2"/>
    <d v="2005-10-14T00:00:00"/>
    <x v="3"/>
    <n v="82"/>
    <n v="248.12045570070282"/>
    <x v="2"/>
  </r>
  <r>
    <n v="1000"/>
    <x v="5"/>
    <d v="2005-05-13T00:00:00"/>
    <x v="0"/>
    <n v="68"/>
    <n v="206.8704837754205"/>
    <x v="3"/>
  </r>
  <r>
    <n v="1001"/>
    <x v="5"/>
    <d v="2004-02-17T00:00:00"/>
    <x v="1"/>
    <n v="20"/>
    <n v="61.598286646601295"/>
    <x v="1"/>
  </r>
  <r>
    <n v="1002"/>
    <x v="4"/>
    <d v="2004-10-05T00:00:00"/>
    <x v="0"/>
    <n v="-10"/>
    <n v="-28.326133240637468"/>
    <x v="0"/>
  </r>
  <r>
    <n v="1003"/>
    <x v="3"/>
    <d v="2004-09-24T00:00:00"/>
    <x v="3"/>
    <n v="94"/>
    <n v="283.987112843305"/>
    <x v="0"/>
  </r>
  <r>
    <n v="1004"/>
    <x v="3"/>
    <d v="2006-04-08T00:00:00"/>
    <x v="1"/>
    <n v="62"/>
    <n v="188.00253303300292"/>
    <x v="3"/>
  </r>
  <r>
    <n v="1005"/>
    <x v="6"/>
    <d v="2004-07-09T00:00:00"/>
    <x v="4"/>
    <n v="71"/>
    <n v="215.02251352159234"/>
    <x v="2"/>
  </r>
  <r>
    <n v="1006"/>
    <x v="2"/>
    <d v="2004-03-21T00:00:00"/>
    <x v="2"/>
    <n v="70"/>
    <n v="211.5224440500217"/>
    <x v="2"/>
  </r>
  <r>
    <n v="1007"/>
    <x v="8"/>
    <d v="2004-04-12T00:00:00"/>
    <x v="1"/>
    <n v="17"/>
    <n v="52.007206372460615"/>
    <x v="3"/>
  </r>
  <r>
    <n v="1008"/>
    <x v="2"/>
    <d v="2005-12-08T00:00:00"/>
    <x v="3"/>
    <n v="51"/>
    <n v="154.86582287521293"/>
    <x v="3"/>
  </r>
  <r>
    <n v="1009"/>
    <x v="0"/>
    <d v="2006-04-30T00:00:00"/>
    <x v="4"/>
    <n v="70"/>
    <n v="212.18684363818184"/>
    <x v="1"/>
  </r>
  <r>
    <n v="1010"/>
    <x v="3"/>
    <d v="2006-06-24T00:00:00"/>
    <x v="3"/>
    <n v="94"/>
    <n v="283.91906780587465"/>
    <x v="2"/>
  </r>
  <r>
    <n v="1011"/>
    <x v="4"/>
    <d v="2004-12-10T00:00:00"/>
    <x v="4"/>
    <n v="70"/>
    <n v="211.85016457637715"/>
    <x v="1"/>
  </r>
  <r>
    <n v="1012"/>
    <x v="2"/>
    <d v="2005-05-13T00:00:00"/>
    <x v="0"/>
    <n v="89"/>
    <n v="269.18851021987467"/>
    <x v="2"/>
  </r>
  <r>
    <n v="1013"/>
    <x v="4"/>
    <d v="2005-10-14T00:00:00"/>
    <x v="0"/>
    <n v="26"/>
    <n v="79.311492307621293"/>
    <x v="1"/>
  </r>
  <r>
    <n v="1014"/>
    <x v="8"/>
    <d v="2005-12-08T00:00:00"/>
    <x v="3"/>
    <n v="8"/>
    <n v="26.096472599703908"/>
    <x v="1"/>
  </r>
  <r>
    <n v="1015"/>
    <x v="2"/>
    <d v="2006-02-01T00:00:00"/>
    <x v="1"/>
    <n v="8"/>
    <n v="26.08199028619465"/>
    <x v="1"/>
  </r>
  <r>
    <n v="1016"/>
    <x v="8"/>
    <d v="2006-10-12T00:00:00"/>
    <x v="3"/>
    <n v="62"/>
    <n v="187.69110116385426"/>
    <x v="3"/>
  </r>
  <r>
    <n v="1017"/>
    <x v="7"/>
    <d v="2006-08-18T00:00:00"/>
    <x v="3"/>
    <n v="-9"/>
    <n v="-24.819632815121537"/>
    <x v="0"/>
  </r>
  <r>
    <n v="1018"/>
    <x v="3"/>
    <d v="2004-08-22T00:00:00"/>
    <x v="1"/>
    <n v="55"/>
    <n v="166.81971361139639"/>
    <x v="3"/>
  </r>
  <r>
    <n v="1019"/>
    <x v="1"/>
    <d v="2004-09-02T00:00:00"/>
    <x v="2"/>
    <n v="71"/>
    <n v="215.35336056441088"/>
    <x v="1"/>
  </r>
  <r>
    <n v="1020"/>
    <x v="6"/>
    <d v="2006-03-17T00:00:00"/>
    <x v="4"/>
    <n v="5"/>
    <n v="17.428217544434208"/>
    <x v="0"/>
  </r>
  <r>
    <n v="1021"/>
    <x v="4"/>
    <d v="2005-08-31T00:00:00"/>
    <x v="1"/>
    <n v="28"/>
    <n v="86.322091823923344"/>
    <x v="3"/>
  </r>
  <r>
    <n v="1022"/>
    <x v="6"/>
    <d v="2006-05-11T00:00:00"/>
    <x v="2"/>
    <n v="95"/>
    <n v="286.92674877229024"/>
    <x v="0"/>
  </r>
  <r>
    <n v="1023"/>
    <x v="0"/>
    <d v="2005-09-22T00:00:00"/>
    <x v="3"/>
    <n v="56"/>
    <n v="169.66853559743345"/>
    <x v="0"/>
  </r>
  <r>
    <n v="1024"/>
    <x v="8"/>
    <d v="2005-10-25T00:00:00"/>
    <x v="1"/>
    <n v="79"/>
    <n v="238.71622982310416"/>
    <x v="0"/>
  </r>
  <r>
    <n v="1025"/>
    <x v="8"/>
    <d v="2005-07-29T00:00:00"/>
    <x v="3"/>
    <n v="10"/>
    <n v="32.241149527753471"/>
    <x v="0"/>
  </r>
  <r>
    <n v="1026"/>
    <x v="1"/>
    <d v="2004-09-24T00:00:00"/>
    <x v="2"/>
    <n v="69"/>
    <n v="208.61631773052886"/>
    <x v="2"/>
  </r>
  <r>
    <n v="1027"/>
    <x v="4"/>
    <d v="2006-03-17T00:00:00"/>
    <x v="0"/>
    <n v="15"/>
    <n v="46.772430431730463"/>
    <x v="1"/>
  </r>
  <r>
    <n v="1028"/>
    <x v="8"/>
    <d v="2006-02-01T00:00:00"/>
    <x v="3"/>
    <n v="0"/>
    <n v="1.7760594332285693"/>
    <x v="2"/>
  </r>
  <r>
    <n v="1029"/>
    <x v="8"/>
    <d v="2005-07-07T00:00:00"/>
    <x v="2"/>
    <n v="78"/>
    <n v="236.10178950758817"/>
    <x v="3"/>
  </r>
  <r>
    <n v="1030"/>
    <x v="1"/>
    <d v="2005-05-24T00:00:00"/>
    <x v="4"/>
    <n v="89"/>
    <n v="268.45127891867156"/>
    <x v="0"/>
  </r>
  <r>
    <n v="1031"/>
    <x v="8"/>
    <d v="2005-02-14T00:00:00"/>
    <x v="4"/>
    <n v="94"/>
    <n v="284.11176896611153"/>
    <x v="3"/>
  </r>
  <r>
    <n v="1032"/>
    <x v="0"/>
    <d v="2004-02-17T00:00:00"/>
    <x v="4"/>
    <n v="-5"/>
    <n v="-13.090742445919402"/>
    <x v="2"/>
  </r>
  <r>
    <n v="1033"/>
    <x v="1"/>
    <d v="2006-12-06T00:00:00"/>
    <x v="0"/>
    <n v="42"/>
    <n v="127.95167625422781"/>
    <x v="1"/>
  </r>
  <r>
    <n v="1034"/>
    <x v="6"/>
    <d v="2006-09-20T00:00:00"/>
    <x v="3"/>
    <n v="9"/>
    <n v="29.027293052396654"/>
    <x v="2"/>
  </r>
  <r>
    <n v="1035"/>
    <x v="6"/>
    <d v="2005-04-10T00:00:00"/>
    <x v="1"/>
    <n v="8"/>
    <n v="26.399425452966565"/>
    <x v="3"/>
  </r>
  <r>
    <n v="1036"/>
    <x v="0"/>
    <d v="2004-08-11T00:00:00"/>
    <x v="1"/>
    <n v="69"/>
    <n v="209.14573718458519"/>
    <x v="0"/>
  </r>
  <r>
    <n v="1037"/>
    <x v="5"/>
    <d v="2006-10-12T00:00:00"/>
    <x v="4"/>
    <n v="2"/>
    <n v="7.7270735524440131"/>
    <x v="0"/>
  </r>
  <r>
    <n v="1038"/>
    <x v="8"/>
    <d v="2004-09-24T00:00:00"/>
    <x v="3"/>
    <n v="3"/>
    <n v="10.487455049777733"/>
    <x v="1"/>
  </r>
  <r>
    <n v="1039"/>
    <x v="6"/>
    <d v="2005-06-15T00:00:00"/>
    <x v="2"/>
    <n v="76"/>
    <n v="230.14134634452847"/>
    <x v="1"/>
  </r>
  <r>
    <n v="1040"/>
    <x v="5"/>
    <d v="2004-06-28T00:00:00"/>
    <x v="3"/>
    <n v="-7"/>
    <n v="-18.434662066971001"/>
    <x v="2"/>
  </r>
  <r>
    <n v="1041"/>
    <x v="4"/>
    <d v="2006-07-05T00:00:00"/>
    <x v="4"/>
    <n v="24"/>
    <n v="74.040343042743388"/>
    <x v="2"/>
  </r>
  <r>
    <n v="1042"/>
    <x v="7"/>
    <d v="2006-09-09T00:00:00"/>
    <x v="1"/>
    <n v="35"/>
    <n v="106.66944991477989"/>
    <x v="2"/>
  </r>
  <r>
    <n v="1043"/>
    <x v="8"/>
    <d v="2004-03-21T00:00:00"/>
    <x v="1"/>
    <n v="23"/>
    <n v="71.099513118305453"/>
    <x v="2"/>
  </r>
  <r>
    <n v="1044"/>
    <x v="3"/>
    <d v="2006-04-30T00:00:00"/>
    <x v="3"/>
    <n v="32"/>
    <n v="97.982599723305"/>
    <x v="3"/>
  </r>
  <r>
    <n v="1045"/>
    <x v="5"/>
    <d v="2004-09-02T00:00:00"/>
    <x v="4"/>
    <n v="46"/>
    <n v="139.82203886104327"/>
    <x v="1"/>
  </r>
  <r>
    <n v="1046"/>
    <x v="8"/>
    <d v="2004-02-06T00:00:00"/>
    <x v="0"/>
    <n v="28"/>
    <n v="85.913586896960894"/>
    <x v="1"/>
  </r>
  <r>
    <n v="1047"/>
    <x v="8"/>
    <d v="2005-02-03T00:00:00"/>
    <x v="2"/>
    <n v="58"/>
    <n v="176.38262351251041"/>
    <x v="0"/>
  </r>
  <r>
    <n v="1048"/>
    <x v="6"/>
    <d v="2005-11-16T00:00:00"/>
    <x v="0"/>
    <n v="19"/>
    <n v="59.083968230358913"/>
    <x v="0"/>
  </r>
  <r>
    <n v="1049"/>
    <x v="4"/>
    <d v="2004-08-11T00:00:00"/>
    <x v="0"/>
    <n v="79"/>
    <n v="238.63617965265877"/>
    <x v="3"/>
  </r>
  <r>
    <n v="1050"/>
    <x v="0"/>
    <d v="2004-12-10T00:00:00"/>
    <x v="4"/>
    <n v="31"/>
    <n v="94.124548214467538"/>
    <x v="1"/>
  </r>
  <r>
    <n v="1051"/>
    <x v="8"/>
    <d v="2005-11-16T00:00:00"/>
    <x v="3"/>
    <n v="4"/>
    <n v="14.292798170188892"/>
    <x v="0"/>
  </r>
  <r>
    <n v="1052"/>
    <x v="4"/>
    <d v="2006-03-28T00:00:00"/>
    <x v="1"/>
    <n v="91"/>
    <n v="275.5094232943423"/>
    <x v="1"/>
  </r>
  <r>
    <n v="1053"/>
    <x v="1"/>
    <d v="2005-06-15T00:00:00"/>
    <x v="0"/>
    <n v="51"/>
    <n v="154.74630946716462"/>
    <x v="0"/>
  </r>
  <r>
    <n v="1054"/>
    <x v="6"/>
    <d v="2004-01-15T00:00:00"/>
    <x v="3"/>
    <n v="2"/>
    <n v="8.3443048208269879"/>
    <x v="0"/>
  </r>
  <r>
    <n v="1055"/>
    <x v="7"/>
    <d v="2005-07-07T00:00:00"/>
    <x v="2"/>
    <n v="42"/>
    <n v="127.68402675435583"/>
    <x v="2"/>
  </r>
  <r>
    <n v="1056"/>
    <x v="0"/>
    <d v="2004-11-18T00:00:00"/>
    <x v="0"/>
    <n v="57"/>
    <n v="173.09988607692904"/>
    <x v="3"/>
  </r>
  <r>
    <n v="1057"/>
    <x v="4"/>
    <d v="2004-09-24T00:00:00"/>
    <x v="1"/>
    <n v="63"/>
    <n v="190.20945346469671"/>
    <x v="3"/>
  </r>
  <r>
    <n v="1058"/>
    <x v="0"/>
    <d v="2004-05-04T00:00:00"/>
    <x v="4"/>
    <n v="37"/>
    <n v="112.97090107811077"/>
    <x v="1"/>
  </r>
  <r>
    <n v="1059"/>
    <x v="0"/>
    <d v="2004-03-10T00:00:00"/>
    <x v="0"/>
    <n v="30"/>
    <n v="92.612099918838155"/>
    <x v="0"/>
  </r>
  <r>
    <n v="1060"/>
    <x v="1"/>
    <d v="2006-03-28T00:00:00"/>
    <x v="1"/>
    <n v="31"/>
    <n v="95.22083891239123"/>
    <x v="3"/>
  </r>
  <r>
    <n v="1061"/>
    <x v="5"/>
    <d v="2004-03-10T00:00:00"/>
    <x v="3"/>
    <n v="55"/>
    <n v="167.32540465961139"/>
    <x v="3"/>
  </r>
  <r>
    <n v="1062"/>
    <x v="7"/>
    <d v="2005-12-19T00:00:00"/>
    <x v="3"/>
    <n v="-5"/>
    <n v="-12.643881441117404"/>
    <x v="0"/>
  </r>
  <r>
    <n v="1063"/>
    <x v="3"/>
    <d v="2004-04-23T00:00:00"/>
    <x v="0"/>
    <n v="28"/>
    <n v="85.460904685258157"/>
    <x v="3"/>
  </r>
  <r>
    <n v="1064"/>
    <x v="6"/>
    <d v="2005-08-20T00:00:00"/>
    <x v="3"/>
    <n v="93"/>
    <n v="280.15032356040319"/>
    <x v="1"/>
  </r>
  <r>
    <n v="1065"/>
    <x v="7"/>
    <d v="2005-10-14T00:00:00"/>
    <x v="2"/>
    <n v="13"/>
    <n v="40.969412971677201"/>
    <x v="1"/>
  </r>
  <r>
    <n v="1066"/>
    <x v="0"/>
    <d v="2006-03-06T00:00:00"/>
    <x v="1"/>
    <n v="94"/>
    <n v="283.90021520553751"/>
    <x v="3"/>
  </r>
  <r>
    <n v="1067"/>
    <x v="7"/>
    <d v="2005-03-19T00:00:00"/>
    <x v="1"/>
    <n v="1"/>
    <n v="4.8568701800652914"/>
    <x v="3"/>
  </r>
  <r>
    <n v="1068"/>
    <x v="8"/>
    <d v="2005-10-03T00:00:00"/>
    <x v="1"/>
    <n v="5"/>
    <n v="16.493067805841463"/>
    <x v="2"/>
  </r>
  <r>
    <n v="1069"/>
    <x v="4"/>
    <d v="2006-06-02T00:00:00"/>
    <x v="4"/>
    <n v="60"/>
    <n v="181.32960345577825"/>
    <x v="0"/>
  </r>
  <r>
    <n v="1070"/>
    <x v="1"/>
    <d v="2004-07-20T00:00:00"/>
    <x v="0"/>
    <n v="67"/>
    <n v="203.02085582320817"/>
    <x v="0"/>
  </r>
  <r>
    <n v="1071"/>
    <x v="1"/>
    <d v="2004-12-10T00:00:00"/>
    <x v="1"/>
    <n v="87"/>
    <n v="263.51929625786306"/>
    <x v="0"/>
  </r>
  <r>
    <n v="1072"/>
    <x v="1"/>
    <d v="2004-11-18T00:00:00"/>
    <x v="4"/>
    <n v="53"/>
    <n v="161.06925467832338"/>
    <x v="2"/>
  </r>
  <r>
    <n v="1073"/>
    <x v="7"/>
    <d v="2005-08-09T00:00:00"/>
    <x v="0"/>
    <n v="74"/>
    <n v="224.19731799549618"/>
    <x v="0"/>
  </r>
  <r>
    <n v="1074"/>
    <x v="0"/>
    <d v="2006-11-14T00:00:00"/>
    <x v="0"/>
    <n v="83"/>
    <n v="251.40105252927455"/>
    <x v="3"/>
  </r>
  <r>
    <n v="1075"/>
    <x v="8"/>
    <d v="2005-10-14T00:00:00"/>
    <x v="4"/>
    <n v="45"/>
    <n v="136.79350682205418"/>
    <x v="1"/>
  </r>
  <r>
    <n v="1076"/>
    <x v="7"/>
    <d v="2004-06-28T00:00:00"/>
    <x v="0"/>
    <n v="36"/>
    <n v="109.96021821591992"/>
    <x v="3"/>
  </r>
  <r>
    <n v="1077"/>
    <x v="1"/>
    <d v="2005-12-19T00:00:00"/>
    <x v="1"/>
    <n v="82"/>
    <n v="248.19651758376037"/>
    <x v="1"/>
  </r>
  <r>
    <n v="1078"/>
    <x v="2"/>
    <d v="2006-08-29T00:00:00"/>
    <x v="1"/>
    <n v="18"/>
    <n v="56.505060708421091"/>
    <x v="3"/>
  </r>
  <r>
    <n v="1079"/>
    <x v="6"/>
    <d v="2004-04-12T00:00:00"/>
    <x v="1"/>
    <n v="21"/>
    <n v="64.56759924886002"/>
    <x v="0"/>
  </r>
  <r>
    <n v="1080"/>
    <x v="4"/>
    <d v="2005-06-26T00:00:00"/>
    <x v="1"/>
    <n v="56"/>
    <n v="170.16525129894848"/>
    <x v="0"/>
  </r>
  <r>
    <n v="1081"/>
    <x v="8"/>
    <d v="2006-04-30T00:00:00"/>
    <x v="3"/>
    <n v="51"/>
    <n v="154.96390627719521"/>
    <x v="3"/>
  </r>
  <r>
    <n v="1082"/>
    <x v="5"/>
    <d v="2006-03-06T00:00:00"/>
    <x v="1"/>
    <n v="88"/>
    <n v="266.15496391241169"/>
    <x v="2"/>
  </r>
  <r>
    <n v="1083"/>
    <x v="6"/>
    <d v="2005-04-21T00:00:00"/>
    <x v="3"/>
    <n v="93"/>
    <n v="280.95785849203958"/>
    <x v="3"/>
  </r>
  <r>
    <n v="1084"/>
    <x v="2"/>
    <d v="2004-09-24T00:00:00"/>
    <x v="0"/>
    <n v="-4"/>
    <n v="-9.79509378079055"/>
    <x v="2"/>
  </r>
  <r>
    <n v="1085"/>
    <x v="4"/>
    <d v="2005-04-21T00:00:00"/>
    <x v="3"/>
    <n v="30"/>
    <n v="91.838519584417725"/>
    <x v="0"/>
  </r>
  <r>
    <n v="1086"/>
    <x v="7"/>
    <d v="2005-12-19T00:00:00"/>
    <x v="1"/>
    <n v="81"/>
    <n v="245.61829415980108"/>
    <x v="0"/>
  </r>
  <r>
    <n v="1087"/>
    <x v="4"/>
    <d v="2005-04-21T00:00:00"/>
    <x v="1"/>
    <n v="58"/>
    <n v="175.7935070061545"/>
    <x v="1"/>
  </r>
  <r>
    <n v="1088"/>
    <x v="2"/>
    <d v="2004-01-04T00:00:00"/>
    <x v="4"/>
    <n v="50"/>
    <n v="151.96180824733827"/>
    <x v="1"/>
  </r>
  <r>
    <n v="1089"/>
    <x v="3"/>
    <d v="2004-06-28T00:00:00"/>
    <x v="0"/>
    <n v="92"/>
    <n v="277.64731000872155"/>
    <x v="0"/>
  </r>
  <r>
    <n v="1090"/>
    <x v="2"/>
    <d v="2006-11-14T00:00:00"/>
    <x v="1"/>
    <n v="27"/>
    <n v="82.124904169698794"/>
    <x v="0"/>
  </r>
  <r>
    <n v="1091"/>
    <x v="3"/>
    <d v="2004-08-22T00:00:00"/>
    <x v="1"/>
    <n v="61"/>
    <n v="184.45390394551416"/>
    <x v="0"/>
  </r>
  <r>
    <n v="1092"/>
    <x v="4"/>
    <d v="2006-07-27T00:00:00"/>
    <x v="4"/>
    <n v="7"/>
    <n v="23.198272342782062"/>
    <x v="0"/>
  </r>
  <r>
    <n v="1093"/>
    <x v="0"/>
    <d v="2004-12-10T00:00:00"/>
    <x v="0"/>
    <n v="25"/>
    <n v="76.517978614258837"/>
    <x v="1"/>
  </r>
  <r>
    <n v="1094"/>
    <x v="2"/>
    <d v="2004-08-22T00:00:00"/>
    <x v="0"/>
    <n v="84"/>
    <n v="254.21310769001889"/>
    <x v="0"/>
  </r>
  <r>
    <n v="1095"/>
    <x v="0"/>
    <d v="2004-04-01T00:00:00"/>
    <x v="3"/>
    <n v="66"/>
    <n v="199.92451734594025"/>
    <x v="2"/>
  </r>
  <r>
    <n v="1096"/>
    <x v="6"/>
    <d v="2004-05-04T00:00:00"/>
    <x v="3"/>
    <n v="89"/>
    <n v="269.23471780277339"/>
    <x v="3"/>
  </r>
  <r>
    <n v="1097"/>
    <x v="5"/>
    <d v="2005-05-13T00:00:00"/>
    <x v="1"/>
    <n v="32"/>
    <n v="97.883310582745409"/>
    <x v="1"/>
  </r>
  <r>
    <n v="1098"/>
    <x v="5"/>
    <d v="2006-07-05T00:00:00"/>
    <x v="0"/>
    <n v="78"/>
    <n v="236.26032561473036"/>
    <x v="1"/>
  </r>
  <r>
    <n v="1099"/>
    <x v="6"/>
    <d v="2006-03-17T00:00:00"/>
    <x v="2"/>
    <n v="56"/>
    <n v="169.98666558680949"/>
    <x v="2"/>
  </r>
  <r>
    <n v="1100"/>
    <x v="4"/>
    <d v="2006-12-28T00:00:00"/>
    <x v="1"/>
    <n v="80"/>
    <n v="241.53786763068013"/>
    <x v="1"/>
  </r>
  <r>
    <n v="1101"/>
    <x v="8"/>
    <d v="2005-02-03T00:00:00"/>
    <x v="4"/>
    <n v="72"/>
    <n v="218.32896513434619"/>
    <x v="1"/>
  </r>
  <r>
    <n v="1102"/>
    <x v="3"/>
    <d v="2005-11-16T00:00:00"/>
    <x v="0"/>
    <n v="23"/>
    <n v="71.298686579104526"/>
    <x v="3"/>
  </r>
  <r>
    <n v="1103"/>
    <x v="8"/>
    <d v="2006-03-06T00:00:00"/>
    <x v="4"/>
    <n v="-2"/>
    <n v="-3.6886090441469834"/>
    <x v="2"/>
  </r>
  <r>
    <n v="1104"/>
    <x v="4"/>
    <d v="2004-10-05T00:00:00"/>
    <x v="0"/>
    <n v="81"/>
    <n v="245.36857839567088"/>
    <x v="0"/>
  </r>
  <r>
    <n v="1105"/>
    <x v="6"/>
    <d v="2005-11-05T00:00:00"/>
    <x v="2"/>
    <n v="-4"/>
    <n v="-10.626598892969428"/>
    <x v="2"/>
  </r>
  <r>
    <n v="1106"/>
    <x v="0"/>
    <d v="2005-01-01T00:00:00"/>
    <x v="4"/>
    <n v="81"/>
    <n v="245.47079100584946"/>
    <x v="0"/>
  </r>
  <r>
    <n v="1107"/>
    <x v="4"/>
    <d v="2004-03-10T00:00:00"/>
    <x v="2"/>
    <n v="-9"/>
    <n v="-24.901607770449246"/>
    <x v="1"/>
  </r>
  <r>
    <n v="1108"/>
    <x v="1"/>
    <d v="2005-03-08T00:00:00"/>
    <x v="3"/>
    <n v="67"/>
    <n v="203.3886615347389"/>
    <x v="2"/>
  </r>
  <r>
    <n v="1109"/>
    <x v="0"/>
    <d v="2005-02-03T00:00:00"/>
    <x v="4"/>
    <n v="27"/>
    <n v="83.259650238493791"/>
    <x v="2"/>
  </r>
  <r>
    <n v="1110"/>
    <x v="4"/>
    <d v="2006-03-06T00:00:00"/>
    <x v="4"/>
    <n v="-1"/>
    <n v="-1.4486502930593175"/>
    <x v="3"/>
  </r>
  <r>
    <n v="1111"/>
    <x v="2"/>
    <d v="2005-08-31T00:00:00"/>
    <x v="4"/>
    <n v="24"/>
    <n v="74.448442468444156"/>
    <x v="3"/>
  </r>
  <r>
    <n v="1112"/>
    <x v="1"/>
    <d v="2006-02-01T00:00:00"/>
    <x v="3"/>
    <n v="80"/>
    <n v="241.96811222876255"/>
    <x v="3"/>
  </r>
  <r>
    <n v="1113"/>
    <x v="3"/>
    <d v="2004-10-05T00:00:00"/>
    <x v="0"/>
    <n v="82"/>
    <n v="248.20917526875209"/>
    <x v="0"/>
  </r>
  <r>
    <n v="1114"/>
    <x v="7"/>
    <d v="2005-12-30T00:00:00"/>
    <x v="1"/>
    <n v="1"/>
    <n v="5.5518623429739176"/>
    <x v="3"/>
  </r>
  <r>
    <n v="1115"/>
    <x v="5"/>
    <d v="2004-04-12T00:00:00"/>
    <x v="1"/>
    <n v="11"/>
    <n v="35.277547883231819"/>
    <x v="2"/>
  </r>
  <r>
    <n v="1116"/>
    <x v="0"/>
    <d v="2006-07-16T00:00:00"/>
    <x v="4"/>
    <n v="12"/>
    <n v="37.331388811713445"/>
    <x v="3"/>
  </r>
  <r>
    <n v="1117"/>
    <x v="8"/>
    <d v="2004-12-10T00:00:00"/>
    <x v="3"/>
    <n v="54"/>
    <n v="164.38171569287022"/>
    <x v="3"/>
  </r>
  <r>
    <n v="1118"/>
    <x v="7"/>
    <d v="2006-11-03T00:00:00"/>
    <x v="4"/>
    <n v="78"/>
    <n v="236.65619273355256"/>
    <x v="2"/>
  </r>
  <r>
    <n v="1119"/>
    <x v="8"/>
    <d v="2004-02-06T00:00:00"/>
    <x v="4"/>
    <n v="-8"/>
    <n v="-21.770000035096253"/>
    <x v="2"/>
  </r>
  <r>
    <n v="1120"/>
    <x v="0"/>
    <d v="2004-02-17T00:00:00"/>
    <x v="3"/>
    <n v="6"/>
    <n v="19.844298491399009"/>
    <x v="0"/>
  </r>
  <r>
    <n v="1121"/>
    <x v="3"/>
    <d v="2004-10-05T00:00:00"/>
    <x v="1"/>
    <n v="30"/>
    <n v="91.748243472806891"/>
    <x v="2"/>
  </r>
  <r>
    <n v="1122"/>
    <x v="4"/>
    <d v="2006-02-01T00:00:00"/>
    <x v="0"/>
    <n v="55"/>
    <n v="166.81449022634519"/>
    <x v="0"/>
  </r>
  <r>
    <n v="1123"/>
    <x v="8"/>
    <d v="2006-03-28T00:00:00"/>
    <x v="3"/>
    <n v="53"/>
    <n v="161.24130416457103"/>
    <x v="3"/>
  </r>
  <r>
    <n v="1124"/>
    <x v="2"/>
    <d v="2005-02-14T00:00:00"/>
    <x v="4"/>
    <n v="29"/>
    <n v="88.931035912155679"/>
    <x v="3"/>
  </r>
  <r>
    <n v="1125"/>
    <x v="0"/>
    <d v="2004-04-12T00:00:00"/>
    <x v="0"/>
    <n v="75"/>
    <n v="227.03788190973427"/>
    <x v="1"/>
  </r>
  <r>
    <n v="1126"/>
    <x v="2"/>
    <d v="2004-11-29T00:00:00"/>
    <x v="1"/>
    <n v="78"/>
    <n v="235.68084148847547"/>
    <x v="0"/>
  </r>
  <r>
    <n v="1127"/>
    <x v="3"/>
    <d v="2006-09-20T00:00:00"/>
    <x v="1"/>
    <n v="6"/>
    <n v="20.386126115237083"/>
    <x v="0"/>
  </r>
  <r>
    <n v="1128"/>
    <x v="4"/>
    <d v="2005-07-29T00:00:00"/>
    <x v="0"/>
    <n v="57"/>
    <n v="172.66966829976792"/>
    <x v="2"/>
  </r>
  <r>
    <n v="1129"/>
    <x v="1"/>
    <d v="2005-04-10T00:00:00"/>
    <x v="3"/>
    <n v="35"/>
    <n v="106.52782470569326"/>
    <x v="0"/>
  </r>
  <r>
    <n v="1130"/>
    <x v="8"/>
    <d v="2006-11-14T00:00:00"/>
    <x v="3"/>
    <n v="72"/>
    <n v="217.3653218325137"/>
    <x v="1"/>
  </r>
  <r>
    <n v="1131"/>
    <x v="7"/>
    <d v="2004-06-17T00:00:00"/>
    <x v="4"/>
    <n v="79"/>
    <n v="238.31546571286182"/>
    <x v="0"/>
  </r>
  <r>
    <n v="1132"/>
    <x v="8"/>
    <d v="2005-04-21T00:00:00"/>
    <x v="0"/>
    <n v="89"/>
    <n v="269.0186169961018"/>
    <x v="2"/>
  </r>
  <r>
    <n v="1133"/>
    <x v="7"/>
    <d v="2005-05-02T00:00:00"/>
    <x v="3"/>
    <n v="84"/>
    <n v="252.58494974261927"/>
    <x v="3"/>
  </r>
  <r>
    <n v="1134"/>
    <x v="5"/>
    <d v="2006-09-09T00:00:00"/>
    <x v="4"/>
    <n v="43"/>
    <n v="130.65515170314279"/>
    <x v="2"/>
  </r>
  <r>
    <n v="1135"/>
    <x v="6"/>
    <d v="2006-01-21T00:00:00"/>
    <x v="0"/>
    <n v="-4"/>
    <n v="-9.965195042789297"/>
    <x v="1"/>
  </r>
  <r>
    <n v="1136"/>
    <x v="6"/>
    <d v="2005-01-12T00:00:00"/>
    <x v="1"/>
    <n v="51"/>
    <n v="154.66031011925435"/>
    <x v="2"/>
  </r>
  <r>
    <n v="1137"/>
    <x v="0"/>
    <d v="2006-05-22T00:00:00"/>
    <x v="0"/>
    <n v="17"/>
    <n v="53.072576846761372"/>
    <x v="2"/>
  </r>
  <r>
    <n v="1138"/>
    <x v="1"/>
    <d v="2006-11-14T00:00:00"/>
    <x v="4"/>
    <n v="51"/>
    <n v="155.23584686430669"/>
    <x v="2"/>
  </r>
  <r>
    <n v="1139"/>
    <x v="7"/>
    <d v="2006-03-06T00:00:00"/>
    <x v="3"/>
    <n v="14"/>
    <n v="44.195651647644979"/>
    <x v="2"/>
  </r>
  <r>
    <n v="1140"/>
    <x v="2"/>
    <d v="2006-12-17T00:00:00"/>
    <x v="0"/>
    <n v="60"/>
    <n v="181.87259058007896"/>
    <x v="3"/>
  </r>
  <r>
    <n v="1141"/>
    <x v="8"/>
    <d v="2004-11-18T00:00:00"/>
    <x v="4"/>
    <n v="-8"/>
    <n v="-21.981669305596434"/>
    <x v="2"/>
  </r>
  <r>
    <n v="1142"/>
    <x v="4"/>
    <d v="2005-06-26T00:00:00"/>
    <x v="1"/>
    <n v="95"/>
    <n v="286.66171116702549"/>
    <x v="0"/>
  </r>
  <r>
    <n v="1143"/>
    <x v="3"/>
    <d v="2006-02-01T00:00:00"/>
    <x v="1"/>
    <n v="66"/>
    <n v="199.59386136754239"/>
    <x v="3"/>
  </r>
  <r>
    <n v="1144"/>
    <x v="3"/>
    <d v="2004-12-21T00:00:00"/>
    <x v="0"/>
    <n v="77"/>
    <n v="232.62615004199816"/>
    <x v="1"/>
  </r>
  <r>
    <n v="1145"/>
    <x v="1"/>
    <d v="2004-12-10T00:00:00"/>
    <x v="3"/>
    <n v="65"/>
    <n v="197.3309600781289"/>
    <x v="3"/>
  </r>
  <r>
    <n v="1146"/>
    <x v="1"/>
    <d v="2005-04-21T00:00:00"/>
    <x v="4"/>
    <n v="29"/>
    <n v="89.184247826635968"/>
    <x v="1"/>
  </r>
  <r>
    <n v="1147"/>
    <x v="3"/>
    <d v="2004-07-09T00:00:00"/>
    <x v="2"/>
    <n v="8"/>
    <n v="26.088167418036129"/>
    <x v="3"/>
  </r>
  <r>
    <n v="1148"/>
    <x v="2"/>
    <d v="2006-01-10T00:00:00"/>
    <x v="2"/>
    <n v="42"/>
    <n v="127.86858054734927"/>
    <x v="3"/>
  </r>
  <r>
    <n v="1149"/>
    <x v="0"/>
    <d v="2004-02-28T00:00:00"/>
    <x v="1"/>
    <n v="93"/>
    <n v="280.72118754503384"/>
    <x v="1"/>
  </r>
  <r>
    <n v="1150"/>
    <x v="3"/>
    <d v="2004-06-06T00:00:00"/>
    <x v="1"/>
    <n v="69"/>
    <n v="209.153628171767"/>
    <x v="0"/>
  </r>
  <r>
    <n v="1151"/>
    <x v="4"/>
    <d v="2006-07-05T00:00:00"/>
    <x v="4"/>
    <n v="91"/>
    <n v="274.80447122686729"/>
    <x v="0"/>
  </r>
  <r>
    <n v="1152"/>
    <x v="1"/>
    <d v="2005-02-03T00:00:00"/>
    <x v="3"/>
    <n v="11"/>
    <n v="34.520998663564384"/>
    <x v="0"/>
  </r>
  <r>
    <n v="1153"/>
    <x v="1"/>
    <d v="2005-01-01T00:00:00"/>
    <x v="0"/>
    <n v="-1"/>
    <n v="-1.5629041843202898"/>
    <x v="1"/>
  </r>
  <r>
    <n v="1154"/>
    <x v="7"/>
    <d v="2004-12-21T00:00:00"/>
    <x v="4"/>
    <n v="52"/>
    <n v="158.21071487768182"/>
    <x v="0"/>
  </r>
  <r>
    <n v="1155"/>
    <x v="0"/>
    <d v="2006-03-06T00:00:00"/>
    <x v="2"/>
    <n v="-10"/>
    <n v="-28.635014383965792"/>
    <x v="0"/>
  </r>
  <r>
    <n v="1156"/>
    <x v="3"/>
    <d v="2006-11-25T00:00:00"/>
    <x v="4"/>
    <n v="33"/>
    <n v="100.50696775814504"/>
    <x v="0"/>
  </r>
  <r>
    <n v="1157"/>
    <x v="0"/>
    <d v="2004-10-05T00:00:00"/>
    <x v="2"/>
    <n v="-1"/>
    <n v="-1.1155837084126869"/>
    <x v="2"/>
  </r>
  <r>
    <n v="1158"/>
    <x v="4"/>
    <d v="2006-08-29T00:00:00"/>
    <x v="4"/>
    <n v="24"/>
    <n v="73.541516730294589"/>
    <x v="2"/>
  </r>
  <r>
    <n v="1159"/>
    <x v="7"/>
    <d v="2004-05-15T00:00:00"/>
    <x v="1"/>
    <n v="71"/>
    <n v="214.70316225183416"/>
    <x v="1"/>
  </r>
  <r>
    <n v="1160"/>
    <x v="1"/>
    <d v="2004-11-18T00:00:00"/>
    <x v="0"/>
    <n v="88"/>
    <n v="265.86483001134803"/>
    <x v="0"/>
  </r>
  <r>
    <n v="1161"/>
    <x v="0"/>
    <d v="2005-07-29T00:00:00"/>
    <x v="0"/>
    <n v="16"/>
    <n v="49.990501805612737"/>
    <x v="2"/>
  </r>
  <r>
    <n v="1162"/>
    <x v="8"/>
    <d v="2005-06-15T00:00:00"/>
    <x v="1"/>
    <n v="7"/>
    <n v="23.192150694784473"/>
    <x v="3"/>
  </r>
  <r>
    <n v="1163"/>
    <x v="6"/>
    <d v="2004-09-24T00:00:00"/>
    <x v="4"/>
    <n v="46"/>
    <n v="140.4791075192903"/>
    <x v="0"/>
  </r>
  <r>
    <n v="1164"/>
    <x v="2"/>
    <d v="2004-11-29T00:00:00"/>
    <x v="1"/>
    <n v="-10"/>
    <n v="-27.584277375696701"/>
    <x v="1"/>
  </r>
  <r>
    <n v="1165"/>
    <x v="1"/>
    <d v="2006-06-24T00:00:00"/>
    <x v="0"/>
    <n v="83"/>
    <n v="251.13323611062162"/>
    <x v="2"/>
  </r>
  <r>
    <n v="1166"/>
    <x v="7"/>
    <d v="2006-03-17T00:00:00"/>
    <x v="0"/>
    <n v="85"/>
    <n v="256.22552874700915"/>
    <x v="0"/>
  </r>
  <r>
    <n v="1167"/>
    <x v="3"/>
    <d v="2005-09-11T00:00:00"/>
    <x v="3"/>
    <n v="18"/>
    <n v="56.221796879126835"/>
    <x v="1"/>
  </r>
  <r>
    <n v="1168"/>
    <x v="5"/>
    <d v="2004-09-24T00:00:00"/>
    <x v="2"/>
    <n v="83"/>
    <n v="251.40375169999851"/>
    <x v="1"/>
  </r>
  <r>
    <n v="1169"/>
    <x v="8"/>
    <d v="2006-11-25T00:00:00"/>
    <x v="0"/>
    <n v="71"/>
    <n v="214.72037779298833"/>
    <x v="0"/>
  </r>
  <r>
    <n v="1170"/>
    <x v="6"/>
    <d v="2004-09-02T00:00:00"/>
    <x v="3"/>
    <n v="2"/>
    <n v="7.9324854406454115"/>
    <x v="3"/>
  </r>
  <r>
    <n v="1171"/>
    <x v="0"/>
    <d v="2006-11-14T00:00:00"/>
    <x v="1"/>
    <n v="71"/>
    <n v="215.03086098171244"/>
    <x v="2"/>
  </r>
  <r>
    <n v="1172"/>
    <x v="3"/>
    <d v="2005-09-22T00:00:00"/>
    <x v="2"/>
    <n v="68"/>
    <n v="206.20589088795145"/>
    <x v="0"/>
  </r>
  <r>
    <n v="1173"/>
    <x v="6"/>
    <d v="2004-11-07T00:00:00"/>
    <x v="3"/>
    <n v="30"/>
    <n v="92.33205932019861"/>
    <x v="3"/>
  </r>
  <r>
    <n v="1174"/>
    <x v="1"/>
    <d v="2006-02-01T00:00:00"/>
    <x v="2"/>
    <n v="72"/>
    <n v="217.8071938981364"/>
    <x v="2"/>
  </r>
  <r>
    <n v="1175"/>
    <x v="7"/>
    <d v="2004-08-22T00:00:00"/>
    <x v="3"/>
    <n v="73"/>
    <n v="221.36652611293488"/>
    <x v="3"/>
  </r>
  <r>
    <n v="1176"/>
    <x v="0"/>
    <d v="2006-01-21T00:00:00"/>
    <x v="0"/>
    <n v="28"/>
    <n v="86.468421123864729"/>
    <x v="3"/>
  </r>
  <r>
    <n v="1177"/>
    <x v="8"/>
    <d v="2006-03-17T00:00:00"/>
    <x v="4"/>
    <n v="40"/>
    <n v="122.63642805944112"/>
    <x v="1"/>
  </r>
  <r>
    <n v="1178"/>
    <x v="6"/>
    <d v="2006-12-06T00:00:00"/>
    <x v="1"/>
    <n v="-8"/>
    <n v="-22.295514644563095"/>
    <x v="2"/>
  </r>
  <r>
    <n v="1179"/>
    <x v="2"/>
    <d v="2005-04-10T00:00:00"/>
    <x v="2"/>
    <n v="70"/>
    <n v="211.69145448851842"/>
    <x v="3"/>
  </r>
  <r>
    <n v="1180"/>
    <x v="0"/>
    <d v="2005-12-19T00:00:00"/>
    <x v="3"/>
    <n v="3"/>
    <n v="10.721781338210716"/>
    <x v="1"/>
  </r>
  <r>
    <n v="1181"/>
    <x v="0"/>
    <d v="2004-12-10T00:00:00"/>
    <x v="3"/>
    <n v="33"/>
    <n v="100.68258329871269"/>
    <x v="1"/>
  </r>
  <r>
    <n v="1182"/>
    <x v="4"/>
    <d v="2004-08-22T00:00:00"/>
    <x v="0"/>
    <n v="88"/>
    <n v="265.74766319973446"/>
    <x v="3"/>
  </r>
  <r>
    <n v="1183"/>
    <x v="6"/>
    <d v="2005-01-01T00:00:00"/>
    <x v="4"/>
    <n v="39"/>
    <n v="119.1661098521913"/>
    <x v="3"/>
  </r>
  <r>
    <n v="1184"/>
    <x v="8"/>
    <d v="2005-06-26T00:00:00"/>
    <x v="2"/>
    <n v="64"/>
    <n v="193.63735378454803"/>
    <x v="1"/>
  </r>
  <r>
    <n v="1185"/>
    <x v="7"/>
    <d v="2006-06-24T00:00:00"/>
    <x v="0"/>
    <n v="0"/>
    <n v="2.1318123006760317"/>
    <x v="3"/>
  </r>
  <r>
    <n v="1186"/>
    <x v="5"/>
    <d v="2004-03-21T00:00:00"/>
    <x v="2"/>
    <n v="26"/>
    <n v="80.373766797749937"/>
    <x v="0"/>
  </r>
  <r>
    <n v="1187"/>
    <x v="2"/>
    <d v="2004-03-10T00:00:00"/>
    <x v="0"/>
    <n v="0"/>
    <n v="1.4880685060494558"/>
    <x v="2"/>
  </r>
  <r>
    <n v="1188"/>
    <x v="0"/>
    <d v="2006-06-13T00:00:00"/>
    <x v="1"/>
    <n v="76"/>
    <n v="229.77238860248113"/>
    <x v="3"/>
  </r>
  <r>
    <n v="1189"/>
    <x v="6"/>
    <d v="2004-10-27T00:00:00"/>
    <x v="3"/>
    <n v="75"/>
    <n v="227.61957571703351"/>
    <x v="1"/>
  </r>
  <r>
    <n v="1190"/>
    <x v="6"/>
    <d v="2004-06-17T00:00:00"/>
    <x v="0"/>
    <n v="61"/>
    <n v="184.47481128177199"/>
    <x v="0"/>
  </r>
  <r>
    <n v="1191"/>
    <x v="8"/>
    <d v="2005-07-18T00:00:00"/>
    <x v="3"/>
    <n v="-2"/>
    <n v="-4.2806028749734537"/>
    <x v="1"/>
  </r>
  <r>
    <n v="1192"/>
    <x v="1"/>
    <d v="2004-02-06T00:00:00"/>
    <x v="2"/>
    <n v="40"/>
    <n v="122.55161793559111"/>
    <x v="3"/>
  </r>
  <r>
    <n v="1193"/>
    <x v="4"/>
    <d v="2005-02-14T00:00:00"/>
    <x v="3"/>
    <n v="5"/>
    <n v="17.384002396298932"/>
    <x v="2"/>
  </r>
  <r>
    <n v="1194"/>
    <x v="4"/>
    <d v="2006-09-20T00:00:00"/>
    <x v="3"/>
    <n v="57"/>
    <n v="172.52313391180516"/>
    <x v="0"/>
  </r>
  <r>
    <n v="1195"/>
    <x v="7"/>
    <d v="2006-03-28T00:00:00"/>
    <x v="3"/>
    <n v="86"/>
    <n v="259.81646524411644"/>
    <x v="1"/>
  </r>
  <r>
    <n v="1196"/>
    <x v="0"/>
    <d v="2004-06-17T00:00:00"/>
    <x v="2"/>
    <n v="15"/>
    <n v="46.529110883082438"/>
    <x v="3"/>
  </r>
  <r>
    <n v="1197"/>
    <x v="8"/>
    <d v="2006-09-09T00:00:00"/>
    <x v="3"/>
    <n v="39"/>
    <n v="118.84027043467471"/>
    <x v="3"/>
  </r>
  <r>
    <n v="1198"/>
    <x v="0"/>
    <d v="2004-05-04T00:00:00"/>
    <x v="1"/>
    <n v="94"/>
    <n v="284.28308169489765"/>
    <x v="1"/>
  </r>
  <r>
    <n v="1199"/>
    <x v="0"/>
    <d v="2006-03-28T00:00:00"/>
    <x v="0"/>
    <n v="78"/>
    <n v="235.94909602444432"/>
    <x v="0"/>
  </r>
  <r>
    <n v="1200"/>
    <x v="8"/>
    <d v="2006-01-21T00:00:00"/>
    <x v="3"/>
    <n v="65"/>
    <n v="196.94723752480948"/>
    <x v="3"/>
  </r>
  <r>
    <n v="1201"/>
    <x v="2"/>
    <d v="2006-12-17T00:00:00"/>
    <x v="3"/>
    <n v="66"/>
    <n v="199.89422548511391"/>
    <x v="0"/>
  </r>
  <r>
    <n v="1202"/>
    <x v="6"/>
    <d v="2005-05-13T00:00:00"/>
    <x v="4"/>
    <n v="84"/>
    <n v="254.09765790734036"/>
    <x v="3"/>
  </r>
  <r>
    <n v="1203"/>
    <x v="0"/>
    <d v="2006-03-17T00:00:00"/>
    <x v="4"/>
    <n v="35"/>
    <n v="107.42230334811192"/>
    <x v="0"/>
  </r>
  <r>
    <n v="1204"/>
    <x v="5"/>
    <d v="2004-06-06T00:00:00"/>
    <x v="4"/>
    <n v="94"/>
    <n v="284.44960047674812"/>
    <x v="2"/>
  </r>
  <r>
    <n v="1205"/>
    <x v="4"/>
    <d v="2005-04-10T00:00:00"/>
    <x v="0"/>
    <n v="26"/>
    <n v="80.008907895331433"/>
    <x v="1"/>
  </r>
  <r>
    <n v="1206"/>
    <x v="7"/>
    <d v="2006-07-27T00:00:00"/>
    <x v="3"/>
    <n v="80"/>
    <n v="242.68960514739433"/>
    <x v="3"/>
  </r>
  <r>
    <n v="1207"/>
    <x v="5"/>
    <d v="2004-05-26T00:00:00"/>
    <x v="0"/>
    <n v="7"/>
    <n v="22.749084769262449"/>
    <x v="2"/>
  </r>
  <r>
    <n v="1208"/>
    <x v="1"/>
    <d v="2006-07-27T00:00:00"/>
    <x v="4"/>
    <n v="47"/>
    <n v="142.45293344391169"/>
    <x v="1"/>
  </r>
  <r>
    <n v="1209"/>
    <x v="4"/>
    <d v="2004-09-13T00:00:00"/>
    <x v="0"/>
    <n v="32"/>
    <n v="98.66880662051085"/>
    <x v="2"/>
  </r>
  <r>
    <n v="1210"/>
    <x v="1"/>
    <d v="2005-11-27T00:00:00"/>
    <x v="0"/>
    <n v="8"/>
    <n v="25.397181435002494"/>
    <x v="2"/>
  </r>
  <r>
    <n v="1211"/>
    <x v="2"/>
    <d v="2004-07-31T00:00:00"/>
    <x v="4"/>
    <n v="33"/>
    <n v="100.90835792644413"/>
    <x v="1"/>
  </r>
  <r>
    <n v="1212"/>
    <x v="7"/>
    <d v="2004-09-02T00:00:00"/>
    <x v="3"/>
    <n v="22"/>
    <n v="68.443266596535878"/>
    <x v="3"/>
  </r>
  <r>
    <n v="1213"/>
    <x v="8"/>
    <d v="2005-10-25T00:00:00"/>
    <x v="0"/>
    <n v="81"/>
    <n v="244.7024907032648"/>
    <x v="0"/>
  </r>
  <r>
    <n v="1214"/>
    <x v="8"/>
    <d v="2006-06-13T00:00:00"/>
    <x v="2"/>
    <n v="81"/>
    <n v="244.87385074051761"/>
    <x v="1"/>
  </r>
  <r>
    <n v="1215"/>
    <x v="2"/>
    <d v="2004-07-31T00:00:00"/>
    <x v="1"/>
    <n v="30"/>
    <n v="91.738843901415805"/>
    <x v="0"/>
  </r>
  <r>
    <n v="1216"/>
    <x v="3"/>
    <d v="2004-09-13T00:00:00"/>
    <x v="0"/>
    <n v="-1"/>
    <n v="-1.145171893891844"/>
    <x v="2"/>
  </r>
  <r>
    <n v="1217"/>
    <x v="1"/>
    <d v="2006-05-22T00:00:00"/>
    <x v="4"/>
    <n v="35"/>
    <n v="106.85440305953027"/>
    <x v="1"/>
  </r>
  <r>
    <n v="1218"/>
    <x v="8"/>
    <d v="2006-03-17T00:00:00"/>
    <x v="4"/>
    <n v="78"/>
    <n v="235.96052865922752"/>
    <x v="2"/>
  </r>
  <r>
    <n v="1219"/>
    <x v="0"/>
    <d v="2006-08-07T00:00:00"/>
    <x v="0"/>
    <n v="15"/>
    <n v="47.22639965086119"/>
    <x v="0"/>
  </r>
  <r>
    <n v="1220"/>
    <x v="7"/>
    <d v="2005-01-23T00:00:00"/>
    <x v="4"/>
    <n v="75"/>
    <n v="226.87742764461669"/>
    <x v="3"/>
  </r>
  <r>
    <n v="1221"/>
    <x v="6"/>
    <d v="2006-10-12T00:00:00"/>
    <x v="3"/>
    <n v="12"/>
    <n v="38.143038750044731"/>
    <x v="0"/>
  </r>
  <r>
    <n v="1222"/>
    <x v="5"/>
    <d v="2005-11-16T00:00:00"/>
    <x v="4"/>
    <n v="30"/>
    <n v="91.983337200833716"/>
    <x v="1"/>
  </r>
  <r>
    <n v="1223"/>
    <x v="5"/>
    <d v="2005-05-13T00:00:00"/>
    <x v="3"/>
    <n v="42"/>
    <n v="128.0454928316145"/>
    <x v="2"/>
  </r>
  <r>
    <n v="1224"/>
    <x v="6"/>
    <d v="2004-01-04T00:00:00"/>
    <x v="3"/>
    <n v="-8"/>
    <n v="-22.146929145267091"/>
    <x v="3"/>
  </r>
  <r>
    <n v="1225"/>
    <x v="7"/>
    <d v="2004-04-12T00:00:00"/>
    <x v="2"/>
    <n v="93"/>
    <n v="280.73714428830147"/>
    <x v="2"/>
  </r>
  <r>
    <n v="1226"/>
    <x v="1"/>
    <d v="2006-08-29T00:00:00"/>
    <x v="3"/>
    <n v="55"/>
    <n v="167.57524533229733"/>
    <x v="3"/>
  </r>
  <r>
    <n v="1227"/>
    <x v="2"/>
    <d v="2005-02-25T00:00:00"/>
    <x v="0"/>
    <n v="53"/>
    <n v="161.16756896250922"/>
    <x v="0"/>
  </r>
  <r>
    <n v="1228"/>
    <x v="6"/>
    <d v="2006-07-05T00:00:00"/>
    <x v="3"/>
    <n v="20"/>
    <n v="61.771223708788817"/>
    <x v="2"/>
  </r>
  <r>
    <n v="1229"/>
    <x v="3"/>
    <d v="2005-04-21T00:00:00"/>
    <x v="2"/>
    <n v="19"/>
    <n v="58.720890783599678"/>
    <x v="1"/>
  </r>
  <r>
    <n v="1230"/>
    <x v="8"/>
    <d v="2005-01-23T00:00:00"/>
    <x v="4"/>
    <n v="23"/>
    <n v="70.867520556192943"/>
    <x v="0"/>
  </r>
  <r>
    <n v="1231"/>
    <x v="0"/>
    <d v="2006-03-06T00:00:00"/>
    <x v="1"/>
    <n v="68"/>
    <n v="205.90903893366013"/>
    <x v="0"/>
  </r>
  <r>
    <n v="1232"/>
    <x v="4"/>
    <d v="2006-01-21T00:00:00"/>
    <x v="2"/>
    <n v="52"/>
    <n v="157.86201256059277"/>
    <x v="3"/>
  </r>
  <r>
    <n v="1233"/>
    <x v="2"/>
    <d v="2005-07-18T00:00:00"/>
    <x v="3"/>
    <n v="40"/>
    <n v="121.95606531866419"/>
    <x v="0"/>
  </r>
  <r>
    <n v="1234"/>
    <x v="4"/>
    <d v="2006-02-23T00:00:00"/>
    <x v="4"/>
    <n v="22"/>
    <n v="67.708397118863431"/>
    <x v="2"/>
  </r>
  <r>
    <n v="1235"/>
    <x v="4"/>
    <d v="2005-04-10T00:00:00"/>
    <x v="2"/>
    <n v="5"/>
    <n v="16.990101124103898"/>
    <x v="2"/>
  </r>
  <r>
    <n v="1236"/>
    <x v="4"/>
    <d v="2006-04-08T00:00:00"/>
    <x v="4"/>
    <n v="30"/>
    <n v="92.283774629578076"/>
    <x v="0"/>
  </r>
  <r>
    <n v="1237"/>
    <x v="4"/>
    <d v="2004-04-01T00:00:00"/>
    <x v="3"/>
    <n v="6"/>
    <n v="20.244957158318631"/>
    <x v="2"/>
  </r>
  <r>
    <n v="1238"/>
    <x v="7"/>
    <d v="2004-09-24T00:00:00"/>
    <x v="2"/>
    <n v="92"/>
    <n v="277.63010190908926"/>
    <x v="3"/>
  </r>
  <r>
    <n v="1239"/>
    <x v="3"/>
    <d v="2006-05-22T00:00:00"/>
    <x v="4"/>
    <n v="-5"/>
    <n v="-12.432490366118355"/>
    <x v="1"/>
  </r>
  <r>
    <n v="1240"/>
    <x v="5"/>
    <d v="2006-05-11T00:00:00"/>
    <x v="0"/>
    <n v="20"/>
    <n v="61.840740307042338"/>
    <x v="2"/>
  </r>
  <r>
    <n v="1241"/>
    <x v="6"/>
    <d v="2006-12-28T00:00:00"/>
    <x v="4"/>
    <n v="54"/>
    <n v="163.08588736802977"/>
    <x v="1"/>
  </r>
  <r>
    <n v="1242"/>
    <x v="4"/>
    <d v="2005-04-10T00:00:00"/>
    <x v="3"/>
    <n v="9"/>
    <n v="29.206434361888643"/>
    <x v="3"/>
  </r>
  <r>
    <n v="1243"/>
    <x v="3"/>
    <d v="2005-05-13T00:00:00"/>
    <x v="3"/>
    <n v="6"/>
    <n v="19.957821441994636"/>
    <x v="0"/>
  </r>
  <r>
    <n v="1244"/>
    <x v="6"/>
    <d v="2004-05-04T00:00:00"/>
    <x v="0"/>
    <n v="47"/>
    <n v="142.82940012407209"/>
    <x v="3"/>
  </r>
  <r>
    <n v="1245"/>
    <x v="2"/>
    <d v="2005-11-16T00:00:00"/>
    <x v="4"/>
    <n v="-10"/>
    <n v="-27.091257616513943"/>
    <x v="0"/>
  </r>
  <r>
    <n v="1246"/>
    <x v="8"/>
    <d v="2004-05-15T00:00:00"/>
    <x v="4"/>
    <n v="90"/>
    <n v="272.34042411677569"/>
    <x v="1"/>
  </r>
  <r>
    <n v="1247"/>
    <x v="0"/>
    <d v="2004-02-06T00:00:00"/>
    <x v="1"/>
    <n v="48"/>
    <n v="146.4346102431829"/>
    <x v="1"/>
  </r>
  <r>
    <n v="1248"/>
    <x v="6"/>
    <d v="2005-04-10T00:00:00"/>
    <x v="1"/>
    <n v="55"/>
    <n v="167.32527262577906"/>
    <x v="0"/>
  </r>
  <r>
    <n v="1249"/>
    <x v="0"/>
    <d v="2006-06-24T00:00:00"/>
    <x v="4"/>
    <n v="42"/>
    <n v="128.47869059837046"/>
    <x v="3"/>
  </r>
  <r>
    <n v="1250"/>
    <x v="8"/>
    <d v="2006-02-01T00:00:00"/>
    <x v="3"/>
    <n v="39"/>
    <n v="119.42558225930649"/>
    <x v="2"/>
  </r>
  <r>
    <n v="1251"/>
    <x v="4"/>
    <d v="2005-11-16T00:00:00"/>
    <x v="4"/>
    <n v="26"/>
    <n v="79.641106811056247"/>
    <x v="0"/>
  </r>
  <r>
    <n v="1252"/>
    <x v="0"/>
    <d v="2006-02-12T00:00:00"/>
    <x v="4"/>
    <n v="26"/>
    <n v="79.499321772308136"/>
    <x v="3"/>
  </r>
  <r>
    <n v="1253"/>
    <x v="0"/>
    <d v="2005-12-19T00:00:00"/>
    <x v="3"/>
    <n v="52"/>
    <n v="158.28266649648856"/>
    <x v="3"/>
  </r>
  <r>
    <n v="1254"/>
    <x v="4"/>
    <d v="2004-11-18T00:00:00"/>
    <x v="1"/>
    <n v="19"/>
    <n v="58.769535018680784"/>
    <x v="0"/>
  </r>
  <r>
    <n v="1255"/>
    <x v="2"/>
    <d v="2004-08-11T00:00:00"/>
    <x v="4"/>
    <n v="18"/>
    <n v="55.683739721262491"/>
    <x v="3"/>
  </r>
  <r>
    <n v="1256"/>
    <x v="1"/>
    <d v="2006-11-25T00:00:00"/>
    <x v="4"/>
    <n v="87"/>
    <n v="263.04139351081579"/>
    <x v="3"/>
  </r>
  <r>
    <n v="1257"/>
    <x v="4"/>
    <d v="2004-10-16T00:00:00"/>
    <x v="3"/>
    <n v="46"/>
    <n v="139.93969189998913"/>
    <x v="1"/>
  </r>
  <r>
    <n v="1258"/>
    <x v="0"/>
    <d v="2006-07-16T00:00:00"/>
    <x v="4"/>
    <n v="54"/>
    <n v="163.69364721145854"/>
    <x v="1"/>
  </r>
  <r>
    <n v="1259"/>
    <x v="3"/>
    <d v="2004-02-28T00:00:00"/>
    <x v="4"/>
    <n v="21"/>
    <n v="64.701803739735197"/>
    <x v="0"/>
  </r>
  <r>
    <n v="1260"/>
    <x v="4"/>
    <d v="2004-02-06T00:00:00"/>
    <x v="1"/>
    <n v="-6"/>
    <n v="-16.23714349589131"/>
    <x v="2"/>
  </r>
  <r>
    <n v="1261"/>
    <x v="5"/>
    <d v="2004-11-18T00:00:00"/>
    <x v="1"/>
    <n v="47"/>
    <n v="142.41301237194139"/>
    <x v="3"/>
  </r>
  <r>
    <n v="1262"/>
    <x v="7"/>
    <d v="2004-04-23T00:00:00"/>
    <x v="1"/>
    <n v="14"/>
    <n v="44.23662693928393"/>
    <x v="2"/>
  </r>
  <r>
    <n v="1263"/>
    <x v="7"/>
    <d v="2006-10-01T00:00:00"/>
    <x v="1"/>
    <n v="73"/>
    <n v="220.5000128058029"/>
    <x v="2"/>
  </r>
  <r>
    <n v="1264"/>
    <x v="7"/>
    <d v="2006-12-17T00:00:00"/>
    <x v="0"/>
    <n v="14"/>
    <n v="44.424699895790788"/>
    <x v="0"/>
  </r>
  <r>
    <n v="1265"/>
    <x v="1"/>
    <d v="2006-04-08T00:00:00"/>
    <x v="0"/>
    <n v="95"/>
    <n v="286.75698716058628"/>
    <x v="1"/>
  </r>
  <r>
    <n v="1266"/>
    <x v="5"/>
    <d v="2004-02-17T00:00:00"/>
    <x v="3"/>
    <n v="64"/>
    <n v="193.36768203630285"/>
    <x v="0"/>
  </r>
  <r>
    <n v="1267"/>
    <x v="8"/>
    <d v="2004-10-05T00:00:00"/>
    <x v="3"/>
    <n v="47"/>
    <n v="143.14314267064674"/>
    <x v="1"/>
  </r>
  <r>
    <n v="1268"/>
    <x v="5"/>
    <d v="2004-11-29T00:00:00"/>
    <x v="1"/>
    <n v="20"/>
    <n v="61.937788372758583"/>
    <x v="2"/>
  </r>
  <r>
    <n v="1269"/>
    <x v="3"/>
    <d v="2004-12-21T00:00:00"/>
    <x v="0"/>
    <n v="71"/>
    <n v="215.32844026172367"/>
    <x v="2"/>
  </r>
  <r>
    <n v="1270"/>
    <x v="5"/>
    <d v="2005-10-14T00:00:00"/>
    <x v="3"/>
    <n v="66"/>
    <n v="199.49732716580834"/>
    <x v="2"/>
  </r>
  <r>
    <n v="1271"/>
    <x v="1"/>
    <d v="2004-10-05T00:00:00"/>
    <x v="1"/>
    <n v="79"/>
    <n v="239.43592811272299"/>
    <x v="2"/>
  </r>
  <r>
    <n v="1272"/>
    <x v="1"/>
    <d v="2005-10-25T00:00:00"/>
    <x v="4"/>
    <n v="-7"/>
    <n v="-18.401268878071164"/>
    <x v="3"/>
  </r>
  <r>
    <n v="1273"/>
    <x v="0"/>
    <d v="2005-10-03T00:00:00"/>
    <x v="1"/>
    <n v="72"/>
    <n v="217.35308480664631"/>
    <x v="2"/>
  </r>
  <r>
    <n v="1274"/>
    <x v="1"/>
    <d v="2004-10-05T00:00:00"/>
    <x v="2"/>
    <n v="91"/>
    <n v="275.36823907836589"/>
    <x v="1"/>
  </r>
  <r>
    <n v="1275"/>
    <x v="4"/>
    <d v="2004-03-10T00:00:00"/>
    <x v="4"/>
    <n v="57"/>
    <n v="173.47781647307619"/>
    <x v="0"/>
  </r>
  <r>
    <n v="1276"/>
    <x v="8"/>
    <d v="2004-09-24T00:00:00"/>
    <x v="1"/>
    <n v="-8"/>
    <n v="-21.82749489869385"/>
    <x v="0"/>
  </r>
  <r>
    <n v="1277"/>
    <x v="5"/>
    <d v="2005-09-11T00:00:00"/>
    <x v="1"/>
    <n v="45"/>
    <n v="136.95599465560394"/>
    <x v="3"/>
  </r>
  <r>
    <n v="1278"/>
    <x v="3"/>
    <d v="2004-10-27T00:00:00"/>
    <x v="3"/>
    <n v="92"/>
    <n v="278.04523769732305"/>
    <x v="0"/>
  </r>
  <r>
    <n v="1279"/>
    <x v="4"/>
    <d v="2004-09-02T00:00:00"/>
    <x v="4"/>
    <n v="28"/>
    <n v="86.457557586126669"/>
    <x v="1"/>
  </r>
  <r>
    <n v="1280"/>
    <x v="0"/>
    <d v="2005-01-23T00:00:00"/>
    <x v="2"/>
    <n v="79"/>
    <n v="238.98646128992934"/>
    <x v="2"/>
  </r>
  <r>
    <n v="1281"/>
    <x v="7"/>
    <d v="2005-01-23T00:00:00"/>
    <x v="1"/>
    <n v="92"/>
    <n v="277.53792590877345"/>
    <x v="2"/>
  </r>
  <r>
    <n v="1282"/>
    <x v="5"/>
    <d v="2004-04-23T00:00:00"/>
    <x v="4"/>
    <n v="11"/>
    <n v="34.457391966440007"/>
    <x v="1"/>
  </r>
  <r>
    <n v="1283"/>
    <x v="4"/>
    <d v="2005-01-23T00:00:00"/>
    <x v="3"/>
    <n v="23"/>
    <n v="70.69661605650883"/>
    <x v="3"/>
  </r>
  <r>
    <n v="1284"/>
    <x v="0"/>
    <d v="2006-04-19T00:00:00"/>
    <x v="3"/>
    <n v="2"/>
    <n v="8.8023773142157893"/>
    <x v="1"/>
  </r>
  <r>
    <n v="1285"/>
    <x v="6"/>
    <d v="2005-01-01T00:00:00"/>
    <x v="3"/>
    <n v="-2"/>
    <n v="-3.4493356628035219"/>
    <x v="3"/>
  </r>
  <r>
    <n v="1286"/>
    <x v="1"/>
    <d v="2005-06-04T00:00:00"/>
    <x v="0"/>
    <n v="33"/>
    <n v="100.68617590777907"/>
    <x v="2"/>
  </r>
  <r>
    <n v="1287"/>
    <x v="6"/>
    <d v="2006-06-24T00:00:00"/>
    <x v="4"/>
    <n v="10"/>
    <n v="31.300935347132732"/>
    <x v="1"/>
  </r>
  <r>
    <n v="1288"/>
    <x v="2"/>
    <d v="2004-11-29T00:00:00"/>
    <x v="2"/>
    <n v="84"/>
    <n v="254.11937205363179"/>
    <x v="3"/>
  </r>
  <r>
    <n v="1289"/>
    <x v="1"/>
    <d v="2004-12-21T00:00:00"/>
    <x v="4"/>
    <n v="88"/>
    <n v="266.39334034313327"/>
    <x v="1"/>
  </r>
  <r>
    <n v="1290"/>
    <x v="0"/>
    <d v="2005-07-07T00:00:00"/>
    <x v="3"/>
    <n v="95"/>
    <n v="286.60843219410157"/>
    <x v="3"/>
  </r>
  <r>
    <n v="1291"/>
    <x v="3"/>
    <d v="2005-02-14T00:00:00"/>
    <x v="4"/>
    <n v="3"/>
    <n v="11.903882144888168"/>
    <x v="1"/>
  </r>
  <r>
    <n v="1292"/>
    <x v="0"/>
    <d v="2006-04-30T00:00:00"/>
    <x v="0"/>
    <n v="72"/>
    <n v="217.58131494729014"/>
    <x v="2"/>
  </r>
  <r>
    <n v="1293"/>
    <x v="8"/>
    <d v="2005-03-08T00:00:00"/>
    <x v="3"/>
    <n v="58"/>
    <n v="176.65394036929425"/>
    <x v="1"/>
  </r>
  <r>
    <n v="1294"/>
    <x v="2"/>
    <d v="2004-06-06T00:00:00"/>
    <x v="3"/>
    <n v="19"/>
    <n v="59.643357077362239"/>
    <x v="2"/>
  </r>
  <r>
    <n v="1295"/>
    <x v="0"/>
    <d v="2005-04-21T00:00:00"/>
    <x v="4"/>
    <n v="35"/>
    <n v="106.5070892872302"/>
    <x v="0"/>
  </r>
  <r>
    <n v="1296"/>
    <x v="1"/>
    <d v="2004-11-29T00:00:00"/>
    <x v="1"/>
    <n v="80"/>
    <n v="242.63330478636408"/>
    <x v="2"/>
  </r>
  <r>
    <n v="1297"/>
    <x v="5"/>
    <d v="2004-01-26T00:00:00"/>
    <x v="3"/>
    <n v="26"/>
    <n v="80.048584690277565"/>
    <x v="0"/>
  </r>
  <r>
    <n v="1298"/>
    <x v="3"/>
    <d v="2005-07-07T00:00:00"/>
    <x v="0"/>
    <n v="93"/>
    <n v="280.93222292224493"/>
    <x v="2"/>
  </r>
  <r>
    <n v="1299"/>
    <x v="4"/>
    <d v="2005-11-05T00:00:00"/>
    <x v="3"/>
    <n v="29"/>
    <n v="90.05707639133125"/>
    <x v="1"/>
  </r>
  <r>
    <n v="1300"/>
    <x v="4"/>
    <d v="2004-04-23T00:00:00"/>
    <x v="1"/>
    <n v="88"/>
    <n v="266.36925289616937"/>
    <x v="1"/>
  </r>
  <r>
    <n v="1301"/>
    <x v="7"/>
    <d v="2006-08-18T00:00:00"/>
    <x v="3"/>
    <n v="5"/>
    <n v="16.874201572948834"/>
    <x v="3"/>
  </r>
  <r>
    <n v="1302"/>
    <x v="4"/>
    <d v="2005-08-09T00:00:00"/>
    <x v="4"/>
    <n v="64"/>
    <n v="194.02715866543952"/>
    <x v="2"/>
  </r>
  <r>
    <n v="1303"/>
    <x v="6"/>
    <d v="2005-12-30T00:00:00"/>
    <x v="0"/>
    <n v="38"/>
    <n v="116.02781429818391"/>
    <x v="3"/>
  </r>
  <r>
    <n v="1304"/>
    <x v="7"/>
    <d v="2004-10-16T00:00:00"/>
    <x v="1"/>
    <n v="21"/>
    <n v="65.60411466769294"/>
    <x v="2"/>
  </r>
  <r>
    <n v="1305"/>
    <x v="1"/>
    <d v="2005-07-18T00:00:00"/>
    <x v="3"/>
    <n v="61"/>
    <n v="184.44189289759726"/>
    <x v="2"/>
  </r>
  <r>
    <n v="1306"/>
    <x v="3"/>
    <d v="2004-05-04T00:00:00"/>
    <x v="3"/>
    <n v="53"/>
    <n v="160.79564195236946"/>
    <x v="2"/>
  </r>
  <r>
    <n v="1307"/>
    <x v="0"/>
    <d v="2006-02-01T00:00:00"/>
    <x v="4"/>
    <n v="28"/>
    <n v="86.322863736189788"/>
    <x v="3"/>
  </r>
  <r>
    <n v="1308"/>
    <x v="3"/>
    <d v="2006-08-29T00:00:00"/>
    <x v="4"/>
    <n v="39"/>
    <n v="119.49155300741148"/>
    <x v="3"/>
  </r>
  <r>
    <n v="1309"/>
    <x v="3"/>
    <d v="2006-11-03T00:00:00"/>
    <x v="0"/>
    <n v="89"/>
    <n v="268.72040652792879"/>
    <x v="2"/>
  </r>
  <r>
    <n v="1310"/>
    <x v="0"/>
    <d v="2004-04-23T00:00:00"/>
    <x v="1"/>
    <n v="72"/>
    <n v="218.15784251474992"/>
    <x v="0"/>
  </r>
  <r>
    <n v="1311"/>
    <x v="4"/>
    <d v="2004-08-22T00:00:00"/>
    <x v="0"/>
    <n v="63"/>
    <n v="191.07967670509865"/>
    <x v="0"/>
  </r>
  <r>
    <n v="1312"/>
    <x v="5"/>
    <d v="2006-12-28T00:00:00"/>
    <x v="1"/>
    <n v="47"/>
    <n v="142.1470812441363"/>
    <x v="2"/>
  </r>
  <r>
    <n v="1313"/>
    <x v="2"/>
    <d v="2005-07-07T00:00:00"/>
    <x v="4"/>
    <n v="8"/>
    <n v="25.619997788473359"/>
    <x v="1"/>
  </r>
  <r>
    <n v="1314"/>
    <x v="0"/>
    <d v="2004-11-07T00:00:00"/>
    <x v="0"/>
    <n v="88"/>
    <n v="265.56717139256853"/>
    <x v="3"/>
  </r>
  <r>
    <n v="1315"/>
    <x v="2"/>
    <d v="2004-08-22T00:00:00"/>
    <x v="0"/>
    <n v="12"/>
    <n v="37.818679875987904"/>
    <x v="1"/>
  </r>
  <r>
    <n v="1316"/>
    <x v="7"/>
    <d v="2005-11-27T00:00:00"/>
    <x v="4"/>
    <n v="79"/>
    <n v="239.17519679611866"/>
    <x v="1"/>
  </r>
  <r>
    <n v="1317"/>
    <x v="4"/>
    <d v="2004-06-17T00:00:00"/>
    <x v="2"/>
    <n v="39"/>
    <n v="118.94488443291594"/>
    <x v="0"/>
  </r>
  <r>
    <n v="1318"/>
    <x v="7"/>
    <d v="2006-02-12T00:00:00"/>
    <x v="4"/>
    <n v="61"/>
    <n v="185.05613481266943"/>
    <x v="2"/>
  </r>
  <r>
    <n v="1319"/>
    <x v="7"/>
    <d v="2006-09-20T00:00:00"/>
    <x v="0"/>
    <n v="12"/>
    <n v="38.275233428944262"/>
    <x v="2"/>
  </r>
  <r>
    <n v="1320"/>
    <x v="3"/>
    <d v="2004-11-07T00:00:00"/>
    <x v="4"/>
    <n v="25"/>
    <n v="76.651168243814681"/>
    <x v="3"/>
  </r>
  <r>
    <n v="1321"/>
    <x v="8"/>
    <d v="2005-11-27T00:00:00"/>
    <x v="1"/>
    <n v="82"/>
    <n v="248.26100726872076"/>
    <x v="0"/>
  </r>
  <r>
    <n v="1322"/>
    <x v="2"/>
    <d v="2004-12-21T00:00:00"/>
    <x v="4"/>
    <n v="4"/>
    <n v="14.48265398333678"/>
    <x v="2"/>
  </r>
  <r>
    <n v="1323"/>
    <x v="2"/>
    <d v="2006-12-17T00:00:00"/>
    <x v="2"/>
    <n v="22"/>
    <n v="68.226854446694333"/>
    <x v="0"/>
  </r>
  <r>
    <n v="1324"/>
    <x v="2"/>
    <d v="2006-10-01T00:00:00"/>
    <x v="4"/>
    <n v="81"/>
    <n v="244.6243385117169"/>
    <x v="1"/>
  </r>
  <r>
    <n v="1325"/>
    <x v="3"/>
    <d v="2005-02-25T00:00:00"/>
    <x v="3"/>
    <n v="34"/>
    <n v="103.85172808433745"/>
    <x v="0"/>
  </r>
  <r>
    <n v="1326"/>
    <x v="2"/>
    <d v="2004-11-18T00:00:00"/>
    <x v="4"/>
    <n v="89"/>
    <n v="269.74478909487721"/>
    <x v="3"/>
  </r>
  <r>
    <n v="1327"/>
    <x v="3"/>
    <d v="2005-02-03T00:00:00"/>
    <x v="4"/>
    <n v="6"/>
    <n v="20.30969002976488"/>
    <x v="1"/>
  </r>
  <r>
    <n v="1328"/>
    <x v="7"/>
    <d v="2005-06-26T00:00:00"/>
    <x v="3"/>
    <n v="78"/>
    <n v="235.99588000674026"/>
    <x v="0"/>
  </r>
  <r>
    <n v="1329"/>
    <x v="8"/>
    <d v="2005-05-13T00:00:00"/>
    <x v="0"/>
    <n v="9"/>
    <n v="28.852711267429889"/>
    <x v="0"/>
  </r>
  <r>
    <n v="1330"/>
    <x v="5"/>
    <d v="2006-12-28T00:00:00"/>
    <x v="4"/>
    <n v="9"/>
    <n v="29.718118103947955"/>
    <x v="3"/>
  </r>
  <r>
    <n v="1331"/>
    <x v="5"/>
    <d v="2006-04-19T00:00:00"/>
    <x v="1"/>
    <n v="73"/>
    <n v="221.1834991910803"/>
    <x v="3"/>
  </r>
  <r>
    <n v="1332"/>
    <x v="0"/>
    <d v="2004-01-15T00:00:00"/>
    <x v="0"/>
    <n v="13"/>
    <n v="41.92379193182763"/>
    <x v="1"/>
  </r>
  <r>
    <n v="1333"/>
    <x v="4"/>
    <d v="2005-03-08T00:00:00"/>
    <x v="3"/>
    <n v="14"/>
    <n v="43.998808725631548"/>
    <x v="1"/>
  </r>
  <r>
    <n v="1334"/>
    <x v="0"/>
    <d v="2005-05-24T00:00:00"/>
    <x v="2"/>
    <n v="33"/>
    <n v="100.31195245129152"/>
    <x v="1"/>
  </r>
  <r>
    <n v="1335"/>
    <x v="0"/>
    <d v="2004-04-01T00:00:00"/>
    <x v="1"/>
    <n v="17"/>
    <n v="53.123119444085049"/>
    <x v="3"/>
  </r>
  <r>
    <n v="1336"/>
    <x v="1"/>
    <d v="2006-07-05T00:00:00"/>
    <x v="0"/>
    <n v="9"/>
    <n v="29.501152192037068"/>
    <x v="0"/>
  </r>
  <r>
    <n v="1337"/>
    <x v="7"/>
    <d v="2006-02-23T00:00:00"/>
    <x v="4"/>
    <n v="15"/>
    <n v="47.311523584864588"/>
    <x v="1"/>
  </r>
  <r>
    <n v="1338"/>
    <x v="2"/>
    <d v="2006-09-09T00:00:00"/>
    <x v="2"/>
    <n v="50"/>
    <n v="152.31019163589909"/>
    <x v="3"/>
  </r>
  <r>
    <n v="1339"/>
    <x v="7"/>
    <d v="2004-11-07T00:00:00"/>
    <x v="2"/>
    <n v="13"/>
    <n v="40.558759872429341"/>
    <x v="2"/>
  </r>
  <r>
    <n v="1340"/>
    <x v="1"/>
    <d v="2004-09-13T00:00:00"/>
    <x v="0"/>
    <n v="24"/>
    <n v="74.731137309505712"/>
    <x v="2"/>
  </r>
  <r>
    <n v="1341"/>
    <x v="0"/>
    <d v="2005-12-30T00:00:00"/>
    <x v="0"/>
    <n v="77"/>
    <n v="232.89275600525073"/>
    <x v="0"/>
  </r>
  <r>
    <n v="1342"/>
    <x v="1"/>
    <d v="2006-05-11T00:00:00"/>
    <x v="4"/>
    <n v="21"/>
    <n v="65.214588826582613"/>
    <x v="3"/>
  </r>
  <r>
    <n v="1343"/>
    <x v="8"/>
    <d v="2005-07-07T00:00:00"/>
    <x v="4"/>
    <n v="80"/>
    <n v="240.76226876969253"/>
    <x v="1"/>
  </r>
  <r>
    <n v="1344"/>
    <x v="1"/>
    <d v="2004-11-07T00:00:00"/>
    <x v="4"/>
    <n v="56"/>
    <n v="170.50901918623575"/>
    <x v="0"/>
  </r>
  <r>
    <n v="1345"/>
    <x v="5"/>
    <d v="2005-04-10T00:00:00"/>
    <x v="1"/>
    <n v="28"/>
    <n v="86.002698245868487"/>
    <x v="2"/>
  </r>
  <r>
    <n v="1346"/>
    <x v="7"/>
    <d v="2005-11-27T00:00:00"/>
    <x v="2"/>
    <n v="50"/>
    <n v="151.56909496566121"/>
    <x v="1"/>
  </r>
  <r>
    <n v="1347"/>
    <x v="5"/>
    <d v="2005-04-10T00:00:00"/>
    <x v="3"/>
    <n v="23"/>
    <n v="71.405303018372905"/>
    <x v="3"/>
  </r>
  <r>
    <n v="1348"/>
    <x v="7"/>
    <d v="2004-06-06T00:00:00"/>
    <x v="0"/>
    <n v="77"/>
    <n v="232.85049996581651"/>
    <x v="1"/>
  </r>
  <r>
    <n v="1349"/>
    <x v="0"/>
    <d v="2004-02-17T00:00:00"/>
    <x v="4"/>
    <n v="56"/>
    <n v="170.26270071526079"/>
    <x v="3"/>
  </r>
  <r>
    <n v="1350"/>
    <x v="8"/>
    <d v="2006-04-19T00:00:00"/>
    <x v="0"/>
    <n v="26"/>
    <n v="79.7600955182413"/>
    <x v="3"/>
  </r>
  <r>
    <n v="1351"/>
    <x v="2"/>
    <d v="2004-02-17T00:00:00"/>
    <x v="1"/>
    <n v="18"/>
    <n v="55.931706737093798"/>
    <x v="0"/>
  </r>
  <r>
    <n v="1352"/>
    <x v="5"/>
    <d v="2004-02-17T00:00:00"/>
    <x v="0"/>
    <n v="40"/>
    <n v="121.10292526674064"/>
    <x v="0"/>
  </r>
  <r>
    <n v="1353"/>
    <x v="1"/>
    <d v="2004-02-17T00:00:00"/>
    <x v="4"/>
    <n v="75"/>
    <n v="227.06641475515934"/>
    <x v="0"/>
  </r>
  <r>
    <n v="1354"/>
    <x v="4"/>
    <d v="2005-02-25T00:00:00"/>
    <x v="2"/>
    <n v="61"/>
    <n v="184.75393471553485"/>
    <x v="1"/>
  </r>
  <r>
    <n v="1355"/>
    <x v="2"/>
    <d v="2004-12-21T00:00:00"/>
    <x v="2"/>
    <n v="35"/>
    <n v="106.73579162164692"/>
    <x v="2"/>
  </r>
  <r>
    <n v="1356"/>
    <x v="8"/>
    <d v="2005-07-29T00:00:00"/>
    <x v="1"/>
    <n v="42"/>
    <n v="127.74297314827389"/>
    <x v="2"/>
  </r>
  <r>
    <n v="1357"/>
    <x v="1"/>
    <d v="2004-11-18T00:00:00"/>
    <x v="3"/>
    <n v="47"/>
    <n v="142.58640939942609"/>
    <x v="0"/>
  </r>
  <r>
    <n v="1358"/>
    <x v="2"/>
    <d v="2004-10-16T00:00:00"/>
    <x v="4"/>
    <n v="74"/>
    <n v="225.01925553650543"/>
    <x v="0"/>
  </r>
  <r>
    <n v="1359"/>
    <x v="2"/>
    <d v="2005-05-24T00:00:00"/>
    <x v="4"/>
    <n v="55"/>
    <n v="166.25169597348713"/>
    <x v="2"/>
  </r>
  <r>
    <n v="1360"/>
    <x v="3"/>
    <d v="2005-09-22T00:00:00"/>
    <x v="0"/>
    <n v="87"/>
    <n v="263.11074857106775"/>
    <x v="2"/>
  </r>
  <r>
    <n v="1361"/>
    <x v="2"/>
    <d v="2004-06-28T00:00:00"/>
    <x v="1"/>
    <n v="75"/>
    <n v="227.32916430473495"/>
    <x v="0"/>
  </r>
  <r>
    <n v="1362"/>
    <x v="6"/>
    <d v="2006-06-13T00:00:00"/>
    <x v="1"/>
    <n v="91"/>
    <n v="274.60744776638205"/>
    <x v="2"/>
  </r>
  <r>
    <n v="1363"/>
    <x v="2"/>
    <d v="2005-12-19T00:00:00"/>
    <x v="0"/>
    <n v="79"/>
    <n v="238.20578213903983"/>
    <x v="0"/>
  </r>
  <r>
    <n v="1364"/>
    <x v="8"/>
    <d v="2004-06-17T00:00:00"/>
    <x v="4"/>
    <n v="31"/>
    <n v="94.915314626942674"/>
    <x v="1"/>
  </r>
  <r>
    <n v="1365"/>
    <x v="1"/>
    <d v="2004-10-05T00:00:00"/>
    <x v="3"/>
    <n v="36"/>
    <n v="109.8683994875889"/>
    <x v="1"/>
  </r>
  <r>
    <n v="1366"/>
    <x v="7"/>
    <d v="2004-06-28T00:00:00"/>
    <x v="4"/>
    <n v="80"/>
    <n v="242.06313932235889"/>
    <x v="0"/>
  </r>
  <r>
    <n v="1367"/>
    <x v="0"/>
    <d v="2006-03-17T00:00:00"/>
    <x v="0"/>
    <n v="32"/>
    <n v="98.105863423861408"/>
    <x v="3"/>
  </r>
  <r>
    <n v="1368"/>
    <x v="3"/>
    <d v="2004-06-28T00:00:00"/>
    <x v="2"/>
    <n v="29"/>
    <n v="89.172802878693929"/>
    <x v="2"/>
  </r>
  <r>
    <n v="1369"/>
    <x v="1"/>
    <d v="2005-05-13T00:00:00"/>
    <x v="1"/>
    <n v="64"/>
    <n v="193.51676296767636"/>
    <x v="2"/>
  </r>
  <r>
    <n v="1370"/>
    <x v="5"/>
    <d v="2004-03-10T00:00:00"/>
    <x v="0"/>
    <n v="27"/>
    <n v="83.668497347720773"/>
    <x v="2"/>
  </r>
  <r>
    <n v="1371"/>
    <x v="8"/>
    <d v="2004-09-24T00:00:00"/>
    <x v="0"/>
    <n v="36"/>
    <n v="109.80928591136637"/>
    <x v="2"/>
  </r>
  <r>
    <n v="1372"/>
    <x v="0"/>
    <d v="2006-12-06T00:00:00"/>
    <x v="4"/>
    <n v="36"/>
    <n v="109.45657773500436"/>
    <x v="2"/>
  </r>
  <r>
    <n v="1373"/>
    <x v="7"/>
    <d v="2006-10-23T00:00:00"/>
    <x v="4"/>
    <n v="32"/>
    <n v="97.343399963409695"/>
    <x v="0"/>
  </r>
  <r>
    <n v="1374"/>
    <x v="5"/>
    <d v="2006-08-29T00:00:00"/>
    <x v="4"/>
    <n v="9"/>
    <n v="29.173034652532433"/>
    <x v="3"/>
  </r>
  <r>
    <n v="1375"/>
    <x v="3"/>
    <d v="2006-05-22T00:00:00"/>
    <x v="1"/>
    <n v="78"/>
    <n v="235.63570757894917"/>
    <x v="3"/>
  </r>
  <r>
    <n v="1376"/>
    <x v="3"/>
    <d v="2005-01-23T00:00:00"/>
    <x v="2"/>
    <n v="55"/>
    <n v="167.69300314757166"/>
    <x v="2"/>
  </r>
  <r>
    <n v="1377"/>
    <x v="1"/>
    <d v="2004-08-22T00:00:00"/>
    <x v="4"/>
    <n v="79"/>
    <n v="239.25822655633112"/>
    <x v="0"/>
  </r>
  <r>
    <n v="1378"/>
    <x v="1"/>
    <d v="2004-01-04T00:00:00"/>
    <x v="3"/>
    <n v="9"/>
    <n v="29.36931208514244"/>
    <x v="0"/>
  </r>
  <r>
    <n v="1379"/>
    <x v="0"/>
    <d v="2006-12-17T00:00:00"/>
    <x v="1"/>
    <n v="4"/>
    <n v="14.276329980408619"/>
    <x v="2"/>
  </r>
  <r>
    <n v="1380"/>
    <x v="1"/>
    <d v="2006-04-19T00:00:00"/>
    <x v="4"/>
    <n v="6"/>
    <n v="20.165246376870389"/>
    <x v="1"/>
  </r>
  <r>
    <n v="1381"/>
    <x v="8"/>
    <d v="2005-05-24T00:00:00"/>
    <x v="3"/>
    <n v="18"/>
    <n v="55.91901948813328"/>
    <x v="1"/>
  </r>
  <r>
    <n v="1382"/>
    <x v="3"/>
    <d v="2005-10-25T00:00:00"/>
    <x v="3"/>
    <n v="14"/>
    <n v="44.491260768813873"/>
    <x v="2"/>
  </r>
  <r>
    <n v="1383"/>
    <x v="5"/>
    <d v="2006-08-18T00:00:00"/>
    <x v="0"/>
    <n v="91"/>
    <n v="275.50447930379551"/>
    <x v="3"/>
  </r>
  <r>
    <n v="1384"/>
    <x v="3"/>
    <d v="2005-12-08T00:00:00"/>
    <x v="3"/>
    <n v="74"/>
    <n v="224.07187760825997"/>
    <x v="0"/>
  </r>
  <r>
    <n v="1385"/>
    <x v="0"/>
    <d v="2004-07-31T00:00:00"/>
    <x v="0"/>
    <n v="47"/>
    <n v="143.8575641603407"/>
    <x v="2"/>
  </r>
  <r>
    <n v="1386"/>
    <x v="4"/>
    <d v="2006-11-03T00:00:00"/>
    <x v="1"/>
    <n v="28"/>
    <n v="86.468289532216389"/>
    <x v="0"/>
  </r>
  <r>
    <n v="1387"/>
    <x v="4"/>
    <d v="2006-09-20T00:00:00"/>
    <x v="3"/>
    <n v="21"/>
    <n v="64.784207766072953"/>
    <x v="2"/>
  </r>
  <r>
    <n v="1388"/>
    <x v="5"/>
    <d v="2005-03-30T00:00:00"/>
    <x v="1"/>
    <n v="52"/>
    <n v="157.69424365413772"/>
    <x v="0"/>
  </r>
  <r>
    <n v="1389"/>
    <x v="3"/>
    <d v="2004-06-28T00:00:00"/>
    <x v="2"/>
    <n v="33"/>
    <n v="101.08856134949143"/>
    <x v="0"/>
  </r>
  <r>
    <n v="1390"/>
    <x v="4"/>
    <d v="2004-02-06T00:00:00"/>
    <x v="4"/>
    <n v="-7"/>
    <n v="-19.437923961194201"/>
    <x v="3"/>
  </r>
  <r>
    <n v="1391"/>
    <x v="5"/>
    <d v="2004-04-01T00:00:00"/>
    <x v="0"/>
    <n v="12"/>
    <n v="38.2380881700618"/>
    <x v="0"/>
  </r>
  <r>
    <n v="1392"/>
    <x v="3"/>
    <d v="2004-02-28T00:00:00"/>
    <x v="3"/>
    <n v="1"/>
    <n v="4.5049727728030682"/>
    <x v="0"/>
  </r>
  <r>
    <n v="1393"/>
    <x v="0"/>
    <d v="2004-01-26T00:00:00"/>
    <x v="4"/>
    <n v="56"/>
    <n v="169.75770217815491"/>
    <x v="0"/>
  </r>
  <r>
    <n v="1394"/>
    <x v="5"/>
    <d v="2005-06-26T00:00:00"/>
    <x v="1"/>
    <n v="34"/>
    <n v="104.47706646910852"/>
    <x v="0"/>
  </r>
  <r>
    <n v="1395"/>
    <x v="8"/>
    <d v="2005-02-25T00:00:00"/>
    <x v="1"/>
    <n v="83"/>
    <n v="250.38974883045833"/>
    <x v="1"/>
  </r>
  <r>
    <n v="1396"/>
    <x v="4"/>
    <d v="2005-03-19T00:00:00"/>
    <x v="3"/>
    <n v="-4"/>
    <n v="-10.155624843092607"/>
    <x v="0"/>
  </r>
  <r>
    <n v="1397"/>
    <x v="5"/>
    <d v="2005-02-03T00:00:00"/>
    <x v="1"/>
    <n v="9"/>
    <n v="29.703664221901175"/>
    <x v="0"/>
  </r>
  <r>
    <n v="1398"/>
    <x v="1"/>
    <d v="2004-05-15T00:00:00"/>
    <x v="3"/>
    <n v="64"/>
    <n v="193.99078398349641"/>
    <x v="2"/>
  </r>
  <r>
    <n v="1399"/>
    <x v="8"/>
    <d v="2004-05-15T00:00:00"/>
    <x v="0"/>
    <n v="13"/>
    <n v="40.947424828889474"/>
    <x v="0"/>
  </r>
  <r>
    <n v="1400"/>
    <x v="3"/>
    <d v="2004-04-23T00:00:00"/>
    <x v="0"/>
    <n v="9"/>
    <n v="28.683682099948655"/>
    <x v="0"/>
  </r>
  <r>
    <n v="1401"/>
    <x v="6"/>
    <d v="2006-09-20T00:00:00"/>
    <x v="0"/>
    <n v="6"/>
    <n v="19.546281446888681"/>
    <x v="2"/>
  </r>
  <r>
    <n v="1402"/>
    <x v="2"/>
    <d v="2006-05-22T00:00:00"/>
    <x v="1"/>
    <n v="55"/>
    <n v="167.0921059108752"/>
    <x v="1"/>
  </r>
  <r>
    <n v="1403"/>
    <x v="7"/>
    <d v="2006-06-02T00:00:00"/>
    <x v="2"/>
    <n v="64"/>
    <n v="194.83490930195086"/>
    <x v="0"/>
  </r>
  <r>
    <n v="1404"/>
    <x v="0"/>
    <d v="2005-06-15T00:00:00"/>
    <x v="0"/>
    <n v="27"/>
    <n v="82.654748876430304"/>
    <x v="3"/>
  </r>
  <r>
    <n v="1405"/>
    <x v="7"/>
    <d v="2004-10-16T00:00:00"/>
    <x v="0"/>
    <n v="4"/>
    <n v="14.358367110038117"/>
    <x v="2"/>
  </r>
  <r>
    <n v="1406"/>
    <x v="8"/>
    <d v="2005-11-05T00:00:00"/>
    <x v="0"/>
    <n v="17"/>
    <n v="53.450226015325889"/>
    <x v="1"/>
  </r>
  <r>
    <n v="1407"/>
    <x v="2"/>
    <d v="2006-08-18T00:00:00"/>
    <x v="0"/>
    <n v="24"/>
    <n v="74.287417398883491"/>
    <x v="3"/>
  </r>
  <r>
    <n v="1408"/>
    <x v="6"/>
    <d v="2005-12-08T00:00:00"/>
    <x v="0"/>
    <n v="87"/>
    <n v="262.8805946680697"/>
    <x v="2"/>
  </r>
  <r>
    <n v="1409"/>
    <x v="3"/>
    <d v="2004-11-18T00:00:00"/>
    <x v="4"/>
    <n v="10"/>
    <n v="31.759227784320323"/>
    <x v="3"/>
  </r>
  <r>
    <n v="1410"/>
    <x v="5"/>
    <d v="2004-10-16T00:00:00"/>
    <x v="4"/>
    <n v="0"/>
    <n v="1.8311339455634805"/>
    <x v="1"/>
  </r>
  <r>
    <n v="1411"/>
    <x v="5"/>
    <d v="2005-01-23T00:00:00"/>
    <x v="0"/>
    <n v="73"/>
    <n v="221.0091797499388"/>
    <x v="1"/>
  </r>
  <r>
    <n v="1412"/>
    <x v="1"/>
    <d v="2004-03-21T00:00:00"/>
    <x v="0"/>
    <n v="66"/>
    <n v="200.12198246327054"/>
    <x v="1"/>
  </r>
  <r>
    <n v="1413"/>
    <x v="0"/>
    <d v="2006-08-18T00:00:00"/>
    <x v="0"/>
    <n v="70"/>
    <n v="211.75333647455852"/>
    <x v="2"/>
  </r>
  <r>
    <n v="1414"/>
    <x v="3"/>
    <d v="2004-12-10T00:00:00"/>
    <x v="1"/>
    <n v="78"/>
    <n v="235.90596023209099"/>
    <x v="3"/>
  </r>
  <r>
    <n v="1415"/>
    <x v="7"/>
    <d v="2005-11-05T00:00:00"/>
    <x v="4"/>
    <n v="22"/>
    <n v="66.965065793990505"/>
    <x v="3"/>
  </r>
  <r>
    <n v="1416"/>
    <x v="6"/>
    <d v="2004-10-05T00:00:00"/>
    <x v="4"/>
    <n v="21"/>
    <n v="65.217462708012192"/>
    <x v="0"/>
  </r>
  <r>
    <n v="1417"/>
    <x v="0"/>
    <d v="2004-10-16T00:00:00"/>
    <x v="0"/>
    <n v="8"/>
    <n v="25.824952877477109"/>
    <x v="3"/>
  </r>
  <r>
    <n v="1418"/>
    <x v="2"/>
    <d v="2004-02-17T00:00:00"/>
    <x v="4"/>
    <n v="62"/>
    <n v="187.80112722106594"/>
    <x v="2"/>
  </r>
  <r>
    <n v="1419"/>
    <x v="4"/>
    <d v="2006-05-11T00:00:00"/>
    <x v="4"/>
    <n v="81"/>
    <n v="244.50746507200088"/>
    <x v="3"/>
  </r>
  <r>
    <n v="1420"/>
    <x v="3"/>
    <d v="2004-12-21T00:00:00"/>
    <x v="0"/>
    <n v="72"/>
    <n v="218.17265722795503"/>
    <x v="3"/>
  </r>
  <r>
    <n v="1421"/>
    <x v="1"/>
    <d v="2006-10-12T00:00:00"/>
    <x v="3"/>
    <n v="13"/>
    <n v="41.356875522020459"/>
    <x v="2"/>
  </r>
  <r>
    <n v="1422"/>
    <x v="0"/>
    <d v="2005-08-31T00:00:00"/>
    <x v="2"/>
    <n v="52"/>
    <n v="157.41873231061072"/>
    <x v="0"/>
  </r>
  <r>
    <n v="1423"/>
    <x v="5"/>
    <d v="2006-01-21T00:00:00"/>
    <x v="3"/>
    <n v="49"/>
    <n v="148.10679359164916"/>
    <x v="2"/>
  </r>
  <r>
    <n v="1424"/>
    <x v="5"/>
    <d v="2004-03-21T00:00:00"/>
    <x v="3"/>
    <n v="82"/>
    <n v="248.16915651860171"/>
    <x v="0"/>
  </r>
  <r>
    <n v="1425"/>
    <x v="3"/>
    <d v="2006-04-08T00:00:00"/>
    <x v="3"/>
    <n v="5"/>
    <n v="17.015690322490627"/>
    <x v="1"/>
  </r>
  <r>
    <n v="1426"/>
    <x v="7"/>
    <d v="2005-09-22T00:00:00"/>
    <x v="4"/>
    <n v="45"/>
    <n v="136.85630897508477"/>
    <x v="2"/>
  </r>
  <r>
    <n v="1427"/>
    <x v="6"/>
    <d v="2005-12-08T00:00:00"/>
    <x v="4"/>
    <n v="-10"/>
    <n v="-27.350902782330042"/>
    <x v="1"/>
  </r>
  <r>
    <n v="1428"/>
    <x v="2"/>
    <d v="2006-12-06T00:00:00"/>
    <x v="3"/>
    <n v="53"/>
    <n v="160.85164058435507"/>
    <x v="1"/>
  </r>
  <r>
    <n v="1429"/>
    <x v="1"/>
    <d v="2005-03-30T00:00:00"/>
    <x v="2"/>
    <n v="24"/>
    <n v="73.616064458141409"/>
    <x v="3"/>
  </r>
  <r>
    <n v="1430"/>
    <x v="5"/>
    <d v="2006-07-16T00:00:00"/>
    <x v="0"/>
    <n v="27"/>
    <n v="83.23212229417976"/>
    <x v="1"/>
  </r>
  <r>
    <n v="1431"/>
    <x v="7"/>
    <d v="2006-04-30T00:00:00"/>
    <x v="1"/>
    <n v="52"/>
    <n v="158.63001694196066"/>
    <x v="2"/>
  </r>
  <r>
    <n v="1432"/>
    <x v="3"/>
    <d v="2006-10-23T00:00:00"/>
    <x v="1"/>
    <n v="0"/>
    <n v="1.7815728693963861"/>
    <x v="3"/>
  </r>
  <r>
    <n v="1433"/>
    <x v="5"/>
    <d v="2004-06-17T00:00:00"/>
    <x v="4"/>
    <n v="92"/>
    <n v="278.65173044503393"/>
    <x v="3"/>
  </r>
  <r>
    <n v="1434"/>
    <x v="6"/>
    <d v="2006-10-23T00:00:00"/>
    <x v="4"/>
    <n v="22"/>
    <n v="67.706785390101601"/>
    <x v="3"/>
  </r>
  <r>
    <n v="1435"/>
    <x v="8"/>
    <d v="2006-04-30T00:00:00"/>
    <x v="3"/>
    <n v="67"/>
    <n v="202.90370530776514"/>
    <x v="2"/>
  </r>
  <r>
    <n v="1436"/>
    <x v="3"/>
    <d v="2005-10-14T00:00:00"/>
    <x v="4"/>
    <n v="7"/>
    <n v="23.034327347174614"/>
    <x v="2"/>
  </r>
  <r>
    <n v="1437"/>
    <x v="8"/>
    <d v="2004-05-15T00:00:00"/>
    <x v="3"/>
    <n v="-10"/>
    <n v="-27.962734354764166"/>
    <x v="0"/>
  </r>
  <r>
    <n v="1438"/>
    <x v="4"/>
    <d v="2006-08-18T00:00:00"/>
    <x v="4"/>
    <n v="10"/>
    <n v="31.667217946817743"/>
    <x v="1"/>
  </r>
  <r>
    <n v="1439"/>
    <x v="5"/>
    <d v="2005-06-26T00:00:00"/>
    <x v="1"/>
    <n v="15"/>
    <n v="46.477551483409364"/>
    <x v="1"/>
  </r>
  <r>
    <n v="1440"/>
    <x v="2"/>
    <d v="2005-06-26T00:00:00"/>
    <x v="2"/>
    <n v="0"/>
    <n v="2.1309055922780948"/>
    <x v="0"/>
  </r>
  <r>
    <n v="1441"/>
    <x v="3"/>
    <d v="2006-03-17T00:00:00"/>
    <x v="1"/>
    <n v="93"/>
    <n v="280.90891395594838"/>
    <x v="3"/>
  </r>
  <r>
    <n v="1442"/>
    <x v="1"/>
    <d v="2006-01-21T00:00:00"/>
    <x v="1"/>
    <n v="57"/>
    <n v="172.62177980113168"/>
    <x v="2"/>
  </r>
  <r>
    <n v="1443"/>
    <x v="5"/>
    <d v="2004-09-24T00:00:00"/>
    <x v="0"/>
    <n v="69"/>
    <n v="208.76551379204989"/>
    <x v="2"/>
  </r>
  <r>
    <n v="1444"/>
    <x v="8"/>
    <d v="2005-12-30T00:00:00"/>
    <x v="1"/>
    <n v="53"/>
    <n v="161.64817183248223"/>
    <x v="0"/>
  </r>
  <r>
    <n v="1445"/>
    <x v="2"/>
    <d v="2006-10-23T00:00:00"/>
    <x v="2"/>
    <n v="67"/>
    <n v="203.5655299819017"/>
    <x v="0"/>
  </r>
  <r>
    <n v="1446"/>
    <x v="8"/>
    <d v="2004-04-01T00:00:00"/>
    <x v="3"/>
    <n v="23"/>
    <n v="70.708152765050201"/>
    <x v="3"/>
  </r>
  <r>
    <n v="1447"/>
    <x v="4"/>
    <d v="2004-06-17T00:00:00"/>
    <x v="4"/>
    <n v="43"/>
    <n v="131.16019141346013"/>
    <x v="2"/>
  </r>
  <r>
    <n v="1448"/>
    <x v="7"/>
    <d v="2006-10-23T00:00:00"/>
    <x v="0"/>
    <n v="69"/>
    <n v="209.39515625574666"/>
    <x v="2"/>
  </r>
  <r>
    <n v="1449"/>
    <x v="1"/>
    <d v="2006-10-01T00:00:00"/>
    <x v="2"/>
    <n v="45"/>
    <n v="136.50342219375273"/>
    <x v="1"/>
  </r>
  <r>
    <n v="1450"/>
    <x v="3"/>
    <d v="2005-11-05T00:00:00"/>
    <x v="3"/>
    <n v="70"/>
    <n v="211.70097135907523"/>
    <x v="2"/>
  </r>
  <r>
    <n v="1451"/>
    <x v="4"/>
    <d v="2006-10-23T00:00:00"/>
    <x v="4"/>
    <n v="91"/>
    <n v="274.50140154950032"/>
    <x v="3"/>
  </r>
  <r>
    <n v="1452"/>
    <x v="6"/>
    <d v="2006-12-17T00:00:00"/>
    <x v="4"/>
    <n v="33"/>
    <n v="100.48140496751634"/>
    <x v="1"/>
  </r>
  <r>
    <n v="1453"/>
    <x v="4"/>
    <d v="2006-08-07T00:00:00"/>
    <x v="1"/>
    <n v="90"/>
    <n v="272.35779457225038"/>
    <x v="1"/>
  </r>
  <r>
    <n v="1454"/>
    <x v="4"/>
    <d v="2004-12-21T00:00:00"/>
    <x v="4"/>
    <n v="17"/>
    <n v="52.516260583580817"/>
    <x v="3"/>
  </r>
  <r>
    <n v="1455"/>
    <x v="3"/>
    <d v="2004-07-31T00:00:00"/>
    <x v="3"/>
    <n v="-7"/>
    <n v="-18.916737992903691"/>
    <x v="3"/>
  </r>
  <r>
    <n v="1456"/>
    <x v="2"/>
    <d v="2004-09-02T00:00:00"/>
    <x v="4"/>
    <n v="21"/>
    <n v="64.912642276982112"/>
    <x v="2"/>
  </r>
  <r>
    <n v="1457"/>
    <x v="7"/>
    <d v="2005-08-09T00:00:00"/>
    <x v="1"/>
    <n v="14"/>
    <n v="44.327818174178198"/>
    <x v="1"/>
  </r>
  <r>
    <n v="1458"/>
    <x v="3"/>
    <d v="2006-04-19T00:00:00"/>
    <x v="2"/>
    <n v="84"/>
    <n v="254.27232164491826"/>
    <x v="3"/>
  </r>
  <r>
    <n v="1459"/>
    <x v="5"/>
    <d v="2006-01-21T00:00:00"/>
    <x v="2"/>
    <n v="92"/>
    <n v="278.12892270091868"/>
    <x v="2"/>
  </r>
  <r>
    <n v="1460"/>
    <x v="3"/>
    <d v="2006-10-23T00:00:00"/>
    <x v="0"/>
    <n v="-1"/>
    <n v="-0.12859943512322669"/>
    <x v="2"/>
  </r>
  <r>
    <n v="1461"/>
    <x v="3"/>
    <d v="2005-05-13T00:00:00"/>
    <x v="0"/>
    <n v="73"/>
    <n v="222.08676582590357"/>
    <x v="0"/>
  </r>
  <r>
    <n v="1462"/>
    <x v="8"/>
    <d v="2006-01-10T00:00:00"/>
    <x v="1"/>
    <n v="48"/>
    <n v="146.42108275927566"/>
    <x v="3"/>
  </r>
  <r>
    <n v="1463"/>
    <x v="8"/>
    <d v="2004-12-10T00:00:00"/>
    <x v="3"/>
    <n v="72"/>
    <n v="217.08233008534265"/>
    <x v="0"/>
  </r>
  <r>
    <n v="1464"/>
    <x v="0"/>
    <d v="2006-07-05T00:00:00"/>
    <x v="1"/>
    <n v="42"/>
    <n v="127.6087139856683"/>
    <x v="3"/>
  </r>
  <r>
    <n v="1465"/>
    <x v="3"/>
    <d v="2004-12-21T00:00:00"/>
    <x v="1"/>
    <n v="80"/>
    <n v="242.20754620036109"/>
    <x v="2"/>
  </r>
  <r>
    <n v="1466"/>
    <x v="3"/>
    <d v="2005-08-31T00:00:00"/>
    <x v="1"/>
    <n v="56"/>
    <n v="170.85558875726406"/>
    <x v="0"/>
  </r>
  <r>
    <n v="1467"/>
    <x v="7"/>
    <d v="2004-01-26T00:00:00"/>
    <x v="4"/>
    <n v="46"/>
    <n v="140.57686436306247"/>
    <x v="3"/>
  </r>
  <r>
    <n v="1468"/>
    <x v="0"/>
    <d v="2006-06-02T00:00:00"/>
    <x v="3"/>
    <n v="45"/>
    <n v="136.77216386728932"/>
    <x v="2"/>
  </r>
  <r>
    <n v="1469"/>
    <x v="2"/>
    <d v="2005-06-04T00:00:00"/>
    <x v="1"/>
    <n v="53"/>
    <n v="160.40163840433979"/>
    <x v="3"/>
  </r>
  <r>
    <n v="1470"/>
    <x v="2"/>
    <d v="2005-10-03T00:00:00"/>
    <x v="3"/>
    <n v="51"/>
    <n v="155.05152823672236"/>
    <x v="2"/>
  </r>
  <r>
    <n v="1471"/>
    <x v="5"/>
    <d v="2005-12-19T00:00:00"/>
    <x v="4"/>
    <n v="64"/>
    <n v="193.29903203964747"/>
    <x v="3"/>
  </r>
  <r>
    <n v="1472"/>
    <x v="0"/>
    <d v="2004-11-07T00:00:00"/>
    <x v="3"/>
    <n v="15"/>
    <n v="47.086660569111189"/>
    <x v="2"/>
  </r>
  <r>
    <n v="1473"/>
    <x v="3"/>
    <d v="2004-04-01T00:00:00"/>
    <x v="2"/>
    <n v="33"/>
    <n v="101.69988655484008"/>
    <x v="3"/>
  </r>
  <r>
    <n v="1474"/>
    <x v="6"/>
    <d v="2006-05-11T00:00:00"/>
    <x v="3"/>
    <n v="31"/>
    <n v="95.050667546988379"/>
    <x v="2"/>
  </r>
  <r>
    <n v="1475"/>
    <x v="2"/>
    <d v="2005-12-19T00:00:00"/>
    <x v="2"/>
    <n v="51"/>
    <n v="155.18472828999515"/>
    <x v="3"/>
  </r>
  <r>
    <n v="1476"/>
    <x v="5"/>
    <d v="2006-08-18T00:00:00"/>
    <x v="1"/>
    <n v="-7"/>
    <n v="-18.636086701073594"/>
    <x v="3"/>
  </r>
  <r>
    <n v="1477"/>
    <x v="2"/>
    <d v="2005-05-13T00:00:00"/>
    <x v="3"/>
    <n v="37"/>
    <n v="112.07406400171799"/>
    <x v="3"/>
  </r>
  <r>
    <n v="1478"/>
    <x v="0"/>
    <d v="2005-06-15T00:00:00"/>
    <x v="1"/>
    <n v="43"/>
    <n v="130.97379554914517"/>
    <x v="0"/>
  </r>
  <r>
    <n v="1479"/>
    <x v="8"/>
    <d v="2006-05-22T00:00:00"/>
    <x v="4"/>
    <n v="63"/>
    <n v="190.69209828626822"/>
    <x v="0"/>
  </r>
  <r>
    <n v="1480"/>
    <x v="4"/>
    <d v="2004-07-09T00:00:00"/>
    <x v="3"/>
    <n v="29"/>
    <n v="89.589016206328608"/>
    <x v="2"/>
  </r>
  <r>
    <n v="1481"/>
    <x v="8"/>
    <d v="2005-12-08T00:00:00"/>
    <x v="4"/>
    <n v="20"/>
    <n v="61.944091716082518"/>
    <x v="1"/>
  </r>
  <r>
    <n v="1482"/>
    <x v="6"/>
    <d v="2006-03-28T00:00:00"/>
    <x v="3"/>
    <n v="48"/>
    <n v="146.44223986116381"/>
    <x v="2"/>
  </r>
  <r>
    <n v="1483"/>
    <x v="0"/>
    <d v="2005-07-29T00:00:00"/>
    <x v="3"/>
    <n v="94"/>
    <n v="284.30651580761617"/>
    <x v="1"/>
  </r>
  <r>
    <n v="1484"/>
    <x v="0"/>
    <d v="2006-09-09T00:00:00"/>
    <x v="1"/>
    <n v="41"/>
    <n v="124.88343538167078"/>
    <x v="1"/>
  </r>
  <r>
    <n v="1485"/>
    <x v="0"/>
    <d v="2005-01-23T00:00:00"/>
    <x v="3"/>
    <n v="45"/>
    <n v="137.54620754134569"/>
    <x v="0"/>
  </r>
  <r>
    <n v="1486"/>
    <x v="7"/>
    <d v="2005-05-13T00:00:00"/>
    <x v="0"/>
    <n v="69"/>
    <n v="208.60656085319707"/>
    <x v="2"/>
  </r>
  <r>
    <n v="1487"/>
    <x v="2"/>
    <d v="2004-04-01T00:00:00"/>
    <x v="4"/>
    <n v="48"/>
    <n v="146.16733998853596"/>
    <x v="0"/>
  </r>
  <r>
    <n v="1488"/>
    <x v="5"/>
    <d v="2005-01-23T00:00:00"/>
    <x v="4"/>
    <n v="38"/>
    <n v="115.70319467233371"/>
    <x v="2"/>
  </r>
  <r>
    <n v="1489"/>
    <x v="0"/>
    <d v="2006-01-21T00:00:00"/>
    <x v="0"/>
    <n v="49"/>
    <n v="149.11052069470631"/>
    <x v="0"/>
  </r>
  <r>
    <n v="1490"/>
    <x v="4"/>
    <d v="2004-09-02T00:00:00"/>
    <x v="1"/>
    <n v="79"/>
    <n v="239.15028034352162"/>
    <x v="2"/>
  </r>
  <r>
    <n v="1491"/>
    <x v="2"/>
    <d v="2005-07-18T00:00:00"/>
    <x v="1"/>
    <n v="93"/>
    <n v="281.34133684394243"/>
    <x v="0"/>
  </r>
  <r>
    <n v="1492"/>
    <x v="4"/>
    <d v="2004-12-21T00:00:00"/>
    <x v="1"/>
    <n v="67"/>
    <n v="202.43601829550036"/>
    <x v="2"/>
  </r>
  <r>
    <n v="1493"/>
    <x v="0"/>
    <d v="2006-05-22T00:00:00"/>
    <x v="1"/>
    <n v="13"/>
    <n v="41.318769528122459"/>
    <x v="3"/>
  </r>
  <r>
    <n v="1494"/>
    <x v="2"/>
    <d v="2005-10-14T00:00:00"/>
    <x v="0"/>
    <n v="71"/>
    <n v="215.36222588622564"/>
    <x v="2"/>
  </r>
  <r>
    <n v="1495"/>
    <x v="0"/>
    <d v="2006-10-23T00:00:00"/>
    <x v="1"/>
    <n v="15"/>
    <n v="46.386549546936031"/>
    <x v="2"/>
  </r>
  <r>
    <n v="1496"/>
    <x v="3"/>
    <d v="2005-09-11T00:00:00"/>
    <x v="3"/>
    <n v="89"/>
    <n v="269.12365453676284"/>
    <x v="0"/>
  </r>
  <r>
    <n v="1497"/>
    <x v="3"/>
    <d v="2005-10-25T00:00:00"/>
    <x v="4"/>
    <n v="65"/>
    <n v="197.49619907968821"/>
    <x v="1"/>
  </r>
  <r>
    <n v="1498"/>
    <x v="3"/>
    <d v="2004-12-21T00:00:00"/>
    <x v="3"/>
    <n v="16"/>
    <n v="49.977621498939477"/>
    <x v="1"/>
  </r>
  <r>
    <n v="1499"/>
    <x v="0"/>
    <d v="2006-06-02T00:00:00"/>
    <x v="0"/>
    <n v="48"/>
    <n v="146.12940219412363"/>
    <x v="3"/>
  </r>
  <r>
    <n v="1500"/>
    <x v="1"/>
    <d v="2005-08-31T00:00:00"/>
    <x v="3"/>
    <n v="78"/>
    <n v="235.9430418370726"/>
    <x v="1"/>
  </r>
  <r>
    <n v="1501"/>
    <x v="8"/>
    <d v="2004-01-26T00:00:00"/>
    <x v="0"/>
    <n v="5"/>
    <n v="17.19135783501677"/>
    <x v="2"/>
  </r>
  <r>
    <n v="1502"/>
    <x v="6"/>
    <d v="2006-01-10T00:00:00"/>
    <x v="0"/>
    <n v="33"/>
    <n v="101.70689339051272"/>
    <x v="2"/>
  </r>
  <r>
    <n v="1503"/>
    <x v="2"/>
    <d v="2006-03-28T00:00:00"/>
    <x v="1"/>
    <n v="73"/>
    <n v="220.6254493831498"/>
    <x v="1"/>
  </r>
  <r>
    <n v="1504"/>
    <x v="0"/>
    <d v="2004-07-20T00:00:00"/>
    <x v="4"/>
    <n v="93"/>
    <n v="280.86225864864616"/>
    <x v="0"/>
  </r>
  <r>
    <n v="1505"/>
    <x v="0"/>
    <d v="2005-12-30T00:00:00"/>
    <x v="1"/>
    <n v="37"/>
    <n v="113.24236035613511"/>
    <x v="3"/>
  </r>
  <r>
    <n v="1506"/>
    <x v="4"/>
    <d v="2005-07-29T00:00:00"/>
    <x v="0"/>
    <n v="23"/>
    <n v="70.338092994751676"/>
    <x v="0"/>
  </r>
  <r>
    <n v="1507"/>
    <x v="4"/>
    <d v="2005-11-27T00:00:00"/>
    <x v="0"/>
    <n v="-3"/>
    <n v="-7.2085961879253206"/>
    <x v="2"/>
  </r>
  <r>
    <n v="1508"/>
    <x v="7"/>
    <d v="2006-02-23T00:00:00"/>
    <x v="3"/>
    <n v="39"/>
    <n v="118.95540899877352"/>
    <x v="0"/>
  </r>
  <r>
    <n v="1509"/>
    <x v="0"/>
    <d v="2006-04-30T00:00:00"/>
    <x v="3"/>
    <n v="83"/>
    <n v="251.40370686680004"/>
    <x v="1"/>
  </r>
  <r>
    <n v="1510"/>
    <x v="6"/>
    <d v="2006-08-29T00:00:00"/>
    <x v="1"/>
    <n v="65"/>
    <n v="197.80862125573833"/>
    <x v="0"/>
  </r>
  <r>
    <n v="1511"/>
    <x v="0"/>
    <d v="2004-11-29T00:00:00"/>
    <x v="0"/>
    <n v="13"/>
    <n v="41.739412502907776"/>
    <x v="3"/>
  </r>
  <r>
    <n v="1512"/>
    <x v="6"/>
    <d v="2005-11-16T00:00:00"/>
    <x v="1"/>
    <n v="9"/>
    <n v="28.855899545684331"/>
    <x v="3"/>
  </r>
  <r>
    <n v="1513"/>
    <x v="5"/>
    <d v="2006-12-17T00:00:00"/>
    <x v="3"/>
    <n v="-4"/>
    <n v="-10.353255411982897"/>
    <x v="0"/>
  </r>
  <r>
    <n v="1514"/>
    <x v="2"/>
    <d v="2004-10-27T00:00:00"/>
    <x v="4"/>
    <n v="22"/>
    <n v="67.745285115132006"/>
    <x v="0"/>
  </r>
  <r>
    <n v="1515"/>
    <x v="1"/>
    <d v="2005-03-30T00:00:00"/>
    <x v="4"/>
    <n v="-3"/>
    <n v="-6.8920180610801349"/>
    <x v="0"/>
  </r>
  <r>
    <n v="1516"/>
    <x v="4"/>
    <d v="2004-07-31T00:00:00"/>
    <x v="4"/>
    <n v="58"/>
    <n v="176.19804950784601"/>
    <x v="0"/>
  </r>
  <r>
    <n v="1517"/>
    <x v="5"/>
    <d v="2004-08-22T00:00:00"/>
    <x v="3"/>
    <n v="65"/>
    <n v="196.63911479091979"/>
    <x v="0"/>
  </r>
  <r>
    <n v="1518"/>
    <x v="4"/>
    <d v="2004-06-28T00:00:00"/>
    <x v="3"/>
    <n v="9"/>
    <n v="28.459065178844462"/>
    <x v="1"/>
  </r>
  <r>
    <n v="1519"/>
    <x v="6"/>
    <d v="2006-10-23T00:00:00"/>
    <x v="2"/>
    <n v="18"/>
    <n v="56.300241442258397"/>
    <x v="0"/>
  </r>
  <r>
    <n v="1520"/>
    <x v="1"/>
    <d v="2004-05-04T00:00:00"/>
    <x v="1"/>
    <n v="55"/>
    <n v="166.7781249229084"/>
    <x v="3"/>
  </r>
  <r>
    <n v="1521"/>
    <x v="5"/>
    <d v="2005-01-12T00:00:00"/>
    <x v="3"/>
    <n v="69"/>
    <n v="209.56822946203218"/>
    <x v="0"/>
  </r>
  <r>
    <n v="1522"/>
    <x v="3"/>
    <d v="2004-04-12T00:00:00"/>
    <x v="3"/>
    <n v="51"/>
    <n v="155.55960489398822"/>
    <x v="2"/>
  </r>
  <r>
    <n v="1523"/>
    <x v="2"/>
    <d v="2006-01-21T00:00:00"/>
    <x v="2"/>
    <n v="23"/>
    <n v="71.150007929550512"/>
    <x v="0"/>
  </r>
  <r>
    <n v="1524"/>
    <x v="0"/>
    <d v="2006-04-19T00:00:00"/>
    <x v="0"/>
    <n v="38"/>
    <n v="115.80895982640449"/>
    <x v="2"/>
  </r>
  <r>
    <n v="1525"/>
    <x v="3"/>
    <d v="2004-11-29T00:00:00"/>
    <x v="2"/>
    <n v="-8"/>
    <n v="-22.286591550898308"/>
    <x v="1"/>
  </r>
  <r>
    <n v="1526"/>
    <x v="1"/>
    <d v="2006-10-23T00:00:00"/>
    <x v="3"/>
    <n v="20"/>
    <n v="61.782563000840952"/>
    <x v="2"/>
  </r>
  <r>
    <n v="1527"/>
    <x v="5"/>
    <d v="2005-07-07T00:00:00"/>
    <x v="0"/>
    <n v="25"/>
    <n v="76.800582511934167"/>
    <x v="2"/>
  </r>
  <r>
    <n v="1528"/>
    <x v="0"/>
    <d v="2006-10-23T00:00:00"/>
    <x v="3"/>
    <n v="-6"/>
    <n v="-16.105946140968253"/>
    <x v="2"/>
  </r>
  <r>
    <n v="1529"/>
    <x v="3"/>
    <d v="2006-07-27T00:00:00"/>
    <x v="0"/>
    <n v="88"/>
    <n v="266.77209888218033"/>
    <x v="1"/>
  </r>
  <r>
    <n v="1530"/>
    <x v="7"/>
    <d v="2006-05-22T00:00:00"/>
    <x v="3"/>
    <n v="62"/>
    <n v="187.54179752226122"/>
    <x v="0"/>
  </r>
  <r>
    <n v="1531"/>
    <x v="1"/>
    <d v="2004-01-04T00:00:00"/>
    <x v="2"/>
    <n v="80"/>
    <n v="242.16012405865823"/>
    <x v="0"/>
  </r>
  <r>
    <n v="1532"/>
    <x v="8"/>
    <d v="2004-03-10T00:00:00"/>
    <x v="2"/>
    <n v="66"/>
    <n v="199.70376718058844"/>
    <x v="2"/>
  </r>
  <r>
    <n v="1533"/>
    <x v="6"/>
    <d v="2004-11-07T00:00:00"/>
    <x v="1"/>
    <n v="34"/>
    <n v="104.44930690558964"/>
    <x v="2"/>
  </r>
  <r>
    <n v="1534"/>
    <x v="1"/>
    <d v="2004-12-10T00:00:00"/>
    <x v="3"/>
    <n v="49"/>
    <n v="149.81621502008079"/>
    <x v="1"/>
  </r>
  <r>
    <n v="1535"/>
    <x v="8"/>
    <d v="2004-07-20T00:00:00"/>
    <x v="0"/>
    <n v="45"/>
    <n v="136.92331868568616"/>
    <x v="0"/>
  </r>
  <r>
    <n v="1536"/>
    <x v="5"/>
    <d v="2005-12-19T00:00:00"/>
    <x v="1"/>
    <n v="16"/>
    <n v="49.650187557976459"/>
    <x v="2"/>
  </r>
  <r>
    <n v="1537"/>
    <x v="7"/>
    <d v="2005-08-20T00:00:00"/>
    <x v="2"/>
    <n v="45"/>
    <n v="136.63786720901078"/>
    <x v="2"/>
  </r>
  <r>
    <n v="1538"/>
    <x v="2"/>
    <d v="2004-06-17T00:00:00"/>
    <x v="3"/>
    <n v="1"/>
    <n v="5.7263479599581428"/>
    <x v="1"/>
  </r>
  <r>
    <n v="1539"/>
    <x v="8"/>
    <d v="2005-07-29T00:00:00"/>
    <x v="4"/>
    <n v="33"/>
    <n v="100.97055324855179"/>
    <x v="0"/>
  </r>
  <r>
    <n v="1540"/>
    <x v="1"/>
    <d v="2005-08-31T00:00:00"/>
    <x v="2"/>
    <n v="37"/>
    <n v="113.03930108234786"/>
    <x v="0"/>
  </r>
  <r>
    <n v="1541"/>
    <x v="2"/>
    <d v="2005-07-07T00:00:00"/>
    <x v="3"/>
    <n v="46"/>
    <n v="139.33709070957588"/>
    <x v="2"/>
  </r>
  <r>
    <n v="1542"/>
    <x v="0"/>
    <d v="2004-02-06T00:00:00"/>
    <x v="1"/>
    <n v="71"/>
    <n v="215.35016800732583"/>
    <x v="0"/>
  </r>
  <r>
    <n v="1543"/>
    <x v="3"/>
    <d v="2004-11-29T00:00:00"/>
    <x v="4"/>
    <n v="59"/>
    <n v="179.11705650607632"/>
    <x v="2"/>
  </r>
  <r>
    <n v="1544"/>
    <x v="3"/>
    <d v="2005-04-21T00:00:00"/>
    <x v="2"/>
    <n v="84"/>
    <n v="253.54108298185832"/>
    <x v="2"/>
  </r>
  <r>
    <n v="1545"/>
    <x v="3"/>
    <d v="2006-06-24T00:00:00"/>
    <x v="3"/>
    <n v="91"/>
    <n v="274.23356541008826"/>
    <x v="2"/>
  </r>
  <r>
    <n v="1546"/>
    <x v="5"/>
    <d v="2004-03-10T00:00:00"/>
    <x v="0"/>
    <n v="33"/>
    <n v="100.22871812086524"/>
    <x v="2"/>
  </r>
  <r>
    <n v="1547"/>
    <x v="8"/>
    <d v="2004-12-21T00:00:00"/>
    <x v="3"/>
    <n v="34"/>
    <n v="104.04142923037654"/>
    <x v="3"/>
  </r>
  <r>
    <n v="1548"/>
    <x v="3"/>
    <d v="2006-10-23T00:00:00"/>
    <x v="0"/>
    <n v="1"/>
    <n v="5.3199136076983713"/>
    <x v="2"/>
  </r>
  <r>
    <n v="1549"/>
    <x v="1"/>
    <d v="2004-02-28T00:00:00"/>
    <x v="3"/>
    <n v="42"/>
    <n v="128.72768952762647"/>
    <x v="2"/>
  </r>
  <r>
    <n v="1550"/>
    <x v="8"/>
    <d v="2005-12-19T00:00:00"/>
    <x v="3"/>
    <n v="45"/>
    <n v="137.92982227055688"/>
    <x v="3"/>
  </r>
  <r>
    <n v="1551"/>
    <x v="6"/>
    <d v="2004-10-16T00:00:00"/>
    <x v="0"/>
    <n v="26"/>
    <n v="80.031587793648399"/>
    <x v="3"/>
  </r>
  <r>
    <n v="1552"/>
    <x v="2"/>
    <d v="2004-01-26T00:00:00"/>
    <x v="3"/>
    <n v="72"/>
    <n v="218.32830582807657"/>
    <x v="0"/>
  </r>
  <r>
    <n v="1553"/>
    <x v="3"/>
    <d v="2006-07-27T00:00:00"/>
    <x v="3"/>
    <n v="-5"/>
    <n v="-13.390709583317436"/>
    <x v="2"/>
  </r>
  <r>
    <n v="1554"/>
    <x v="4"/>
    <d v="2004-03-21T00:00:00"/>
    <x v="1"/>
    <n v="31"/>
    <n v="94.662914692651583"/>
    <x v="0"/>
  </r>
  <r>
    <n v="1555"/>
    <x v="8"/>
    <d v="2004-01-04T00:00:00"/>
    <x v="0"/>
    <n v="48"/>
    <n v="145.90859800554551"/>
    <x v="0"/>
  </r>
  <r>
    <n v="1556"/>
    <x v="4"/>
    <d v="2006-11-03T00:00:00"/>
    <x v="4"/>
    <n v="84"/>
    <n v="253.59713370537463"/>
    <x v="1"/>
  </r>
  <r>
    <n v="1557"/>
    <x v="3"/>
    <d v="2006-02-23T00:00:00"/>
    <x v="3"/>
    <n v="54"/>
    <n v="163.89560832413773"/>
    <x v="0"/>
  </r>
  <r>
    <n v="1558"/>
    <x v="4"/>
    <d v="2004-01-15T00:00:00"/>
    <x v="4"/>
    <n v="44"/>
    <n v="134.18925327531994"/>
    <x v="2"/>
  </r>
  <r>
    <n v="1559"/>
    <x v="5"/>
    <d v="2004-10-27T00:00:00"/>
    <x v="0"/>
    <n v="40"/>
    <n v="122.05331563226824"/>
    <x v="0"/>
  </r>
  <r>
    <n v="1560"/>
    <x v="0"/>
    <d v="2005-08-31T00:00:00"/>
    <x v="0"/>
    <n v="25"/>
    <n v="76.896265241705308"/>
    <x v="2"/>
  </r>
  <r>
    <n v="1561"/>
    <x v="6"/>
    <d v="2004-02-28T00:00:00"/>
    <x v="0"/>
    <n v="-8"/>
    <n v="-21.481967764977714"/>
    <x v="0"/>
  </r>
  <r>
    <n v="1562"/>
    <x v="5"/>
    <d v="2006-05-11T00:00:00"/>
    <x v="3"/>
    <n v="59"/>
    <n v="178.70076770818625"/>
    <x v="2"/>
  </r>
  <r>
    <n v="1563"/>
    <x v="3"/>
    <d v="2004-12-21T00:00:00"/>
    <x v="3"/>
    <n v="59"/>
    <n v="179.09938274190853"/>
    <x v="3"/>
  </r>
  <r>
    <n v="1564"/>
    <x v="6"/>
    <d v="2005-11-16T00:00:00"/>
    <x v="1"/>
    <n v="34"/>
    <n v="103.72320973361035"/>
    <x v="1"/>
  </r>
  <r>
    <n v="1565"/>
    <x v="6"/>
    <d v="2004-11-29T00:00:00"/>
    <x v="4"/>
    <n v="27"/>
    <n v="82.680755879941501"/>
    <x v="1"/>
  </r>
  <r>
    <n v="1566"/>
    <x v="8"/>
    <d v="2006-10-23T00:00:00"/>
    <x v="1"/>
    <n v="3"/>
    <n v="10.695067513438698"/>
    <x v="0"/>
  </r>
  <r>
    <n v="1567"/>
    <x v="1"/>
    <d v="2005-08-20T00:00:00"/>
    <x v="4"/>
    <n v="89"/>
    <n v="269.11976111617605"/>
    <x v="2"/>
  </r>
  <r>
    <n v="1568"/>
    <x v="1"/>
    <d v="2005-05-13T00:00:00"/>
    <x v="3"/>
    <n v="58"/>
    <n v="175.98159998303569"/>
    <x v="0"/>
  </r>
  <r>
    <n v="1569"/>
    <x v="8"/>
    <d v="2005-01-12T00:00:00"/>
    <x v="2"/>
    <n v="52"/>
    <n v="158.04571793449091"/>
    <x v="2"/>
  </r>
  <r>
    <n v="1570"/>
    <x v="8"/>
    <d v="2006-07-27T00:00:00"/>
    <x v="4"/>
    <n v="32"/>
    <n v="98.04752721295516"/>
    <x v="3"/>
  </r>
  <r>
    <n v="1571"/>
    <x v="5"/>
    <d v="2005-09-11T00:00:00"/>
    <x v="4"/>
    <n v="3"/>
    <n v="10.584064694476611"/>
    <x v="0"/>
  </r>
  <r>
    <n v="1572"/>
    <x v="3"/>
    <d v="2004-11-18T00:00:00"/>
    <x v="3"/>
    <n v="45"/>
    <n v="137.07935411238626"/>
    <x v="2"/>
  </r>
  <r>
    <n v="1573"/>
    <x v="4"/>
    <d v="2004-11-29T00:00:00"/>
    <x v="3"/>
    <n v="91"/>
    <n v="275.55805251311767"/>
    <x v="3"/>
  </r>
  <r>
    <n v="1574"/>
    <x v="3"/>
    <d v="2006-02-12T00:00:00"/>
    <x v="1"/>
    <n v="-8"/>
    <n v="-21.448768772248492"/>
    <x v="0"/>
  </r>
  <r>
    <n v="1575"/>
    <x v="0"/>
    <d v="2005-03-19T00:00:00"/>
    <x v="4"/>
    <n v="-7"/>
    <n v="-19.136046094162346"/>
    <x v="1"/>
  </r>
  <r>
    <n v="1576"/>
    <x v="1"/>
    <d v="2005-11-05T00:00:00"/>
    <x v="1"/>
    <n v="33"/>
    <n v="100.88649672562114"/>
    <x v="2"/>
  </r>
  <r>
    <n v="1577"/>
    <x v="4"/>
    <d v="2005-05-13T00:00:00"/>
    <x v="0"/>
    <n v="-7"/>
    <n v="-18.807164790570987"/>
    <x v="0"/>
  </r>
  <r>
    <n v="1578"/>
    <x v="4"/>
    <d v="2006-10-12T00:00:00"/>
    <x v="1"/>
    <n v="82"/>
    <n v="248.42543228494586"/>
    <x v="3"/>
  </r>
  <r>
    <n v="1579"/>
    <x v="2"/>
    <d v="2004-06-06T00:00:00"/>
    <x v="3"/>
    <n v="87"/>
    <n v="262.84645942190497"/>
    <x v="3"/>
  </r>
  <r>
    <n v="1580"/>
    <x v="8"/>
    <d v="2005-02-14T00:00:00"/>
    <x v="4"/>
    <n v="93"/>
    <n v="281.52944446781271"/>
    <x v="1"/>
  </r>
  <r>
    <n v="1581"/>
    <x v="5"/>
    <d v="2005-10-14T00:00:00"/>
    <x v="1"/>
    <n v="72"/>
    <n v="218.16905589645697"/>
    <x v="0"/>
  </r>
  <r>
    <n v="1582"/>
    <x v="7"/>
    <d v="2004-10-16T00:00:00"/>
    <x v="4"/>
    <n v="11"/>
    <n v="35.116221937392133"/>
    <x v="3"/>
  </r>
  <r>
    <n v="1583"/>
    <x v="4"/>
    <d v="2006-07-16T00:00:00"/>
    <x v="0"/>
    <n v="18"/>
    <n v="55.780124801169777"/>
    <x v="0"/>
  </r>
  <r>
    <n v="1584"/>
    <x v="0"/>
    <d v="2006-08-18T00:00:00"/>
    <x v="1"/>
    <n v="93"/>
    <n v="281.25885991416516"/>
    <x v="3"/>
  </r>
  <r>
    <n v="1585"/>
    <x v="1"/>
    <d v="2005-08-20T00:00:00"/>
    <x v="1"/>
    <n v="56"/>
    <n v="170.42559015332697"/>
    <x v="2"/>
  </r>
  <r>
    <n v="1586"/>
    <x v="2"/>
    <d v="2004-09-24T00:00:00"/>
    <x v="0"/>
    <n v="66"/>
    <n v="199.70274563442874"/>
    <x v="1"/>
  </r>
  <r>
    <n v="1587"/>
    <x v="2"/>
    <d v="2005-01-12T00:00:00"/>
    <x v="0"/>
    <n v="95"/>
    <n v="286.75530123408925"/>
    <x v="2"/>
  </r>
  <r>
    <n v="1588"/>
    <x v="3"/>
    <d v="2005-07-07T00:00:00"/>
    <x v="4"/>
    <n v="61"/>
    <n v="184.83908498989172"/>
    <x v="1"/>
  </r>
  <r>
    <n v="1589"/>
    <x v="4"/>
    <d v="2006-07-16T00:00:00"/>
    <x v="0"/>
    <n v="26"/>
    <n v="79.322466776997217"/>
    <x v="3"/>
  </r>
  <r>
    <n v="1590"/>
    <x v="6"/>
    <d v="2005-12-08T00:00:00"/>
    <x v="4"/>
    <n v="29"/>
    <n v="89.116436100256237"/>
    <x v="2"/>
  </r>
  <r>
    <n v="1591"/>
    <x v="6"/>
    <d v="2005-02-14T00:00:00"/>
    <x v="0"/>
    <n v="61"/>
    <n v="184.79269376899887"/>
    <x v="3"/>
  </r>
  <r>
    <n v="1592"/>
    <x v="1"/>
    <d v="2006-06-13T00:00:00"/>
    <x v="4"/>
    <n v="-3"/>
    <n v="-7.0063461933355882"/>
    <x v="0"/>
  </r>
  <r>
    <n v="1593"/>
    <x v="8"/>
    <d v="2006-01-10T00:00:00"/>
    <x v="1"/>
    <n v="40"/>
    <n v="122.05274122201725"/>
    <x v="0"/>
  </r>
  <r>
    <n v="1594"/>
    <x v="1"/>
    <d v="2006-07-16T00:00:00"/>
    <x v="1"/>
    <n v="86"/>
    <n v="260.36699971588303"/>
    <x v="2"/>
  </r>
  <r>
    <n v="1595"/>
    <x v="8"/>
    <d v="2005-06-04T00:00:00"/>
    <x v="2"/>
    <n v="58"/>
    <n v="176.57900116326704"/>
    <x v="1"/>
  </r>
  <r>
    <n v="1596"/>
    <x v="1"/>
    <d v="2005-02-14T00:00:00"/>
    <x v="3"/>
    <n v="13"/>
    <n v="41.15897784518318"/>
    <x v="2"/>
  </r>
  <r>
    <n v="1597"/>
    <x v="8"/>
    <d v="2006-12-28T00:00:00"/>
    <x v="3"/>
    <n v="14"/>
    <n v="44.433583210085722"/>
    <x v="0"/>
  </r>
  <r>
    <n v="1598"/>
    <x v="6"/>
    <d v="2005-04-21T00:00:00"/>
    <x v="4"/>
    <n v="85"/>
    <n v="256.67637583501136"/>
    <x v="0"/>
  </r>
  <r>
    <n v="1599"/>
    <x v="5"/>
    <d v="2006-02-01T00:00:00"/>
    <x v="0"/>
    <n v="42"/>
    <n v="127.6000829370011"/>
    <x v="1"/>
  </r>
  <r>
    <n v="1600"/>
    <x v="8"/>
    <d v="2006-11-14T00:00:00"/>
    <x v="2"/>
    <n v="11"/>
    <n v="35.427503831280553"/>
    <x v="2"/>
  </r>
  <r>
    <n v="1601"/>
    <x v="7"/>
    <d v="2004-01-26T00:00:00"/>
    <x v="0"/>
    <n v="32"/>
    <n v="98.405028744773347"/>
    <x v="0"/>
  </r>
  <r>
    <n v="1602"/>
    <x v="1"/>
    <d v="2005-01-23T00:00:00"/>
    <x v="0"/>
    <n v="79"/>
    <n v="239.26463824341167"/>
    <x v="0"/>
  </r>
  <r>
    <n v="1603"/>
    <x v="6"/>
    <d v="2004-06-17T00:00:00"/>
    <x v="0"/>
    <n v="25"/>
    <n v="77.046747006624841"/>
    <x v="2"/>
  </r>
  <r>
    <n v="1604"/>
    <x v="5"/>
    <d v="2005-11-27T00:00:00"/>
    <x v="1"/>
    <n v="94"/>
    <n v="284.06034486899824"/>
    <x v="2"/>
  </r>
  <r>
    <n v="1605"/>
    <x v="4"/>
    <d v="2006-11-14T00:00:00"/>
    <x v="3"/>
    <n v="6"/>
    <n v="20.057205766736782"/>
    <x v="1"/>
  </r>
  <r>
    <n v="1606"/>
    <x v="3"/>
    <d v="2005-06-15T00:00:00"/>
    <x v="2"/>
    <n v="15"/>
    <n v="46.567063375670365"/>
    <x v="2"/>
  </r>
  <r>
    <n v="1607"/>
    <x v="5"/>
    <d v="2004-06-28T00:00:00"/>
    <x v="3"/>
    <n v="15"/>
    <n v="47.252520248890754"/>
    <x v="3"/>
  </r>
  <r>
    <n v="1608"/>
    <x v="6"/>
    <d v="2004-03-10T00:00:00"/>
    <x v="1"/>
    <n v="81"/>
    <n v="244.70980660248637"/>
    <x v="3"/>
  </r>
  <r>
    <n v="1609"/>
    <x v="0"/>
    <d v="2005-04-10T00:00:00"/>
    <x v="3"/>
    <n v="94"/>
    <n v="283.45878652006695"/>
    <x v="3"/>
  </r>
  <r>
    <n v="1610"/>
    <x v="3"/>
    <d v="2004-01-15T00:00:00"/>
    <x v="4"/>
    <n v="11"/>
    <n v="35.187328425003173"/>
    <x v="1"/>
  </r>
  <r>
    <n v="1611"/>
    <x v="4"/>
    <d v="2004-04-01T00:00:00"/>
    <x v="3"/>
    <n v="12"/>
    <n v="38.183005482105493"/>
    <x v="2"/>
  </r>
  <r>
    <n v="1612"/>
    <x v="1"/>
    <d v="2005-08-31T00:00:00"/>
    <x v="3"/>
    <n v="85"/>
    <n v="257.13848470493929"/>
    <x v="1"/>
  </r>
  <r>
    <n v="1613"/>
    <x v="3"/>
    <d v="2006-11-25T00:00:00"/>
    <x v="3"/>
    <n v="39"/>
    <n v="119.05508877849219"/>
    <x v="0"/>
  </r>
  <r>
    <n v="1614"/>
    <x v="3"/>
    <d v="2004-07-09T00:00:00"/>
    <x v="1"/>
    <n v="9"/>
    <n v="29.108535014212187"/>
    <x v="3"/>
  </r>
  <r>
    <n v="1615"/>
    <x v="3"/>
    <d v="2005-02-03T00:00:00"/>
    <x v="4"/>
    <n v="25"/>
    <n v="77.542041967509959"/>
    <x v="2"/>
  </r>
  <r>
    <n v="1616"/>
    <x v="7"/>
    <d v="2004-06-06T00:00:00"/>
    <x v="3"/>
    <n v="79"/>
    <n v="239.89003921274065"/>
    <x v="1"/>
  </r>
  <r>
    <n v="1617"/>
    <x v="1"/>
    <d v="2004-05-26T00:00:00"/>
    <x v="3"/>
    <n v="83"/>
    <n v="250.62172213757762"/>
    <x v="1"/>
  </r>
  <r>
    <n v="1618"/>
    <x v="1"/>
    <d v="2005-12-08T00:00:00"/>
    <x v="1"/>
    <n v="-3"/>
    <n v="-6.4441526293000173"/>
    <x v="0"/>
  </r>
  <r>
    <n v="1619"/>
    <x v="8"/>
    <d v="2006-02-23T00:00:00"/>
    <x v="4"/>
    <n v="62"/>
    <n v="188.23625463241646"/>
    <x v="1"/>
  </r>
  <r>
    <n v="1620"/>
    <x v="8"/>
    <d v="2004-02-06T00:00:00"/>
    <x v="3"/>
    <n v="6"/>
    <n v="19.315165106288639"/>
    <x v="3"/>
  </r>
  <r>
    <n v="1621"/>
    <x v="2"/>
    <d v="2006-04-08T00:00:00"/>
    <x v="4"/>
    <n v="13"/>
    <n v="41.394747641625173"/>
    <x v="1"/>
  </r>
  <r>
    <n v="1622"/>
    <x v="6"/>
    <d v="2005-09-22T00:00:00"/>
    <x v="3"/>
    <n v="88"/>
    <n v="266.15306975216902"/>
    <x v="2"/>
  </r>
  <r>
    <n v="1623"/>
    <x v="6"/>
    <d v="2004-04-12T00:00:00"/>
    <x v="3"/>
    <n v="35"/>
    <n v="106.7048352932988"/>
    <x v="2"/>
  </r>
  <r>
    <n v="1624"/>
    <x v="5"/>
    <d v="2004-10-16T00:00:00"/>
    <x v="3"/>
    <n v="61"/>
    <n v="185.38182854142642"/>
    <x v="1"/>
  </r>
  <r>
    <n v="1625"/>
    <x v="1"/>
    <d v="2005-07-29T00:00:00"/>
    <x v="3"/>
    <n v="95"/>
    <n v="287.15467709700755"/>
    <x v="2"/>
  </r>
  <r>
    <n v="1626"/>
    <x v="6"/>
    <d v="2005-01-01T00:00:00"/>
    <x v="3"/>
    <n v="30"/>
    <n v="92.417025758970482"/>
    <x v="3"/>
  </r>
  <r>
    <n v="1627"/>
    <x v="6"/>
    <d v="2006-07-16T00:00:00"/>
    <x v="3"/>
    <n v="-1"/>
    <n v="-1.6370674232788498"/>
    <x v="3"/>
  </r>
  <r>
    <n v="1628"/>
    <x v="0"/>
    <d v="2005-01-01T00:00:00"/>
    <x v="2"/>
    <n v="5"/>
    <n v="16.92808141657132"/>
    <x v="1"/>
  </r>
  <r>
    <n v="1629"/>
    <x v="0"/>
    <d v="2005-03-08T00:00:00"/>
    <x v="1"/>
    <n v="42"/>
    <n v="127.31651996144141"/>
    <x v="3"/>
  </r>
  <r>
    <n v="1630"/>
    <x v="3"/>
    <d v="2005-05-02T00:00:00"/>
    <x v="3"/>
    <n v="14"/>
    <n v="44.540640710887878"/>
    <x v="1"/>
  </r>
  <r>
    <n v="1631"/>
    <x v="5"/>
    <d v="2005-08-09T00:00:00"/>
    <x v="3"/>
    <n v="-4"/>
    <n v="-10.005990967007831"/>
    <x v="0"/>
  </r>
  <r>
    <n v="1632"/>
    <x v="8"/>
    <d v="2006-01-21T00:00:00"/>
    <x v="1"/>
    <n v="27"/>
    <n v="82.256344701253937"/>
    <x v="0"/>
  </r>
  <r>
    <n v="1633"/>
    <x v="8"/>
    <d v="2004-05-04T00:00:00"/>
    <x v="4"/>
    <n v="5"/>
    <n v="17.11095820057195"/>
    <x v="3"/>
  </r>
  <r>
    <n v="1634"/>
    <x v="2"/>
    <d v="2005-03-19T00:00:00"/>
    <x v="4"/>
    <n v="57"/>
    <n v="173.29644937565891"/>
    <x v="0"/>
  </r>
  <r>
    <n v="1635"/>
    <x v="1"/>
    <d v="2004-10-05T00:00:00"/>
    <x v="0"/>
    <n v="78"/>
    <n v="235.61102661696142"/>
    <x v="2"/>
  </r>
  <r>
    <n v="1636"/>
    <x v="8"/>
    <d v="2006-09-09T00:00:00"/>
    <x v="4"/>
    <n v="11"/>
    <n v="35.303927193880931"/>
    <x v="1"/>
  </r>
  <r>
    <n v="1637"/>
    <x v="5"/>
    <d v="2004-10-05T00:00:00"/>
    <x v="0"/>
    <n v="55"/>
    <n v="166.9336198966493"/>
    <x v="0"/>
  </r>
  <r>
    <n v="1638"/>
    <x v="2"/>
    <d v="2004-10-05T00:00:00"/>
    <x v="4"/>
    <n v="15"/>
    <n v="46.988168377437937"/>
    <x v="3"/>
  </r>
  <r>
    <n v="1639"/>
    <x v="5"/>
    <d v="2004-02-06T00:00:00"/>
    <x v="3"/>
    <n v="53"/>
    <n v="161.39224032948613"/>
    <x v="1"/>
  </r>
  <r>
    <n v="1640"/>
    <x v="3"/>
    <d v="2005-08-20T00:00:00"/>
    <x v="0"/>
    <n v="70"/>
    <n v="212.01090684722931"/>
    <x v="1"/>
  </r>
  <r>
    <n v="1641"/>
    <x v="8"/>
    <d v="2006-08-18T00:00:00"/>
    <x v="1"/>
    <n v="56"/>
    <n v="170.03159669706065"/>
    <x v="3"/>
  </r>
  <r>
    <n v="1642"/>
    <x v="3"/>
    <d v="2006-05-22T00:00:00"/>
    <x v="3"/>
    <n v="91"/>
    <n v="275.47209572369957"/>
    <x v="3"/>
  </r>
  <r>
    <n v="1643"/>
    <x v="7"/>
    <d v="2004-12-21T00:00:00"/>
    <x v="2"/>
    <n v="55"/>
    <n v="167.80569976811464"/>
    <x v="1"/>
  </r>
  <r>
    <n v="1644"/>
    <x v="5"/>
    <d v="2005-10-25T00:00:00"/>
    <x v="4"/>
    <n v="1"/>
    <n v="4.7067653474104088"/>
    <x v="0"/>
  </r>
  <r>
    <n v="1645"/>
    <x v="5"/>
    <d v="2005-02-03T00:00:00"/>
    <x v="3"/>
    <n v="23"/>
    <n v="70.736237537390394"/>
    <x v="2"/>
  </r>
  <r>
    <n v="1646"/>
    <x v="1"/>
    <d v="2005-12-19T00:00:00"/>
    <x v="0"/>
    <n v="0"/>
    <n v="2.2998593901546056"/>
    <x v="3"/>
  </r>
  <r>
    <n v="1647"/>
    <x v="5"/>
    <d v="2004-12-21T00:00:00"/>
    <x v="4"/>
    <n v="86"/>
    <n v="259.96491478210521"/>
    <x v="2"/>
  </r>
  <r>
    <n v="1648"/>
    <x v="4"/>
    <d v="2004-04-01T00:00:00"/>
    <x v="3"/>
    <n v="13"/>
    <n v="40.990045684129242"/>
    <x v="1"/>
  </r>
  <r>
    <n v="1649"/>
    <x v="2"/>
    <d v="2006-04-19T00:00:00"/>
    <x v="4"/>
    <n v="54"/>
    <n v="163.68855299520598"/>
    <x v="2"/>
  </r>
  <r>
    <n v="1650"/>
    <x v="4"/>
    <d v="2004-03-10T00:00:00"/>
    <x v="4"/>
    <n v="82"/>
    <n v="247.65702123487802"/>
    <x v="3"/>
  </r>
  <r>
    <n v="1651"/>
    <x v="6"/>
    <d v="2005-02-14T00:00:00"/>
    <x v="1"/>
    <n v="27"/>
    <n v="82.646392449751019"/>
    <x v="1"/>
  </r>
  <r>
    <n v="1652"/>
    <x v="3"/>
    <d v="2006-10-12T00:00:00"/>
    <x v="2"/>
    <n v="84"/>
    <n v="254.58342526964253"/>
    <x v="2"/>
  </r>
  <r>
    <n v="1653"/>
    <x v="2"/>
    <d v="2004-05-04T00:00:00"/>
    <x v="3"/>
    <n v="56"/>
    <n v="170.24926391624365"/>
    <x v="3"/>
  </r>
  <r>
    <n v="1654"/>
    <x v="0"/>
    <d v="2004-02-28T00:00:00"/>
    <x v="2"/>
    <n v="92"/>
    <n v="277.26934431778176"/>
    <x v="0"/>
  </r>
  <r>
    <n v="1655"/>
    <x v="0"/>
    <d v="2004-01-15T00:00:00"/>
    <x v="0"/>
    <n v="25"/>
    <n v="77.553918573002605"/>
    <x v="2"/>
  </r>
  <r>
    <n v="1656"/>
    <x v="0"/>
    <d v="2005-01-01T00:00:00"/>
    <x v="3"/>
    <n v="67"/>
    <n v="203.0044570204021"/>
    <x v="3"/>
  </r>
  <r>
    <n v="1657"/>
    <x v="8"/>
    <d v="2004-04-12T00:00:00"/>
    <x v="2"/>
    <n v="75"/>
    <n v="226.86441343955028"/>
    <x v="2"/>
  </r>
  <r>
    <n v="1658"/>
    <x v="6"/>
    <d v="2005-09-22T00:00:00"/>
    <x v="3"/>
    <n v="14"/>
    <n v="44.140520464612329"/>
    <x v="1"/>
  </r>
  <r>
    <n v="1659"/>
    <x v="5"/>
    <d v="2005-12-19T00:00:00"/>
    <x v="0"/>
    <n v="48"/>
    <n v="145.81129384316213"/>
    <x v="2"/>
  </r>
  <r>
    <n v="1660"/>
    <x v="4"/>
    <d v="2004-05-15T00:00:00"/>
    <x v="1"/>
    <n v="73"/>
    <n v="221.16800423559653"/>
    <x v="2"/>
  </r>
  <r>
    <n v="1661"/>
    <x v="1"/>
    <d v="2005-06-04T00:00:00"/>
    <x v="1"/>
    <n v="28"/>
    <n v="85.646088345809403"/>
    <x v="3"/>
  </r>
  <r>
    <n v="1662"/>
    <x v="2"/>
    <d v="2005-11-27T00:00:00"/>
    <x v="3"/>
    <n v="12"/>
    <n v="38.543998121108487"/>
    <x v="2"/>
  </r>
  <r>
    <n v="1663"/>
    <x v="8"/>
    <d v="2005-05-02T00:00:00"/>
    <x v="0"/>
    <n v="50"/>
    <n v="152.11340525555411"/>
    <x v="0"/>
  </r>
  <r>
    <n v="1664"/>
    <x v="5"/>
    <d v="2006-10-01T00:00:00"/>
    <x v="1"/>
    <n v="-5"/>
    <n v="-12.64098802195692"/>
    <x v="1"/>
  </r>
  <r>
    <n v="1665"/>
    <x v="1"/>
    <d v="2005-01-23T00:00:00"/>
    <x v="0"/>
    <n v="6"/>
    <n v="19.476233913607583"/>
    <x v="3"/>
  </r>
  <r>
    <n v="1666"/>
    <x v="1"/>
    <d v="2005-02-25T00:00:00"/>
    <x v="1"/>
    <n v="63"/>
    <n v="190.56862486239569"/>
    <x v="3"/>
  </r>
  <r>
    <n v="1667"/>
    <x v="6"/>
    <d v="2006-06-13T00:00:00"/>
    <x v="1"/>
    <n v="33"/>
    <n v="100.75324427531469"/>
    <x v="1"/>
  </r>
  <r>
    <n v="1668"/>
    <x v="8"/>
    <d v="2004-09-24T00:00:00"/>
    <x v="3"/>
    <n v="61"/>
    <n v="185.16541785072013"/>
    <x v="0"/>
  </r>
  <r>
    <n v="1669"/>
    <x v="4"/>
    <d v="2004-12-10T00:00:00"/>
    <x v="1"/>
    <n v="16"/>
    <n v="50.709076483884871"/>
    <x v="3"/>
  </r>
  <r>
    <n v="1670"/>
    <x v="7"/>
    <d v="2006-06-02T00:00:00"/>
    <x v="3"/>
    <n v="15"/>
    <n v="47.142751278135883"/>
    <x v="1"/>
  </r>
  <r>
    <n v="1671"/>
    <x v="4"/>
    <d v="2006-07-27T00:00:00"/>
    <x v="3"/>
    <n v="-1"/>
    <n v="-0.59949529532525503"/>
    <x v="0"/>
  </r>
  <r>
    <n v="1672"/>
    <x v="1"/>
    <d v="2005-06-04T00:00:00"/>
    <x v="0"/>
    <n v="28"/>
    <n v="85.359164284772746"/>
    <x v="2"/>
  </r>
  <r>
    <n v="1673"/>
    <x v="7"/>
    <d v="2006-10-01T00:00:00"/>
    <x v="1"/>
    <n v="74"/>
    <n v="223.5358944867458"/>
    <x v="3"/>
  </r>
  <r>
    <n v="1674"/>
    <x v="6"/>
    <d v="2004-04-12T00:00:00"/>
    <x v="0"/>
    <n v="60"/>
    <n v="182.52957283898829"/>
    <x v="3"/>
  </r>
  <r>
    <n v="1675"/>
    <x v="5"/>
    <d v="2005-05-02T00:00:00"/>
    <x v="4"/>
    <n v="26"/>
    <n v="79.644787892751594"/>
    <x v="1"/>
  </r>
  <r>
    <n v="1676"/>
    <x v="1"/>
    <d v="2004-02-28T00:00:00"/>
    <x v="1"/>
    <n v="41"/>
    <n v="124.80546413554566"/>
    <x v="3"/>
  </r>
  <r>
    <n v="1677"/>
    <x v="2"/>
    <d v="2004-05-15T00:00:00"/>
    <x v="0"/>
    <n v="-1"/>
    <n v="-0.72875697552539753"/>
    <x v="0"/>
  </r>
  <r>
    <n v="1678"/>
    <x v="2"/>
    <d v="2006-07-05T00:00:00"/>
    <x v="0"/>
    <n v="89"/>
    <n v="268.71620455118574"/>
    <x v="3"/>
  </r>
  <r>
    <n v="1679"/>
    <x v="1"/>
    <d v="2004-06-06T00:00:00"/>
    <x v="4"/>
    <n v="12"/>
    <n v="38.034373617715126"/>
    <x v="3"/>
  </r>
  <r>
    <n v="1680"/>
    <x v="5"/>
    <d v="2004-10-16T00:00:00"/>
    <x v="3"/>
    <n v="21"/>
    <n v="65.91159641394708"/>
    <x v="0"/>
  </r>
  <r>
    <n v="1681"/>
    <x v="7"/>
    <d v="2006-06-24T00:00:00"/>
    <x v="4"/>
    <n v="23"/>
    <n v="71.518171146886857"/>
    <x v="2"/>
  </r>
  <r>
    <n v="1682"/>
    <x v="8"/>
    <d v="2005-03-30T00:00:00"/>
    <x v="1"/>
    <n v="-7"/>
    <n v="-18.640973323270995"/>
    <x v="0"/>
  </r>
  <r>
    <n v="1683"/>
    <x v="0"/>
    <d v="2004-03-10T00:00:00"/>
    <x v="1"/>
    <n v="35"/>
    <n v="106.65095335657088"/>
    <x v="0"/>
  </r>
  <r>
    <n v="1684"/>
    <x v="2"/>
    <d v="2004-09-13T00:00:00"/>
    <x v="4"/>
    <n v="94"/>
    <n v="283.7951382741839"/>
    <x v="1"/>
  </r>
  <r>
    <n v="1685"/>
    <x v="2"/>
    <d v="2005-11-05T00:00:00"/>
    <x v="3"/>
    <n v="88"/>
    <n v="265.96151267807471"/>
    <x v="0"/>
  </r>
  <r>
    <n v="1686"/>
    <x v="2"/>
    <d v="2004-03-10T00:00:00"/>
    <x v="2"/>
    <n v="26"/>
    <n v="79.798393656893168"/>
    <x v="0"/>
  </r>
  <r>
    <n v="1687"/>
    <x v="8"/>
    <d v="2004-07-09T00:00:00"/>
    <x v="1"/>
    <n v="83"/>
    <n v="250.98698082020448"/>
    <x v="0"/>
  </r>
  <r>
    <n v="1688"/>
    <x v="6"/>
    <d v="2006-06-02T00:00:00"/>
    <x v="4"/>
    <n v="11"/>
    <n v="34.677474217404566"/>
    <x v="2"/>
  </r>
  <r>
    <n v="1689"/>
    <x v="4"/>
    <d v="2006-09-20T00:00:00"/>
    <x v="1"/>
    <n v="18"/>
    <n v="56.570167419014545"/>
    <x v="3"/>
  </r>
  <r>
    <n v="1690"/>
    <x v="3"/>
    <d v="2005-03-19T00:00:00"/>
    <x v="3"/>
    <n v="90"/>
    <n v="272.35988641044867"/>
    <x v="3"/>
  </r>
  <r>
    <n v="1691"/>
    <x v="4"/>
    <d v="2005-10-03T00:00:00"/>
    <x v="4"/>
    <n v="12"/>
    <n v="38.358567090515102"/>
    <x v="3"/>
  </r>
  <r>
    <n v="1692"/>
    <x v="4"/>
    <d v="2004-01-26T00:00:00"/>
    <x v="0"/>
    <n v="39"/>
    <n v="118.63508946594906"/>
    <x v="1"/>
  </r>
  <r>
    <n v="1693"/>
    <x v="4"/>
    <d v="2004-02-17T00:00:00"/>
    <x v="2"/>
    <n v="45"/>
    <n v="137.71025367694813"/>
    <x v="1"/>
  </r>
  <r>
    <n v="1694"/>
    <x v="3"/>
    <d v="2006-12-06T00:00:00"/>
    <x v="1"/>
    <n v="74"/>
    <n v="223.24261767904073"/>
    <x v="3"/>
  </r>
  <r>
    <n v="1695"/>
    <x v="4"/>
    <d v="2005-07-18T00:00:00"/>
    <x v="1"/>
    <n v="95"/>
    <n v="286.97940760158696"/>
    <x v="0"/>
  </r>
  <r>
    <n v="1696"/>
    <x v="1"/>
    <d v="2004-06-06T00:00:00"/>
    <x v="0"/>
    <n v="48"/>
    <n v="145.47941837398358"/>
    <x v="2"/>
  </r>
  <r>
    <n v="1697"/>
    <x v="0"/>
    <d v="2004-10-16T00:00:00"/>
    <x v="4"/>
    <n v="-3"/>
    <n v="-7.0556984383694044"/>
    <x v="1"/>
  </r>
  <r>
    <n v="1698"/>
    <x v="5"/>
    <d v="2005-05-24T00:00:00"/>
    <x v="2"/>
    <n v="92"/>
    <n v="278.51510126549795"/>
    <x v="1"/>
  </r>
  <r>
    <n v="1699"/>
    <x v="3"/>
    <d v="2005-03-08T00:00:00"/>
    <x v="4"/>
    <n v="17"/>
    <n v="53.278847558385984"/>
    <x v="3"/>
  </r>
  <r>
    <n v="1700"/>
    <x v="1"/>
    <d v="2004-10-27T00:00:00"/>
    <x v="0"/>
    <n v="45"/>
    <n v="136.31233370896607"/>
    <x v="0"/>
  </r>
  <r>
    <n v="1701"/>
    <x v="5"/>
    <d v="2006-10-12T00:00:00"/>
    <x v="2"/>
    <n v="62"/>
    <n v="187.97208926447612"/>
    <x v="0"/>
  </r>
  <r>
    <n v="1702"/>
    <x v="3"/>
    <d v="2004-10-27T00:00:00"/>
    <x v="1"/>
    <n v="52"/>
    <n v="158.0460445332865"/>
    <x v="1"/>
  </r>
  <r>
    <n v="1703"/>
    <x v="1"/>
    <d v="2004-05-26T00:00:00"/>
    <x v="2"/>
    <n v="73"/>
    <n v="221.23952830258372"/>
    <x v="0"/>
  </r>
  <r>
    <n v="1704"/>
    <x v="8"/>
    <d v="2005-07-18T00:00:00"/>
    <x v="2"/>
    <n v="38"/>
    <n v="116.53981147745662"/>
    <x v="0"/>
  </r>
  <r>
    <n v="1705"/>
    <x v="1"/>
    <d v="2005-12-19T00:00:00"/>
    <x v="3"/>
    <n v="0"/>
    <n v="1.7059716699737852"/>
    <x v="2"/>
  </r>
  <r>
    <n v="1706"/>
    <x v="7"/>
    <d v="2004-10-16T00:00:00"/>
    <x v="3"/>
    <n v="70"/>
    <n v="211.80942925062229"/>
    <x v="0"/>
  </r>
  <r>
    <n v="1707"/>
    <x v="8"/>
    <d v="2005-05-13T00:00:00"/>
    <x v="1"/>
    <n v="-8"/>
    <n v="-22.16452981425434"/>
    <x v="1"/>
  </r>
  <r>
    <n v="1708"/>
    <x v="8"/>
    <d v="2006-04-30T00:00:00"/>
    <x v="3"/>
    <n v="65"/>
    <n v="196.94966457435572"/>
    <x v="2"/>
  </r>
  <r>
    <n v="1709"/>
    <x v="8"/>
    <d v="2006-11-25T00:00:00"/>
    <x v="0"/>
    <n v="-5"/>
    <n v="-12.235172213399022"/>
    <x v="3"/>
  </r>
  <r>
    <n v="1710"/>
    <x v="8"/>
    <d v="2005-07-29T00:00:00"/>
    <x v="1"/>
    <n v="34"/>
    <n v="104.46148815266854"/>
    <x v="3"/>
  </r>
  <r>
    <n v="1711"/>
    <x v="4"/>
    <d v="2006-03-28T00:00:00"/>
    <x v="0"/>
    <n v="72"/>
    <n v="217.88587173222501"/>
    <x v="2"/>
  </r>
  <r>
    <n v="1712"/>
    <x v="7"/>
    <d v="2005-02-03T00:00:00"/>
    <x v="3"/>
    <n v="-1"/>
    <n v="-0.65444775995364735"/>
    <x v="0"/>
  </r>
  <r>
    <n v="1713"/>
    <x v="6"/>
    <d v="2005-12-08T00:00:00"/>
    <x v="0"/>
    <n v="40"/>
    <n v="122.14268476291653"/>
    <x v="2"/>
  </r>
  <r>
    <n v="1714"/>
    <x v="1"/>
    <d v="2006-09-09T00:00:00"/>
    <x v="4"/>
    <n v="65"/>
    <n v="196.70486780051661"/>
    <x v="3"/>
  </r>
  <r>
    <n v="1715"/>
    <x v="8"/>
    <d v="2006-07-05T00:00:00"/>
    <x v="0"/>
    <n v="77"/>
    <n v="232.41740522130286"/>
    <x v="1"/>
  </r>
  <r>
    <n v="1716"/>
    <x v="7"/>
    <d v="2006-04-19T00:00:00"/>
    <x v="4"/>
    <n v="51"/>
    <n v="155.00139731564644"/>
    <x v="0"/>
  </r>
  <r>
    <n v="1717"/>
    <x v="3"/>
    <d v="2005-04-10T00:00:00"/>
    <x v="1"/>
    <n v="-9"/>
    <n v="-25.103275559538364"/>
    <x v="3"/>
  </r>
  <r>
    <n v="1718"/>
    <x v="7"/>
    <d v="2005-03-30T00:00:00"/>
    <x v="4"/>
    <n v="17"/>
    <n v="52.732870933394423"/>
    <x v="1"/>
  </r>
  <r>
    <n v="1719"/>
    <x v="2"/>
    <d v="2005-04-10T00:00:00"/>
    <x v="3"/>
    <n v="11"/>
    <n v="34.806777506140598"/>
    <x v="1"/>
  </r>
  <r>
    <n v="1720"/>
    <x v="6"/>
    <d v="2006-06-24T00:00:00"/>
    <x v="0"/>
    <n v="40"/>
    <n v="121.64869809891456"/>
    <x v="3"/>
  </r>
  <r>
    <n v="1721"/>
    <x v="2"/>
    <d v="2005-08-20T00:00:00"/>
    <x v="1"/>
    <n v="67"/>
    <n v="202.72483169959665"/>
    <x v="2"/>
  </r>
  <r>
    <n v="1722"/>
    <x v="8"/>
    <d v="2005-07-29T00:00:00"/>
    <x v="2"/>
    <n v="79"/>
    <n v="239.25066766148794"/>
    <x v="0"/>
  </r>
  <r>
    <n v="1723"/>
    <x v="3"/>
    <d v="2004-05-15T00:00:00"/>
    <x v="1"/>
    <n v="-7"/>
    <n v="-19.159862376296054"/>
    <x v="0"/>
  </r>
  <r>
    <n v="1724"/>
    <x v="3"/>
    <d v="2005-05-24T00:00:00"/>
    <x v="4"/>
    <n v="72"/>
    <n v="218.05969697818949"/>
    <x v="3"/>
  </r>
  <r>
    <n v="1725"/>
    <x v="4"/>
    <d v="2005-07-29T00:00:00"/>
    <x v="3"/>
    <n v="53"/>
    <n v="160.76900841046421"/>
    <x v="2"/>
  </r>
  <r>
    <n v="1726"/>
    <x v="6"/>
    <d v="2006-07-05T00:00:00"/>
    <x v="3"/>
    <n v="35"/>
    <n v="107.40939275823844"/>
    <x v="3"/>
  </r>
  <r>
    <n v="1727"/>
    <x v="2"/>
    <d v="2006-11-03T00:00:00"/>
    <x v="0"/>
    <n v="39"/>
    <n v="118.67053890819109"/>
    <x v="1"/>
  </r>
  <r>
    <n v="1728"/>
    <x v="4"/>
    <d v="2004-07-09T00:00:00"/>
    <x v="4"/>
    <n v="-7"/>
    <n v="-19.354078968263273"/>
    <x v="0"/>
  </r>
  <r>
    <n v="1729"/>
    <x v="5"/>
    <d v="2004-06-17T00:00:00"/>
    <x v="3"/>
    <n v="68"/>
    <n v="206.3442384317722"/>
    <x v="3"/>
  </r>
  <r>
    <n v="1730"/>
    <x v="6"/>
    <d v="2004-10-27T00:00:00"/>
    <x v="3"/>
    <n v="86"/>
    <n v="260.29001268034375"/>
    <x v="1"/>
  </r>
  <r>
    <n v="1731"/>
    <x v="0"/>
    <d v="2005-08-31T00:00:00"/>
    <x v="2"/>
    <n v="84"/>
    <n v="254.77631099529688"/>
    <x v="3"/>
  </r>
  <r>
    <n v="1732"/>
    <x v="5"/>
    <d v="2006-11-25T00:00:00"/>
    <x v="4"/>
    <n v="6"/>
    <n v="19.965040351983745"/>
    <x v="2"/>
  </r>
  <r>
    <n v="1733"/>
    <x v="0"/>
    <d v="2006-01-10T00:00:00"/>
    <x v="2"/>
    <n v="-5"/>
    <n v="-12.772394146444128"/>
    <x v="0"/>
  </r>
  <r>
    <n v="1734"/>
    <x v="5"/>
    <d v="2006-04-08T00:00:00"/>
    <x v="0"/>
    <n v="22"/>
    <n v="67.936736058497871"/>
    <x v="1"/>
  </r>
  <r>
    <n v="1735"/>
    <x v="0"/>
    <d v="2005-12-08T00:00:00"/>
    <x v="3"/>
    <n v="29"/>
    <n v="89.114636106343568"/>
    <x v="3"/>
  </r>
  <r>
    <n v="1736"/>
    <x v="8"/>
    <d v="2004-11-07T00:00:00"/>
    <x v="0"/>
    <n v="3"/>
    <n v="10.889833668586128"/>
    <x v="0"/>
  </r>
  <r>
    <n v="1737"/>
    <x v="2"/>
    <d v="2006-03-28T00:00:00"/>
    <x v="3"/>
    <n v="88"/>
    <n v="265.52523967441095"/>
    <x v="3"/>
  </r>
  <r>
    <n v="1738"/>
    <x v="6"/>
    <d v="2005-02-25T00:00:00"/>
    <x v="3"/>
    <n v="41"/>
    <n v="124.98924123949018"/>
    <x v="1"/>
  </r>
  <r>
    <n v="1739"/>
    <x v="7"/>
    <d v="2005-02-14T00:00:00"/>
    <x v="1"/>
    <n v="59"/>
    <n v="178.83628019769552"/>
    <x v="3"/>
  </r>
  <r>
    <n v="1740"/>
    <x v="7"/>
    <d v="2004-10-05T00:00:00"/>
    <x v="4"/>
    <n v="29"/>
    <n v="89.261658607480399"/>
    <x v="0"/>
  </r>
  <r>
    <n v="1741"/>
    <x v="2"/>
    <d v="2004-02-17T00:00:00"/>
    <x v="4"/>
    <n v="43"/>
    <n v="130.29965520792396"/>
    <x v="2"/>
  </r>
  <r>
    <n v="1742"/>
    <x v="8"/>
    <d v="2006-04-19T00:00:00"/>
    <x v="0"/>
    <n v="75"/>
    <n v="227.51732588951381"/>
    <x v="3"/>
  </r>
  <r>
    <n v="1743"/>
    <x v="0"/>
    <d v="2004-08-22T00:00:00"/>
    <x v="4"/>
    <n v="40"/>
    <n v="121.70811716084982"/>
    <x v="3"/>
  </r>
  <r>
    <n v="1744"/>
    <x v="8"/>
    <d v="2004-11-18T00:00:00"/>
    <x v="4"/>
    <n v="78"/>
    <n v="235.886562763272"/>
    <x v="0"/>
  </r>
  <r>
    <n v="1745"/>
    <x v="3"/>
    <d v="2005-03-19T00:00:00"/>
    <x v="3"/>
    <n v="38"/>
    <n v="115.79763515244602"/>
    <x v="1"/>
  </r>
  <r>
    <n v="1746"/>
    <x v="6"/>
    <d v="2005-06-04T00:00:00"/>
    <x v="4"/>
    <n v="-3"/>
    <n v="-6.3542907791353951"/>
    <x v="2"/>
  </r>
  <r>
    <n v="1747"/>
    <x v="1"/>
    <d v="2004-04-23T00:00:00"/>
    <x v="1"/>
    <n v="34"/>
    <n v="103.8978672415664"/>
    <x v="2"/>
  </r>
  <r>
    <n v="1748"/>
    <x v="2"/>
    <d v="2004-05-04T00:00:00"/>
    <x v="3"/>
    <n v="85"/>
    <n v="256.4457111777549"/>
    <x v="3"/>
  </r>
  <r>
    <n v="1749"/>
    <x v="5"/>
    <d v="2005-11-16T00:00:00"/>
    <x v="1"/>
    <n v="70"/>
    <n v="212.02897469121848"/>
    <x v="2"/>
  </r>
  <r>
    <n v="1750"/>
    <x v="6"/>
    <d v="2006-11-03T00:00:00"/>
    <x v="3"/>
    <n v="86"/>
    <n v="259.75727876328739"/>
    <x v="1"/>
  </r>
  <r>
    <n v="1751"/>
    <x v="8"/>
    <d v="2006-12-17T00:00:00"/>
    <x v="1"/>
    <n v="47"/>
    <n v="142.93190581421757"/>
    <x v="3"/>
  </r>
  <r>
    <n v="1752"/>
    <x v="4"/>
    <d v="2006-06-13T00:00:00"/>
    <x v="2"/>
    <n v="20"/>
    <n v="62.6034037824639"/>
    <x v="0"/>
  </r>
  <r>
    <n v="1753"/>
    <x v="7"/>
    <d v="2004-05-15T00:00:00"/>
    <x v="4"/>
    <n v="33"/>
    <n v="101.41906626440009"/>
    <x v="2"/>
  </r>
  <r>
    <n v="1754"/>
    <x v="5"/>
    <d v="2004-11-07T00:00:00"/>
    <x v="4"/>
    <n v="-10"/>
    <n v="-27.865488210965292"/>
    <x v="1"/>
  </r>
  <r>
    <n v="1755"/>
    <x v="8"/>
    <d v="2006-12-06T00:00:00"/>
    <x v="0"/>
    <n v="40"/>
    <n v="122.39966734312085"/>
    <x v="0"/>
  </r>
  <r>
    <n v="1756"/>
    <x v="6"/>
    <d v="2004-07-20T00:00:00"/>
    <x v="1"/>
    <n v="13"/>
    <n v="40.440362188704526"/>
    <x v="0"/>
  </r>
  <r>
    <n v="1757"/>
    <x v="2"/>
    <d v="2006-08-29T00:00:00"/>
    <x v="0"/>
    <n v="20"/>
    <n v="62.159874636859705"/>
    <x v="0"/>
  </r>
  <r>
    <n v="1758"/>
    <x v="6"/>
    <d v="2004-02-28T00:00:00"/>
    <x v="3"/>
    <n v="22"/>
    <n v="68.778643754081543"/>
    <x v="2"/>
  </r>
  <r>
    <n v="1759"/>
    <x v="3"/>
    <d v="2005-09-11T00:00:00"/>
    <x v="1"/>
    <n v="91"/>
    <n v="275.56378169889956"/>
    <x v="1"/>
  </r>
  <r>
    <n v="1760"/>
    <x v="0"/>
    <d v="2006-05-11T00:00:00"/>
    <x v="0"/>
    <n v="17"/>
    <n v="53.536546154185139"/>
    <x v="1"/>
  </r>
  <r>
    <n v="1761"/>
    <x v="3"/>
    <d v="2004-11-07T00:00:00"/>
    <x v="0"/>
    <n v="77"/>
    <n v="232.78300193286029"/>
    <x v="0"/>
  </r>
  <r>
    <n v="1762"/>
    <x v="5"/>
    <d v="2006-12-06T00:00:00"/>
    <x v="4"/>
    <n v="8"/>
    <n v="25.170033543748811"/>
    <x v="1"/>
  </r>
  <r>
    <n v="1763"/>
    <x v="2"/>
    <d v="2005-08-20T00:00:00"/>
    <x v="3"/>
    <n v="-1"/>
    <n v="-0.68878150112298231"/>
    <x v="0"/>
  </r>
  <r>
    <n v="1764"/>
    <x v="1"/>
    <d v="2005-06-04T00:00:00"/>
    <x v="0"/>
    <n v="52"/>
    <n v="158.074363782803"/>
    <x v="1"/>
  </r>
  <r>
    <n v="1765"/>
    <x v="8"/>
    <d v="2005-08-31T00:00:00"/>
    <x v="4"/>
    <n v="50"/>
    <n v="152.59801251978521"/>
    <x v="1"/>
  </r>
  <r>
    <n v="1766"/>
    <x v="8"/>
    <d v="2006-06-24T00:00:00"/>
    <x v="1"/>
    <n v="69"/>
    <n v="209.27458050780132"/>
    <x v="0"/>
  </r>
  <r>
    <n v="1767"/>
    <x v="6"/>
    <d v="2006-06-02T00:00:00"/>
    <x v="4"/>
    <n v="-10"/>
    <n v="-28.429474612283389"/>
    <x v="1"/>
  </r>
  <r>
    <n v="1768"/>
    <x v="3"/>
    <d v="2004-09-13T00:00:00"/>
    <x v="1"/>
    <n v="-10"/>
    <n v="-27.787426760377638"/>
    <x v="3"/>
  </r>
  <r>
    <n v="1769"/>
    <x v="7"/>
    <d v="2005-10-25T00:00:00"/>
    <x v="4"/>
    <n v="90"/>
    <n v="272.47244684275518"/>
    <x v="1"/>
  </r>
  <r>
    <n v="1770"/>
    <x v="2"/>
    <d v="2006-11-14T00:00:00"/>
    <x v="1"/>
    <n v="-4"/>
    <n v="-9.8005201872550316"/>
    <x v="0"/>
  </r>
  <r>
    <n v="1771"/>
    <x v="0"/>
    <d v="2006-08-18T00:00:00"/>
    <x v="0"/>
    <n v="14"/>
    <n v="44.066692086610537"/>
    <x v="2"/>
  </r>
  <r>
    <n v="1772"/>
    <x v="6"/>
    <d v="2005-12-19T00:00:00"/>
    <x v="0"/>
    <n v="13"/>
    <n v="41.651608836226835"/>
    <x v="3"/>
  </r>
  <r>
    <n v="1773"/>
    <x v="4"/>
    <d v="2004-07-20T00:00:00"/>
    <x v="1"/>
    <n v="-10"/>
    <n v="-27.449007372488328"/>
    <x v="1"/>
  </r>
  <r>
    <n v="1774"/>
    <x v="8"/>
    <d v="2005-02-14T00:00:00"/>
    <x v="1"/>
    <n v="81"/>
    <n v="244.96209724909312"/>
    <x v="3"/>
  </r>
  <r>
    <n v="1775"/>
    <x v="0"/>
    <d v="2005-01-01T00:00:00"/>
    <x v="1"/>
    <n v="91"/>
    <n v="274.01633323079733"/>
    <x v="2"/>
  </r>
  <r>
    <n v="1776"/>
    <x v="5"/>
    <d v="2004-12-21T00:00:00"/>
    <x v="0"/>
    <n v="7"/>
    <n v="23.096103574094034"/>
    <x v="0"/>
  </r>
  <r>
    <n v="1777"/>
    <x v="0"/>
    <d v="2005-12-19T00:00:00"/>
    <x v="3"/>
    <n v="95"/>
    <n v="286.4091350392265"/>
    <x v="1"/>
  </r>
  <r>
    <n v="1778"/>
    <x v="4"/>
    <d v="2006-03-17T00:00:00"/>
    <x v="4"/>
    <n v="7"/>
    <n v="23.460398451433193"/>
    <x v="3"/>
  </r>
  <r>
    <n v="1779"/>
    <x v="6"/>
    <d v="2005-04-10T00:00:00"/>
    <x v="4"/>
    <n v="9"/>
    <n v="29.496709116948491"/>
    <x v="3"/>
  </r>
  <r>
    <n v="1780"/>
    <x v="6"/>
    <d v="2004-05-04T00:00:00"/>
    <x v="1"/>
    <n v="16"/>
    <n v="50.32304691843445"/>
    <x v="0"/>
  </r>
  <r>
    <n v="1781"/>
    <x v="2"/>
    <d v="2005-02-25T00:00:00"/>
    <x v="0"/>
    <n v="37"/>
    <n v="112.6423668975758"/>
    <x v="3"/>
  </r>
  <r>
    <n v="1782"/>
    <x v="8"/>
    <d v="2006-10-01T00:00:00"/>
    <x v="0"/>
    <n v="38"/>
    <n v="115.86694350408794"/>
    <x v="2"/>
  </r>
  <r>
    <n v="1783"/>
    <x v="0"/>
    <d v="2006-09-20T00:00:00"/>
    <x v="2"/>
    <n v="43"/>
    <n v="130.38058732657913"/>
    <x v="3"/>
  </r>
  <r>
    <n v="1784"/>
    <x v="8"/>
    <d v="2006-07-05T00:00:00"/>
    <x v="4"/>
    <n v="-5"/>
    <n v="-12.649706737241745"/>
    <x v="1"/>
  </r>
  <r>
    <n v="1785"/>
    <x v="6"/>
    <d v="2006-11-14T00:00:00"/>
    <x v="3"/>
    <n v="9"/>
    <n v="28.951087924744211"/>
    <x v="2"/>
  </r>
  <r>
    <n v="1786"/>
    <x v="0"/>
    <d v="2006-01-10T00:00:00"/>
    <x v="0"/>
    <n v="-9"/>
    <n v="-24.653364515512152"/>
    <x v="3"/>
  </r>
  <r>
    <n v="1787"/>
    <x v="7"/>
    <d v="2005-08-31T00:00:00"/>
    <x v="2"/>
    <n v="24"/>
    <n v="74.611228324097638"/>
    <x v="3"/>
  </r>
  <r>
    <n v="1788"/>
    <x v="8"/>
    <d v="2004-05-04T00:00:00"/>
    <x v="0"/>
    <n v="30"/>
    <n v="91.370060380593657"/>
    <x v="1"/>
  </r>
  <r>
    <n v="1789"/>
    <x v="5"/>
    <d v="2005-12-08T00:00:00"/>
    <x v="0"/>
    <n v="83"/>
    <n v="250.84508105520038"/>
    <x v="2"/>
  </r>
  <r>
    <n v="1790"/>
    <x v="6"/>
    <d v="2004-03-21T00:00:00"/>
    <x v="0"/>
    <n v="90"/>
    <n v="271.87067701120321"/>
    <x v="3"/>
  </r>
  <r>
    <n v="1791"/>
    <x v="4"/>
    <d v="2005-03-30T00:00:00"/>
    <x v="3"/>
    <n v="82"/>
    <n v="248.22787993853669"/>
    <x v="0"/>
  </r>
  <r>
    <n v="1792"/>
    <x v="1"/>
    <d v="2005-10-25T00:00:00"/>
    <x v="3"/>
    <n v="51"/>
    <n v="155.23329282201692"/>
    <x v="1"/>
  </r>
  <r>
    <n v="1793"/>
    <x v="8"/>
    <d v="2004-01-04T00:00:00"/>
    <x v="0"/>
    <n v="66"/>
    <n v="200.12511432116293"/>
    <x v="2"/>
  </r>
  <r>
    <n v="1794"/>
    <x v="6"/>
    <d v="2005-12-30T00:00:00"/>
    <x v="4"/>
    <n v="29"/>
    <n v="89.016407302334798"/>
    <x v="0"/>
  </r>
  <r>
    <n v="1795"/>
    <x v="2"/>
    <d v="2005-10-03T00:00:00"/>
    <x v="0"/>
    <n v="93"/>
    <n v="280.87456053220649"/>
    <x v="3"/>
  </r>
  <r>
    <n v="1796"/>
    <x v="7"/>
    <d v="2006-10-12T00:00:00"/>
    <x v="3"/>
    <n v="-3"/>
    <n v="-6.5419840395963593"/>
    <x v="1"/>
  </r>
  <r>
    <n v="1797"/>
    <x v="2"/>
    <d v="2006-09-09T00:00:00"/>
    <x v="0"/>
    <n v="-2"/>
    <n v="-3.6355111778913436"/>
    <x v="0"/>
  </r>
  <r>
    <n v="1798"/>
    <x v="5"/>
    <d v="2004-10-05T00:00:00"/>
    <x v="2"/>
    <n v="79"/>
    <n v="239.25077929031391"/>
    <x v="1"/>
  </r>
  <r>
    <n v="1799"/>
    <x v="0"/>
    <d v="2006-12-28T00:00:00"/>
    <x v="0"/>
    <n v="31"/>
    <n v="94.72145499265082"/>
    <x v="3"/>
  </r>
  <r>
    <n v="1800"/>
    <x v="1"/>
    <d v="2005-05-13T00:00:00"/>
    <x v="1"/>
    <n v="46"/>
    <n v="140.21517548818187"/>
    <x v="0"/>
  </r>
  <r>
    <n v="1801"/>
    <x v="6"/>
    <d v="2006-12-28T00:00:00"/>
    <x v="1"/>
    <n v="93"/>
    <n v="281.78560885336435"/>
    <x v="2"/>
  </r>
  <r>
    <n v="1802"/>
    <x v="6"/>
    <d v="2004-03-10T00:00:00"/>
    <x v="0"/>
    <n v="82"/>
    <n v="247.0191820862224"/>
    <x v="1"/>
  </r>
  <r>
    <n v="1803"/>
    <x v="8"/>
    <d v="2006-12-06T00:00:00"/>
    <x v="2"/>
    <n v="87"/>
    <n v="263.71733330819893"/>
    <x v="0"/>
  </r>
  <r>
    <n v="1804"/>
    <x v="2"/>
    <d v="2004-12-10T00:00:00"/>
    <x v="1"/>
    <n v="62"/>
    <n v="187.56768751552113"/>
    <x v="3"/>
  </r>
  <r>
    <n v="1805"/>
    <x v="5"/>
    <d v="2004-12-21T00:00:00"/>
    <x v="1"/>
    <n v="31"/>
    <n v="94.571992971518611"/>
    <x v="0"/>
  </r>
  <r>
    <n v="1806"/>
    <x v="2"/>
    <d v="2004-08-11T00:00:00"/>
    <x v="4"/>
    <n v="43"/>
    <n v="131.33084322347369"/>
    <x v="3"/>
  </r>
  <r>
    <n v="1807"/>
    <x v="5"/>
    <d v="2004-11-07T00:00:00"/>
    <x v="0"/>
    <n v="78"/>
    <n v="236.44038982169729"/>
    <x v="1"/>
  </r>
  <r>
    <n v="1808"/>
    <x v="5"/>
    <d v="2004-07-31T00:00:00"/>
    <x v="0"/>
    <n v="-1"/>
    <n v="-0.44195721388362097"/>
    <x v="0"/>
  </r>
  <r>
    <n v="1809"/>
    <x v="3"/>
    <d v="2004-03-10T00:00:00"/>
    <x v="2"/>
    <n v="5"/>
    <n v="17.469809541800071"/>
    <x v="0"/>
  </r>
  <r>
    <n v="1810"/>
    <x v="5"/>
    <d v="2006-05-22T00:00:00"/>
    <x v="2"/>
    <n v="30"/>
    <n v="92.310265407731023"/>
    <x v="0"/>
  </r>
  <r>
    <n v="1811"/>
    <x v="1"/>
    <d v="2006-04-19T00:00:00"/>
    <x v="3"/>
    <n v="65"/>
    <n v="197.17585549268185"/>
    <x v="2"/>
  </r>
  <r>
    <n v="1812"/>
    <x v="8"/>
    <d v="2006-05-11T00:00:00"/>
    <x v="4"/>
    <n v="14"/>
    <n v="43.795902693300988"/>
    <x v="0"/>
  </r>
  <r>
    <n v="1813"/>
    <x v="8"/>
    <d v="2005-11-27T00:00:00"/>
    <x v="1"/>
    <n v="10"/>
    <n v="31.259562735955448"/>
    <x v="2"/>
  </r>
  <r>
    <n v="1814"/>
    <x v="0"/>
    <d v="2004-03-10T00:00:00"/>
    <x v="2"/>
    <n v="31"/>
    <n v="94.729581013275251"/>
    <x v="1"/>
  </r>
  <r>
    <n v="1815"/>
    <x v="0"/>
    <d v="2006-04-19T00:00:00"/>
    <x v="4"/>
    <n v="25"/>
    <n v="77.103127744417094"/>
    <x v="0"/>
  </r>
  <r>
    <n v="1816"/>
    <x v="0"/>
    <d v="2005-03-19T00:00:00"/>
    <x v="2"/>
    <n v="11"/>
    <n v="35.295636570052608"/>
    <x v="0"/>
  </r>
  <r>
    <n v="1817"/>
    <x v="0"/>
    <d v="2004-01-15T00:00:00"/>
    <x v="1"/>
    <n v="62"/>
    <n v="187.51222635081746"/>
    <x v="2"/>
  </r>
  <r>
    <n v="1818"/>
    <x v="2"/>
    <d v="2004-01-26T00:00:00"/>
    <x v="1"/>
    <n v="4"/>
    <n v="14.186481337467258"/>
    <x v="2"/>
  </r>
  <r>
    <n v="1819"/>
    <x v="3"/>
    <d v="2006-09-09T00:00:00"/>
    <x v="3"/>
    <n v="4"/>
    <n v="13.713847194878378"/>
    <x v="1"/>
  </r>
  <r>
    <n v="1820"/>
    <x v="5"/>
    <d v="2005-11-27T00:00:00"/>
    <x v="0"/>
    <n v="71"/>
    <n v="215.12149125217519"/>
    <x v="3"/>
  </r>
  <r>
    <n v="1821"/>
    <x v="7"/>
    <d v="2006-05-22T00:00:00"/>
    <x v="2"/>
    <n v="67"/>
    <n v="203.18155970987976"/>
    <x v="3"/>
  </r>
  <r>
    <n v="1822"/>
    <x v="6"/>
    <d v="2005-04-21T00:00:00"/>
    <x v="0"/>
    <n v="19"/>
    <n v="59.451848680441209"/>
    <x v="2"/>
  </r>
  <r>
    <n v="1823"/>
    <x v="8"/>
    <d v="2005-06-26T00:00:00"/>
    <x v="0"/>
    <n v="12"/>
    <n v="37.634507305486729"/>
    <x v="0"/>
  </r>
  <r>
    <n v="1824"/>
    <x v="3"/>
    <d v="2006-06-24T00:00:00"/>
    <x v="0"/>
    <n v="50"/>
    <n v="151.66817286074655"/>
    <x v="1"/>
  </r>
  <r>
    <n v="1825"/>
    <x v="0"/>
    <d v="2006-02-12T00:00:00"/>
    <x v="2"/>
    <n v="73"/>
    <n v="221.23251800803121"/>
    <x v="3"/>
  </r>
  <r>
    <n v="1826"/>
    <x v="8"/>
    <d v="2006-08-18T00:00:00"/>
    <x v="2"/>
    <n v="30"/>
    <n v="91.686808812711931"/>
    <x v="3"/>
  </r>
  <r>
    <n v="1827"/>
    <x v="2"/>
    <d v="2004-09-13T00:00:00"/>
    <x v="4"/>
    <n v="19"/>
    <n v="59.101466872333368"/>
    <x v="0"/>
  </r>
  <r>
    <n v="1828"/>
    <x v="7"/>
    <d v="2005-06-04T00:00:00"/>
    <x v="3"/>
    <n v="48"/>
    <n v="145.21747547077908"/>
    <x v="3"/>
  </r>
  <r>
    <n v="1829"/>
    <x v="1"/>
    <d v="2006-05-22T00:00:00"/>
    <x v="4"/>
    <n v="-8"/>
    <n v="-21.602633683096364"/>
    <x v="3"/>
  </r>
  <r>
    <n v="1830"/>
    <x v="8"/>
    <d v="2006-08-18T00:00:00"/>
    <x v="0"/>
    <n v="-8"/>
    <n v="-22.143532028061156"/>
    <x v="0"/>
  </r>
  <r>
    <n v="1831"/>
    <x v="8"/>
    <d v="2005-03-30T00:00:00"/>
    <x v="0"/>
    <n v="28"/>
    <n v="85.906767980675738"/>
    <x v="0"/>
  </r>
  <r>
    <n v="1832"/>
    <x v="3"/>
    <d v="2005-09-22T00:00:00"/>
    <x v="4"/>
    <n v="81"/>
    <n v="245.21311554699477"/>
    <x v="2"/>
  </r>
  <r>
    <n v="1833"/>
    <x v="3"/>
    <d v="2005-01-12T00:00:00"/>
    <x v="0"/>
    <n v="12"/>
    <n v="37.991916032039505"/>
    <x v="3"/>
  </r>
  <r>
    <n v="1834"/>
    <x v="3"/>
    <d v="2006-03-06T00:00:00"/>
    <x v="3"/>
    <n v="54"/>
    <n v="164.03373721658585"/>
    <x v="3"/>
  </r>
  <r>
    <n v="1835"/>
    <x v="3"/>
    <d v="2005-05-24T00:00:00"/>
    <x v="1"/>
    <n v="70"/>
    <n v="212.30572042127932"/>
    <x v="0"/>
  </r>
  <r>
    <n v="1836"/>
    <x v="3"/>
    <d v="2005-08-09T00:00:00"/>
    <x v="3"/>
    <n v="89"/>
    <n v="269.07289128480653"/>
    <x v="3"/>
  </r>
  <r>
    <n v="1837"/>
    <x v="5"/>
    <d v="2005-09-11T00:00:00"/>
    <x v="1"/>
    <n v="10"/>
    <n v="32.271941209300522"/>
    <x v="3"/>
  </r>
  <r>
    <n v="1838"/>
    <x v="0"/>
    <d v="2004-01-04T00:00:00"/>
    <x v="1"/>
    <n v="52"/>
    <n v="158.17581888720281"/>
    <x v="3"/>
  </r>
  <r>
    <n v="1839"/>
    <x v="5"/>
    <d v="2005-07-07T00:00:00"/>
    <x v="4"/>
    <n v="85"/>
    <n v="257.81669173781398"/>
    <x v="2"/>
  </r>
  <r>
    <n v="1840"/>
    <x v="2"/>
    <d v="2005-06-26T00:00:00"/>
    <x v="1"/>
    <n v="31"/>
    <n v="93.983701954495999"/>
    <x v="0"/>
  </r>
  <r>
    <n v="1841"/>
    <x v="6"/>
    <d v="2006-03-17T00:00:00"/>
    <x v="4"/>
    <n v="36"/>
    <n v="110.02990284078979"/>
    <x v="0"/>
  </r>
  <r>
    <n v="1842"/>
    <x v="4"/>
    <d v="2004-04-12T00:00:00"/>
    <x v="0"/>
    <n v="80"/>
    <n v="241.83353913915346"/>
    <x v="1"/>
  </r>
  <r>
    <n v="1843"/>
    <x v="4"/>
    <d v="2005-07-29T00:00:00"/>
    <x v="4"/>
    <n v="27"/>
    <n v="82.455751292325587"/>
    <x v="2"/>
  </r>
  <r>
    <n v="1844"/>
    <x v="5"/>
    <d v="2004-05-04T00:00:00"/>
    <x v="1"/>
    <n v="46"/>
    <n v="140.39446141212673"/>
    <x v="0"/>
  </r>
  <r>
    <n v="1845"/>
    <x v="5"/>
    <d v="2004-07-20T00:00:00"/>
    <x v="1"/>
    <n v="29"/>
    <n v="89.577515368145924"/>
    <x v="0"/>
  </r>
  <r>
    <n v="1846"/>
    <x v="7"/>
    <d v="2006-02-12T00:00:00"/>
    <x v="0"/>
    <n v="55"/>
    <n v="167.03601910379061"/>
    <x v="1"/>
  </r>
  <r>
    <n v="1847"/>
    <x v="6"/>
    <d v="2004-09-13T00:00:00"/>
    <x v="4"/>
    <n v="2"/>
    <n v="7.3173645509019103"/>
    <x v="0"/>
  </r>
  <r>
    <n v="1848"/>
    <x v="0"/>
    <d v="2006-06-24T00:00:00"/>
    <x v="1"/>
    <n v="60"/>
    <n v="182.39254500689876"/>
    <x v="2"/>
  </r>
  <r>
    <n v="1849"/>
    <x v="3"/>
    <d v="2005-07-29T00:00:00"/>
    <x v="0"/>
    <n v="12"/>
    <n v="37.851664258571823"/>
    <x v="3"/>
  </r>
  <r>
    <n v="1850"/>
    <x v="7"/>
    <d v="2004-05-15T00:00:00"/>
    <x v="4"/>
    <n v="52"/>
    <n v="157.88309865957618"/>
    <x v="0"/>
  </r>
  <r>
    <n v="1851"/>
    <x v="2"/>
    <d v="2004-04-23T00:00:00"/>
    <x v="0"/>
    <n v="37"/>
    <n v="113.27390397366521"/>
    <x v="1"/>
  </r>
  <r>
    <n v="1852"/>
    <x v="2"/>
    <d v="2004-09-24T00:00:00"/>
    <x v="2"/>
    <n v="36"/>
    <n v="110.51900033744339"/>
    <x v="0"/>
  </r>
  <r>
    <n v="1853"/>
    <x v="8"/>
    <d v="2004-04-23T00:00:00"/>
    <x v="0"/>
    <n v="87"/>
    <n v="262.81312845180031"/>
    <x v="3"/>
  </r>
  <r>
    <n v="1854"/>
    <x v="5"/>
    <d v="2006-02-01T00:00:00"/>
    <x v="4"/>
    <n v="16"/>
    <n v="50.279574486289519"/>
    <x v="1"/>
  </r>
  <r>
    <n v="1855"/>
    <x v="6"/>
    <d v="2005-07-18T00:00:00"/>
    <x v="0"/>
    <n v="50"/>
    <n v="152.12593577749263"/>
    <x v="3"/>
  </r>
  <r>
    <n v="1856"/>
    <x v="1"/>
    <d v="2006-02-01T00:00:00"/>
    <x v="4"/>
    <n v="53"/>
    <n v="160.62764519173885"/>
    <x v="0"/>
  </r>
  <r>
    <n v="1857"/>
    <x v="8"/>
    <d v="2004-05-26T00:00:00"/>
    <x v="1"/>
    <n v="61"/>
    <n v="184.76093809619837"/>
    <x v="1"/>
  </r>
  <r>
    <n v="1858"/>
    <x v="2"/>
    <d v="2005-07-07T00:00:00"/>
    <x v="1"/>
    <n v="95"/>
    <n v="286.82526300294711"/>
    <x v="0"/>
  </r>
  <r>
    <n v="1859"/>
    <x v="4"/>
    <d v="2004-08-22T00:00:00"/>
    <x v="2"/>
    <n v="-6"/>
    <n v="-16.589394597675682"/>
    <x v="0"/>
  </r>
  <r>
    <n v="1860"/>
    <x v="6"/>
    <d v="2004-08-11T00:00:00"/>
    <x v="0"/>
    <n v="-9"/>
    <n v="-24.760053633714985"/>
    <x v="3"/>
  </r>
  <r>
    <n v="1861"/>
    <x v="5"/>
    <d v="2006-03-17T00:00:00"/>
    <x v="3"/>
    <n v="74"/>
    <n v="223.82751177660725"/>
    <x v="1"/>
  </r>
  <r>
    <n v="1862"/>
    <x v="1"/>
    <d v="2005-12-08T00:00:00"/>
    <x v="0"/>
    <n v="18"/>
    <n v="55.524146786750528"/>
    <x v="0"/>
  </r>
  <r>
    <n v="1863"/>
    <x v="3"/>
    <d v="2006-03-06T00:00:00"/>
    <x v="3"/>
    <n v="73"/>
    <n v="220.67063477706461"/>
    <x v="3"/>
  </r>
  <r>
    <n v="1864"/>
    <x v="6"/>
    <d v="2004-12-10T00:00:00"/>
    <x v="3"/>
    <n v="62"/>
    <n v="188.42678187961798"/>
    <x v="2"/>
  </r>
  <r>
    <n v="1865"/>
    <x v="4"/>
    <d v="2006-07-05T00:00:00"/>
    <x v="1"/>
    <n v="-2"/>
    <n v="-3.5924377444896751"/>
    <x v="0"/>
  </r>
  <r>
    <n v="1866"/>
    <x v="5"/>
    <d v="2006-10-01T00:00:00"/>
    <x v="1"/>
    <n v="-7"/>
    <n v="-18.939063444337712"/>
    <x v="0"/>
  </r>
  <r>
    <n v="1867"/>
    <x v="5"/>
    <d v="2006-08-18T00:00:00"/>
    <x v="4"/>
    <n v="73"/>
    <n v="220.77421208293487"/>
    <x v="3"/>
  </r>
  <r>
    <n v="1868"/>
    <x v="1"/>
    <d v="2005-04-10T00:00:00"/>
    <x v="3"/>
    <n v="24"/>
    <n v="73.585989082063819"/>
    <x v="0"/>
  </r>
  <r>
    <n v="1869"/>
    <x v="0"/>
    <d v="2005-10-03T00:00:00"/>
    <x v="2"/>
    <n v="18"/>
    <n v="56.084454934208836"/>
    <x v="3"/>
  </r>
  <r>
    <n v="1870"/>
    <x v="1"/>
    <d v="2006-11-25T00:00:00"/>
    <x v="4"/>
    <n v="49"/>
    <n v="149.40493820151829"/>
    <x v="2"/>
  </r>
  <r>
    <n v="1871"/>
    <x v="8"/>
    <d v="2005-01-01T00:00:00"/>
    <x v="4"/>
    <n v="21"/>
    <n v="64.683872648507389"/>
    <x v="1"/>
  </r>
  <r>
    <n v="1872"/>
    <x v="4"/>
    <d v="2004-05-15T00:00:00"/>
    <x v="1"/>
    <n v="2"/>
    <n v="7.9938401735771141"/>
    <x v="0"/>
  </r>
  <r>
    <n v="1873"/>
    <x v="8"/>
    <d v="2004-11-18T00:00:00"/>
    <x v="1"/>
    <n v="83"/>
    <n v="250.87539350545751"/>
    <x v="0"/>
  </r>
  <r>
    <n v="1874"/>
    <x v="4"/>
    <d v="2005-01-01T00:00:00"/>
    <x v="0"/>
    <n v="63"/>
    <n v="191.14760672109483"/>
    <x v="0"/>
  </r>
  <r>
    <n v="1875"/>
    <x v="5"/>
    <d v="2004-02-28T00:00:00"/>
    <x v="2"/>
    <n v="54"/>
    <n v="163.86628539020685"/>
    <x v="1"/>
  </r>
  <r>
    <n v="1876"/>
    <x v="4"/>
    <d v="2004-09-13T00:00:00"/>
    <x v="0"/>
    <n v="19"/>
    <n v="59.715260847522721"/>
    <x v="2"/>
  </r>
  <r>
    <n v="1877"/>
    <x v="8"/>
    <d v="2004-09-13T00:00:00"/>
    <x v="3"/>
    <n v="66"/>
    <n v="199.3615971018873"/>
    <x v="3"/>
  </r>
  <r>
    <n v="1878"/>
    <x v="0"/>
    <d v="2004-05-26T00:00:00"/>
    <x v="0"/>
    <n v="60"/>
    <n v="182.28071376505659"/>
    <x v="0"/>
  </r>
  <r>
    <n v="1879"/>
    <x v="2"/>
    <d v="2006-08-18T00:00:00"/>
    <x v="3"/>
    <n v="90"/>
    <n v="271.85208039455387"/>
    <x v="1"/>
  </r>
  <r>
    <n v="1880"/>
    <x v="6"/>
    <d v="2006-12-17T00:00:00"/>
    <x v="0"/>
    <n v="59"/>
    <n v="178.65030230399057"/>
    <x v="0"/>
  </r>
  <r>
    <n v="1881"/>
    <x v="6"/>
    <d v="2005-10-03T00:00:00"/>
    <x v="1"/>
    <n v="0"/>
    <n v="2.6560689007562872"/>
    <x v="3"/>
  </r>
  <r>
    <n v="1882"/>
    <x v="7"/>
    <d v="2004-03-21T00:00:00"/>
    <x v="1"/>
    <n v="72"/>
    <n v="217.90015045055327"/>
    <x v="1"/>
  </r>
  <r>
    <n v="1883"/>
    <x v="0"/>
    <d v="2004-07-20T00:00:00"/>
    <x v="0"/>
    <n v="-6"/>
    <n v="-15.735959690520316"/>
    <x v="3"/>
  </r>
  <r>
    <n v="1884"/>
    <x v="1"/>
    <d v="2006-05-22T00:00:00"/>
    <x v="0"/>
    <n v="89"/>
    <n v="269.39552816852074"/>
    <x v="2"/>
  </r>
  <r>
    <n v="1885"/>
    <x v="2"/>
    <d v="2006-05-11T00:00:00"/>
    <x v="0"/>
    <n v="12"/>
    <n v="37.837711255972984"/>
    <x v="2"/>
  </r>
  <r>
    <n v="1886"/>
    <x v="5"/>
    <d v="2005-08-09T00:00:00"/>
    <x v="4"/>
    <n v="89"/>
    <n v="269.14754282019447"/>
    <x v="0"/>
  </r>
  <r>
    <n v="1887"/>
    <x v="3"/>
    <d v="2005-04-21T00:00:00"/>
    <x v="0"/>
    <n v="61"/>
    <n v="185.3147883164014"/>
    <x v="1"/>
  </r>
  <r>
    <n v="1888"/>
    <x v="4"/>
    <d v="2005-07-18T00:00:00"/>
    <x v="3"/>
    <n v="24"/>
    <n v="73.811151860326262"/>
    <x v="2"/>
  </r>
  <r>
    <n v="1889"/>
    <x v="6"/>
    <d v="2006-11-25T00:00:00"/>
    <x v="3"/>
    <n v="76"/>
    <n v="229.9178081264337"/>
    <x v="2"/>
  </r>
  <r>
    <n v="1890"/>
    <x v="8"/>
    <d v="2005-06-15T00:00:00"/>
    <x v="1"/>
    <n v="16"/>
    <n v="49.753987400329763"/>
    <x v="3"/>
  </r>
  <r>
    <n v="1891"/>
    <x v="0"/>
    <d v="2005-04-10T00:00:00"/>
    <x v="1"/>
    <n v="39"/>
    <n v="119.18883187506967"/>
    <x v="3"/>
  </r>
  <r>
    <n v="1892"/>
    <x v="8"/>
    <d v="2006-02-23T00:00:00"/>
    <x v="4"/>
    <n v="92"/>
    <n v="278.43491112447333"/>
    <x v="2"/>
  </r>
  <r>
    <n v="1893"/>
    <x v="8"/>
    <d v="2004-07-31T00:00:00"/>
    <x v="1"/>
    <n v="20"/>
    <n v="61.923857472779041"/>
    <x v="1"/>
  </r>
  <r>
    <n v="1894"/>
    <x v="4"/>
    <d v="2004-05-15T00:00:00"/>
    <x v="0"/>
    <n v="60"/>
    <n v="181.87034788891373"/>
    <x v="3"/>
  </r>
  <r>
    <n v="1895"/>
    <x v="6"/>
    <d v="2005-11-27T00:00:00"/>
    <x v="3"/>
    <n v="15"/>
    <n v="47.161022333179389"/>
    <x v="3"/>
  </r>
  <r>
    <n v="1896"/>
    <x v="2"/>
    <d v="2005-02-14T00:00:00"/>
    <x v="1"/>
    <n v="36"/>
    <n v="109.84259915039922"/>
    <x v="3"/>
  </r>
  <r>
    <n v="1897"/>
    <x v="4"/>
    <d v="2005-11-05T00:00:00"/>
    <x v="0"/>
    <n v="46"/>
    <n v="140.4088993575123"/>
    <x v="2"/>
  </r>
  <r>
    <n v="1898"/>
    <x v="3"/>
    <d v="2004-01-15T00:00:00"/>
    <x v="2"/>
    <n v="72"/>
    <n v="217.83588624347365"/>
    <x v="2"/>
  </r>
  <r>
    <n v="1899"/>
    <x v="1"/>
    <d v="2006-11-03T00:00:00"/>
    <x v="3"/>
    <n v="28"/>
    <n v="85.656829526557672"/>
    <x v="0"/>
  </r>
  <r>
    <n v="1900"/>
    <x v="5"/>
    <d v="2006-06-13T00:00:00"/>
    <x v="3"/>
    <n v="54"/>
    <n v="164.48733423141368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0">
  <r>
    <x v="0"/>
  </r>
  <r>
    <x v="1"/>
  </r>
  <r>
    <x v="2"/>
  </r>
  <r>
    <x v="2"/>
  </r>
  <r>
    <x v="3"/>
  </r>
  <r>
    <x v="3"/>
  </r>
  <r>
    <x v="2"/>
  </r>
  <r>
    <x v="3"/>
  </r>
  <r>
    <x v="2"/>
  </r>
  <r>
    <x v="4"/>
  </r>
  <r>
    <x v="2"/>
  </r>
  <r>
    <x v="2"/>
  </r>
  <r>
    <x v="3"/>
  </r>
  <r>
    <x v="0"/>
  </r>
  <r>
    <x v="4"/>
  </r>
  <r>
    <x v="4"/>
  </r>
  <r>
    <x v="2"/>
  </r>
  <r>
    <x v="3"/>
  </r>
  <r>
    <x v="2"/>
  </r>
  <r>
    <x v="4"/>
  </r>
  <r>
    <x v="3"/>
  </r>
  <r>
    <x v="4"/>
  </r>
  <r>
    <x v="2"/>
  </r>
  <r>
    <x v="1"/>
  </r>
  <r>
    <x v="0"/>
  </r>
  <r>
    <x v="2"/>
  </r>
  <r>
    <x v="4"/>
  </r>
  <r>
    <x v="4"/>
  </r>
  <r>
    <x v="0"/>
  </r>
  <r>
    <x v="0"/>
  </r>
  <r>
    <x v="3"/>
  </r>
  <r>
    <x v="4"/>
  </r>
  <r>
    <x v="0"/>
  </r>
  <r>
    <x v="2"/>
  </r>
  <r>
    <x v="2"/>
  </r>
  <r>
    <x v="4"/>
  </r>
  <r>
    <x v="3"/>
  </r>
  <r>
    <x v="3"/>
  </r>
  <r>
    <x v="0"/>
  </r>
  <r>
    <x v="2"/>
  </r>
  <r>
    <x v="3"/>
  </r>
  <r>
    <x v="3"/>
  </r>
  <r>
    <x v="3"/>
  </r>
  <r>
    <x v="2"/>
  </r>
  <r>
    <x v="2"/>
  </r>
  <r>
    <x v="2"/>
  </r>
  <r>
    <x v="4"/>
  </r>
  <r>
    <x v="0"/>
  </r>
  <r>
    <x v="2"/>
  </r>
  <r>
    <x v="4"/>
  </r>
  <r>
    <x v="0"/>
  </r>
  <r>
    <x v="0"/>
  </r>
  <r>
    <x v="3"/>
  </r>
  <r>
    <x v="3"/>
  </r>
  <r>
    <x v="2"/>
  </r>
  <r>
    <x v="4"/>
  </r>
  <r>
    <x v="0"/>
  </r>
  <r>
    <x v="2"/>
  </r>
  <r>
    <x v="3"/>
  </r>
  <r>
    <x v="3"/>
  </r>
  <r>
    <x v="1"/>
  </r>
  <r>
    <x v="1"/>
  </r>
  <r>
    <x v="0"/>
  </r>
  <r>
    <x v="4"/>
  </r>
  <r>
    <x v="3"/>
  </r>
  <r>
    <x v="0"/>
  </r>
  <r>
    <x v="4"/>
  </r>
  <r>
    <x v="0"/>
  </r>
  <r>
    <x v="4"/>
  </r>
  <r>
    <x v="4"/>
  </r>
  <r>
    <x v="2"/>
  </r>
  <r>
    <x v="0"/>
  </r>
  <r>
    <x v="0"/>
  </r>
  <r>
    <x v="3"/>
  </r>
  <r>
    <x v="0"/>
  </r>
  <r>
    <x v="3"/>
  </r>
  <r>
    <x v="3"/>
  </r>
  <r>
    <x v="3"/>
  </r>
  <r>
    <x v="0"/>
  </r>
  <r>
    <x v="1"/>
  </r>
  <r>
    <x v="3"/>
  </r>
  <r>
    <x v="4"/>
  </r>
  <r>
    <x v="0"/>
  </r>
  <r>
    <x v="3"/>
  </r>
  <r>
    <x v="0"/>
  </r>
  <r>
    <x v="2"/>
  </r>
  <r>
    <x v="0"/>
  </r>
  <r>
    <x v="2"/>
  </r>
  <r>
    <x v="2"/>
  </r>
  <r>
    <x v="3"/>
  </r>
  <r>
    <x v="0"/>
  </r>
  <r>
    <x v="0"/>
  </r>
  <r>
    <x v="0"/>
  </r>
  <r>
    <x v="1"/>
  </r>
  <r>
    <x v="1"/>
  </r>
  <r>
    <x v="0"/>
  </r>
  <r>
    <x v="2"/>
  </r>
  <r>
    <x v="2"/>
  </r>
  <r>
    <x v="0"/>
  </r>
  <r>
    <x v="4"/>
  </r>
  <r>
    <x v="4"/>
  </r>
  <r>
    <x v="4"/>
  </r>
  <r>
    <x v="4"/>
  </r>
  <r>
    <x v="1"/>
  </r>
  <r>
    <x v="0"/>
  </r>
  <r>
    <x v="3"/>
  </r>
  <r>
    <x v="0"/>
  </r>
  <r>
    <x v="0"/>
  </r>
  <r>
    <x v="3"/>
  </r>
  <r>
    <x v="4"/>
  </r>
  <r>
    <x v="0"/>
  </r>
  <r>
    <x v="4"/>
  </r>
  <r>
    <x v="3"/>
  </r>
  <r>
    <x v="3"/>
  </r>
  <r>
    <x v="2"/>
  </r>
  <r>
    <x v="3"/>
  </r>
  <r>
    <x v="1"/>
  </r>
  <r>
    <x v="2"/>
  </r>
  <r>
    <x v="4"/>
  </r>
  <r>
    <x v="0"/>
  </r>
  <r>
    <x v="4"/>
  </r>
  <r>
    <x v="1"/>
  </r>
  <r>
    <x v="4"/>
  </r>
  <r>
    <x v="2"/>
  </r>
  <r>
    <x v="3"/>
  </r>
  <r>
    <x v="2"/>
  </r>
  <r>
    <x v="0"/>
  </r>
  <r>
    <x v="4"/>
  </r>
  <r>
    <x v="1"/>
  </r>
  <r>
    <x v="3"/>
  </r>
  <r>
    <x v="3"/>
  </r>
  <r>
    <x v="2"/>
  </r>
  <r>
    <x v="0"/>
  </r>
  <r>
    <x v="4"/>
  </r>
  <r>
    <x v="4"/>
  </r>
  <r>
    <x v="3"/>
  </r>
  <r>
    <x v="1"/>
  </r>
  <r>
    <x v="1"/>
  </r>
  <r>
    <x v="1"/>
  </r>
  <r>
    <x v="0"/>
  </r>
  <r>
    <x v="2"/>
  </r>
  <r>
    <x v="1"/>
  </r>
  <r>
    <x v="1"/>
  </r>
  <r>
    <x v="1"/>
  </r>
  <r>
    <x v="4"/>
  </r>
  <r>
    <x v="0"/>
  </r>
  <r>
    <x v="2"/>
  </r>
  <r>
    <x v="0"/>
  </r>
  <r>
    <x v="2"/>
  </r>
  <r>
    <x v="2"/>
  </r>
  <r>
    <x v="2"/>
  </r>
  <r>
    <x v="4"/>
  </r>
  <r>
    <x v="0"/>
  </r>
  <r>
    <x v="3"/>
  </r>
  <r>
    <x v="0"/>
  </r>
  <r>
    <x v="3"/>
  </r>
  <r>
    <x v="2"/>
  </r>
  <r>
    <x v="2"/>
  </r>
  <r>
    <x v="2"/>
  </r>
  <r>
    <x v="2"/>
  </r>
  <r>
    <x v="0"/>
  </r>
  <r>
    <x v="0"/>
  </r>
  <r>
    <x v="0"/>
  </r>
  <r>
    <x v="1"/>
  </r>
  <r>
    <x v="3"/>
  </r>
  <r>
    <x v="3"/>
  </r>
  <r>
    <x v="4"/>
  </r>
  <r>
    <x v="4"/>
  </r>
  <r>
    <x v="0"/>
  </r>
  <r>
    <x v="1"/>
  </r>
  <r>
    <x v="1"/>
  </r>
  <r>
    <x v="2"/>
  </r>
  <r>
    <x v="0"/>
  </r>
  <r>
    <x v="3"/>
  </r>
  <r>
    <x v="4"/>
  </r>
  <r>
    <x v="4"/>
  </r>
  <r>
    <x v="0"/>
  </r>
  <r>
    <x v="4"/>
  </r>
  <r>
    <x v="0"/>
  </r>
  <r>
    <x v="2"/>
  </r>
  <r>
    <x v="4"/>
  </r>
  <r>
    <x v="0"/>
  </r>
  <r>
    <x v="1"/>
  </r>
  <r>
    <x v="3"/>
  </r>
  <r>
    <x v="1"/>
  </r>
  <r>
    <x v="3"/>
  </r>
  <r>
    <x v="4"/>
  </r>
  <r>
    <x v="4"/>
  </r>
  <r>
    <x v="4"/>
  </r>
  <r>
    <x v="3"/>
  </r>
  <r>
    <x v="3"/>
  </r>
  <r>
    <x v="0"/>
  </r>
  <r>
    <x v="2"/>
  </r>
  <r>
    <x v="2"/>
  </r>
  <r>
    <x v="0"/>
  </r>
  <r>
    <x v="1"/>
  </r>
  <r>
    <x v="4"/>
  </r>
  <r>
    <x v="3"/>
  </r>
  <r>
    <x v="3"/>
  </r>
  <r>
    <x v="2"/>
  </r>
  <r>
    <x v="2"/>
  </r>
  <r>
    <x v="0"/>
  </r>
  <r>
    <x v="2"/>
  </r>
  <r>
    <x v="3"/>
  </r>
  <r>
    <x v="1"/>
  </r>
  <r>
    <x v="4"/>
  </r>
  <r>
    <x v="0"/>
  </r>
  <r>
    <x v="4"/>
  </r>
  <r>
    <x v="0"/>
  </r>
  <r>
    <x v="4"/>
  </r>
  <r>
    <x v="0"/>
  </r>
  <r>
    <x v="4"/>
  </r>
  <r>
    <x v="0"/>
  </r>
  <r>
    <x v="3"/>
  </r>
  <r>
    <x v="1"/>
  </r>
  <r>
    <x v="2"/>
  </r>
  <r>
    <x v="3"/>
  </r>
  <r>
    <x v="0"/>
  </r>
  <r>
    <x v="2"/>
  </r>
  <r>
    <x v="2"/>
  </r>
  <r>
    <x v="2"/>
  </r>
  <r>
    <x v="2"/>
  </r>
  <r>
    <x v="4"/>
  </r>
  <r>
    <x v="4"/>
  </r>
  <r>
    <x v="0"/>
  </r>
  <r>
    <x v="2"/>
  </r>
  <r>
    <x v="3"/>
  </r>
  <r>
    <x v="2"/>
  </r>
  <r>
    <x v="2"/>
  </r>
  <r>
    <x v="2"/>
  </r>
  <r>
    <x v="4"/>
  </r>
  <r>
    <x v="3"/>
  </r>
  <r>
    <x v="1"/>
  </r>
  <r>
    <x v="3"/>
  </r>
  <r>
    <x v="4"/>
  </r>
  <r>
    <x v="4"/>
  </r>
  <r>
    <x v="4"/>
  </r>
  <r>
    <x v="4"/>
  </r>
  <r>
    <x v="4"/>
  </r>
  <r>
    <x v="4"/>
  </r>
  <r>
    <x v="4"/>
  </r>
  <r>
    <x v="3"/>
  </r>
  <r>
    <x v="0"/>
  </r>
  <r>
    <x v="3"/>
  </r>
  <r>
    <x v="0"/>
  </r>
  <r>
    <x v="3"/>
  </r>
  <r>
    <x v="4"/>
  </r>
  <r>
    <x v="3"/>
  </r>
  <r>
    <x v="1"/>
  </r>
  <r>
    <x v="3"/>
  </r>
  <r>
    <x v="4"/>
  </r>
  <r>
    <x v="0"/>
  </r>
  <r>
    <x v="2"/>
  </r>
  <r>
    <x v="0"/>
  </r>
  <r>
    <x v="3"/>
  </r>
  <r>
    <x v="2"/>
  </r>
  <r>
    <x v="0"/>
  </r>
  <r>
    <x v="3"/>
  </r>
  <r>
    <x v="0"/>
  </r>
  <r>
    <x v="0"/>
  </r>
  <r>
    <x v="3"/>
  </r>
  <r>
    <x v="2"/>
  </r>
  <r>
    <x v="1"/>
  </r>
  <r>
    <x v="0"/>
  </r>
  <r>
    <x v="3"/>
  </r>
  <r>
    <x v="4"/>
  </r>
  <r>
    <x v="3"/>
  </r>
  <r>
    <x v="3"/>
  </r>
  <r>
    <x v="0"/>
  </r>
  <r>
    <x v="2"/>
  </r>
  <r>
    <x v="3"/>
  </r>
  <r>
    <x v="3"/>
  </r>
  <r>
    <x v="1"/>
  </r>
  <r>
    <x v="2"/>
  </r>
  <r>
    <x v="4"/>
  </r>
  <r>
    <x v="0"/>
  </r>
  <r>
    <x v="4"/>
  </r>
  <r>
    <x v="1"/>
  </r>
  <r>
    <x v="1"/>
  </r>
  <r>
    <x v="0"/>
  </r>
  <r>
    <x v="4"/>
  </r>
  <r>
    <x v="4"/>
  </r>
  <r>
    <x v="4"/>
  </r>
  <r>
    <x v="3"/>
  </r>
  <r>
    <x v="4"/>
  </r>
  <r>
    <x v="0"/>
  </r>
  <r>
    <x v="0"/>
  </r>
  <r>
    <x v="1"/>
  </r>
  <r>
    <x v="2"/>
  </r>
  <r>
    <x v="3"/>
  </r>
  <r>
    <x v="2"/>
  </r>
  <r>
    <x v="0"/>
  </r>
  <r>
    <x v="0"/>
  </r>
  <r>
    <x v="4"/>
  </r>
  <r>
    <x v="1"/>
  </r>
  <r>
    <x v="0"/>
  </r>
  <r>
    <x v="0"/>
  </r>
  <r>
    <x v="2"/>
  </r>
  <r>
    <x v="3"/>
  </r>
  <r>
    <x v="2"/>
  </r>
  <r>
    <x v="2"/>
  </r>
  <r>
    <x v="3"/>
  </r>
  <r>
    <x v="3"/>
  </r>
  <r>
    <x v="0"/>
  </r>
  <r>
    <x v="0"/>
  </r>
  <r>
    <x v="4"/>
  </r>
  <r>
    <x v="3"/>
  </r>
  <r>
    <x v="3"/>
  </r>
  <r>
    <x v="0"/>
  </r>
  <r>
    <x v="3"/>
  </r>
  <r>
    <x v="2"/>
  </r>
  <r>
    <x v="4"/>
  </r>
  <r>
    <x v="1"/>
  </r>
  <r>
    <x v="0"/>
  </r>
  <r>
    <x v="3"/>
  </r>
  <r>
    <x v="1"/>
  </r>
  <r>
    <x v="2"/>
  </r>
  <r>
    <x v="0"/>
  </r>
  <r>
    <x v="3"/>
  </r>
  <r>
    <x v="3"/>
  </r>
  <r>
    <x v="3"/>
  </r>
  <r>
    <x v="0"/>
  </r>
  <r>
    <x v="2"/>
  </r>
  <r>
    <x v="0"/>
  </r>
  <r>
    <x v="0"/>
  </r>
  <r>
    <x v="0"/>
  </r>
  <r>
    <x v="0"/>
  </r>
  <r>
    <x v="0"/>
  </r>
  <r>
    <x v="4"/>
  </r>
  <r>
    <x v="4"/>
  </r>
  <r>
    <x v="3"/>
  </r>
  <r>
    <x v="2"/>
  </r>
  <r>
    <x v="1"/>
  </r>
  <r>
    <x v="4"/>
  </r>
  <r>
    <x v="4"/>
  </r>
  <r>
    <x v="2"/>
  </r>
  <r>
    <x v="1"/>
  </r>
  <r>
    <x v="4"/>
  </r>
  <r>
    <x v="0"/>
  </r>
  <r>
    <x v="1"/>
  </r>
  <r>
    <x v="1"/>
  </r>
  <r>
    <x v="3"/>
  </r>
  <r>
    <x v="3"/>
  </r>
  <r>
    <x v="2"/>
  </r>
  <r>
    <x v="2"/>
  </r>
  <r>
    <x v="3"/>
  </r>
  <r>
    <x v="2"/>
  </r>
  <r>
    <x v="3"/>
  </r>
  <r>
    <x v="1"/>
  </r>
  <r>
    <x v="4"/>
  </r>
  <r>
    <x v="0"/>
  </r>
  <r>
    <x v="2"/>
  </r>
  <r>
    <x v="4"/>
  </r>
  <r>
    <x v="2"/>
  </r>
  <r>
    <x v="2"/>
  </r>
  <r>
    <x v="2"/>
  </r>
  <r>
    <x v="0"/>
  </r>
  <r>
    <x v="0"/>
  </r>
  <r>
    <x v="0"/>
  </r>
  <r>
    <x v="2"/>
  </r>
  <r>
    <x v="3"/>
  </r>
  <r>
    <x v="4"/>
  </r>
  <r>
    <x v="3"/>
  </r>
  <r>
    <x v="4"/>
  </r>
  <r>
    <x v="2"/>
  </r>
  <r>
    <x v="2"/>
  </r>
  <r>
    <x v="2"/>
  </r>
  <r>
    <x v="3"/>
  </r>
  <r>
    <x v="0"/>
  </r>
  <r>
    <x v="2"/>
  </r>
  <r>
    <x v="4"/>
  </r>
  <r>
    <x v="1"/>
  </r>
  <r>
    <x v="3"/>
  </r>
  <r>
    <x v="0"/>
  </r>
  <r>
    <x v="0"/>
  </r>
  <r>
    <x v="0"/>
  </r>
  <r>
    <x v="0"/>
  </r>
  <r>
    <x v="2"/>
  </r>
  <r>
    <x v="2"/>
  </r>
  <r>
    <x v="4"/>
  </r>
  <r>
    <x v="2"/>
  </r>
  <r>
    <x v="0"/>
  </r>
  <r>
    <x v="2"/>
  </r>
  <r>
    <x v="2"/>
  </r>
  <r>
    <x v="1"/>
  </r>
  <r>
    <x v="3"/>
  </r>
  <r>
    <x v="2"/>
  </r>
  <r>
    <x v="4"/>
  </r>
  <r>
    <x v="3"/>
  </r>
  <r>
    <x v="0"/>
  </r>
  <r>
    <x v="3"/>
  </r>
  <r>
    <x v="2"/>
  </r>
  <r>
    <x v="1"/>
  </r>
  <r>
    <x v="2"/>
  </r>
  <r>
    <x v="0"/>
  </r>
  <r>
    <x v="4"/>
  </r>
  <r>
    <x v="2"/>
  </r>
  <r>
    <x v="2"/>
  </r>
  <r>
    <x v="4"/>
  </r>
  <r>
    <x v="0"/>
  </r>
  <r>
    <x v="1"/>
  </r>
  <r>
    <x v="4"/>
  </r>
  <r>
    <x v="0"/>
  </r>
  <r>
    <x v="0"/>
  </r>
  <r>
    <x v="3"/>
  </r>
  <r>
    <x v="3"/>
  </r>
  <r>
    <x v="0"/>
  </r>
  <r>
    <x v="0"/>
  </r>
  <r>
    <x v="4"/>
  </r>
  <r>
    <x v="0"/>
  </r>
  <r>
    <x v="0"/>
  </r>
  <r>
    <x v="3"/>
  </r>
  <r>
    <x v="0"/>
  </r>
  <r>
    <x v="1"/>
  </r>
  <r>
    <x v="0"/>
  </r>
  <r>
    <x v="3"/>
  </r>
  <r>
    <x v="4"/>
  </r>
  <r>
    <x v="3"/>
  </r>
  <r>
    <x v="1"/>
  </r>
  <r>
    <x v="0"/>
  </r>
  <r>
    <x v="0"/>
  </r>
  <r>
    <x v="3"/>
  </r>
  <r>
    <x v="3"/>
  </r>
  <r>
    <x v="2"/>
  </r>
  <r>
    <x v="0"/>
  </r>
  <r>
    <x v="3"/>
  </r>
  <r>
    <x v="3"/>
  </r>
  <r>
    <x v="0"/>
  </r>
  <r>
    <x v="3"/>
  </r>
  <r>
    <x v="1"/>
  </r>
  <r>
    <x v="4"/>
  </r>
  <r>
    <x v="0"/>
  </r>
  <r>
    <x v="4"/>
  </r>
  <r>
    <x v="3"/>
  </r>
  <r>
    <x v="1"/>
  </r>
  <r>
    <x v="2"/>
  </r>
  <r>
    <x v="0"/>
  </r>
  <r>
    <x v="4"/>
  </r>
  <r>
    <x v="3"/>
  </r>
  <r>
    <x v="3"/>
  </r>
  <r>
    <x v="3"/>
  </r>
  <r>
    <x v="2"/>
  </r>
  <r>
    <x v="1"/>
  </r>
  <r>
    <x v="2"/>
  </r>
  <r>
    <x v="2"/>
  </r>
  <r>
    <x v="4"/>
  </r>
  <r>
    <x v="4"/>
  </r>
  <r>
    <x v="0"/>
  </r>
  <r>
    <x v="4"/>
  </r>
  <r>
    <x v="4"/>
  </r>
  <r>
    <x v="4"/>
  </r>
  <r>
    <x v="2"/>
  </r>
  <r>
    <x v="2"/>
  </r>
  <r>
    <x v="4"/>
  </r>
  <r>
    <x v="3"/>
  </r>
  <r>
    <x v="2"/>
  </r>
  <r>
    <x v="2"/>
  </r>
  <r>
    <x v="4"/>
  </r>
  <r>
    <x v="2"/>
  </r>
  <r>
    <x v="0"/>
  </r>
  <r>
    <x v="2"/>
  </r>
  <r>
    <x v="2"/>
  </r>
  <r>
    <x v="0"/>
  </r>
  <r>
    <x v="2"/>
  </r>
  <r>
    <x v="0"/>
  </r>
  <r>
    <x v="0"/>
  </r>
  <r>
    <x v="3"/>
  </r>
  <r>
    <x v="2"/>
  </r>
  <r>
    <x v="0"/>
  </r>
  <r>
    <x v="1"/>
  </r>
  <r>
    <x v="3"/>
  </r>
  <r>
    <x v="2"/>
  </r>
  <r>
    <x v="4"/>
  </r>
  <r>
    <x v="2"/>
  </r>
  <r>
    <x v="0"/>
  </r>
  <r>
    <x v="4"/>
  </r>
  <r>
    <x v="3"/>
  </r>
  <r>
    <x v="3"/>
  </r>
  <r>
    <x v="3"/>
  </r>
  <r>
    <x v="3"/>
  </r>
  <r>
    <x v="0"/>
  </r>
  <r>
    <x v="1"/>
  </r>
  <r>
    <x v="3"/>
  </r>
  <r>
    <x v="4"/>
  </r>
  <r>
    <x v="4"/>
  </r>
  <r>
    <x v="1"/>
  </r>
  <r>
    <x v="4"/>
  </r>
  <r>
    <x v="3"/>
  </r>
  <r>
    <x v="0"/>
  </r>
  <r>
    <x v="4"/>
  </r>
  <r>
    <x v="2"/>
  </r>
  <r>
    <x v="4"/>
  </r>
  <r>
    <x v="3"/>
  </r>
  <r>
    <x v="4"/>
  </r>
  <r>
    <x v="3"/>
  </r>
  <r>
    <x v="1"/>
  </r>
  <r>
    <x v="4"/>
  </r>
  <r>
    <x v="0"/>
  </r>
  <r>
    <x v="1"/>
  </r>
  <r>
    <x v="3"/>
  </r>
  <r>
    <x v="3"/>
  </r>
  <r>
    <x v="0"/>
  </r>
  <r>
    <x v="1"/>
  </r>
  <r>
    <x v="0"/>
  </r>
  <r>
    <x v="1"/>
  </r>
  <r>
    <x v="2"/>
  </r>
  <r>
    <x v="4"/>
  </r>
  <r>
    <x v="4"/>
  </r>
  <r>
    <x v="3"/>
  </r>
  <r>
    <x v="0"/>
  </r>
  <r>
    <x v="0"/>
  </r>
  <r>
    <x v="0"/>
  </r>
  <r>
    <x v="3"/>
  </r>
  <r>
    <x v="3"/>
  </r>
  <r>
    <x v="0"/>
  </r>
  <r>
    <x v="2"/>
  </r>
  <r>
    <x v="0"/>
  </r>
  <r>
    <x v="4"/>
  </r>
  <r>
    <x v="4"/>
  </r>
  <r>
    <x v="4"/>
  </r>
  <r>
    <x v="3"/>
  </r>
  <r>
    <x v="3"/>
  </r>
  <r>
    <x v="2"/>
  </r>
  <r>
    <x v="3"/>
  </r>
  <r>
    <x v="2"/>
  </r>
  <r>
    <x v="0"/>
  </r>
  <r>
    <x v="1"/>
  </r>
  <r>
    <x v="3"/>
  </r>
  <r>
    <x v="1"/>
  </r>
  <r>
    <x v="2"/>
  </r>
  <r>
    <x v="1"/>
  </r>
  <r>
    <x v="0"/>
  </r>
  <r>
    <x v="4"/>
  </r>
  <r>
    <x v="0"/>
  </r>
  <r>
    <x v="3"/>
  </r>
  <r>
    <x v="0"/>
  </r>
  <r>
    <x v="1"/>
  </r>
  <r>
    <x v="3"/>
  </r>
  <r>
    <x v="3"/>
  </r>
  <r>
    <x v="1"/>
  </r>
  <r>
    <x v="0"/>
  </r>
  <r>
    <x v="1"/>
  </r>
  <r>
    <x v="4"/>
  </r>
  <r>
    <x v="3"/>
  </r>
  <r>
    <x v="4"/>
  </r>
  <r>
    <x v="3"/>
  </r>
  <r>
    <x v="0"/>
  </r>
  <r>
    <x v="3"/>
  </r>
  <r>
    <x v="3"/>
  </r>
  <r>
    <x v="0"/>
  </r>
  <r>
    <x v="4"/>
  </r>
  <r>
    <x v="3"/>
  </r>
  <r>
    <x v="4"/>
  </r>
  <r>
    <x v="0"/>
  </r>
  <r>
    <x v="1"/>
  </r>
  <r>
    <x v="4"/>
  </r>
  <r>
    <x v="3"/>
  </r>
  <r>
    <x v="3"/>
  </r>
  <r>
    <x v="2"/>
  </r>
  <r>
    <x v="0"/>
  </r>
  <r>
    <x v="1"/>
  </r>
  <r>
    <x v="2"/>
  </r>
  <r>
    <x v="2"/>
  </r>
  <r>
    <x v="0"/>
  </r>
  <r>
    <x v="4"/>
  </r>
  <r>
    <x v="1"/>
  </r>
  <r>
    <x v="4"/>
  </r>
  <r>
    <x v="2"/>
  </r>
  <r>
    <x v="3"/>
  </r>
  <r>
    <x v="4"/>
  </r>
  <r>
    <x v="2"/>
  </r>
  <r>
    <x v="4"/>
  </r>
  <r>
    <x v="2"/>
  </r>
  <r>
    <x v="4"/>
  </r>
  <r>
    <x v="1"/>
  </r>
  <r>
    <x v="2"/>
  </r>
  <r>
    <x v="3"/>
  </r>
  <r>
    <x v="0"/>
  </r>
  <r>
    <x v="0"/>
  </r>
  <r>
    <x v="2"/>
  </r>
  <r>
    <x v="1"/>
  </r>
  <r>
    <x v="3"/>
  </r>
  <r>
    <x v="0"/>
  </r>
  <r>
    <x v="0"/>
  </r>
  <r>
    <x v="2"/>
  </r>
  <r>
    <x v="2"/>
  </r>
  <r>
    <x v="3"/>
  </r>
  <r>
    <x v="3"/>
  </r>
  <r>
    <x v="0"/>
  </r>
  <r>
    <x v="3"/>
  </r>
  <r>
    <x v="2"/>
  </r>
  <r>
    <x v="1"/>
  </r>
  <r>
    <x v="4"/>
  </r>
  <r>
    <x v="1"/>
  </r>
  <r>
    <x v="4"/>
  </r>
  <r>
    <x v="0"/>
  </r>
  <r>
    <x v="4"/>
  </r>
  <r>
    <x v="0"/>
  </r>
  <r>
    <x v="4"/>
  </r>
  <r>
    <x v="3"/>
  </r>
  <r>
    <x v="2"/>
  </r>
  <r>
    <x v="4"/>
  </r>
  <r>
    <x v="4"/>
  </r>
  <r>
    <x v="4"/>
  </r>
  <r>
    <x v="0"/>
  </r>
  <r>
    <x v="4"/>
  </r>
  <r>
    <x v="3"/>
  </r>
  <r>
    <x v="2"/>
  </r>
  <r>
    <x v="2"/>
  </r>
  <r>
    <x v="4"/>
  </r>
  <r>
    <x v="0"/>
  </r>
  <r>
    <x v="3"/>
  </r>
  <r>
    <x v="4"/>
  </r>
  <r>
    <x v="4"/>
  </r>
  <r>
    <x v="3"/>
  </r>
  <r>
    <x v="0"/>
  </r>
  <r>
    <x v="0"/>
  </r>
  <r>
    <x v="3"/>
  </r>
  <r>
    <x v="4"/>
  </r>
  <r>
    <x v="0"/>
  </r>
  <r>
    <x v="3"/>
  </r>
  <r>
    <x v="0"/>
  </r>
  <r>
    <x v="3"/>
  </r>
  <r>
    <x v="3"/>
  </r>
  <r>
    <x v="4"/>
  </r>
  <r>
    <x v="0"/>
  </r>
  <r>
    <x v="3"/>
  </r>
  <r>
    <x v="4"/>
  </r>
  <r>
    <x v="4"/>
  </r>
  <r>
    <x v="2"/>
  </r>
  <r>
    <x v="2"/>
  </r>
  <r>
    <x v="4"/>
  </r>
  <r>
    <x v="1"/>
  </r>
  <r>
    <x v="3"/>
  </r>
  <r>
    <x v="3"/>
  </r>
  <r>
    <x v="3"/>
  </r>
  <r>
    <x v="3"/>
  </r>
  <r>
    <x v="0"/>
  </r>
  <r>
    <x v="0"/>
  </r>
  <r>
    <x v="4"/>
  </r>
  <r>
    <x v="0"/>
  </r>
  <r>
    <x v="3"/>
  </r>
  <r>
    <x v="4"/>
  </r>
  <r>
    <x v="3"/>
  </r>
  <r>
    <x v="2"/>
  </r>
  <r>
    <x v="0"/>
  </r>
  <r>
    <x v="0"/>
  </r>
  <r>
    <x v="4"/>
  </r>
  <r>
    <x v="3"/>
  </r>
  <r>
    <x v="3"/>
  </r>
  <r>
    <x v="4"/>
  </r>
  <r>
    <x v="1"/>
  </r>
  <r>
    <x v="3"/>
  </r>
  <r>
    <x v="2"/>
  </r>
  <r>
    <x v="0"/>
  </r>
  <r>
    <x v="3"/>
  </r>
  <r>
    <x v="0"/>
  </r>
  <r>
    <x v="3"/>
  </r>
  <r>
    <x v="4"/>
  </r>
  <r>
    <x v="2"/>
  </r>
  <r>
    <x v="2"/>
  </r>
  <r>
    <x v="4"/>
  </r>
  <r>
    <x v="3"/>
  </r>
  <r>
    <x v="0"/>
  </r>
  <r>
    <x v="2"/>
  </r>
  <r>
    <x v="1"/>
  </r>
  <r>
    <x v="3"/>
  </r>
  <r>
    <x v="0"/>
  </r>
  <r>
    <x v="0"/>
  </r>
  <r>
    <x v="2"/>
  </r>
  <r>
    <x v="1"/>
  </r>
  <r>
    <x v="0"/>
  </r>
  <r>
    <x v="4"/>
  </r>
  <r>
    <x v="2"/>
  </r>
  <r>
    <x v="3"/>
  </r>
  <r>
    <x v="0"/>
  </r>
  <r>
    <x v="2"/>
  </r>
  <r>
    <x v="1"/>
  </r>
  <r>
    <x v="4"/>
  </r>
  <r>
    <x v="4"/>
  </r>
  <r>
    <x v="2"/>
  </r>
  <r>
    <x v="0"/>
  </r>
  <r>
    <x v="0"/>
  </r>
  <r>
    <x v="2"/>
  </r>
  <r>
    <x v="1"/>
  </r>
  <r>
    <x v="4"/>
  </r>
  <r>
    <x v="1"/>
  </r>
  <r>
    <x v="3"/>
  </r>
  <r>
    <x v="3"/>
  </r>
  <r>
    <x v="2"/>
  </r>
  <r>
    <x v="2"/>
  </r>
  <r>
    <x v="0"/>
  </r>
  <r>
    <x v="1"/>
  </r>
  <r>
    <x v="3"/>
  </r>
  <r>
    <x v="2"/>
  </r>
  <r>
    <x v="2"/>
  </r>
  <r>
    <x v="0"/>
  </r>
  <r>
    <x v="1"/>
  </r>
  <r>
    <x v="2"/>
  </r>
  <r>
    <x v="4"/>
  </r>
  <r>
    <x v="1"/>
  </r>
  <r>
    <x v="0"/>
  </r>
  <r>
    <x v="4"/>
  </r>
  <r>
    <x v="0"/>
  </r>
  <r>
    <x v="2"/>
  </r>
  <r>
    <x v="3"/>
  </r>
  <r>
    <x v="2"/>
  </r>
  <r>
    <x v="1"/>
  </r>
  <r>
    <x v="0"/>
  </r>
  <r>
    <x v="4"/>
  </r>
  <r>
    <x v="2"/>
  </r>
  <r>
    <x v="3"/>
  </r>
  <r>
    <x v="2"/>
  </r>
  <r>
    <x v="2"/>
  </r>
  <r>
    <x v="4"/>
  </r>
  <r>
    <x v="1"/>
  </r>
  <r>
    <x v="0"/>
  </r>
  <r>
    <x v="2"/>
  </r>
  <r>
    <x v="0"/>
  </r>
  <r>
    <x v="2"/>
  </r>
  <r>
    <x v="4"/>
  </r>
  <r>
    <x v="4"/>
  </r>
  <r>
    <x v="1"/>
  </r>
  <r>
    <x v="0"/>
  </r>
  <r>
    <x v="3"/>
  </r>
  <r>
    <x v="4"/>
  </r>
  <r>
    <x v="4"/>
  </r>
  <r>
    <x v="0"/>
  </r>
  <r>
    <x v="2"/>
  </r>
  <r>
    <x v="3"/>
  </r>
  <r>
    <x v="3"/>
  </r>
  <r>
    <x v="0"/>
  </r>
  <r>
    <x v="0"/>
  </r>
  <r>
    <x v="2"/>
  </r>
  <r>
    <x v="2"/>
  </r>
  <r>
    <x v="0"/>
  </r>
  <r>
    <x v="0"/>
  </r>
  <r>
    <x v="3"/>
  </r>
  <r>
    <x v="0"/>
  </r>
  <r>
    <x v="3"/>
  </r>
  <r>
    <x v="2"/>
  </r>
  <r>
    <x v="2"/>
  </r>
  <r>
    <x v="3"/>
  </r>
  <r>
    <x v="3"/>
  </r>
  <r>
    <x v="4"/>
  </r>
  <r>
    <x v="2"/>
  </r>
  <r>
    <x v="3"/>
  </r>
  <r>
    <x v="3"/>
  </r>
  <r>
    <x v="4"/>
  </r>
  <r>
    <x v="1"/>
  </r>
  <r>
    <x v="3"/>
  </r>
  <r>
    <x v="4"/>
  </r>
  <r>
    <x v="4"/>
  </r>
  <r>
    <x v="1"/>
  </r>
  <r>
    <x v="2"/>
  </r>
  <r>
    <x v="2"/>
  </r>
  <r>
    <x v="0"/>
  </r>
  <r>
    <x v="4"/>
  </r>
  <r>
    <x v="1"/>
  </r>
  <r>
    <x v="1"/>
  </r>
  <r>
    <x v="4"/>
  </r>
  <r>
    <x v="4"/>
  </r>
  <r>
    <x v="3"/>
  </r>
  <r>
    <x v="3"/>
  </r>
  <r>
    <x v="0"/>
  </r>
  <r>
    <x v="1"/>
  </r>
  <r>
    <x v="0"/>
  </r>
  <r>
    <x v="4"/>
  </r>
  <r>
    <x v="0"/>
  </r>
  <r>
    <x v="4"/>
  </r>
  <r>
    <x v="4"/>
  </r>
  <r>
    <x v="4"/>
  </r>
  <r>
    <x v="2"/>
  </r>
  <r>
    <x v="0"/>
  </r>
  <r>
    <x v="3"/>
  </r>
  <r>
    <x v="3"/>
  </r>
  <r>
    <x v="0"/>
  </r>
  <r>
    <x v="2"/>
  </r>
  <r>
    <x v="2"/>
  </r>
  <r>
    <x v="3"/>
  </r>
  <r>
    <x v="1"/>
  </r>
  <r>
    <x v="0"/>
  </r>
  <r>
    <x v="4"/>
  </r>
  <r>
    <x v="2"/>
  </r>
  <r>
    <x v="3"/>
  </r>
  <r>
    <x v="2"/>
  </r>
  <r>
    <x v="4"/>
  </r>
  <r>
    <x v="4"/>
  </r>
  <r>
    <x v="4"/>
  </r>
  <r>
    <x v="3"/>
  </r>
  <r>
    <x v="2"/>
  </r>
  <r>
    <x v="4"/>
  </r>
  <r>
    <x v="0"/>
  </r>
  <r>
    <x v="4"/>
  </r>
  <r>
    <x v="2"/>
  </r>
  <r>
    <x v="3"/>
  </r>
  <r>
    <x v="3"/>
  </r>
  <r>
    <x v="2"/>
  </r>
  <r>
    <x v="2"/>
  </r>
  <r>
    <x v="4"/>
  </r>
  <r>
    <x v="0"/>
  </r>
  <r>
    <x v="3"/>
  </r>
  <r>
    <x v="1"/>
  </r>
  <r>
    <x v="0"/>
  </r>
  <r>
    <x v="2"/>
  </r>
  <r>
    <x v="1"/>
  </r>
  <r>
    <x v="0"/>
  </r>
  <r>
    <x v="3"/>
  </r>
  <r>
    <x v="4"/>
  </r>
  <r>
    <x v="4"/>
  </r>
  <r>
    <x v="0"/>
  </r>
  <r>
    <x v="4"/>
  </r>
  <r>
    <x v="3"/>
  </r>
  <r>
    <x v="0"/>
  </r>
  <r>
    <x v="3"/>
  </r>
  <r>
    <x v="0"/>
  </r>
  <r>
    <x v="3"/>
  </r>
  <r>
    <x v="0"/>
  </r>
  <r>
    <x v="4"/>
  </r>
  <r>
    <x v="4"/>
  </r>
  <r>
    <x v="2"/>
  </r>
  <r>
    <x v="3"/>
  </r>
  <r>
    <x v="3"/>
  </r>
  <r>
    <x v="0"/>
  </r>
  <r>
    <x v="0"/>
  </r>
  <r>
    <x v="0"/>
  </r>
  <r>
    <x v="3"/>
  </r>
  <r>
    <x v="0"/>
  </r>
  <r>
    <x v="2"/>
  </r>
  <r>
    <x v="3"/>
  </r>
  <r>
    <x v="0"/>
  </r>
  <r>
    <x v="4"/>
  </r>
  <r>
    <x v="0"/>
  </r>
  <r>
    <x v="2"/>
  </r>
  <r>
    <x v="3"/>
  </r>
  <r>
    <x v="0"/>
  </r>
  <r>
    <x v="2"/>
  </r>
  <r>
    <x v="3"/>
  </r>
  <r>
    <x v="1"/>
  </r>
  <r>
    <x v="0"/>
  </r>
  <r>
    <x v="0"/>
  </r>
  <r>
    <x v="1"/>
  </r>
  <r>
    <x v="4"/>
  </r>
  <r>
    <x v="4"/>
  </r>
  <r>
    <x v="3"/>
  </r>
  <r>
    <x v="0"/>
  </r>
  <r>
    <x v="2"/>
  </r>
  <r>
    <x v="4"/>
  </r>
  <r>
    <x v="2"/>
  </r>
  <r>
    <x v="2"/>
  </r>
  <r>
    <x v="3"/>
  </r>
  <r>
    <x v="4"/>
  </r>
  <r>
    <x v="3"/>
  </r>
  <r>
    <x v="4"/>
  </r>
  <r>
    <x v="0"/>
  </r>
  <r>
    <x v="1"/>
  </r>
  <r>
    <x v="4"/>
  </r>
  <r>
    <x v="0"/>
  </r>
  <r>
    <x v="3"/>
  </r>
  <r>
    <x v="0"/>
  </r>
  <r>
    <x v="4"/>
  </r>
  <r>
    <x v="3"/>
  </r>
  <r>
    <x v="3"/>
  </r>
  <r>
    <x v="1"/>
  </r>
  <r>
    <x v="2"/>
  </r>
  <r>
    <x v="4"/>
  </r>
  <r>
    <x v="4"/>
  </r>
  <r>
    <x v="2"/>
  </r>
  <r>
    <x v="1"/>
  </r>
  <r>
    <x v="0"/>
  </r>
  <r>
    <x v="4"/>
  </r>
  <r>
    <x v="4"/>
  </r>
  <r>
    <x v="1"/>
  </r>
  <r>
    <x v="4"/>
  </r>
  <r>
    <x v="0"/>
  </r>
  <r>
    <x v="3"/>
  </r>
  <r>
    <x v="0"/>
  </r>
  <r>
    <x v="4"/>
  </r>
  <r>
    <x v="3"/>
  </r>
  <r>
    <x v="2"/>
  </r>
  <r>
    <x v="4"/>
  </r>
  <r>
    <x v="1"/>
  </r>
  <r>
    <x v="1"/>
  </r>
  <r>
    <x v="3"/>
  </r>
  <r>
    <x v="1"/>
  </r>
  <r>
    <x v="2"/>
  </r>
  <r>
    <x v="0"/>
  </r>
  <r>
    <x v="2"/>
  </r>
  <r>
    <x v="3"/>
  </r>
  <r>
    <x v="2"/>
  </r>
  <r>
    <x v="0"/>
  </r>
  <r>
    <x v="0"/>
  </r>
  <r>
    <x v="4"/>
  </r>
  <r>
    <x v="1"/>
  </r>
  <r>
    <x v="3"/>
  </r>
  <r>
    <x v="2"/>
  </r>
  <r>
    <x v="3"/>
  </r>
  <r>
    <x v="0"/>
  </r>
  <r>
    <x v="3"/>
  </r>
  <r>
    <x v="2"/>
  </r>
  <r>
    <x v="0"/>
  </r>
  <r>
    <x v="4"/>
  </r>
  <r>
    <x v="2"/>
  </r>
  <r>
    <x v="2"/>
  </r>
  <r>
    <x v="3"/>
  </r>
  <r>
    <x v="0"/>
  </r>
  <r>
    <x v="2"/>
  </r>
  <r>
    <x v="3"/>
  </r>
  <r>
    <x v="1"/>
  </r>
  <r>
    <x v="4"/>
  </r>
  <r>
    <x v="2"/>
  </r>
  <r>
    <x v="0"/>
  </r>
  <r>
    <x v="1"/>
  </r>
  <r>
    <x v="4"/>
  </r>
  <r>
    <x v="0"/>
  </r>
  <r>
    <x v="2"/>
  </r>
  <r>
    <x v="2"/>
  </r>
  <r>
    <x v="2"/>
  </r>
  <r>
    <x v="0"/>
  </r>
  <r>
    <x v="4"/>
  </r>
  <r>
    <x v="0"/>
  </r>
  <r>
    <x v="0"/>
  </r>
  <r>
    <x v="4"/>
  </r>
  <r>
    <x v="1"/>
  </r>
  <r>
    <x v="2"/>
  </r>
  <r>
    <x v="1"/>
  </r>
  <r>
    <x v="0"/>
  </r>
  <r>
    <x v="2"/>
  </r>
  <r>
    <x v="2"/>
  </r>
  <r>
    <x v="1"/>
  </r>
  <r>
    <x v="0"/>
  </r>
  <r>
    <x v="3"/>
  </r>
  <r>
    <x v="3"/>
  </r>
  <r>
    <x v="2"/>
  </r>
  <r>
    <x v="1"/>
  </r>
  <r>
    <x v="3"/>
  </r>
  <r>
    <x v="1"/>
  </r>
  <r>
    <x v="2"/>
  </r>
  <r>
    <x v="0"/>
  </r>
  <r>
    <x v="2"/>
  </r>
  <r>
    <x v="0"/>
  </r>
  <r>
    <x v="4"/>
  </r>
  <r>
    <x v="3"/>
  </r>
  <r>
    <x v="4"/>
  </r>
  <r>
    <x v="3"/>
  </r>
  <r>
    <x v="0"/>
  </r>
  <r>
    <x v="2"/>
  </r>
  <r>
    <x v="4"/>
  </r>
  <r>
    <x v="2"/>
  </r>
  <r>
    <x v="2"/>
  </r>
  <r>
    <x v="3"/>
  </r>
  <r>
    <x v="4"/>
  </r>
  <r>
    <x v="4"/>
  </r>
  <r>
    <x v="0"/>
  </r>
  <r>
    <x v="3"/>
  </r>
  <r>
    <x v="2"/>
  </r>
  <r>
    <x v="0"/>
  </r>
  <r>
    <x v="1"/>
  </r>
  <r>
    <x v="2"/>
  </r>
  <r>
    <x v="3"/>
  </r>
  <r>
    <x v="4"/>
  </r>
  <r>
    <x v="4"/>
  </r>
  <r>
    <x v="4"/>
  </r>
  <r>
    <x v="1"/>
  </r>
  <r>
    <x v="4"/>
  </r>
  <r>
    <x v="0"/>
  </r>
  <r>
    <x v="0"/>
  </r>
  <r>
    <x v="4"/>
  </r>
  <r>
    <x v="2"/>
  </r>
  <r>
    <x v="4"/>
  </r>
  <r>
    <x v="0"/>
  </r>
  <r>
    <x v="4"/>
  </r>
  <r>
    <x v="2"/>
  </r>
  <r>
    <x v="0"/>
  </r>
  <r>
    <x v="0"/>
  </r>
  <r>
    <x v="1"/>
  </r>
  <r>
    <x v="2"/>
  </r>
  <r>
    <x v="2"/>
  </r>
  <r>
    <x v="3"/>
  </r>
  <r>
    <x v="3"/>
  </r>
  <r>
    <x v="3"/>
  </r>
  <r>
    <x v="3"/>
  </r>
  <r>
    <x v="2"/>
  </r>
  <r>
    <x v="0"/>
  </r>
  <r>
    <x v="2"/>
  </r>
  <r>
    <x v="3"/>
  </r>
  <r>
    <x v="2"/>
  </r>
  <r>
    <x v="3"/>
  </r>
  <r>
    <x v="3"/>
  </r>
  <r>
    <x v="2"/>
  </r>
  <r>
    <x v="0"/>
  </r>
  <r>
    <x v="2"/>
  </r>
  <r>
    <x v="3"/>
  </r>
  <r>
    <x v="0"/>
  </r>
  <r>
    <x v="4"/>
  </r>
  <r>
    <x v="1"/>
  </r>
  <r>
    <x v="0"/>
  </r>
  <r>
    <x v="3"/>
  </r>
  <r>
    <x v="4"/>
  </r>
  <r>
    <x v="3"/>
  </r>
  <r>
    <x v="4"/>
  </r>
  <r>
    <x v="2"/>
  </r>
  <r>
    <x v="2"/>
  </r>
  <r>
    <x v="3"/>
  </r>
  <r>
    <x v="0"/>
  </r>
  <r>
    <x v="3"/>
  </r>
  <r>
    <x v="3"/>
  </r>
  <r>
    <x v="0"/>
  </r>
  <r>
    <x v="1"/>
  </r>
  <r>
    <x v="4"/>
  </r>
  <r>
    <x v="0"/>
  </r>
  <r>
    <x v="1"/>
  </r>
  <r>
    <x v="3"/>
  </r>
  <r>
    <x v="0"/>
  </r>
  <r>
    <x v="3"/>
  </r>
  <r>
    <x v="1"/>
  </r>
  <r>
    <x v="2"/>
  </r>
  <r>
    <x v="3"/>
  </r>
  <r>
    <x v="1"/>
  </r>
  <r>
    <x v="4"/>
  </r>
  <r>
    <x v="4"/>
  </r>
  <r>
    <x v="4"/>
  </r>
  <r>
    <x v="2"/>
  </r>
  <r>
    <x v="3"/>
  </r>
  <r>
    <x v="0"/>
  </r>
  <r>
    <x v="0"/>
  </r>
  <r>
    <x v="4"/>
  </r>
  <r>
    <x v="3"/>
  </r>
  <r>
    <x v="1"/>
  </r>
  <r>
    <x v="3"/>
  </r>
  <r>
    <x v="4"/>
  </r>
  <r>
    <x v="0"/>
  </r>
  <r>
    <x v="0"/>
  </r>
  <r>
    <x v="3"/>
  </r>
  <r>
    <x v="4"/>
  </r>
  <r>
    <x v="2"/>
  </r>
  <r>
    <x v="1"/>
  </r>
  <r>
    <x v="2"/>
  </r>
  <r>
    <x v="2"/>
  </r>
  <r>
    <x v="4"/>
  </r>
  <r>
    <x v="3"/>
  </r>
  <r>
    <x v="0"/>
  </r>
  <r>
    <x v="2"/>
  </r>
  <r>
    <x v="3"/>
  </r>
  <r>
    <x v="1"/>
  </r>
  <r>
    <x v="2"/>
  </r>
  <r>
    <x v="0"/>
  </r>
  <r>
    <x v="4"/>
  </r>
  <r>
    <x v="2"/>
  </r>
  <r>
    <x v="0"/>
  </r>
  <r>
    <x v="3"/>
  </r>
  <r>
    <x v="3"/>
  </r>
  <r>
    <x v="2"/>
  </r>
  <r>
    <x v="3"/>
  </r>
  <r>
    <x v="1"/>
  </r>
  <r>
    <x v="0"/>
  </r>
  <r>
    <x v="0"/>
  </r>
  <r>
    <x v="0"/>
  </r>
  <r>
    <x v="4"/>
  </r>
  <r>
    <x v="2"/>
  </r>
  <r>
    <x v="0"/>
  </r>
  <r>
    <x v="4"/>
  </r>
  <r>
    <x v="2"/>
  </r>
  <r>
    <x v="2"/>
  </r>
  <r>
    <x v="4"/>
  </r>
  <r>
    <x v="2"/>
  </r>
  <r>
    <x v="0"/>
  </r>
  <r>
    <x v="0"/>
  </r>
  <r>
    <x v="0"/>
  </r>
  <r>
    <x v="0"/>
  </r>
  <r>
    <x v="3"/>
  </r>
  <r>
    <x v="0"/>
  </r>
  <r>
    <x v="3"/>
  </r>
  <r>
    <x v="2"/>
  </r>
  <r>
    <x v="3"/>
  </r>
  <r>
    <x v="0"/>
  </r>
  <r>
    <x v="0"/>
  </r>
  <r>
    <x v="4"/>
  </r>
  <r>
    <x v="2"/>
  </r>
  <r>
    <x v="0"/>
  </r>
  <r>
    <x v="0"/>
  </r>
  <r>
    <x v="4"/>
  </r>
  <r>
    <x v="2"/>
  </r>
  <r>
    <x v="2"/>
  </r>
  <r>
    <x v="3"/>
  </r>
  <r>
    <x v="3"/>
  </r>
  <r>
    <x v="0"/>
  </r>
  <r>
    <x v="2"/>
  </r>
  <r>
    <x v="1"/>
  </r>
  <r>
    <x v="0"/>
  </r>
  <r>
    <x v="4"/>
  </r>
  <r>
    <x v="2"/>
  </r>
  <r>
    <x v="4"/>
  </r>
  <r>
    <x v="2"/>
  </r>
  <r>
    <x v="1"/>
  </r>
  <r>
    <x v="4"/>
  </r>
  <r>
    <x v="1"/>
  </r>
  <r>
    <x v="3"/>
  </r>
  <r>
    <x v="4"/>
  </r>
  <r>
    <x v="4"/>
  </r>
  <r>
    <x v="4"/>
  </r>
  <r>
    <x v="3"/>
  </r>
  <r>
    <x v="2"/>
  </r>
  <r>
    <x v="0"/>
  </r>
  <r>
    <x v="0"/>
  </r>
  <r>
    <x v="4"/>
  </r>
  <r>
    <x v="3"/>
  </r>
  <r>
    <x v="4"/>
  </r>
  <r>
    <x v="4"/>
  </r>
  <r>
    <x v="3"/>
  </r>
  <r>
    <x v="0"/>
  </r>
  <r>
    <x v="2"/>
  </r>
  <r>
    <x v="3"/>
  </r>
  <r>
    <x v="4"/>
  </r>
  <r>
    <x v="2"/>
  </r>
  <r>
    <x v="0"/>
  </r>
  <r>
    <x v="0"/>
  </r>
  <r>
    <x v="2"/>
  </r>
  <r>
    <x v="3"/>
  </r>
  <r>
    <x v="3"/>
  </r>
  <r>
    <x v="4"/>
  </r>
  <r>
    <x v="2"/>
  </r>
  <r>
    <x v="3"/>
  </r>
  <r>
    <x v="4"/>
  </r>
  <r>
    <x v="2"/>
  </r>
  <r>
    <x v="0"/>
  </r>
  <r>
    <x v="2"/>
  </r>
  <r>
    <x v="4"/>
  </r>
  <r>
    <x v="3"/>
  </r>
  <r>
    <x v="2"/>
  </r>
  <r>
    <x v="4"/>
  </r>
  <r>
    <x v="0"/>
  </r>
  <r>
    <x v="0"/>
  </r>
  <r>
    <x v="2"/>
  </r>
  <r>
    <x v="3"/>
  </r>
  <r>
    <x v="4"/>
  </r>
  <r>
    <x v="1"/>
  </r>
  <r>
    <x v="1"/>
  </r>
  <r>
    <x v="0"/>
  </r>
  <r>
    <x v="0"/>
  </r>
  <r>
    <x v="4"/>
  </r>
  <r>
    <x v="3"/>
  </r>
  <r>
    <x v="2"/>
  </r>
  <r>
    <x v="4"/>
  </r>
  <r>
    <x v="1"/>
  </r>
  <r>
    <x v="4"/>
  </r>
  <r>
    <x v="1"/>
  </r>
  <r>
    <x v="4"/>
  </r>
  <r>
    <x v="0"/>
  </r>
  <r>
    <x v="2"/>
  </r>
  <r>
    <x v="2"/>
  </r>
  <r>
    <x v="0"/>
  </r>
  <r>
    <x v="4"/>
  </r>
  <r>
    <x v="0"/>
  </r>
  <r>
    <x v="2"/>
  </r>
  <r>
    <x v="2"/>
  </r>
  <r>
    <x v="3"/>
  </r>
  <r>
    <x v="1"/>
  </r>
  <r>
    <x v="2"/>
  </r>
  <r>
    <x v="3"/>
  </r>
  <r>
    <x v="0"/>
  </r>
  <r>
    <x v="1"/>
  </r>
  <r>
    <x v="3"/>
  </r>
  <r>
    <x v="1"/>
  </r>
  <r>
    <x v="3"/>
  </r>
  <r>
    <x v="2"/>
  </r>
  <r>
    <x v="4"/>
  </r>
  <r>
    <x v="0"/>
  </r>
  <r>
    <x v="1"/>
  </r>
  <r>
    <x v="3"/>
  </r>
  <r>
    <x v="3"/>
  </r>
  <r>
    <x v="2"/>
  </r>
  <r>
    <x v="4"/>
  </r>
  <r>
    <x v="1"/>
  </r>
  <r>
    <x v="2"/>
  </r>
  <r>
    <x v="1"/>
  </r>
  <r>
    <x v="2"/>
  </r>
  <r>
    <x v="0"/>
  </r>
  <r>
    <x v="3"/>
  </r>
  <r>
    <x v="2"/>
  </r>
  <r>
    <x v="3"/>
  </r>
  <r>
    <x v="1"/>
  </r>
  <r>
    <x v="3"/>
  </r>
  <r>
    <x v="3"/>
  </r>
  <r>
    <x v="3"/>
  </r>
  <r>
    <x v="1"/>
  </r>
  <r>
    <x v="3"/>
  </r>
  <r>
    <x v="0"/>
  </r>
  <r>
    <x v="2"/>
  </r>
  <r>
    <x v="3"/>
  </r>
  <r>
    <x v="3"/>
  </r>
  <r>
    <x v="4"/>
  </r>
  <r>
    <x v="4"/>
  </r>
  <r>
    <x v="4"/>
  </r>
  <r>
    <x v="2"/>
  </r>
  <r>
    <x v="3"/>
  </r>
  <r>
    <x v="2"/>
  </r>
  <r>
    <x v="4"/>
  </r>
  <r>
    <x v="2"/>
  </r>
  <r>
    <x v="2"/>
  </r>
  <r>
    <x v="4"/>
  </r>
  <r>
    <x v="3"/>
  </r>
  <r>
    <x v="2"/>
  </r>
  <r>
    <x v="1"/>
  </r>
  <r>
    <x v="0"/>
  </r>
  <r>
    <x v="2"/>
  </r>
  <r>
    <x v="4"/>
  </r>
  <r>
    <x v="4"/>
  </r>
  <r>
    <x v="2"/>
  </r>
  <r>
    <x v="4"/>
  </r>
  <r>
    <x v="3"/>
  </r>
  <r>
    <x v="4"/>
  </r>
  <r>
    <x v="3"/>
  </r>
  <r>
    <x v="3"/>
  </r>
  <r>
    <x v="1"/>
  </r>
  <r>
    <x v="3"/>
  </r>
  <r>
    <x v="2"/>
  </r>
  <r>
    <x v="3"/>
  </r>
  <r>
    <x v="1"/>
  </r>
  <r>
    <x v="4"/>
  </r>
  <r>
    <x v="0"/>
  </r>
  <r>
    <x v="1"/>
  </r>
  <r>
    <x v="3"/>
  </r>
  <r>
    <x v="4"/>
  </r>
  <r>
    <x v="1"/>
  </r>
  <r>
    <x v="4"/>
  </r>
  <r>
    <x v="3"/>
  </r>
  <r>
    <x v="1"/>
  </r>
  <r>
    <x v="4"/>
  </r>
  <r>
    <x v="2"/>
  </r>
  <r>
    <x v="4"/>
  </r>
  <r>
    <x v="3"/>
  </r>
  <r>
    <x v="3"/>
  </r>
  <r>
    <x v="2"/>
  </r>
  <r>
    <x v="4"/>
  </r>
  <r>
    <x v="4"/>
  </r>
  <r>
    <x v="0"/>
  </r>
  <r>
    <x v="0"/>
  </r>
  <r>
    <x v="4"/>
  </r>
  <r>
    <x v="3"/>
  </r>
  <r>
    <x v="4"/>
  </r>
  <r>
    <x v="4"/>
  </r>
  <r>
    <x v="3"/>
  </r>
  <r>
    <x v="0"/>
  </r>
  <r>
    <x v="4"/>
  </r>
  <r>
    <x v="4"/>
  </r>
  <r>
    <x v="3"/>
  </r>
  <r>
    <x v="4"/>
  </r>
  <r>
    <x v="4"/>
  </r>
  <r>
    <x v="0"/>
  </r>
  <r>
    <x v="0"/>
  </r>
  <r>
    <x v="0"/>
  </r>
  <r>
    <x v="0"/>
  </r>
  <r>
    <x v="2"/>
  </r>
  <r>
    <x v="2"/>
  </r>
  <r>
    <x v="3"/>
  </r>
  <r>
    <x v="3"/>
  </r>
  <r>
    <x v="0"/>
  </r>
  <r>
    <x v="2"/>
  </r>
  <r>
    <x v="3"/>
  </r>
  <r>
    <x v="0"/>
  </r>
  <r>
    <x v="4"/>
  </r>
  <r>
    <x v="0"/>
  </r>
  <r>
    <x v="1"/>
  </r>
  <r>
    <x v="4"/>
  </r>
  <r>
    <x v="0"/>
  </r>
  <r>
    <x v="0"/>
  </r>
  <r>
    <x v="3"/>
  </r>
  <r>
    <x v="4"/>
  </r>
  <r>
    <x v="1"/>
  </r>
  <r>
    <x v="0"/>
  </r>
  <r>
    <x v="4"/>
  </r>
  <r>
    <x v="3"/>
  </r>
  <r>
    <x v="3"/>
  </r>
  <r>
    <x v="3"/>
  </r>
  <r>
    <x v="2"/>
  </r>
  <r>
    <x v="4"/>
  </r>
  <r>
    <x v="1"/>
  </r>
  <r>
    <x v="4"/>
  </r>
  <r>
    <x v="3"/>
  </r>
  <r>
    <x v="4"/>
  </r>
  <r>
    <x v="2"/>
  </r>
  <r>
    <x v="3"/>
  </r>
  <r>
    <x v="3"/>
  </r>
  <r>
    <x v="4"/>
  </r>
  <r>
    <x v="0"/>
  </r>
  <r>
    <x v="3"/>
  </r>
  <r>
    <x v="2"/>
  </r>
  <r>
    <x v="3"/>
  </r>
  <r>
    <x v="0"/>
  </r>
  <r>
    <x v="3"/>
  </r>
  <r>
    <x v="4"/>
  </r>
  <r>
    <x v="2"/>
  </r>
  <r>
    <x v="0"/>
  </r>
  <r>
    <x v="3"/>
  </r>
  <r>
    <x v="3"/>
  </r>
  <r>
    <x v="4"/>
  </r>
  <r>
    <x v="4"/>
  </r>
  <r>
    <x v="2"/>
  </r>
  <r>
    <x v="0"/>
  </r>
  <r>
    <x v="2"/>
  </r>
  <r>
    <x v="0"/>
  </r>
  <r>
    <x v="4"/>
  </r>
  <r>
    <x v="2"/>
  </r>
  <r>
    <x v="2"/>
  </r>
  <r>
    <x v="4"/>
  </r>
  <r>
    <x v="1"/>
  </r>
  <r>
    <x v="4"/>
  </r>
  <r>
    <x v="2"/>
  </r>
  <r>
    <x v="4"/>
  </r>
  <r>
    <x v="0"/>
  </r>
  <r>
    <x v="4"/>
  </r>
  <r>
    <x v="1"/>
  </r>
  <r>
    <x v="4"/>
  </r>
  <r>
    <x v="3"/>
  </r>
  <r>
    <x v="4"/>
  </r>
  <r>
    <x v="4"/>
  </r>
  <r>
    <x v="3"/>
  </r>
  <r>
    <x v="2"/>
  </r>
  <r>
    <x v="4"/>
  </r>
  <r>
    <x v="0"/>
  </r>
  <r>
    <x v="2"/>
  </r>
  <r>
    <x v="3"/>
  </r>
  <r>
    <x v="1"/>
  </r>
  <r>
    <x v="0"/>
  </r>
  <r>
    <x v="2"/>
  </r>
  <r>
    <x v="4"/>
  </r>
  <r>
    <x v="1"/>
  </r>
  <r>
    <x v="1"/>
  </r>
  <r>
    <x v="2"/>
  </r>
  <r>
    <x v="2"/>
  </r>
  <r>
    <x v="4"/>
  </r>
  <r>
    <x v="4"/>
  </r>
  <r>
    <x v="4"/>
  </r>
  <r>
    <x v="0"/>
  </r>
  <r>
    <x v="1"/>
  </r>
  <r>
    <x v="3"/>
  </r>
  <r>
    <x v="2"/>
  </r>
  <r>
    <x v="4"/>
  </r>
  <r>
    <x v="2"/>
  </r>
  <r>
    <x v="0"/>
  </r>
  <r>
    <x v="2"/>
  </r>
  <r>
    <x v="4"/>
  </r>
  <r>
    <x v="1"/>
  </r>
  <r>
    <x v="1"/>
  </r>
  <r>
    <x v="0"/>
  </r>
  <r>
    <x v="3"/>
  </r>
  <r>
    <x v="4"/>
  </r>
  <r>
    <x v="4"/>
  </r>
  <r>
    <x v="2"/>
  </r>
  <r>
    <x v="0"/>
  </r>
  <r>
    <x v="0"/>
  </r>
  <r>
    <x v="2"/>
  </r>
  <r>
    <x v="4"/>
  </r>
  <r>
    <x v="3"/>
  </r>
  <r>
    <x v="4"/>
  </r>
  <r>
    <x v="2"/>
  </r>
  <r>
    <x v="1"/>
  </r>
  <r>
    <x v="0"/>
  </r>
  <r>
    <x v="2"/>
  </r>
  <r>
    <x v="2"/>
  </r>
  <r>
    <x v="4"/>
  </r>
  <r>
    <x v="4"/>
  </r>
  <r>
    <x v="4"/>
  </r>
  <r>
    <x v="0"/>
  </r>
  <r>
    <x v="1"/>
  </r>
  <r>
    <x v="4"/>
  </r>
  <r>
    <x v="3"/>
  </r>
  <r>
    <x v="0"/>
  </r>
  <r>
    <x v="4"/>
  </r>
  <r>
    <x v="3"/>
  </r>
  <r>
    <x v="3"/>
  </r>
  <r>
    <x v="2"/>
  </r>
  <r>
    <x v="3"/>
  </r>
  <r>
    <x v="2"/>
  </r>
  <r>
    <x v="0"/>
  </r>
  <r>
    <x v="3"/>
  </r>
  <r>
    <x v="0"/>
  </r>
  <r>
    <x v="1"/>
  </r>
  <r>
    <x v="4"/>
  </r>
  <r>
    <x v="2"/>
  </r>
  <r>
    <x v="3"/>
  </r>
  <r>
    <x v="4"/>
  </r>
  <r>
    <x v="0"/>
  </r>
  <r>
    <x v="0"/>
  </r>
  <r>
    <x v="3"/>
  </r>
  <r>
    <x v="0"/>
  </r>
  <r>
    <x v="3"/>
  </r>
  <r>
    <x v="2"/>
  </r>
  <r>
    <x v="2"/>
  </r>
  <r>
    <x v="2"/>
  </r>
  <r>
    <x v="0"/>
  </r>
  <r>
    <x v="1"/>
  </r>
  <r>
    <x v="2"/>
  </r>
  <r>
    <x v="2"/>
  </r>
  <r>
    <x v="2"/>
  </r>
  <r>
    <x v="2"/>
  </r>
  <r>
    <x v="2"/>
  </r>
  <r>
    <x v="4"/>
  </r>
  <r>
    <x v="4"/>
  </r>
  <r>
    <x v="2"/>
  </r>
  <r>
    <x v="2"/>
  </r>
  <r>
    <x v="2"/>
  </r>
  <r>
    <x v="0"/>
  </r>
  <r>
    <x v="4"/>
  </r>
  <r>
    <x v="4"/>
  </r>
  <r>
    <x v="2"/>
  </r>
  <r>
    <x v="4"/>
  </r>
  <r>
    <x v="4"/>
  </r>
  <r>
    <x v="2"/>
  </r>
  <r>
    <x v="3"/>
  </r>
  <r>
    <x v="1"/>
  </r>
  <r>
    <x v="3"/>
  </r>
  <r>
    <x v="3"/>
  </r>
  <r>
    <x v="3"/>
  </r>
  <r>
    <x v="4"/>
  </r>
  <r>
    <x v="4"/>
  </r>
  <r>
    <x v="3"/>
  </r>
  <r>
    <x v="1"/>
  </r>
  <r>
    <x v="2"/>
  </r>
  <r>
    <x v="0"/>
  </r>
  <r>
    <x v="0"/>
  </r>
  <r>
    <x v="4"/>
  </r>
  <r>
    <x v="4"/>
  </r>
  <r>
    <x v="3"/>
  </r>
  <r>
    <x v="4"/>
  </r>
  <r>
    <x v="3"/>
  </r>
  <r>
    <x v="4"/>
  </r>
  <r>
    <x v="0"/>
  </r>
  <r>
    <x v="1"/>
  </r>
  <r>
    <x v="0"/>
  </r>
  <r>
    <x v="0"/>
  </r>
  <r>
    <x v="2"/>
  </r>
  <r>
    <x v="0"/>
  </r>
  <r>
    <x v="1"/>
  </r>
  <r>
    <x v="3"/>
  </r>
  <r>
    <x v="4"/>
  </r>
  <r>
    <x v="2"/>
  </r>
  <r>
    <x v="1"/>
  </r>
  <r>
    <x v="3"/>
  </r>
  <r>
    <x v="4"/>
  </r>
  <r>
    <x v="4"/>
  </r>
  <r>
    <x v="0"/>
  </r>
  <r>
    <x v="4"/>
  </r>
  <r>
    <x v="3"/>
  </r>
  <r>
    <x v="4"/>
  </r>
  <r>
    <x v="0"/>
  </r>
  <r>
    <x v="1"/>
  </r>
  <r>
    <x v="1"/>
  </r>
  <r>
    <x v="2"/>
  </r>
  <r>
    <x v="2"/>
  </r>
  <r>
    <x v="0"/>
  </r>
  <r>
    <x v="3"/>
  </r>
  <r>
    <x v="0"/>
  </r>
  <r>
    <x v="0"/>
  </r>
  <r>
    <x v="0"/>
  </r>
  <r>
    <x v="4"/>
  </r>
  <r>
    <x v="3"/>
  </r>
  <r>
    <x v="0"/>
  </r>
  <r>
    <x v="3"/>
  </r>
  <r>
    <x v="4"/>
  </r>
  <r>
    <x v="3"/>
  </r>
  <r>
    <x v="1"/>
  </r>
  <r>
    <x v="3"/>
  </r>
  <r>
    <x v="1"/>
  </r>
  <r>
    <x v="0"/>
  </r>
  <r>
    <x v="3"/>
  </r>
  <r>
    <x v="0"/>
  </r>
  <r>
    <x v="4"/>
  </r>
  <r>
    <x v="3"/>
  </r>
  <r>
    <x v="4"/>
  </r>
  <r>
    <x v="3"/>
  </r>
  <r>
    <x v="3"/>
  </r>
  <r>
    <x v="0"/>
  </r>
  <r>
    <x v="3"/>
  </r>
  <r>
    <x v="2"/>
  </r>
  <r>
    <x v="4"/>
  </r>
  <r>
    <x v="4"/>
  </r>
  <r>
    <x v="2"/>
  </r>
  <r>
    <x v="0"/>
  </r>
  <r>
    <x v="0"/>
  </r>
  <r>
    <x v="0"/>
  </r>
  <r>
    <x v="0"/>
  </r>
  <r>
    <x v="2"/>
  </r>
  <r>
    <x v="0"/>
  </r>
  <r>
    <x v="3"/>
  </r>
  <r>
    <x v="4"/>
  </r>
  <r>
    <x v="3"/>
  </r>
  <r>
    <x v="2"/>
  </r>
  <r>
    <x v="3"/>
  </r>
  <r>
    <x v="2"/>
  </r>
  <r>
    <x v="2"/>
  </r>
  <r>
    <x v="0"/>
  </r>
  <r>
    <x v="4"/>
  </r>
  <r>
    <x v="0"/>
  </r>
  <r>
    <x v="2"/>
  </r>
  <r>
    <x v="2"/>
  </r>
  <r>
    <x v="3"/>
  </r>
  <r>
    <x v="3"/>
  </r>
  <r>
    <x v="0"/>
  </r>
  <r>
    <x v="2"/>
  </r>
  <r>
    <x v="0"/>
  </r>
  <r>
    <x v="3"/>
  </r>
  <r>
    <x v="4"/>
  </r>
  <r>
    <x v="4"/>
  </r>
  <r>
    <x v="4"/>
  </r>
  <r>
    <x v="3"/>
  </r>
  <r>
    <x v="3"/>
  </r>
  <r>
    <x v="1"/>
  </r>
  <r>
    <x v="0"/>
  </r>
  <r>
    <x v="3"/>
  </r>
  <r>
    <x v="3"/>
  </r>
  <r>
    <x v="1"/>
  </r>
  <r>
    <x v="2"/>
  </r>
  <r>
    <x v="1"/>
  </r>
  <r>
    <x v="3"/>
  </r>
  <r>
    <x v="2"/>
  </r>
  <r>
    <x v="3"/>
  </r>
  <r>
    <x v="2"/>
  </r>
  <r>
    <x v="3"/>
  </r>
  <r>
    <x v="1"/>
  </r>
  <r>
    <x v="1"/>
  </r>
  <r>
    <x v="0"/>
  </r>
  <r>
    <x v="3"/>
  </r>
  <r>
    <x v="2"/>
  </r>
  <r>
    <x v="0"/>
  </r>
  <r>
    <x v="1"/>
  </r>
  <r>
    <x v="3"/>
  </r>
  <r>
    <x v="4"/>
  </r>
  <r>
    <x v="1"/>
  </r>
  <r>
    <x v="3"/>
  </r>
  <r>
    <x v="0"/>
  </r>
  <r>
    <x v="4"/>
  </r>
  <r>
    <x v="1"/>
  </r>
  <r>
    <x v="3"/>
  </r>
  <r>
    <x v="2"/>
  </r>
  <r>
    <x v="3"/>
  </r>
  <r>
    <x v="2"/>
  </r>
  <r>
    <x v="3"/>
  </r>
  <r>
    <x v="3"/>
  </r>
  <r>
    <x v="2"/>
  </r>
  <r>
    <x v="3"/>
  </r>
  <r>
    <x v="3"/>
  </r>
  <r>
    <x v="0"/>
  </r>
  <r>
    <x v="2"/>
  </r>
  <r>
    <x v="4"/>
  </r>
  <r>
    <x v="3"/>
  </r>
  <r>
    <x v="4"/>
  </r>
  <r>
    <x v="2"/>
  </r>
  <r>
    <x v="2"/>
  </r>
  <r>
    <x v="2"/>
  </r>
  <r>
    <x v="3"/>
  </r>
  <r>
    <x v="3"/>
  </r>
  <r>
    <x v="0"/>
  </r>
  <r>
    <x v="4"/>
  </r>
  <r>
    <x v="0"/>
  </r>
  <r>
    <x v="4"/>
  </r>
  <r>
    <x v="3"/>
  </r>
  <r>
    <x v="1"/>
  </r>
  <r>
    <x v="4"/>
  </r>
  <r>
    <x v="4"/>
  </r>
  <r>
    <x v="3"/>
  </r>
  <r>
    <x v="3"/>
  </r>
  <r>
    <x v="0"/>
  </r>
  <r>
    <x v="4"/>
  </r>
  <r>
    <x v="0"/>
  </r>
  <r>
    <x v="2"/>
  </r>
  <r>
    <x v="0"/>
  </r>
  <r>
    <x v="3"/>
  </r>
  <r>
    <x v="4"/>
  </r>
  <r>
    <x v="0"/>
  </r>
  <r>
    <x v="4"/>
  </r>
  <r>
    <x v="2"/>
  </r>
  <r>
    <x v="0"/>
  </r>
  <r>
    <x v="0"/>
  </r>
  <r>
    <x v="2"/>
  </r>
  <r>
    <x v="2"/>
  </r>
  <r>
    <x v="4"/>
  </r>
  <r>
    <x v="2"/>
  </r>
  <r>
    <x v="4"/>
  </r>
  <r>
    <x v="2"/>
  </r>
  <r>
    <x v="4"/>
  </r>
  <r>
    <x v="0"/>
  </r>
  <r>
    <x v="0"/>
  </r>
  <r>
    <x v="1"/>
  </r>
  <r>
    <x v="3"/>
  </r>
  <r>
    <x v="3"/>
  </r>
  <r>
    <x v="4"/>
  </r>
  <r>
    <x v="2"/>
  </r>
  <r>
    <x v="1"/>
  </r>
  <r>
    <x v="2"/>
  </r>
  <r>
    <x v="2"/>
  </r>
  <r>
    <x v="2"/>
  </r>
  <r>
    <x v="0"/>
  </r>
  <r>
    <x v="3"/>
  </r>
  <r>
    <x v="1"/>
  </r>
  <r>
    <x v="3"/>
  </r>
  <r>
    <x v="0"/>
  </r>
  <r>
    <x v="3"/>
  </r>
  <r>
    <x v="4"/>
  </r>
  <r>
    <x v="3"/>
  </r>
  <r>
    <x v="3"/>
  </r>
  <r>
    <x v="3"/>
  </r>
  <r>
    <x v="0"/>
  </r>
  <r>
    <x v="4"/>
  </r>
  <r>
    <x v="3"/>
  </r>
  <r>
    <x v="3"/>
  </r>
  <r>
    <x v="0"/>
  </r>
  <r>
    <x v="4"/>
  </r>
  <r>
    <x v="3"/>
  </r>
  <r>
    <x v="4"/>
  </r>
  <r>
    <x v="3"/>
  </r>
  <r>
    <x v="3"/>
  </r>
  <r>
    <x v="3"/>
  </r>
  <r>
    <x v="3"/>
  </r>
  <r>
    <x v="3"/>
  </r>
  <r>
    <x v="3"/>
  </r>
  <r>
    <x v="1"/>
  </r>
  <r>
    <x v="0"/>
  </r>
  <r>
    <x v="3"/>
  </r>
  <r>
    <x v="3"/>
  </r>
  <r>
    <x v="0"/>
  </r>
  <r>
    <x v="4"/>
  </r>
  <r>
    <x v="4"/>
  </r>
  <r>
    <x v="2"/>
  </r>
  <r>
    <x v="4"/>
  </r>
  <r>
    <x v="2"/>
  </r>
  <r>
    <x v="4"/>
  </r>
  <r>
    <x v="3"/>
  </r>
  <r>
    <x v="2"/>
  </r>
  <r>
    <x v="0"/>
  </r>
  <r>
    <x v="3"/>
  </r>
  <r>
    <x v="1"/>
  </r>
  <r>
    <x v="4"/>
  </r>
  <r>
    <x v="3"/>
  </r>
  <r>
    <x v="2"/>
  </r>
  <r>
    <x v="4"/>
  </r>
  <r>
    <x v="3"/>
  </r>
  <r>
    <x v="4"/>
  </r>
  <r>
    <x v="4"/>
  </r>
  <r>
    <x v="0"/>
  </r>
  <r>
    <x v="1"/>
  </r>
  <r>
    <x v="3"/>
  </r>
  <r>
    <x v="1"/>
  </r>
  <r>
    <x v="2"/>
  </r>
  <r>
    <x v="3"/>
  </r>
  <r>
    <x v="1"/>
  </r>
  <r>
    <x v="3"/>
  </r>
  <r>
    <x v="2"/>
  </r>
  <r>
    <x v="0"/>
  </r>
  <r>
    <x v="0"/>
  </r>
  <r>
    <x v="3"/>
  </r>
  <r>
    <x v="2"/>
  </r>
  <r>
    <x v="0"/>
  </r>
  <r>
    <x v="2"/>
  </r>
  <r>
    <x v="0"/>
  </r>
  <r>
    <x v="0"/>
  </r>
  <r>
    <x v="3"/>
  </r>
  <r>
    <x v="0"/>
  </r>
  <r>
    <x v="3"/>
  </r>
  <r>
    <x v="3"/>
  </r>
  <r>
    <x v="2"/>
  </r>
  <r>
    <x v="0"/>
  </r>
  <r>
    <x v="2"/>
  </r>
  <r>
    <x v="4"/>
  </r>
  <r>
    <x v="0"/>
  </r>
  <r>
    <x v="2"/>
  </r>
  <r>
    <x v="2"/>
  </r>
  <r>
    <x v="4"/>
  </r>
  <r>
    <x v="3"/>
  </r>
  <r>
    <x v="4"/>
  </r>
  <r>
    <x v="0"/>
  </r>
  <r>
    <x v="0"/>
  </r>
  <r>
    <x v="4"/>
  </r>
  <r>
    <x v="3"/>
  </r>
  <r>
    <x v="1"/>
  </r>
  <r>
    <x v="0"/>
  </r>
  <r>
    <x v="4"/>
  </r>
  <r>
    <x v="0"/>
  </r>
  <r>
    <x v="3"/>
  </r>
  <r>
    <x v="4"/>
  </r>
  <r>
    <x v="2"/>
  </r>
  <r>
    <x v="1"/>
  </r>
  <r>
    <x v="0"/>
  </r>
  <r>
    <x v="0"/>
  </r>
  <r>
    <x v="2"/>
  </r>
  <r>
    <x v="4"/>
  </r>
  <r>
    <x v="1"/>
  </r>
  <r>
    <x v="4"/>
  </r>
  <r>
    <x v="2"/>
  </r>
  <r>
    <x v="1"/>
  </r>
  <r>
    <x v="0"/>
  </r>
  <r>
    <x v="1"/>
  </r>
  <r>
    <x v="1"/>
  </r>
  <r>
    <x v="3"/>
  </r>
  <r>
    <x v="3"/>
  </r>
  <r>
    <x v="0"/>
  </r>
  <r>
    <x v="3"/>
  </r>
  <r>
    <x v="2"/>
  </r>
  <r>
    <x v="0"/>
  </r>
  <r>
    <x v="2"/>
  </r>
  <r>
    <x v="3"/>
  </r>
  <r>
    <x v="2"/>
  </r>
  <r>
    <x v="4"/>
  </r>
  <r>
    <x v="2"/>
  </r>
  <r>
    <x v="4"/>
  </r>
  <r>
    <x v="0"/>
  </r>
  <r>
    <x v="4"/>
  </r>
  <r>
    <x v="3"/>
  </r>
  <r>
    <x v="2"/>
  </r>
  <r>
    <x v="0"/>
  </r>
  <r>
    <x v="1"/>
  </r>
  <r>
    <x v="0"/>
  </r>
  <r>
    <x v="4"/>
  </r>
  <r>
    <x v="3"/>
  </r>
  <r>
    <x v="3"/>
  </r>
  <r>
    <x v="2"/>
  </r>
  <r>
    <x v="4"/>
  </r>
  <r>
    <x v="3"/>
  </r>
  <r>
    <x v="3"/>
  </r>
  <r>
    <x v="1"/>
  </r>
  <r>
    <x v="4"/>
  </r>
  <r>
    <x v="1"/>
  </r>
  <r>
    <x v="2"/>
  </r>
  <r>
    <x v="3"/>
  </r>
  <r>
    <x v="2"/>
  </r>
  <r>
    <x v="3"/>
  </r>
  <r>
    <x v="3"/>
  </r>
  <r>
    <x v="0"/>
  </r>
  <r>
    <x v="4"/>
  </r>
  <r>
    <x v="4"/>
  </r>
  <r>
    <x v="2"/>
  </r>
  <r>
    <x v="4"/>
  </r>
  <r>
    <x v="4"/>
  </r>
  <r>
    <x v="3"/>
  </r>
  <r>
    <x v="4"/>
  </r>
  <r>
    <x v="0"/>
  </r>
  <r>
    <x v="3"/>
  </r>
  <r>
    <x v="0"/>
  </r>
  <r>
    <x v="3"/>
  </r>
  <r>
    <x v="0"/>
  </r>
  <r>
    <x v="1"/>
  </r>
  <r>
    <x v="4"/>
  </r>
  <r>
    <x v="4"/>
  </r>
  <r>
    <x v="2"/>
  </r>
  <r>
    <x v="0"/>
  </r>
  <r>
    <x v="2"/>
  </r>
  <r>
    <x v="3"/>
  </r>
  <r>
    <x v="0"/>
  </r>
  <r>
    <x v="2"/>
  </r>
  <r>
    <x v="2"/>
  </r>
  <r>
    <x v="4"/>
  </r>
  <r>
    <x v="3"/>
  </r>
  <r>
    <x v="2"/>
  </r>
  <r>
    <x v="4"/>
  </r>
  <r>
    <x v="0"/>
  </r>
  <r>
    <x v="4"/>
  </r>
  <r>
    <x v="0"/>
  </r>
  <r>
    <x v="4"/>
  </r>
  <r>
    <x v="0"/>
  </r>
  <r>
    <x v="2"/>
  </r>
  <r>
    <x v="2"/>
  </r>
  <r>
    <x v="0"/>
  </r>
  <r>
    <x v="0"/>
  </r>
  <r>
    <x v="0"/>
  </r>
  <r>
    <x v="2"/>
  </r>
  <r>
    <x v="3"/>
  </r>
  <r>
    <x v="4"/>
  </r>
  <r>
    <x v="4"/>
  </r>
  <r>
    <x v="0"/>
  </r>
  <r>
    <x v="2"/>
  </r>
  <r>
    <x v="2"/>
  </r>
  <r>
    <x v="1"/>
  </r>
  <r>
    <x v="4"/>
  </r>
  <r>
    <x v="3"/>
  </r>
  <r>
    <x v="2"/>
  </r>
  <r>
    <x v="1"/>
  </r>
  <r>
    <x v="2"/>
  </r>
  <r>
    <x v="2"/>
  </r>
  <r>
    <x v="2"/>
  </r>
  <r>
    <x v="3"/>
  </r>
  <r>
    <x v="3"/>
  </r>
  <r>
    <x v="2"/>
  </r>
  <r>
    <x v="4"/>
  </r>
  <r>
    <x v="2"/>
  </r>
  <r>
    <x v="3"/>
  </r>
  <r>
    <x v="2"/>
  </r>
  <r>
    <x v="1"/>
  </r>
  <r>
    <x v="2"/>
  </r>
  <r>
    <x v="0"/>
  </r>
  <r>
    <x v="0"/>
  </r>
  <r>
    <x v="2"/>
  </r>
  <r>
    <x v="1"/>
  </r>
  <r>
    <x v="0"/>
  </r>
  <r>
    <x v="0"/>
  </r>
  <r>
    <x v="4"/>
  </r>
  <r>
    <x v="2"/>
  </r>
  <r>
    <x v="2"/>
  </r>
  <r>
    <x v="1"/>
  </r>
  <r>
    <x v="1"/>
  </r>
  <r>
    <x v="3"/>
  </r>
  <r>
    <x v="4"/>
  </r>
  <r>
    <x v="0"/>
  </r>
  <r>
    <x v="1"/>
  </r>
  <r>
    <x v="4"/>
  </r>
  <r>
    <x v="1"/>
  </r>
  <r>
    <x v="0"/>
  </r>
  <r>
    <x v="0"/>
  </r>
  <r>
    <x v="3"/>
  </r>
  <r>
    <x v="2"/>
  </r>
  <r>
    <x v="1"/>
  </r>
  <r>
    <x v="2"/>
  </r>
  <r>
    <x v="2"/>
  </r>
  <r>
    <x v="2"/>
  </r>
  <r>
    <x v="1"/>
  </r>
  <r>
    <x v="1"/>
  </r>
  <r>
    <x v="4"/>
  </r>
  <r>
    <x v="3"/>
  </r>
  <r>
    <x v="4"/>
  </r>
  <r>
    <x v="2"/>
  </r>
  <r>
    <x v="2"/>
  </r>
  <r>
    <x v="4"/>
  </r>
  <r>
    <x v="2"/>
  </r>
  <r>
    <x v="3"/>
  </r>
  <r>
    <x v="0"/>
  </r>
  <r>
    <x v="3"/>
  </r>
  <r>
    <x v="0"/>
  </r>
  <r>
    <x v="0"/>
  </r>
  <r>
    <x v="4"/>
  </r>
  <r>
    <x v="0"/>
  </r>
  <r>
    <x v="4"/>
  </r>
  <r>
    <x v="2"/>
  </r>
  <r>
    <x v="4"/>
  </r>
  <r>
    <x v="0"/>
  </r>
  <r>
    <x v="0"/>
  </r>
  <r>
    <x v="2"/>
  </r>
  <r>
    <x v="4"/>
  </r>
  <r>
    <x v="0"/>
  </r>
  <r>
    <x v="2"/>
  </r>
  <r>
    <x v="4"/>
  </r>
  <r>
    <x v="2"/>
  </r>
  <r>
    <x v="1"/>
  </r>
  <r>
    <x v="2"/>
  </r>
  <r>
    <x v="4"/>
  </r>
  <r>
    <x v="2"/>
  </r>
  <r>
    <x v="4"/>
  </r>
  <r>
    <x v="0"/>
  </r>
  <r>
    <x v="0"/>
  </r>
  <r>
    <x v="1"/>
  </r>
  <r>
    <x v="2"/>
  </r>
  <r>
    <x v="3"/>
  </r>
  <r>
    <x v="2"/>
  </r>
  <r>
    <x v="3"/>
  </r>
  <r>
    <x v="3"/>
  </r>
  <r>
    <x v="0"/>
  </r>
  <r>
    <x v="0"/>
  </r>
  <r>
    <x v="4"/>
  </r>
  <r>
    <x v="3"/>
  </r>
  <r>
    <x v="1"/>
  </r>
  <r>
    <x v="4"/>
  </r>
  <r>
    <x v="4"/>
  </r>
  <r>
    <x v="0"/>
  </r>
  <r>
    <x v="0"/>
  </r>
  <r>
    <x v="2"/>
  </r>
  <r>
    <x v="1"/>
  </r>
  <r>
    <x v="2"/>
  </r>
  <r>
    <x v="3"/>
  </r>
  <r>
    <x v="2"/>
  </r>
  <r>
    <x v="3"/>
  </r>
  <r>
    <x v="2"/>
  </r>
  <r>
    <x v="0"/>
  </r>
  <r>
    <x v="0"/>
  </r>
  <r>
    <x v="2"/>
  </r>
  <r>
    <x v="2"/>
  </r>
  <r>
    <x v="2"/>
  </r>
  <r>
    <x v="4"/>
  </r>
  <r>
    <x v="2"/>
  </r>
  <r>
    <x v="3"/>
  </r>
  <r>
    <x v="3"/>
  </r>
  <r>
    <x v="0"/>
  </r>
  <r>
    <x v="0"/>
  </r>
  <r>
    <x v="4"/>
  </r>
  <r>
    <x v="0"/>
  </r>
  <r>
    <x v="2"/>
  </r>
  <r>
    <x v="3"/>
  </r>
  <r>
    <x v="0"/>
  </r>
  <r>
    <x v="2"/>
  </r>
  <r>
    <x v="1"/>
  </r>
  <r>
    <x v="3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91AC5-3774-430E-9965-E80022317D04}" name="Сводная таблица2" cacheId="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rowHeaderCaption="Список всех продавцов данной компании">
  <location ref="D2:D57" firstHeaderRow="1" firstDataRow="1" firstDataCol="1"/>
  <pivotFields count="7">
    <pivotField showAll="0"/>
    <pivotField axis="axisRow" showAll="0">
      <items count="10">
        <item x="0"/>
        <item x="7"/>
        <item x="3"/>
        <item x="4"/>
        <item x="5"/>
        <item x="8"/>
        <item x="1"/>
        <item x="6"/>
        <item x="2"/>
        <item t="default"/>
      </items>
    </pivotField>
    <pivotField numFmtId="14" showAll="0"/>
    <pivotField axis="axisRow" showAll="0">
      <items count="6">
        <item x="0"/>
        <item x="2"/>
        <item x="3"/>
        <item x="1"/>
        <item x="4"/>
        <item t="default"/>
      </items>
    </pivotField>
    <pivotField numFmtId="1" showAll="0"/>
    <pivotField numFmtId="164" showAll="0"/>
    <pivotField showAll="0"/>
  </pivotFields>
  <rowFields count="2">
    <field x="1"/>
    <field x="3"/>
  </rowFields>
  <rowItems count="5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formats count="24">
    <format dxfId="34">
      <pivotArea field="1" type="button" dataOnly="0" labelOnly="1" outline="0" axis="axisRow" fieldPosition="0"/>
    </format>
    <format dxfId="33">
      <pivotArea field="1" type="button" dataOnly="0" labelOnly="1" outline="0" axis="axisRow" fieldPosition="0"/>
    </format>
    <format dxfId="32">
      <pivotArea field="1" type="button" dataOnly="0" labelOnly="1" outline="0" axis="axisRow" fieldPosition="0"/>
    </format>
    <format dxfId="31">
      <pivotArea field="1" type="button" dataOnly="0" labelOnly="1" outline="0" axis="axisRow" fieldPosition="0"/>
    </format>
    <format dxfId="30">
      <pivotArea field="1" type="button" dataOnly="0" labelOnly="1" outline="0" axis="axisRow" fieldPosition="0"/>
    </format>
    <format dxfId="29">
      <pivotArea dataOnly="0" labelOnly="1" grandRow="1" outline="0" fieldPosition="0"/>
    </format>
    <format dxfId="28">
      <pivotArea dataOnly="0" labelOnly="1" grandRow="1" outline="0" fieldPosition="0"/>
    </format>
    <format dxfId="27">
      <pivotArea dataOnly="0" labelOnly="1" grandRow="1" outline="0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2">
          <reference field="1" count="1" selected="0">
            <x v="0"/>
          </reference>
          <reference field="3" count="0"/>
        </references>
      </pivotArea>
    </format>
    <format dxfId="23">
      <pivotArea dataOnly="0" labelOnly="1" fieldPosition="0">
        <references count="2">
          <reference field="1" count="1" selected="0">
            <x v="1"/>
          </reference>
          <reference field="3" count="0"/>
        </references>
      </pivotArea>
    </format>
    <format dxfId="22">
      <pivotArea dataOnly="0" labelOnly="1" fieldPosition="0">
        <references count="2">
          <reference field="1" count="1" selected="0">
            <x v="2"/>
          </reference>
          <reference field="3" count="0"/>
        </references>
      </pivotArea>
    </format>
    <format dxfId="21">
      <pivotArea dataOnly="0" labelOnly="1" fieldPosition="0">
        <references count="2">
          <reference field="1" count="1" selected="0">
            <x v="3"/>
          </reference>
          <reference field="3" count="0"/>
        </references>
      </pivotArea>
    </format>
    <format dxfId="20">
      <pivotArea dataOnly="0" labelOnly="1" fieldPosition="0">
        <references count="2">
          <reference field="1" count="1" selected="0">
            <x v="4"/>
          </reference>
          <reference field="3" count="0"/>
        </references>
      </pivotArea>
    </format>
    <format dxfId="19">
      <pivotArea dataOnly="0" labelOnly="1" fieldPosition="0">
        <references count="2">
          <reference field="1" count="1" selected="0">
            <x v="5"/>
          </reference>
          <reference field="3" count="0"/>
        </references>
      </pivotArea>
    </format>
    <format dxfId="18">
      <pivotArea dataOnly="0" labelOnly="1" fieldPosition="0">
        <references count="2">
          <reference field="1" count="1" selected="0">
            <x v="6"/>
          </reference>
          <reference field="3" count="0"/>
        </references>
      </pivotArea>
    </format>
    <format dxfId="17">
      <pivotArea dataOnly="0" labelOnly="1" fieldPosition="0">
        <references count="2">
          <reference field="1" count="1" selected="0">
            <x v="7"/>
          </reference>
          <reference field="3" count="0"/>
        </references>
      </pivotArea>
    </format>
    <format dxfId="16">
      <pivotArea dataOnly="0" labelOnly="1" fieldPosition="0">
        <references count="2">
          <reference field="1" count="1" selected="0">
            <x v="8"/>
          </reference>
          <reference field="3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Row="1" outline="0" fieldPosition="0"/>
    </format>
    <format dxfId="12">
      <pivotArea dataOnly="0" labelOnly="1" grandRow="1" outline="0" fieldPosition="0"/>
    </format>
    <format dxfId="11">
      <pivotArea dataOnly="0" labelOnly="1" fieldPosition="0">
        <references count="2">
          <reference field="1" count="1" selected="0">
            <x v="8"/>
          </reference>
          <reference field="3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57432C-09C5-47C9-A8D1-63672CF19967}" name="Сводная таблица3" cacheId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rowHeaderCaption="Список всех товаров">
  <location ref="B2:B8" firstHeaderRow="1" firstDataRow="1" firstDataCol="1"/>
  <pivotFields count="1">
    <pivotField axis="axisRow" showAll="0">
      <items count="6">
        <item x="2"/>
        <item x="1"/>
        <item x="3"/>
        <item x="0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formats count="16">
    <format dxfId="50">
      <pivotArea field="0" type="button" dataOnly="0" labelOnly="1" outline="0" axis="axisRow" fieldPosition="0"/>
    </format>
    <format dxfId="49">
      <pivotArea field="0" type="button" dataOnly="0" labelOnly="1" outline="0" axis="axisRow" fieldPosition="0"/>
    </format>
    <format dxfId="48">
      <pivotArea field="0" type="button" dataOnly="0" labelOnly="1" outline="0" axis="axisRow" fieldPosition="0"/>
    </format>
    <format dxfId="47">
      <pivotArea dataOnly="0" labelOnly="1" grandRow="1" outline="0" fieldPosition="0"/>
    </format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field="0" type="button" dataOnly="0" labelOnly="1" outline="0" axis="axisRow" fieldPosition="0"/>
    </format>
    <format dxfId="40">
      <pivotArea dataOnly="0" labelOnly="1" grandRow="1" outline="0" fieldPosition="0"/>
    </format>
    <format dxfId="39">
      <pivotArea dataOnly="0" labelOnly="1" grandRow="1" outline="0" fieldPosition="0"/>
    </format>
    <format dxfId="38">
      <pivotArea dataOnly="0" labelOnly="1" grandRow="1" outline="0" fieldPosition="0"/>
    </format>
    <format dxfId="37">
      <pivotArea dataOnly="0" labelOnly="1" grandRow="1" outline="0" fieldPosition="0"/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0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C99AC-0463-4C87-8A48-D1408B23D81C}" name="Сводная таблица1" cacheId="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rowHeaderCaption="Все регионы страны">
  <location ref="B2:B27" firstHeaderRow="1" firstDataRow="1" firstDataCol="1"/>
  <pivotFields count="7">
    <pivotField showAll="0"/>
    <pivotField showAll="0"/>
    <pivotField numFmtId="14" showAll="0"/>
    <pivotField axis="axisRow" showAll="0">
      <items count="6">
        <item x="0"/>
        <item x="2"/>
        <item x="3"/>
        <item x="1"/>
        <item x="4"/>
        <item t="default"/>
      </items>
    </pivotField>
    <pivotField numFmtId="1" showAll="0"/>
    <pivotField numFmtId="164" showAll="0"/>
    <pivotField axis="axisRow" showAll="0">
      <items count="5">
        <item x="3"/>
        <item x="2"/>
        <item x="1"/>
        <item x="0"/>
        <item t="default"/>
      </items>
    </pivotField>
  </pivotFields>
  <rowFields count="2">
    <field x="6"/>
    <field x="3"/>
  </rowFields>
  <rowItems count="2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formats count="11">
    <format dxfId="10">
      <pivotArea dataOnly="0" labelOnly="1" grandRow="1" outline="0" fieldPosition="0"/>
    </format>
    <format dxfId="9">
      <pivotArea dataOnly="0" labelOnly="1" grandRow="1" outline="0" fieldPosition="0"/>
    </format>
    <format dxfId="8">
      <pivotArea field="6" type="button" dataOnly="0" labelOnly="1" outline="0" axis="axisRow" fieldPosition="0"/>
    </format>
    <format dxfId="7">
      <pivotArea field="6" type="button" dataOnly="0" labelOnly="1" outline="0" axis="axisRow" fieldPosition="0"/>
    </format>
    <format dxfId="6">
      <pivotArea field="6" type="button" dataOnly="0" labelOnly="1" outline="0" axis="axisRow" fieldPosition="0"/>
    </format>
    <format dxfId="5">
      <pivotArea field="6" type="button" dataOnly="0" labelOnly="1" outline="0" axis="axisRow" fieldPosition="0"/>
    </format>
    <format dxfId="4">
      <pivotArea dataOnly="0" labelOnly="1" fieldPosition="0">
        <references count="1">
          <reference field="6" count="0"/>
        </references>
      </pivotArea>
    </format>
    <format dxfId="3">
      <pivotArea dataOnly="0" labelOnly="1" fieldPosition="0">
        <references count="2">
          <reference field="3" count="0"/>
          <reference field="6" count="1" selected="0">
            <x v="0"/>
          </reference>
        </references>
      </pivotArea>
    </format>
    <format dxfId="2">
      <pivotArea dataOnly="0" labelOnly="1" fieldPosition="0">
        <references count="2">
          <reference field="3" count="0"/>
          <reference field="6" count="1" selected="0">
            <x v="1"/>
          </reference>
        </references>
      </pivotArea>
    </format>
    <format dxfId="1">
      <pivotArea dataOnly="0" labelOnly="1" fieldPosition="0">
        <references count="2">
          <reference field="3" count="0"/>
          <reference field="6" count="1" selected="0">
            <x v="2"/>
          </reference>
        </references>
      </pivotArea>
    </format>
    <format dxfId="0">
      <pivotArea dataOnly="0" labelOnly="1" fieldPosition="0">
        <references count="2">
          <reference field="3" count="0"/>
          <reference field="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AH1893"/>
  <sheetViews>
    <sheetView tabSelected="1" topLeftCell="G1" zoomScale="75" workbookViewId="0">
      <selection activeCell="J1825" sqref="J1825"/>
    </sheetView>
  </sheetViews>
  <sheetFormatPr defaultRowHeight="13.2" x14ac:dyDescent="0.25"/>
  <cols>
    <col min="1" max="1" width="26.88671875" hidden="1" customWidth="1"/>
    <col min="2" max="2" width="24.88671875" hidden="1" customWidth="1"/>
    <col min="3" max="6" width="0" hidden="1" customWidth="1"/>
    <col min="8" max="8" width="17" style="11" customWidth="1"/>
    <col min="9" max="9" width="8.88671875" style="11"/>
    <col min="10" max="10" width="17" style="11" customWidth="1"/>
    <col min="11" max="11" width="17" style="13" customWidth="1"/>
    <col min="12" max="12" width="8.88671875" style="11"/>
    <col min="13" max="13" width="8.88671875" style="11" customWidth="1"/>
    <col min="14" max="14" width="17" style="11" customWidth="1"/>
    <col min="15" max="15" width="8.88671875" customWidth="1"/>
    <col min="16" max="19" width="8.88671875" style="33" customWidth="1"/>
    <col min="20" max="22" width="8.88671875" style="34" customWidth="1"/>
    <col min="23" max="23" width="8.88671875" customWidth="1"/>
    <col min="32" max="32" width="8.88671875" customWidth="1"/>
  </cols>
  <sheetData>
    <row r="2" spans="2:34" s="4" customFormat="1" ht="26.4" customHeight="1" x14ac:dyDescent="0.25">
      <c r="H2" s="17" t="s">
        <v>0</v>
      </c>
      <c r="I2" s="17" t="s">
        <v>1</v>
      </c>
      <c r="J2" s="17" t="s">
        <v>2</v>
      </c>
      <c r="K2" s="17" t="s">
        <v>3</v>
      </c>
      <c r="L2" s="17" t="s">
        <v>4</v>
      </c>
      <c r="M2" s="17" t="s">
        <v>5</v>
      </c>
      <c r="N2" s="17" t="s">
        <v>6</v>
      </c>
      <c r="P2" s="30" t="s">
        <v>41</v>
      </c>
      <c r="Q2" s="30" t="s">
        <v>42</v>
      </c>
      <c r="R2" s="30" t="s">
        <v>43</v>
      </c>
      <c r="S2" s="30" t="s">
        <v>44</v>
      </c>
      <c r="T2" s="31" t="s">
        <v>40</v>
      </c>
      <c r="U2" s="31" t="s">
        <v>30</v>
      </c>
      <c r="V2" s="31" t="s">
        <v>32</v>
      </c>
      <c r="W2" s="17" t="s">
        <v>50</v>
      </c>
      <c r="X2" s="17" t="s">
        <v>54</v>
      </c>
      <c r="Y2" s="17" t="s">
        <v>58</v>
      </c>
      <c r="AA2" s="35" t="s">
        <v>63</v>
      </c>
      <c r="AB2" s="35" t="s">
        <v>68</v>
      </c>
      <c r="AC2" s="35" t="s">
        <v>64</v>
      </c>
      <c r="AD2" s="35" t="s">
        <v>69</v>
      </c>
      <c r="AE2" s="35" t="s">
        <v>74</v>
      </c>
      <c r="AF2" s="35" t="s">
        <v>78</v>
      </c>
      <c r="AG2" s="35" t="s">
        <v>80</v>
      </c>
      <c r="AH2" s="55" t="s">
        <v>79</v>
      </c>
    </row>
    <row r="3" spans="2:34" x14ac:dyDescent="0.25">
      <c r="B3" s="2"/>
      <c r="H3" s="7">
        <v>1</v>
      </c>
      <c r="I3" s="7" t="s">
        <v>7</v>
      </c>
      <c r="J3" s="8">
        <v>38078</v>
      </c>
      <c r="K3" s="12" t="s">
        <v>17</v>
      </c>
      <c r="L3" s="9">
        <v>45</v>
      </c>
      <c r="M3" s="10">
        <v>137.20455832336393</v>
      </c>
      <c r="N3" s="7" t="s">
        <v>21</v>
      </c>
      <c r="O3" s="2"/>
      <c r="P3" s="29" t="str">
        <f t="shared" ref="P3:P66" si="0">IF(AND((MONTH(J3))&lt;4,YEAR(J3)=2004),1,"")</f>
        <v/>
      </c>
      <c r="Q3" s="29">
        <f t="shared" ref="Q3:Q66" si="1">IF(AND(3&lt;(MONTH(J3)),(MONTH(J3)&lt;7),YEAR(J3)=2004),1,"")</f>
        <v>1</v>
      </c>
      <c r="R3" s="29" t="str">
        <f t="shared" ref="R3:R66" si="2">IF(AND(6&lt;(MONTH(J3)),(MONTH(J3)&lt;10),YEAR(J3)=2004),1,"")</f>
        <v/>
      </c>
      <c r="S3" s="29" t="str">
        <f t="shared" ref="S3:S66" si="3">IF(AND(9&lt;(MONTH(J3)),(MONTH(J3)&lt;13),YEAR(J3)=2004),1,"")</f>
        <v/>
      </c>
      <c r="T3" s="32" t="str">
        <f t="shared" ref="T3:T66" si="4">IF(AND((9&lt;MONTH(J3)),YEAR(J3)=2005),1,"")</f>
        <v/>
      </c>
      <c r="U3" s="32" t="str">
        <f>IF(YEAR(J3)=2005,1,"")</f>
        <v/>
      </c>
      <c r="V3" s="32" t="str">
        <f>IF(YEAR(J3)=2006,1,"")</f>
        <v/>
      </c>
      <c r="W3" s="41">
        <f t="shared" ref="W3:W66" si="5">IF(L3&gt;0,M3/L3,"")</f>
        <v>3.0489901849636429</v>
      </c>
      <c r="X3" s="6">
        <f t="shared" ref="X3:X66" si="6">IF(U3=1,M3,0)</f>
        <v>0</v>
      </c>
      <c r="Y3" s="7">
        <f>RANK(X3,$X$3:$X$1893)</f>
        <v>567</v>
      </c>
      <c r="AA3" s="7">
        <f>IF(AND(OR((MONTH(J3))=1,(MONTH(J3))=2,(MONTH(J3))=3,(MONTH(J3))=7,(MONTH(J3))=8,(MONTH(J3))=9),YEAR(J3)=2005),1,0)</f>
        <v>0</v>
      </c>
      <c r="AB3" s="7" t="str">
        <f>IF(AA3=1,L3,"")</f>
        <v/>
      </c>
      <c r="AC3" s="7">
        <f>IF(AND(OR((MONTH(J3))=4,(MONTH(J3))=5,(MONTH(J3))=6,(MONTH(J3))=10,(MONTH(J3))=11,(MONTH(J3))=12),YEAR(J3)=2005),1,0)</f>
        <v>0</v>
      </c>
      <c r="AD3" s="7" t="str">
        <f>IF(AC3=1,L3,"")</f>
        <v/>
      </c>
      <c r="AE3" s="6">
        <f>IF(L3&lt;0,L3,0)</f>
        <v>0</v>
      </c>
      <c r="AF3" s="69">
        <f>IF(L3&gt;0,W3,"")</f>
        <v>3.0489901849636429</v>
      </c>
      <c r="AG3" s="6">
        <f>IF(AND((M3&gt;0),(YEAR(J3)=2004)),M3,0)</f>
        <v>137.20455832336393</v>
      </c>
      <c r="AH3" s="6">
        <f>RANK(AG3,$AG$3:$AG$1893)</f>
        <v>305</v>
      </c>
    </row>
    <row r="4" spans="2:34" x14ac:dyDescent="0.25">
      <c r="B4" s="2"/>
      <c r="H4" s="7">
        <v>2</v>
      </c>
      <c r="I4" s="7" t="s">
        <v>8</v>
      </c>
      <c r="J4" s="8">
        <v>38056</v>
      </c>
      <c r="K4" s="12" t="s">
        <v>18</v>
      </c>
      <c r="L4" s="9">
        <v>50</v>
      </c>
      <c r="M4" s="10">
        <v>152.00730307485438</v>
      </c>
      <c r="N4" s="7" t="s">
        <v>22</v>
      </c>
      <c r="P4" s="29">
        <f t="shared" si="0"/>
        <v>1</v>
      </c>
      <c r="Q4" s="29" t="str">
        <f t="shared" si="1"/>
        <v/>
      </c>
      <c r="R4" s="29" t="str">
        <f t="shared" si="2"/>
        <v/>
      </c>
      <c r="S4" s="29" t="str">
        <f t="shared" si="3"/>
        <v/>
      </c>
      <c r="T4" s="32" t="str">
        <f t="shared" si="4"/>
        <v/>
      </c>
      <c r="U4" s="32" t="str">
        <f t="shared" ref="U4:U67" si="7">IF(YEAR(J4)=2005,1,"")</f>
        <v/>
      </c>
      <c r="V4" s="32" t="str">
        <f t="shared" ref="V4:V67" si="8">IF(YEAR(J4)=2006,1,"")</f>
        <v/>
      </c>
      <c r="W4" s="41">
        <f t="shared" si="5"/>
        <v>3.0401460614970874</v>
      </c>
      <c r="X4" s="6">
        <f t="shared" si="6"/>
        <v>0</v>
      </c>
      <c r="Y4" s="7">
        <f t="shared" ref="Y4:Y67" si="9">RANK(X4,$X$3:$X$1893)</f>
        <v>567</v>
      </c>
      <c r="AA4" s="7">
        <f t="shared" ref="AA4:AA67" si="10">IF(AND(OR((MONTH(J4))=1,(MONTH(J4))=2,(MONTH(J4))=3,(MONTH(J4))=7,(MONTH(J4))=8,(MONTH(J4))=9),YEAR(J4)=2005),1,0)</f>
        <v>0</v>
      </c>
      <c r="AB4" s="7" t="str">
        <f t="shared" ref="AB4:AB67" si="11">IF(AA4=1,L4,"")</f>
        <v/>
      </c>
      <c r="AC4" s="7">
        <f t="shared" ref="AC4:AC67" si="12">IF(AND(OR((MONTH(J4))=4,(MONTH(J4))=5,(MONTH(J4))=6,(MONTH(J4))=10,(MONTH(J4))=11,(MONTH(J4))=12),YEAR(J4)=2005),1,0)</f>
        <v>0</v>
      </c>
      <c r="AD4" s="7" t="str">
        <f t="shared" ref="AD4:AD67" si="13">IF(AC4=1,L4,"")</f>
        <v/>
      </c>
      <c r="AE4" s="6">
        <f t="shared" ref="AE4:AE67" si="14">IF(L4&lt;0,L4,0)</f>
        <v>0</v>
      </c>
      <c r="AF4" s="69">
        <f t="shared" ref="AF4:AF67" si="15">IF(L4&gt;0,W4,"")</f>
        <v>3.0401460614970874</v>
      </c>
      <c r="AG4" s="6">
        <f t="shared" ref="AG4:AG67" si="16">IF(AND((M4&gt;0),(YEAR(J4)=2004)),M4,0)</f>
        <v>152.00730307485438</v>
      </c>
      <c r="AH4" s="6">
        <f t="shared" ref="AH4:AH67" si="17">RANK(AG4,$AG$3:$AG$1893)</f>
        <v>270</v>
      </c>
    </row>
    <row r="5" spans="2:34" x14ac:dyDescent="0.25">
      <c r="B5" s="2"/>
      <c r="H5" s="7">
        <v>3</v>
      </c>
      <c r="I5" s="7" t="s">
        <v>9</v>
      </c>
      <c r="J5" s="8">
        <v>38408</v>
      </c>
      <c r="K5" s="12" t="s">
        <v>19</v>
      </c>
      <c r="L5" s="9">
        <v>9</v>
      </c>
      <c r="M5" s="10">
        <v>28.719483117139745</v>
      </c>
      <c r="N5" s="7" t="s">
        <v>22</v>
      </c>
      <c r="P5" s="29" t="str">
        <f t="shared" si="0"/>
        <v/>
      </c>
      <c r="Q5" s="29" t="str">
        <f t="shared" si="1"/>
        <v/>
      </c>
      <c r="R5" s="29" t="str">
        <f t="shared" si="2"/>
        <v/>
      </c>
      <c r="S5" s="29" t="str">
        <f t="shared" si="3"/>
        <v/>
      </c>
      <c r="T5" s="32" t="str">
        <f t="shared" si="4"/>
        <v/>
      </c>
      <c r="U5" s="32">
        <f t="shared" si="7"/>
        <v>1</v>
      </c>
      <c r="V5" s="32" t="str">
        <f t="shared" si="8"/>
        <v/>
      </c>
      <c r="W5" s="41">
        <f t="shared" si="5"/>
        <v>3.1910536796821938</v>
      </c>
      <c r="X5" s="6">
        <f t="shared" si="6"/>
        <v>28.719483117139745</v>
      </c>
      <c r="Y5" s="7">
        <f t="shared" si="9"/>
        <v>507</v>
      </c>
      <c r="AA5" s="7">
        <f t="shared" si="10"/>
        <v>1</v>
      </c>
      <c r="AB5" s="7">
        <f t="shared" si="11"/>
        <v>9</v>
      </c>
      <c r="AC5" s="7">
        <f t="shared" si="12"/>
        <v>0</v>
      </c>
      <c r="AD5" s="7" t="str">
        <f t="shared" si="13"/>
        <v/>
      </c>
      <c r="AE5" s="6">
        <f t="shared" si="14"/>
        <v>0</v>
      </c>
      <c r="AF5" s="69">
        <f t="shared" si="15"/>
        <v>3.1910536796821938</v>
      </c>
      <c r="AG5" s="6">
        <f t="shared" si="16"/>
        <v>0</v>
      </c>
      <c r="AH5" s="6">
        <f t="shared" si="17"/>
        <v>604</v>
      </c>
    </row>
    <row r="6" spans="2:34" x14ac:dyDescent="0.25">
      <c r="B6" s="2"/>
      <c r="H6" s="7">
        <v>4</v>
      </c>
      <c r="I6" s="7" t="s">
        <v>8</v>
      </c>
      <c r="J6" s="8">
        <v>38859</v>
      </c>
      <c r="K6" s="12" t="s">
        <v>17</v>
      </c>
      <c r="L6" s="9">
        <v>55</v>
      </c>
      <c r="M6" s="10">
        <v>167.07532251655616</v>
      </c>
      <c r="N6" s="7" t="s">
        <v>23</v>
      </c>
      <c r="P6" s="29" t="str">
        <f t="shared" si="0"/>
        <v/>
      </c>
      <c r="Q6" s="29" t="str">
        <f t="shared" si="1"/>
        <v/>
      </c>
      <c r="R6" s="29" t="str">
        <f t="shared" si="2"/>
        <v/>
      </c>
      <c r="S6" s="29" t="str">
        <f t="shared" si="3"/>
        <v/>
      </c>
      <c r="T6" s="32" t="str">
        <f t="shared" si="4"/>
        <v/>
      </c>
      <c r="U6" s="32" t="str">
        <f t="shared" si="7"/>
        <v/>
      </c>
      <c r="V6" s="32">
        <f t="shared" si="8"/>
        <v>1</v>
      </c>
      <c r="W6" s="41">
        <f t="shared" si="5"/>
        <v>3.0377331366646572</v>
      </c>
      <c r="X6" s="6">
        <f t="shared" si="6"/>
        <v>0</v>
      </c>
      <c r="Y6" s="7">
        <f t="shared" si="9"/>
        <v>567</v>
      </c>
      <c r="AA6" s="7">
        <f t="shared" si="10"/>
        <v>0</v>
      </c>
      <c r="AB6" s="7" t="str">
        <f t="shared" si="11"/>
        <v/>
      </c>
      <c r="AC6" s="7">
        <f t="shared" si="12"/>
        <v>0</v>
      </c>
      <c r="AD6" s="7" t="str">
        <f t="shared" si="13"/>
        <v/>
      </c>
      <c r="AE6" s="6">
        <f t="shared" si="14"/>
        <v>0</v>
      </c>
      <c r="AF6" s="69">
        <f t="shared" si="15"/>
        <v>3.0377331366646572</v>
      </c>
      <c r="AG6" s="6">
        <f t="shared" si="16"/>
        <v>0</v>
      </c>
      <c r="AH6" s="6">
        <f t="shared" si="17"/>
        <v>604</v>
      </c>
    </row>
    <row r="7" spans="2:34" x14ac:dyDescent="0.25">
      <c r="B7" s="2"/>
      <c r="H7" s="7">
        <v>5</v>
      </c>
      <c r="I7" s="7" t="s">
        <v>10</v>
      </c>
      <c r="J7" s="8">
        <v>38155</v>
      </c>
      <c r="K7" s="12" t="s">
        <v>17</v>
      </c>
      <c r="L7" s="9">
        <v>43</v>
      </c>
      <c r="M7" s="10">
        <v>130.60287243901442</v>
      </c>
      <c r="N7" s="7" t="s">
        <v>22</v>
      </c>
      <c r="P7" s="29" t="str">
        <f t="shared" si="0"/>
        <v/>
      </c>
      <c r="Q7" s="29">
        <f t="shared" si="1"/>
        <v>1</v>
      </c>
      <c r="R7" s="29" t="str">
        <f t="shared" si="2"/>
        <v/>
      </c>
      <c r="S7" s="29" t="str">
        <f t="shared" si="3"/>
        <v/>
      </c>
      <c r="T7" s="32" t="str">
        <f t="shared" si="4"/>
        <v/>
      </c>
      <c r="U7" s="32" t="str">
        <f t="shared" si="7"/>
        <v/>
      </c>
      <c r="V7" s="32" t="str">
        <f t="shared" si="8"/>
        <v/>
      </c>
      <c r="W7" s="41">
        <f t="shared" si="5"/>
        <v>3.0372761032328937</v>
      </c>
      <c r="X7" s="6">
        <f t="shared" si="6"/>
        <v>0</v>
      </c>
      <c r="Y7" s="7">
        <f t="shared" si="9"/>
        <v>567</v>
      </c>
      <c r="AA7" s="7">
        <f t="shared" si="10"/>
        <v>0</v>
      </c>
      <c r="AB7" s="7" t="str">
        <f t="shared" si="11"/>
        <v/>
      </c>
      <c r="AC7" s="7">
        <f t="shared" si="12"/>
        <v>0</v>
      </c>
      <c r="AD7" s="7" t="str">
        <f t="shared" si="13"/>
        <v/>
      </c>
      <c r="AE7" s="6">
        <f t="shared" si="14"/>
        <v>0</v>
      </c>
      <c r="AF7" s="69">
        <f t="shared" si="15"/>
        <v>3.0372761032328937</v>
      </c>
      <c r="AG7" s="6">
        <f t="shared" si="16"/>
        <v>130.60287243901442</v>
      </c>
      <c r="AH7" s="6">
        <f t="shared" si="17"/>
        <v>317</v>
      </c>
    </row>
    <row r="8" spans="2:34" x14ac:dyDescent="0.25">
      <c r="B8" s="2"/>
      <c r="H8" s="7">
        <v>6</v>
      </c>
      <c r="I8" s="7" t="s">
        <v>11</v>
      </c>
      <c r="J8" s="8">
        <v>38683</v>
      </c>
      <c r="K8" s="12" t="s">
        <v>16</v>
      </c>
      <c r="L8" s="9">
        <v>58</v>
      </c>
      <c r="M8" s="10">
        <v>175.99097407072162</v>
      </c>
      <c r="N8" s="7" t="s">
        <v>22</v>
      </c>
      <c r="P8" s="29" t="str">
        <f t="shared" si="0"/>
        <v/>
      </c>
      <c r="Q8" s="29" t="str">
        <f t="shared" si="1"/>
        <v/>
      </c>
      <c r="R8" s="29" t="str">
        <f t="shared" si="2"/>
        <v/>
      </c>
      <c r="S8" s="29" t="str">
        <f t="shared" si="3"/>
        <v/>
      </c>
      <c r="T8" s="32">
        <f t="shared" si="4"/>
        <v>1</v>
      </c>
      <c r="U8" s="32">
        <f t="shared" si="7"/>
        <v>1</v>
      </c>
      <c r="V8" s="32" t="str">
        <f t="shared" si="8"/>
        <v/>
      </c>
      <c r="W8" s="41">
        <f t="shared" si="5"/>
        <v>3.0343271391503728</v>
      </c>
      <c r="X8" s="6">
        <f t="shared" si="6"/>
        <v>175.99097407072162</v>
      </c>
      <c r="Y8" s="7">
        <f t="shared" si="9"/>
        <v>214</v>
      </c>
      <c r="AA8" s="7">
        <f t="shared" si="10"/>
        <v>0</v>
      </c>
      <c r="AB8" s="7" t="str">
        <f t="shared" si="11"/>
        <v/>
      </c>
      <c r="AC8" s="7">
        <f t="shared" si="12"/>
        <v>1</v>
      </c>
      <c r="AD8" s="7">
        <f t="shared" si="13"/>
        <v>58</v>
      </c>
      <c r="AE8" s="6">
        <f t="shared" si="14"/>
        <v>0</v>
      </c>
      <c r="AF8" s="69">
        <f t="shared" si="15"/>
        <v>3.0343271391503728</v>
      </c>
      <c r="AG8" s="6">
        <f t="shared" si="16"/>
        <v>0</v>
      </c>
      <c r="AH8" s="6">
        <f t="shared" si="17"/>
        <v>604</v>
      </c>
    </row>
    <row r="9" spans="2:34" x14ac:dyDescent="0.25">
      <c r="B9" s="2"/>
      <c r="H9" s="7">
        <v>7</v>
      </c>
      <c r="I9" s="7" t="s">
        <v>12</v>
      </c>
      <c r="J9" s="8">
        <v>38067</v>
      </c>
      <c r="K9" s="12" t="s">
        <v>16</v>
      </c>
      <c r="L9" s="9">
        <v>8</v>
      </c>
      <c r="M9" s="10">
        <v>25.800692176216739</v>
      </c>
      <c r="N9" s="7" t="s">
        <v>22</v>
      </c>
      <c r="O9" s="2"/>
      <c r="P9" s="29">
        <f t="shared" si="0"/>
        <v>1</v>
      </c>
      <c r="Q9" s="29" t="str">
        <f t="shared" si="1"/>
        <v/>
      </c>
      <c r="R9" s="29" t="str">
        <f t="shared" si="2"/>
        <v/>
      </c>
      <c r="S9" s="29" t="str">
        <f t="shared" si="3"/>
        <v/>
      </c>
      <c r="T9" s="32" t="str">
        <f t="shared" si="4"/>
        <v/>
      </c>
      <c r="U9" s="32" t="str">
        <f t="shared" si="7"/>
        <v/>
      </c>
      <c r="V9" s="32" t="str">
        <f t="shared" si="8"/>
        <v/>
      </c>
      <c r="W9" s="41">
        <f t="shared" si="5"/>
        <v>3.2250865220270923</v>
      </c>
      <c r="X9" s="6">
        <f t="shared" si="6"/>
        <v>0</v>
      </c>
      <c r="Y9" s="7">
        <f t="shared" si="9"/>
        <v>567</v>
      </c>
      <c r="AA9" s="7">
        <f t="shared" si="10"/>
        <v>0</v>
      </c>
      <c r="AB9" s="7" t="str">
        <f t="shared" si="11"/>
        <v/>
      </c>
      <c r="AC9" s="7">
        <f t="shared" si="12"/>
        <v>0</v>
      </c>
      <c r="AD9" s="7" t="str">
        <f t="shared" si="13"/>
        <v/>
      </c>
      <c r="AE9" s="6">
        <f t="shared" si="14"/>
        <v>0</v>
      </c>
      <c r="AF9" s="69">
        <f t="shared" si="15"/>
        <v>3.2250865220270923</v>
      </c>
      <c r="AG9" s="6">
        <f t="shared" si="16"/>
        <v>25.800692176216739</v>
      </c>
      <c r="AH9" s="6">
        <f t="shared" si="17"/>
        <v>544</v>
      </c>
    </row>
    <row r="10" spans="2:34" x14ac:dyDescent="0.25">
      <c r="B10" s="2"/>
      <c r="H10" s="7">
        <v>8</v>
      </c>
      <c r="I10" s="7" t="s">
        <v>11</v>
      </c>
      <c r="J10" s="8">
        <v>39068</v>
      </c>
      <c r="K10" s="12" t="s">
        <v>17</v>
      </c>
      <c r="L10" s="9">
        <v>72</v>
      </c>
      <c r="M10" s="10">
        <v>217.83965386113226</v>
      </c>
      <c r="N10" s="7" t="s">
        <v>22</v>
      </c>
      <c r="P10" s="29" t="str">
        <f t="shared" si="0"/>
        <v/>
      </c>
      <c r="Q10" s="29" t="str">
        <f t="shared" si="1"/>
        <v/>
      </c>
      <c r="R10" s="29" t="str">
        <f t="shared" si="2"/>
        <v/>
      </c>
      <c r="S10" s="29" t="str">
        <f t="shared" si="3"/>
        <v/>
      </c>
      <c r="T10" s="32" t="str">
        <f t="shared" si="4"/>
        <v/>
      </c>
      <c r="U10" s="32" t="str">
        <f t="shared" si="7"/>
        <v/>
      </c>
      <c r="V10" s="32">
        <f t="shared" si="8"/>
        <v>1</v>
      </c>
      <c r="W10" s="41">
        <f t="shared" si="5"/>
        <v>3.0255507480712813</v>
      </c>
      <c r="X10" s="6">
        <f t="shared" si="6"/>
        <v>0</v>
      </c>
      <c r="Y10" s="7">
        <f t="shared" si="9"/>
        <v>567</v>
      </c>
      <c r="AA10" s="7">
        <f t="shared" si="10"/>
        <v>0</v>
      </c>
      <c r="AB10" s="7" t="str">
        <f t="shared" si="11"/>
        <v/>
      </c>
      <c r="AC10" s="7">
        <f t="shared" si="12"/>
        <v>0</v>
      </c>
      <c r="AD10" s="7" t="str">
        <f t="shared" si="13"/>
        <v/>
      </c>
      <c r="AE10" s="6">
        <f t="shared" si="14"/>
        <v>0</v>
      </c>
      <c r="AF10" s="69">
        <f t="shared" si="15"/>
        <v>3.0255507480712813</v>
      </c>
      <c r="AG10" s="6">
        <f t="shared" si="16"/>
        <v>0</v>
      </c>
      <c r="AH10" s="6">
        <f t="shared" si="17"/>
        <v>604</v>
      </c>
    </row>
    <row r="11" spans="2:34" x14ac:dyDescent="0.25">
      <c r="B11" s="2"/>
      <c r="H11" s="7">
        <v>9</v>
      </c>
      <c r="I11" s="7" t="s">
        <v>9</v>
      </c>
      <c r="J11" s="8">
        <v>38903</v>
      </c>
      <c r="K11" s="12" t="s">
        <v>16</v>
      </c>
      <c r="L11" s="9">
        <v>75</v>
      </c>
      <c r="M11" s="10">
        <v>226.64232685518837</v>
      </c>
      <c r="N11" s="7" t="s">
        <v>21</v>
      </c>
      <c r="P11" s="29" t="str">
        <f t="shared" si="0"/>
        <v/>
      </c>
      <c r="Q11" s="29" t="str">
        <f t="shared" si="1"/>
        <v/>
      </c>
      <c r="R11" s="29" t="str">
        <f t="shared" si="2"/>
        <v/>
      </c>
      <c r="S11" s="29" t="str">
        <f t="shared" si="3"/>
        <v/>
      </c>
      <c r="T11" s="32" t="str">
        <f t="shared" si="4"/>
        <v/>
      </c>
      <c r="U11" s="32" t="str">
        <f t="shared" si="7"/>
        <v/>
      </c>
      <c r="V11" s="32">
        <f t="shared" si="8"/>
        <v>1</v>
      </c>
      <c r="W11" s="41">
        <f t="shared" si="5"/>
        <v>3.0218976914025117</v>
      </c>
      <c r="X11" s="6">
        <f t="shared" si="6"/>
        <v>0</v>
      </c>
      <c r="Y11" s="7">
        <f t="shared" si="9"/>
        <v>567</v>
      </c>
      <c r="AA11" s="7">
        <f t="shared" si="10"/>
        <v>0</v>
      </c>
      <c r="AB11" s="7" t="str">
        <f t="shared" si="11"/>
        <v/>
      </c>
      <c r="AC11" s="7">
        <f t="shared" si="12"/>
        <v>0</v>
      </c>
      <c r="AD11" s="7" t="str">
        <f t="shared" si="13"/>
        <v/>
      </c>
      <c r="AE11" s="6">
        <f t="shared" si="14"/>
        <v>0</v>
      </c>
      <c r="AF11" s="69">
        <f t="shared" si="15"/>
        <v>3.0218976914025117</v>
      </c>
      <c r="AG11" s="6">
        <f t="shared" si="16"/>
        <v>0</v>
      </c>
      <c r="AH11" s="6">
        <f t="shared" si="17"/>
        <v>604</v>
      </c>
    </row>
    <row r="12" spans="2:34" x14ac:dyDescent="0.25">
      <c r="B12" s="2"/>
      <c r="H12" s="7">
        <v>10</v>
      </c>
      <c r="I12" s="7" t="s">
        <v>7</v>
      </c>
      <c r="J12" s="8">
        <v>38936</v>
      </c>
      <c r="K12" s="12" t="s">
        <v>17</v>
      </c>
      <c r="L12" s="9">
        <v>24</v>
      </c>
      <c r="M12" s="10">
        <v>73.502342173405509</v>
      </c>
      <c r="N12" s="7" t="s">
        <v>24</v>
      </c>
      <c r="O12" s="2"/>
      <c r="P12" s="29" t="str">
        <f t="shared" si="0"/>
        <v/>
      </c>
      <c r="Q12" s="29" t="str">
        <f t="shared" si="1"/>
        <v/>
      </c>
      <c r="R12" s="29" t="str">
        <f t="shared" si="2"/>
        <v/>
      </c>
      <c r="S12" s="29" t="str">
        <f t="shared" si="3"/>
        <v/>
      </c>
      <c r="T12" s="32" t="str">
        <f t="shared" si="4"/>
        <v/>
      </c>
      <c r="U12" s="32" t="str">
        <f t="shared" si="7"/>
        <v/>
      </c>
      <c r="V12" s="32">
        <f t="shared" si="8"/>
        <v>1</v>
      </c>
      <c r="W12" s="41">
        <f t="shared" si="5"/>
        <v>3.0625975905585627</v>
      </c>
      <c r="X12" s="6">
        <f t="shared" si="6"/>
        <v>0</v>
      </c>
      <c r="Y12" s="7">
        <f t="shared" si="9"/>
        <v>567</v>
      </c>
      <c r="AA12" s="7">
        <f t="shared" si="10"/>
        <v>0</v>
      </c>
      <c r="AB12" s="7" t="str">
        <f t="shared" si="11"/>
        <v/>
      </c>
      <c r="AC12" s="7">
        <f t="shared" si="12"/>
        <v>0</v>
      </c>
      <c r="AD12" s="7" t="str">
        <f t="shared" si="13"/>
        <v/>
      </c>
      <c r="AE12" s="6">
        <f t="shared" si="14"/>
        <v>0</v>
      </c>
      <c r="AF12" s="69">
        <f t="shared" si="15"/>
        <v>3.0625975905585627</v>
      </c>
      <c r="AG12" s="6">
        <f t="shared" si="16"/>
        <v>0</v>
      </c>
      <c r="AH12" s="6">
        <f t="shared" si="17"/>
        <v>604</v>
      </c>
    </row>
    <row r="13" spans="2:34" x14ac:dyDescent="0.25">
      <c r="B13" s="1"/>
      <c r="H13" s="7">
        <v>11</v>
      </c>
      <c r="I13" s="7" t="s">
        <v>9</v>
      </c>
      <c r="J13" s="8">
        <v>38320</v>
      </c>
      <c r="K13" s="12" t="s">
        <v>20</v>
      </c>
      <c r="L13" s="9">
        <v>43</v>
      </c>
      <c r="M13" s="10">
        <v>130.83536844241408</v>
      </c>
      <c r="N13" s="7" t="s">
        <v>24</v>
      </c>
      <c r="P13" s="29" t="str">
        <f t="shared" si="0"/>
        <v/>
      </c>
      <c r="Q13" s="29" t="str">
        <f t="shared" si="1"/>
        <v/>
      </c>
      <c r="R13" s="29" t="str">
        <f t="shared" si="2"/>
        <v/>
      </c>
      <c r="S13" s="29">
        <f t="shared" si="3"/>
        <v>1</v>
      </c>
      <c r="T13" s="32" t="str">
        <f t="shared" si="4"/>
        <v/>
      </c>
      <c r="U13" s="32" t="str">
        <f t="shared" si="7"/>
        <v/>
      </c>
      <c r="V13" s="32" t="str">
        <f t="shared" si="8"/>
        <v/>
      </c>
      <c r="W13" s="41">
        <f t="shared" si="5"/>
        <v>3.0426829870328858</v>
      </c>
      <c r="X13" s="6">
        <f t="shared" si="6"/>
        <v>0</v>
      </c>
      <c r="Y13" s="7">
        <f t="shared" si="9"/>
        <v>567</v>
      </c>
      <c r="AA13" s="7">
        <f t="shared" si="10"/>
        <v>0</v>
      </c>
      <c r="AB13" s="7" t="str">
        <f t="shared" si="11"/>
        <v/>
      </c>
      <c r="AC13" s="7">
        <f t="shared" si="12"/>
        <v>0</v>
      </c>
      <c r="AD13" s="7" t="str">
        <f t="shared" si="13"/>
        <v/>
      </c>
      <c r="AE13" s="6">
        <f t="shared" si="14"/>
        <v>0</v>
      </c>
      <c r="AF13" s="69">
        <f t="shared" si="15"/>
        <v>3.0426829870328858</v>
      </c>
      <c r="AG13" s="6">
        <f t="shared" si="16"/>
        <v>130.83536844241408</v>
      </c>
      <c r="AH13" s="6">
        <f t="shared" si="17"/>
        <v>316</v>
      </c>
    </row>
    <row r="14" spans="2:34" x14ac:dyDescent="0.25">
      <c r="B14" s="3"/>
      <c r="H14" s="7">
        <v>12</v>
      </c>
      <c r="I14" s="7" t="s">
        <v>9</v>
      </c>
      <c r="J14" s="8">
        <v>38309</v>
      </c>
      <c r="K14" s="12" t="s">
        <v>17</v>
      </c>
      <c r="L14" s="9">
        <v>23</v>
      </c>
      <c r="M14" s="10">
        <v>71.034367691096961</v>
      </c>
      <c r="N14" s="7" t="s">
        <v>23</v>
      </c>
      <c r="P14" s="29" t="str">
        <f t="shared" si="0"/>
        <v/>
      </c>
      <c r="Q14" s="29" t="str">
        <f t="shared" si="1"/>
        <v/>
      </c>
      <c r="R14" s="29" t="str">
        <f t="shared" si="2"/>
        <v/>
      </c>
      <c r="S14" s="29">
        <f t="shared" si="3"/>
        <v>1</v>
      </c>
      <c r="T14" s="32" t="str">
        <f t="shared" si="4"/>
        <v/>
      </c>
      <c r="U14" s="32" t="str">
        <f t="shared" si="7"/>
        <v/>
      </c>
      <c r="V14" s="32" t="str">
        <f t="shared" si="8"/>
        <v/>
      </c>
      <c r="W14" s="41">
        <f t="shared" si="5"/>
        <v>3.0884507691781287</v>
      </c>
      <c r="X14" s="6">
        <f t="shared" si="6"/>
        <v>0</v>
      </c>
      <c r="Y14" s="7">
        <f t="shared" si="9"/>
        <v>567</v>
      </c>
      <c r="AA14" s="7">
        <f t="shared" si="10"/>
        <v>0</v>
      </c>
      <c r="AB14" s="7" t="str">
        <f t="shared" si="11"/>
        <v/>
      </c>
      <c r="AC14" s="7">
        <f t="shared" si="12"/>
        <v>0</v>
      </c>
      <c r="AD14" s="7" t="str">
        <f t="shared" si="13"/>
        <v/>
      </c>
      <c r="AE14" s="6">
        <f t="shared" si="14"/>
        <v>0</v>
      </c>
      <c r="AF14" s="69">
        <f t="shared" si="15"/>
        <v>3.0884507691781287</v>
      </c>
      <c r="AG14" s="6">
        <f t="shared" si="16"/>
        <v>71.034367691096961</v>
      </c>
      <c r="AH14" s="6">
        <f t="shared" si="17"/>
        <v>441</v>
      </c>
    </row>
    <row r="15" spans="2:34" x14ac:dyDescent="0.25">
      <c r="B15" s="2"/>
      <c r="H15" s="7">
        <v>13</v>
      </c>
      <c r="I15" s="7" t="s">
        <v>13</v>
      </c>
      <c r="J15" s="8">
        <v>38595</v>
      </c>
      <c r="K15" s="12" t="s">
        <v>17</v>
      </c>
      <c r="L15" s="9">
        <v>49</v>
      </c>
      <c r="M15" s="10">
        <v>149.59279694174981</v>
      </c>
      <c r="N15" s="7" t="s">
        <v>23</v>
      </c>
      <c r="P15" s="29" t="str">
        <f t="shared" si="0"/>
        <v/>
      </c>
      <c r="Q15" s="29" t="str">
        <f t="shared" si="1"/>
        <v/>
      </c>
      <c r="R15" s="29" t="str">
        <f t="shared" si="2"/>
        <v/>
      </c>
      <c r="S15" s="29" t="str">
        <f t="shared" si="3"/>
        <v/>
      </c>
      <c r="T15" s="32" t="str">
        <f t="shared" si="4"/>
        <v/>
      </c>
      <c r="U15" s="32">
        <f t="shared" si="7"/>
        <v>1</v>
      </c>
      <c r="V15" s="32" t="str">
        <f t="shared" si="8"/>
        <v/>
      </c>
      <c r="W15" s="41">
        <f t="shared" si="5"/>
        <v>3.0529142233010167</v>
      </c>
      <c r="X15" s="6">
        <f t="shared" si="6"/>
        <v>149.59279694174981</v>
      </c>
      <c r="Y15" s="7">
        <f t="shared" si="9"/>
        <v>273</v>
      </c>
      <c r="AA15" s="7">
        <f t="shared" si="10"/>
        <v>1</v>
      </c>
      <c r="AB15" s="7">
        <f t="shared" si="11"/>
        <v>49</v>
      </c>
      <c r="AC15" s="7">
        <f t="shared" si="12"/>
        <v>0</v>
      </c>
      <c r="AD15" s="7" t="str">
        <f t="shared" si="13"/>
        <v/>
      </c>
      <c r="AE15" s="6">
        <f t="shared" si="14"/>
        <v>0</v>
      </c>
      <c r="AF15" s="69">
        <f t="shared" si="15"/>
        <v>3.0529142233010167</v>
      </c>
      <c r="AG15" s="6">
        <f t="shared" si="16"/>
        <v>0</v>
      </c>
      <c r="AH15" s="6">
        <f t="shared" si="17"/>
        <v>604</v>
      </c>
    </row>
    <row r="16" spans="2:34" x14ac:dyDescent="0.25">
      <c r="B16" s="3"/>
      <c r="H16" s="7">
        <v>14</v>
      </c>
      <c r="I16" s="7" t="s">
        <v>8</v>
      </c>
      <c r="J16" s="8">
        <v>38353</v>
      </c>
      <c r="K16" s="12" t="s">
        <v>16</v>
      </c>
      <c r="L16" s="9">
        <v>18</v>
      </c>
      <c r="M16" s="10">
        <v>56.471999230139573</v>
      </c>
      <c r="N16" s="7" t="s">
        <v>21</v>
      </c>
      <c r="P16" s="29" t="str">
        <f t="shared" si="0"/>
        <v/>
      </c>
      <c r="Q16" s="29" t="str">
        <f t="shared" si="1"/>
        <v/>
      </c>
      <c r="R16" s="29" t="str">
        <f t="shared" si="2"/>
        <v/>
      </c>
      <c r="S16" s="29" t="str">
        <f t="shared" si="3"/>
        <v/>
      </c>
      <c r="T16" s="32" t="str">
        <f t="shared" si="4"/>
        <v/>
      </c>
      <c r="U16" s="32">
        <f t="shared" si="7"/>
        <v>1</v>
      </c>
      <c r="V16" s="32" t="str">
        <f t="shared" si="8"/>
        <v/>
      </c>
      <c r="W16" s="41">
        <f t="shared" si="5"/>
        <v>3.1373332905633098</v>
      </c>
      <c r="X16" s="6">
        <f t="shared" si="6"/>
        <v>56.471999230139573</v>
      </c>
      <c r="Y16" s="7">
        <f t="shared" si="9"/>
        <v>449</v>
      </c>
      <c r="AA16" s="7">
        <f t="shared" si="10"/>
        <v>1</v>
      </c>
      <c r="AB16" s="7">
        <f t="shared" si="11"/>
        <v>18</v>
      </c>
      <c r="AC16" s="7">
        <f t="shared" si="12"/>
        <v>0</v>
      </c>
      <c r="AD16" s="7" t="str">
        <f t="shared" si="13"/>
        <v/>
      </c>
      <c r="AE16" s="6">
        <f t="shared" si="14"/>
        <v>0</v>
      </c>
      <c r="AF16" s="69">
        <f t="shared" si="15"/>
        <v>3.1373332905633098</v>
      </c>
      <c r="AG16" s="6">
        <f t="shared" si="16"/>
        <v>0</v>
      </c>
      <c r="AH16" s="6">
        <f t="shared" si="17"/>
        <v>604</v>
      </c>
    </row>
    <row r="17" spans="2:34" x14ac:dyDescent="0.25">
      <c r="B17" s="2"/>
      <c r="H17" s="7">
        <v>15</v>
      </c>
      <c r="I17" s="7" t="s">
        <v>10</v>
      </c>
      <c r="J17" s="8">
        <v>38980</v>
      </c>
      <c r="K17" s="12" t="s">
        <v>18</v>
      </c>
      <c r="L17" s="9">
        <v>-8</v>
      </c>
      <c r="M17" s="10">
        <v>-21.993044717303864</v>
      </c>
      <c r="N17" s="7" t="s">
        <v>24</v>
      </c>
      <c r="O17" s="2"/>
      <c r="P17" s="29" t="str">
        <f t="shared" si="0"/>
        <v/>
      </c>
      <c r="Q17" s="29" t="str">
        <f t="shared" si="1"/>
        <v/>
      </c>
      <c r="R17" s="29" t="str">
        <f t="shared" si="2"/>
        <v/>
      </c>
      <c r="S17" s="29" t="str">
        <f t="shared" si="3"/>
        <v/>
      </c>
      <c r="T17" s="32" t="str">
        <f t="shared" si="4"/>
        <v/>
      </c>
      <c r="U17" s="32" t="str">
        <f t="shared" si="7"/>
        <v/>
      </c>
      <c r="V17" s="32">
        <f t="shared" si="8"/>
        <v>1</v>
      </c>
      <c r="W17" s="41" t="str">
        <f t="shared" si="5"/>
        <v/>
      </c>
      <c r="X17" s="6">
        <f t="shared" si="6"/>
        <v>0</v>
      </c>
      <c r="Y17" s="7">
        <f t="shared" si="9"/>
        <v>567</v>
      </c>
      <c r="AA17" s="7">
        <f t="shared" si="10"/>
        <v>0</v>
      </c>
      <c r="AB17" s="7" t="str">
        <f t="shared" si="11"/>
        <v/>
      </c>
      <c r="AC17" s="7">
        <f t="shared" si="12"/>
        <v>0</v>
      </c>
      <c r="AD17" s="7" t="str">
        <f t="shared" si="13"/>
        <v/>
      </c>
      <c r="AE17" s="6">
        <f t="shared" si="14"/>
        <v>-8</v>
      </c>
      <c r="AF17" s="69" t="str">
        <f t="shared" si="15"/>
        <v/>
      </c>
      <c r="AG17" s="6">
        <f t="shared" si="16"/>
        <v>0</v>
      </c>
      <c r="AH17" s="6">
        <f t="shared" si="17"/>
        <v>604</v>
      </c>
    </row>
    <row r="18" spans="2:34" x14ac:dyDescent="0.25">
      <c r="B18" s="2"/>
      <c r="H18" s="7">
        <v>16</v>
      </c>
      <c r="I18" s="7" t="s">
        <v>13</v>
      </c>
      <c r="J18" s="8">
        <v>38089</v>
      </c>
      <c r="K18" s="12" t="s">
        <v>20</v>
      </c>
      <c r="L18" s="9">
        <v>45</v>
      </c>
      <c r="M18" s="10">
        <v>137.39037590916232</v>
      </c>
      <c r="N18" s="7" t="s">
        <v>24</v>
      </c>
      <c r="P18" s="29" t="str">
        <f t="shared" si="0"/>
        <v/>
      </c>
      <c r="Q18" s="29">
        <f t="shared" si="1"/>
        <v>1</v>
      </c>
      <c r="R18" s="29" t="str">
        <f t="shared" si="2"/>
        <v/>
      </c>
      <c r="S18" s="29" t="str">
        <f t="shared" si="3"/>
        <v/>
      </c>
      <c r="T18" s="32" t="str">
        <f t="shared" si="4"/>
        <v/>
      </c>
      <c r="U18" s="32" t="str">
        <f t="shared" si="7"/>
        <v/>
      </c>
      <c r="V18" s="32" t="str">
        <f t="shared" si="8"/>
        <v/>
      </c>
      <c r="W18" s="41">
        <f t="shared" si="5"/>
        <v>3.0531194646480513</v>
      </c>
      <c r="X18" s="6">
        <f t="shared" si="6"/>
        <v>0</v>
      </c>
      <c r="Y18" s="7">
        <f t="shared" si="9"/>
        <v>567</v>
      </c>
      <c r="AA18" s="7">
        <f t="shared" si="10"/>
        <v>0</v>
      </c>
      <c r="AB18" s="7" t="str">
        <f t="shared" si="11"/>
        <v/>
      </c>
      <c r="AC18" s="7">
        <f t="shared" si="12"/>
        <v>0</v>
      </c>
      <c r="AD18" s="7" t="str">
        <f t="shared" si="13"/>
        <v/>
      </c>
      <c r="AE18" s="6">
        <f t="shared" si="14"/>
        <v>0</v>
      </c>
      <c r="AF18" s="69">
        <f t="shared" si="15"/>
        <v>3.0531194646480513</v>
      </c>
      <c r="AG18" s="6">
        <f t="shared" si="16"/>
        <v>137.39037590916232</v>
      </c>
      <c r="AH18" s="6">
        <f t="shared" si="17"/>
        <v>304</v>
      </c>
    </row>
    <row r="19" spans="2:34" x14ac:dyDescent="0.25">
      <c r="B19" s="3"/>
      <c r="H19" s="7">
        <v>17</v>
      </c>
      <c r="I19" s="7" t="s">
        <v>11</v>
      </c>
      <c r="J19" s="8">
        <v>38837</v>
      </c>
      <c r="K19" s="12" t="s">
        <v>20</v>
      </c>
      <c r="L19" s="9">
        <v>66</v>
      </c>
      <c r="M19" s="10">
        <v>199.65433473774931</v>
      </c>
      <c r="N19" s="7" t="s">
        <v>21</v>
      </c>
      <c r="P19" s="29" t="str">
        <f t="shared" si="0"/>
        <v/>
      </c>
      <c r="Q19" s="29" t="str">
        <f t="shared" si="1"/>
        <v/>
      </c>
      <c r="R19" s="29" t="str">
        <f t="shared" si="2"/>
        <v/>
      </c>
      <c r="S19" s="29" t="str">
        <f t="shared" si="3"/>
        <v/>
      </c>
      <c r="T19" s="32" t="str">
        <f t="shared" si="4"/>
        <v/>
      </c>
      <c r="U19" s="32" t="str">
        <f t="shared" si="7"/>
        <v/>
      </c>
      <c r="V19" s="32">
        <f t="shared" si="8"/>
        <v>1</v>
      </c>
      <c r="W19" s="41">
        <f t="shared" si="5"/>
        <v>3.0250656778446867</v>
      </c>
      <c r="X19" s="6">
        <f t="shared" si="6"/>
        <v>0</v>
      </c>
      <c r="Y19" s="7">
        <f t="shared" si="9"/>
        <v>567</v>
      </c>
      <c r="AA19" s="7">
        <f t="shared" si="10"/>
        <v>0</v>
      </c>
      <c r="AB19" s="7" t="str">
        <f t="shared" si="11"/>
        <v/>
      </c>
      <c r="AC19" s="7">
        <f t="shared" si="12"/>
        <v>0</v>
      </c>
      <c r="AD19" s="7" t="str">
        <f t="shared" si="13"/>
        <v/>
      </c>
      <c r="AE19" s="6">
        <f t="shared" si="14"/>
        <v>0</v>
      </c>
      <c r="AF19" s="69">
        <f t="shared" si="15"/>
        <v>3.0250656778446867</v>
      </c>
      <c r="AG19" s="6">
        <f t="shared" si="16"/>
        <v>0</v>
      </c>
      <c r="AH19" s="6">
        <f t="shared" si="17"/>
        <v>604</v>
      </c>
    </row>
    <row r="20" spans="2:34" x14ac:dyDescent="0.25">
      <c r="B20" s="3"/>
      <c r="H20" s="7">
        <v>18</v>
      </c>
      <c r="I20" s="7" t="s">
        <v>14</v>
      </c>
      <c r="J20" s="8">
        <v>38595</v>
      </c>
      <c r="K20" s="12" t="s">
        <v>17</v>
      </c>
      <c r="L20" s="9">
        <v>88</v>
      </c>
      <c r="M20" s="10">
        <v>265.18755145539586</v>
      </c>
      <c r="N20" s="7" t="s">
        <v>22</v>
      </c>
      <c r="P20" s="29" t="str">
        <f t="shared" si="0"/>
        <v/>
      </c>
      <c r="Q20" s="29" t="str">
        <f t="shared" si="1"/>
        <v/>
      </c>
      <c r="R20" s="29" t="str">
        <f t="shared" si="2"/>
        <v/>
      </c>
      <c r="S20" s="29" t="str">
        <f t="shared" si="3"/>
        <v/>
      </c>
      <c r="T20" s="32" t="str">
        <f t="shared" si="4"/>
        <v/>
      </c>
      <c r="U20" s="32">
        <f t="shared" si="7"/>
        <v>1</v>
      </c>
      <c r="V20" s="32" t="str">
        <f t="shared" si="8"/>
        <v/>
      </c>
      <c r="W20" s="41">
        <f t="shared" si="5"/>
        <v>3.0134949029022255</v>
      </c>
      <c r="X20" s="6">
        <f t="shared" si="6"/>
        <v>265.18755145539586</v>
      </c>
      <c r="Y20" s="7">
        <f t="shared" si="9"/>
        <v>57</v>
      </c>
      <c r="AA20" s="7">
        <f t="shared" si="10"/>
        <v>1</v>
      </c>
      <c r="AB20" s="7">
        <f t="shared" si="11"/>
        <v>88</v>
      </c>
      <c r="AC20" s="7">
        <f t="shared" si="12"/>
        <v>0</v>
      </c>
      <c r="AD20" s="7" t="str">
        <f t="shared" si="13"/>
        <v/>
      </c>
      <c r="AE20" s="6">
        <f t="shared" si="14"/>
        <v>0</v>
      </c>
      <c r="AF20" s="69">
        <f t="shared" si="15"/>
        <v>3.0134949029022255</v>
      </c>
      <c r="AG20" s="6">
        <f t="shared" si="16"/>
        <v>0</v>
      </c>
      <c r="AH20" s="6">
        <f t="shared" si="17"/>
        <v>604</v>
      </c>
    </row>
    <row r="21" spans="2:34" x14ac:dyDescent="0.25">
      <c r="B21" s="3"/>
      <c r="H21" s="7">
        <v>19</v>
      </c>
      <c r="I21" s="7" t="s">
        <v>14</v>
      </c>
      <c r="J21" s="8">
        <v>38287</v>
      </c>
      <c r="K21" s="12" t="s">
        <v>16</v>
      </c>
      <c r="L21" s="9">
        <v>78</v>
      </c>
      <c r="M21" s="10">
        <v>236.14697789113248</v>
      </c>
      <c r="N21" s="7" t="s">
        <v>21</v>
      </c>
      <c r="P21" s="29" t="str">
        <f t="shared" si="0"/>
        <v/>
      </c>
      <c r="Q21" s="29" t="str">
        <f t="shared" si="1"/>
        <v/>
      </c>
      <c r="R21" s="29" t="str">
        <f t="shared" si="2"/>
        <v/>
      </c>
      <c r="S21" s="29">
        <f t="shared" si="3"/>
        <v>1</v>
      </c>
      <c r="T21" s="32" t="str">
        <f t="shared" si="4"/>
        <v/>
      </c>
      <c r="U21" s="32" t="str">
        <f t="shared" si="7"/>
        <v/>
      </c>
      <c r="V21" s="32" t="str">
        <f t="shared" si="8"/>
        <v/>
      </c>
      <c r="W21" s="41">
        <f t="shared" si="5"/>
        <v>3.0275253575786216</v>
      </c>
      <c r="X21" s="6">
        <f t="shared" si="6"/>
        <v>0</v>
      </c>
      <c r="Y21" s="7">
        <f t="shared" si="9"/>
        <v>567</v>
      </c>
      <c r="AA21" s="7">
        <f t="shared" si="10"/>
        <v>0</v>
      </c>
      <c r="AB21" s="7" t="str">
        <f t="shared" si="11"/>
        <v/>
      </c>
      <c r="AC21" s="7">
        <f t="shared" si="12"/>
        <v>0</v>
      </c>
      <c r="AD21" s="7" t="str">
        <f t="shared" si="13"/>
        <v/>
      </c>
      <c r="AE21" s="6">
        <f t="shared" si="14"/>
        <v>0</v>
      </c>
      <c r="AF21" s="69">
        <f t="shared" si="15"/>
        <v>3.0275253575786216</v>
      </c>
      <c r="AG21" s="6">
        <f t="shared" si="16"/>
        <v>236.14697789113248</v>
      </c>
      <c r="AH21" s="6">
        <f t="shared" si="17"/>
        <v>102</v>
      </c>
    </row>
    <row r="22" spans="2:34" x14ac:dyDescent="0.25">
      <c r="B22" s="3"/>
      <c r="H22" s="7">
        <v>20</v>
      </c>
      <c r="I22" s="7" t="s">
        <v>10</v>
      </c>
      <c r="J22" s="18">
        <v>38683</v>
      </c>
      <c r="K22" s="12" t="s">
        <v>17</v>
      </c>
      <c r="L22" s="9">
        <v>57</v>
      </c>
      <c r="M22" s="10">
        <v>173.11529461915569</v>
      </c>
      <c r="N22" s="7" t="s">
        <v>22</v>
      </c>
      <c r="P22" s="29" t="str">
        <f t="shared" si="0"/>
        <v/>
      </c>
      <c r="Q22" s="29" t="str">
        <f t="shared" si="1"/>
        <v/>
      </c>
      <c r="R22" s="29" t="str">
        <f t="shared" si="2"/>
        <v/>
      </c>
      <c r="S22" s="29" t="str">
        <f t="shared" si="3"/>
        <v/>
      </c>
      <c r="T22" s="32">
        <f t="shared" si="4"/>
        <v>1</v>
      </c>
      <c r="U22" s="32">
        <f t="shared" si="7"/>
        <v>1</v>
      </c>
      <c r="V22" s="32" t="str">
        <f t="shared" si="8"/>
        <v/>
      </c>
      <c r="W22" s="41">
        <f t="shared" si="5"/>
        <v>3.037110431915012</v>
      </c>
      <c r="X22" s="6">
        <f t="shared" si="6"/>
        <v>173.11529461915569</v>
      </c>
      <c r="Y22" s="7">
        <f t="shared" si="9"/>
        <v>220</v>
      </c>
      <c r="AA22" s="7">
        <f t="shared" si="10"/>
        <v>0</v>
      </c>
      <c r="AB22" s="7" t="str">
        <f t="shared" si="11"/>
        <v/>
      </c>
      <c r="AC22" s="7">
        <f t="shared" si="12"/>
        <v>1</v>
      </c>
      <c r="AD22" s="7">
        <f t="shared" si="13"/>
        <v>57</v>
      </c>
      <c r="AE22" s="6">
        <f t="shared" si="14"/>
        <v>0</v>
      </c>
      <c r="AF22" s="69">
        <f t="shared" si="15"/>
        <v>3.037110431915012</v>
      </c>
      <c r="AG22" s="6">
        <f t="shared" si="16"/>
        <v>0</v>
      </c>
      <c r="AH22" s="6">
        <f t="shared" si="17"/>
        <v>604</v>
      </c>
    </row>
    <row r="23" spans="2:34" x14ac:dyDescent="0.25">
      <c r="B23" s="3"/>
      <c r="H23" s="7">
        <v>21</v>
      </c>
      <c r="I23" s="7" t="s">
        <v>10</v>
      </c>
      <c r="J23" s="8">
        <v>38870</v>
      </c>
      <c r="K23" s="12" t="s">
        <v>20</v>
      </c>
      <c r="L23" s="9">
        <v>12</v>
      </c>
      <c r="M23" s="10">
        <v>38.081435709433634</v>
      </c>
      <c r="N23" s="7" t="s">
        <v>23</v>
      </c>
      <c r="P23" s="29" t="str">
        <f t="shared" si="0"/>
        <v/>
      </c>
      <c r="Q23" s="29" t="str">
        <f t="shared" si="1"/>
        <v/>
      </c>
      <c r="R23" s="29" t="str">
        <f t="shared" si="2"/>
        <v/>
      </c>
      <c r="S23" s="29" t="str">
        <f t="shared" si="3"/>
        <v/>
      </c>
      <c r="T23" s="32" t="str">
        <f t="shared" si="4"/>
        <v/>
      </c>
      <c r="U23" s="32" t="str">
        <f t="shared" si="7"/>
        <v/>
      </c>
      <c r="V23" s="32">
        <f t="shared" si="8"/>
        <v>1</v>
      </c>
      <c r="W23" s="41">
        <f t="shared" si="5"/>
        <v>3.1734529757861361</v>
      </c>
      <c r="X23" s="6">
        <f t="shared" si="6"/>
        <v>0</v>
      </c>
      <c r="Y23" s="7">
        <f t="shared" si="9"/>
        <v>567</v>
      </c>
      <c r="AA23" s="7">
        <f t="shared" si="10"/>
        <v>0</v>
      </c>
      <c r="AB23" s="7" t="str">
        <f t="shared" si="11"/>
        <v/>
      </c>
      <c r="AC23" s="7">
        <f t="shared" si="12"/>
        <v>0</v>
      </c>
      <c r="AD23" s="7" t="str">
        <f t="shared" si="13"/>
        <v/>
      </c>
      <c r="AE23" s="6">
        <f t="shared" si="14"/>
        <v>0</v>
      </c>
      <c r="AF23" s="69">
        <f t="shared" si="15"/>
        <v>3.1734529757861361</v>
      </c>
      <c r="AG23" s="6">
        <f t="shared" si="16"/>
        <v>0</v>
      </c>
      <c r="AH23" s="6">
        <f t="shared" si="17"/>
        <v>604</v>
      </c>
    </row>
    <row r="24" spans="2:34" x14ac:dyDescent="0.25">
      <c r="B24" s="3"/>
      <c r="H24" s="7">
        <v>22</v>
      </c>
      <c r="I24" s="7" t="s">
        <v>7</v>
      </c>
      <c r="J24" s="8">
        <v>38254</v>
      </c>
      <c r="K24" s="12" t="s">
        <v>16</v>
      </c>
      <c r="L24" s="9">
        <v>28</v>
      </c>
      <c r="M24" s="10">
        <v>86.512775700642493</v>
      </c>
      <c r="N24" s="7" t="s">
        <v>22</v>
      </c>
      <c r="P24" s="29" t="str">
        <f t="shared" si="0"/>
        <v/>
      </c>
      <c r="Q24" s="29" t="str">
        <f t="shared" si="1"/>
        <v/>
      </c>
      <c r="R24" s="29">
        <f t="shared" si="2"/>
        <v>1</v>
      </c>
      <c r="S24" s="29" t="str">
        <f t="shared" si="3"/>
        <v/>
      </c>
      <c r="T24" s="32" t="str">
        <f t="shared" si="4"/>
        <v/>
      </c>
      <c r="U24" s="32" t="str">
        <f t="shared" si="7"/>
        <v/>
      </c>
      <c r="V24" s="32" t="str">
        <f t="shared" si="8"/>
        <v/>
      </c>
      <c r="W24" s="41">
        <f t="shared" si="5"/>
        <v>3.0897419893086604</v>
      </c>
      <c r="X24" s="6">
        <f t="shared" si="6"/>
        <v>0</v>
      </c>
      <c r="Y24" s="7">
        <f t="shared" si="9"/>
        <v>567</v>
      </c>
      <c r="AA24" s="7">
        <f t="shared" si="10"/>
        <v>0</v>
      </c>
      <c r="AB24" s="7" t="str">
        <f t="shared" si="11"/>
        <v/>
      </c>
      <c r="AC24" s="7">
        <f t="shared" si="12"/>
        <v>0</v>
      </c>
      <c r="AD24" s="7" t="str">
        <f t="shared" si="13"/>
        <v/>
      </c>
      <c r="AE24" s="6">
        <f t="shared" si="14"/>
        <v>0</v>
      </c>
      <c r="AF24" s="69">
        <f t="shared" si="15"/>
        <v>3.0897419893086604</v>
      </c>
      <c r="AG24" s="6">
        <f t="shared" si="16"/>
        <v>86.512775700642493</v>
      </c>
      <c r="AH24" s="6">
        <f t="shared" si="17"/>
        <v>408</v>
      </c>
    </row>
    <row r="25" spans="2:34" x14ac:dyDescent="0.25">
      <c r="B25" s="3"/>
      <c r="H25" s="7">
        <v>23</v>
      </c>
      <c r="I25" s="7" t="s">
        <v>11</v>
      </c>
      <c r="J25" s="8">
        <v>38749</v>
      </c>
      <c r="K25" s="12" t="s">
        <v>20</v>
      </c>
      <c r="L25" s="9">
        <v>25</v>
      </c>
      <c r="M25" s="10">
        <v>77.307151643363554</v>
      </c>
      <c r="N25" s="7" t="s">
        <v>22</v>
      </c>
      <c r="P25" s="29" t="str">
        <f t="shared" si="0"/>
        <v/>
      </c>
      <c r="Q25" s="29" t="str">
        <f t="shared" si="1"/>
        <v/>
      </c>
      <c r="R25" s="29" t="str">
        <f t="shared" si="2"/>
        <v/>
      </c>
      <c r="S25" s="29" t="str">
        <f t="shared" si="3"/>
        <v/>
      </c>
      <c r="T25" s="32" t="str">
        <f t="shared" si="4"/>
        <v/>
      </c>
      <c r="U25" s="32" t="str">
        <f t="shared" si="7"/>
        <v/>
      </c>
      <c r="V25" s="32">
        <f t="shared" si="8"/>
        <v>1</v>
      </c>
      <c r="W25" s="41">
        <f t="shared" si="5"/>
        <v>3.0922860657345423</v>
      </c>
      <c r="X25" s="6">
        <f t="shared" si="6"/>
        <v>0</v>
      </c>
      <c r="Y25" s="7">
        <f t="shared" si="9"/>
        <v>567</v>
      </c>
      <c r="AA25" s="7">
        <f t="shared" si="10"/>
        <v>0</v>
      </c>
      <c r="AB25" s="7" t="str">
        <f t="shared" si="11"/>
        <v/>
      </c>
      <c r="AC25" s="7">
        <f t="shared" si="12"/>
        <v>0</v>
      </c>
      <c r="AD25" s="7" t="str">
        <f t="shared" si="13"/>
        <v/>
      </c>
      <c r="AE25" s="6">
        <f t="shared" si="14"/>
        <v>0</v>
      </c>
      <c r="AF25" s="69">
        <f t="shared" si="15"/>
        <v>3.0922860657345423</v>
      </c>
      <c r="AG25" s="6">
        <f t="shared" si="16"/>
        <v>0</v>
      </c>
      <c r="AH25" s="6">
        <f t="shared" si="17"/>
        <v>604</v>
      </c>
    </row>
    <row r="26" spans="2:34" x14ac:dyDescent="0.25">
      <c r="B26" s="3"/>
      <c r="H26" s="7">
        <v>26</v>
      </c>
      <c r="I26" s="7" t="s">
        <v>13</v>
      </c>
      <c r="J26" s="8">
        <v>39057</v>
      </c>
      <c r="K26" s="12" t="s">
        <v>17</v>
      </c>
      <c r="L26" s="9">
        <v>24</v>
      </c>
      <c r="M26" s="10">
        <v>74.622434460070465</v>
      </c>
      <c r="N26" s="7" t="s">
        <v>23</v>
      </c>
      <c r="P26" s="29" t="str">
        <f t="shared" si="0"/>
        <v/>
      </c>
      <c r="Q26" s="29" t="str">
        <f t="shared" si="1"/>
        <v/>
      </c>
      <c r="R26" s="29" t="str">
        <f t="shared" si="2"/>
        <v/>
      </c>
      <c r="S26" s="29" t="str">
        <f t="shared" si="3"/>
        <v/>
      </c>
      <c r="T26" s="32" t="str">
        <f t="shared" si="4"/>
        <v/>
      </c>
      <c r="U26" s="32" t="str">
        <f t="shared" si="7"/>
        <v/>
      </c>
      <c r="V26" s="32">
        <f t="shared" si="8"/>
        <v>1</v>
      </c>
      <c r="W26" s="41">
        <f t="shared" si="5"/>
        <v>3.1092681025029361</v>
      </c>
      <c r="X26" s="6">
        <f t="shared" si="6"/>
        <v>0</v>
      </c>
      <c r="Y26" s="7">
        <f t="shared" si="9"/>
        <v>567</v>
      </c>
      <c r="AA26" s="7">
        <f t="shared" si="10"/>
        <v>0</v>
      </c>
      <c r="AB26" s="7" t="str">
        <f t="shared" si="11"/>
        <v/>
      </c>
      <c r="AC26" s="7">
        <f t="shared" si="12"/>
        <v>0</v>
      </c>
      <c r="AD26" s="7" t="str">
        <f t="shared" si="13"/>
        <v/>
      </c>
      <c r="AE26" s="6">
        <f t="shared" si="14"/>
        <v>0</v>
      </c>
      <c r="AF26" s="69">
        <f t="shared" si="15"/>
        <v>3.1092681025029361</v>
      </c>
      <c r="AG26" s="6">
        <f t="shared" si="16"/>
        <v>0</v>
      </c>
      <c r="AH26" s="6">
        <f t="shared" si="17"/>
        <v>604</v>
      </c>
    </row>
    <row r="27" spans="2:34" x14ac:dyDescent="0.25">
      <c r="B27" s="3"/>
      <c r="H27" s="7">
        <v>27</v>
      </c>
      <c r="I27" s="7" t="s">
        <v>14</v>
      </c>
      <c r="J27" s="8">
        <v>38089</v>
      </c>
      <c r="K27" s="12" t="s">
        <v>19</v>
      </c>
      <c r="L27" s="9">
        <v>38</v>
      </c>
      <c r="M27" s="10">
        <v>115.98517718889856</v>
      </c>
      <c r="N27" s="7" t="s">
        <v>22</v>
      </c>
      <c r="P27" s="29" t="str">
        <f t="shared" si="0"/>
        <v/>
      </c>
      <c r="Q27" s="29">
        <f t="shared" si="1"/>
        <v>1</v>
      </c>
      <c r="R27" s="29" t="str">
        <f t="shared" si="2"/>
        <v/>
      </c>
      <c r="S27" s="29" t="str">
        <f t="shared" si="3"/>
        <v/>
      </c>
      <c r="T27" s="32" t="str">
        <f t="shared" si="4"/>
        <v/>
      </c>
      <c r="U27" s="32" t="str">
        <f t="shared" si="7"/>
        <v/>
      </c>
      <c r="V27" s="32" t="str">
        <f t="shared" si="8"/>
        <v/>
      </c>
      <c r="W27" s="41">
        <f t="shared" si="5"/>
        <v>3.0522415049710148</v>
      </c>
      <c r="X27" s="6">
        <f t="shared" si="6"/>
        <v>0</v>
      </c>
      <c r="Y27" s="7">
        <f t="shared" si="9"/>
        <v>567</v>
      </c>
      <c r="AA27" s="7">
        <f t="shared" si="10"/>
        <v>0</v>
      </c>
      <c r="AB27" s="7" t="str">
        <f t="shared" si="11"/>
        <v/>
      </c>
      <c r="AC27" s="7">
        <f t="shared" si="12"/>
        <v>0</v>
      </c>
      <c r="AD27" s="7" t="str">
        <f t="shared" si="13"/>
        <v/>
      </c>
      <c r="AE27" s="6">
        <f t="shared" si="14"/>
        <v>0</v>
      </c>
      <c r="AF27" s="69">
        <f t="shared" si="15"/>
        <v>3.0522415049710148</v>
      </c>
      <c r="AG27" s="6">
        <f t="shared" si="16"/>
        <v>115.98517718889856</v>
      </c>
      <c r="AH27" s="6">
        <f t="shared" si="17"/>
        <v>340</v>
      </c>
    </row>
    <row r="28" spans="2:34" x14ac:dyDescent="0.25">
      <c r="B28" s="3"/>
      <c r="H28" s="7">
        <v>28</v>
      </c>
      <c r="I28" s="7" t="s">
        <v>12</v>
      </c>
      <c r="J28" s="8">
        <v>38617</v>
      </c>
      <c r="K28" s="12" t="s">
        <v>18</v>
      </c>
      <c r="L28" s="9">
        <v>77</v>
      </c>
      <c r="M28" s="10">
        <v>233.05438870487612</v>
      </c>
      <c r="N28" s="7" t="s">
        <v>22</v>
      </c>
      <c r="P28" s="29" t="str">
        <f t="shared" si="0"/>
        <v/>
      </c>
      <c r="Q28" s="29" t="str">
        <f t="shared" si="1"/>
        <v/>
      </c>
      <c r="R28" s="29" t="str">
        <f t="shared" si="2"/>
        <v/>
      </c>
      <c r="S28" s="29" t="str">
        <f t="shared" si="3"/>
        <v/>
      </c>
      <c r="T28" s="32" t="str">
        <f t="shared" si="4"/>
        <v/>
      </c>
      <c r="U28" s="32">
        <f t="shared" si="7"/>
        <v>1</v>
      </c>
      <c r="V28" s="32" t="str">
        <f t="shared" si="8"/>
        <v/>
      </c>
      <c r="W28" s="41">
        <f t="shared" si="5"/>
        <v>3.0266803727905991</v>
      </c>
      <c r="X28" s="6">
        <f t="shared" si="6"/>
        <v>233.05438870487612</v>
      </c>
      <c r="Y28" s="7">
        <f t="shared" si="9"/>
        <v>119</v>
      </c>
      <c r="AA28" s="7">
        <f t="shared" si="10"/>
        <v>1</v>
      </c>
      <c r="AB28" s="7">
        <f t="shared" si="11"/>
        <v>77</v>
      </c>
      <c r="AC28" s="7">
        <f t="shared" si="12"/>
        <v>0</v>
      </c>
      <c r="AD28" s="7" t="str">
        <f t="shared" si="13"/>
        <v/>
      </c>
      <c r="AE28" s="6">
        <f t="shared" si="14"/>
        <v>0</v>
      </c>
      <c r="AF28" s="69">
        <f t="shared" si="15"/>
        <v>3.0266803727905991</v>
      </c>
      <c r="AG28" s="6">
        <f t="shared" si="16"/>
        <v>0</v>
      </c>
      <c r="AH28" s="6">
        <f t="shared" si="17"/>
        <v>604</v>
      </c>
    </row>
    <row r="29" spans="2:34" x14ac:dyDescent="0.25">
      <c r="B29" s="3"/>
      <c r="H29" s="7">
        <v>32</v>
      </c>
      <c r="I29" s="7" t="s">
        <v>12</v>
      </c>
      <c r="J29" s="8">
        <v>38804</v>
      </c>
      <c r="K29" s="12" t="s">
        <v>17</v>
      </c>
      <c r="L29" s="9">
        <v>53</v>
      </c>
      <c r="M29" s="10">
        <v>161.46395235499537</v>
      </c>
      <c r="N29" s="7" t="s">
        <v>22</v>
      </c>
      <c r="P29" s="29" t="str">
        <f t="shared" si="0"/>
        <v/>
      </c>
      <c r="Q29" s="29" t="str">
        <f t="shared" si="1"/>
        <v/>
      </c>
      <c r="R29" s="29" t="str">
        <f t="shared" si="2"/>
        <v/>
      </c>
      <c r="S29" s="29" t="str">
        <f t="shared" si="3"/>
        <v/>
      </c>
      <c r="T29" s="32" t="str">
        <f t="shared" si="4"/>
        <v/>
      </c>
      <c r="U29" s="32" t="str">
        <f t="shared" si="7"/>
        <v/>
      </c>
      <c r="V29" s="32">
        <f t="shared" si="8"/>
        <v>1</v>
      </c>
      <c r="W29" s="41">
        <f t="shared" si="5"/>
        <v>3.0464896670753845</v>
      </c>
      <c r="X29" s="6">
        <f t="shared" si="6"/>
        <v>0</v>
      </c>
      <c r="Y29" s="7">
        <f t="shared" si="9"/>
        <v>567</v>
      </c>
      <c r="AA29" s="7">
        <f t="shared" si="10"/>
        <v>0</v>
      </c>
      <c r="AB29" s="7" t="str">
        <f t="shared" si="11"/>
        <v/>
      </c>
      <c r="AC29" s="7">
        <f t="shared" si="12"/>
        <v>0</v>
      </c>
      <c r="AD29" s="7" t="str">
        <f t="shared" si="13"/>
        <v/>
      </c>
      <c r="AE29" s="6">
        <f t="shared" si="14"/>
        <v>0</v>
      </c>
      <c r="AF29" s="69">
        <f t="shared" si="15"/>
        <v>3.0464896670753845</v>
      </c>
      <c r="AG29" s="6">
        <f t="shared" si="16"/>
        <v>0</v>
      </c>
      <c r="AH29" s="6">
        <f t="shared" si="17"/>
        <v>604</v>
      </c>
    </row>
    <row r="30" spans="2:34" x14ac:dyDescent="0.25">
      <c r="B30" s="3"/>
      <c r="H30" s="7">
        <v>33</v>
      </c>
      <c r="I30" s="7" t="s">
        <v>15</v>
      </c>
      <c r="J30" s="8">
        <v>38155</v>
      </c>
      <c r="K30" s="12" t="s">
        <v>20</v>
      </c>
      <c r="L30" s="9">
        <v>41</v>
      </c>
      <c r="M30" s="10">
        <v>125.2697558819725</v>
      </c>
      <c r="N30" s="7" t="s">
        <v>23</v>
      </c>
      <c r="P30" s="29" t="str">
        <f t="shared" si="0"/>
        <v/>
      </c>
      <c r="Q30" s="29">
        <f t="shared" si="1"/>
        <v>1</v>
      </c>
      <c r="R30" s="29" t="str">
        <f t="shared" si="2"/>
        <v/>
      </c>
      <c r="S30" s="29" t="str">
        <f t="shared" si="3"/>
        <v/>
      </c>
      <c r="T30" s="32" t="str">
        <f t="shared" si="4"/>
        <v/>
      </c>
      <c r="U30" s="32" t="str">
        <f t="shared" si="7"/>
        <v/>
      </c>
      <c r="V30" s="32" t="str">
        <f t="shared" si="8"/>
        <v/>
      </c>
      <c r="W30" s="41">
        <f t="shared" si="5"/>
        <v>3.0553598995603051</v>
      </c>
      <c r="X30" s="6">
        <f t="shared" si="6"/>
        <v>0</v>
      </c>
      <c r="Y30" s="7">
        <f t="shared" si="9"/>
        <v>567</v>
      </c>
      <c r="AA30" s="7">
        <f t="shared" si="10"/>
        <v>0</v>
      </c>
      <c r="AB30" s="7" t="str">
        <f t="shared" si="11"/>
        <v/>
      </c>
      <c r="AC30" s="7">
        <f t="shared" si="12"/>
        <v>0</v>
      </c>
      <c r="AD30" s="7" t="str">
        <f t="shared" si="13"/>
        <v/>
      </c>
      <c r="AE30" s="6">
        <f t="shared" si="14"/>
        <v>0</v>
      </c>
      <c r="AF30" s="69">
        <f t="shared" si="15"/>
        <v>3.0553598995603051</v>
      </c>
      <c r="AG30" s="6">
        <f t="shared" si="16"/>
        <v>125.2697558819725</v>
      </c>
      <c r="AH30" s="6">
        <f t="shared" si="17"/>
        <v>322</v>
      </c>
    </row>
    <row r="31" spans="2:34" x14ac:dyDescent="0.25">
      <c r="B31" s="3"/>
      <c r="H31" s="7">
        <v>34</v>
      </c>
      <c r="I31" s="7" t="s">
        <v>10</v>
      </c>
      <c r="J31" s="8">
        <v>38969</v>
      </c>
      <c r="K31" s="12" t="s">
        <v>20</v>
      </c>
      <c r="L31" s="9">
        <v>19</v>
      </c>
      <c r="M31" s="10">
        <v>59.153898700773034</v>
      </c>
      <c r="N31" s="7" t="s">
        <v>23</v>
      </c>
      <c r="P31" s="29" t="str">
        <f t="shared" si="0"/>
        <v/>
      </c>
      <c r="Q31" s="29" t="str">
        <f t="shared" si="1"/>
        <v/>
      </c>
      <c r="R31" s="29" t="str">
        <f t="shared" si="2"/>
        <v/>
      </c>
      <c r="S31" s="29" t="str">
        <f t="shared" si="3"/>
        <v/>
      </c>
      <c r="T31" s="32" t="str">
        <f t="shared" si="4"/>
        <v/>
      </c>
      <c r="U31" s="32" t="str">
        <f t="shared" si="7"/>
        <v/>
      </c>
      <c r="V31" s="32">
        <f t="shared" si="8"/>
        <v>1</v>
      </c>
      <c r="W31" s="41">
        <f t="shared" si="5"/>
        <v>3.1133630895143702</v>
      </c>
      <c r="X31" s="6">
        <f t="shared" si="6"/>
        <v>0</v>
      </c>
      <c r="Y31" s="7">
        <f t="shared" si="9"/>
        <v>567</v>
      </c>
      <c r="AA31" s="7">
        <f t="shared" si="10"/>
        <v>0</v>
      </c>
      <c r="AB31" s="7" t="str">
        <f t="shared" si="11"/>
        <v/>
      </c>
      <c r="AC31" s="7">
        <f t="shared" si="12"/>
        <v>0</v>
      </c>
      <c r="AD31" s="7" t="str">
        <f t="shared" si="13"/>
        <v/>
      </c>
      <c r="AE31" s="6">
        <f t="shared" si="14"/>
        <v>0</v>
      </c>
      <c r="AF31" s="69">
        <f t="shared" si="15"/>
        <v>3.1133630895143702</v>
      </c>
      <c r="AG31" s="6">
        <f t="shared" si="16"/>
        <v>0</v>
      </c>
      <c r="AH31" s="6">
        <f t="shared" si="17"/>
        <v>604</v>
      </c>
    </row>
    <row r="32" spans="2:34" x14ac:dyDescent="0.25">
      <c r="B32" s="3"/>
      <c r="H32" s="7">
        <v>39</v>
      </c>
      <c r="I32" s="7" t="s">
        <v>15</v>
      </c>
      <c r="J32" s="8">
        <v>38771</v>
      </c>
      <c r="K32" s="12" t="s">
        <v>18</v>
      </c>
      <c r="L32" s="9">
        <v>-9</v>
      </c>
      <c r="M32" s="10">
        <v>-24.625751249139931</v>
      </c>
      <c r="N32" s="7" t="s">
        <v>23</v>
      </c>
      <c r="P32" s="29" t="str">
        <f t="shared" si="0"/>
        <v/>
      </c>
      <c r="Q32" s="29" t="str">
        <f t="shared" si="1"/>
        <v/>
      </c>
      <c r="R32" s="29" t="str">
        <f t="shared" si="2"/>
        <v/>
      </c>
      <c r="S32" s="29" t="str">
        <f t="shared" si="3"/>
        <v/>
      </c>
      <c r="T32" s="32" t="str">
        <f t="shared" si="4"/>
        <v/>
      </c>
      <c r="U32" s="32" t="str">
        <f t="shared" si="7"/>
        <v/>
      </c>
      <c r="V32" s="32">
        <f t="shared" si="8"/>
        <v>1</v>
      </c>
      <c r="W32" s="41" t="str">
        <f t="shared" si="5"/>
        <v/>
      </c>
      <c r="X32" s="6">
        <f t="shared" si="6"/>
        <v>0</v>
      </c>
      <c r="Y32" s="7">
        <f t="shared" si="9"/>
        <v>567</v>
      </c>
      <c r="AA32" s="7">
        <f t="shared" si="10"/>
        <v>0</v>
      </c>
      <c r="AB32" s="7" t="str">
        <f t="shared" si="11"/>
        <v/>
      </c>
      <c r="AC32" s="7">
        <f t="shared" si="12"/>
        <v>0</v>
      </c>
      <c r="AD32" s="7" t="str">
        <f t="shared" si="13"/>
        <v/>
      </c>
      <c r="AE32" s="6">
        <f t="shared" si="14"/>
        <v>-9</v>
      </c>
      <c r="AF32" s="69" t="str">
        <f t="shared" si="15"/>
        <v/>
      </c>
      <c r="AG32" s="6">
        <f t="shared" si="16"/>
        <v>0</v>
      </c>
      <c r="AH32" s="6">
        <f t="shared" si="17"/>
        <v>604</v>
      </c>
    </row>
    <row r="33" spans="2:34" x14ac:dyDescent="0.25">
      <c r="B33" s="3"/>
      <c r="H33" s="7">
        <v>40</v>
      </c>
      <c r="I33" s="7" t="s">
        <v>8</v>
      </c>
      <c r="J33" s="8">
        <v>38892</v>
      </c>
      <c r="K33" s="12" t="s">
        <v>18</v>
      </c>
      <c r="L33" s="9">
        <v>38</v>
      </c>
      <c r="M33" s="10">
        <v>115.58433775100286</v>
      </c>
      <c r="N33" s="7" t="s">
        <v>21</v>
      </c>
      <c r="P33" s="29" t="str">
        <f t="shared" si="0"/>
        <v/>
      </c>
      <c r="Q33" s="29" t="str">
        <f t="shared" si="1"/>
        <v/>
      </c>
      <c r="R33" s="29" t="str">
        <f t="shared" si="2"/>
        <v/>
      </c>
      <c r="S33" s="29" t="str">
        <f t="shared" si="3"/>
        <v/>
      </c>
      <c r="T33" s="32" t="str">
        <f t="shared" si="4"/>
        <v/>
      </c>
      <c r="U33" s="32" t="str">
        <f t="shared" si="7"/>
        <v/>
      </c>
      <c r="V33" s="32">
        <f t="shared" si="8"/>
        <v>1</v>
      </c>
      <c r="W33" s="41">
        <f t="shared" si="5"/>
        <v>3.0416930987106015</v>
      </c>
      <c r="X33" s="6">
        <f t="shared" si="6"/>
        <v>0</v>
      </c>
      <c r="Y33" s="7">
        <f t="shared" si="9"/>
        <v>567</v>
      </c>
      <c r="AA33" s="7">
        <f t="shared" si="10"/>
        <v>0</v>
      </c>
      <c r="AB33" s="7" t="str">
        <f t="shared" si="11"/>
        <v/>
      </c>
      <c r="AC33" s="7">
        <f t="shared" si="12"/>
        <v>0</v>
      </c>
      <c r="AD33" s="7" t="str">
        <f t="shared" si="13"/>
        <v/>
      </c>
      <c r="AE33" s="6">
        <f t="shared" si="14"/>
        <v>0</v>
      </c>
      <c r="AF33" s="69">
        <f t="shared" si="15"/>
        <v>3.0416930987106015</v>
      </c>
      <c r="AG33" s="6">
        <f t="shared" si="16"/>
        <v>0</v>
      </c>
      <c r="AH33" s="6">
        <f t="shared" si="17"/>
        <v>604</v>
      </c>
    </row>
    <row r="34" spans="2:34" x14ac:dyDescent="0.25">
      <c r="B34" s="3"/>
      <c r="H34" s="7">
        <v>41</v>
      </c>
      <c r="I34" s="7" t="s">
        <v>13</v>
      </c>
      <c r="J34" s="8">
        <v>38023</v>
      </c>
      <c r="K34" s="12" t="s">
        <v>16</v>
      </c>
      <c r="L34" s="9">
        <v>25</v>
      </c>
      <c r="M34" s="10">
        <v>76.562095842195291</v>
      </c>
      <c r="N34" s="7" t="s">
        <v>21</v>
      </c>
      <c r="P34" s="29">
        <f t="shared" si="0"/>
        <v>1</v>
      </c>
      <c r="Q34" s="29" t="str">
        <f t="shared" si="1"/>
        <v/>
      </c>
      <c r="R34" s="29" t="str">
        <f t="shared" si="2"/>
        <v/>
      </c>
      <c r="S34" s="29" t="str">
        <f t="shared" si="3"/>
        <v/>
      </c>
      <c r="T34" s="32" t="str">
        <f t="shared" si="4"/>
        <v/>
      </c>
      <c r="U34" s="32" t="str">
        <f t="shared" si="7"/>
        <v/>
      </c>
      <c r="V34" s="32" t="str">
        <f t="shared" si="8"/>
        <v/>
      </c>
      <c r="W34" s="41">
        <f t="shared" si="5"/>
        <v>3.0624838336878115</v>
      </c>
      <c r="X34" s="6">
        <f t="shared" si="6"/>
        <v>0</v>
      </c>
      <c r="Y34" s="7">
        <f t="shared" si="9"/>
        <v>567</v>
      </c>
      <c r="AA34" s="7">
        <f t="shared" si="10"/>
        <v>0</v>
      </c>
      <c r="AB34" s="7" t="str">
        <f t="shared" si="11"/>
        <v/>
      </c>
      <c r="AC34" s="7">
        <f t="shared" si="12"/>
        <v>0</v>
      </c>
      <c r="AD34" s="7" t="str">
        <f t="shared" si="13"/>
        <v/>
      </c>
      <c r="AE34" s="6">
        <f t="shared" si="14"/>
        <v>0</v>
      </c>
      <c r="AF34" s="69">
        <f t="shared" si="15"/>
        <v>3.0624838336878115</v>
      </c>
      <c r="AG34" s="6">
        <f t="shared" si="16"/>
        <v>76.562095842195291</v>
      </c>
      <c r="AH34" s="6">
        <f t="shared" si="17"/>
        <v>432</v>
      </c>
    </row>
    <row r="35" spans="2:34" x14ac:dyDescent="0.25">
      <c r="B35" s="3"/>
      <c r="H35" s="7">
        <v>42</v>
      </c>
      <c r="I35" s="7" t="s">
        <v>13</v>
      </c>
      <c r="J35" s="8">
        <v>38452</v>
      </c>
      <c r="K35" s="12" t="s">
        <v>20</v>
      </c>
      <c r="L35" s="9">
        <v>19</v>
      </c>
      <c r="M35" s="10">
        <v>59.382749361194016</v>
      </c>
      <c r="N35" s="7" t="s">
        <v>22</v>
      </c>
      <c r="P35" s="29" t="str">
        <f t="shared" si="0"/>
        <v/>
      </c>
      <c r="Q35" s="29" t="str">
        <f t="shared" si="1"/>
        <v/>
      </c>
      <c r="R35" s="29" t="str">
        <f t="shared" si="2"/>
        <v/>
      </c>
      <c r="S35" s="29" t="str">
        <f t="shared" si="3"/>
        <v/>
      </c>
      <c r="T35" s="32" t="str">
        <f t="shared" si="4"/>
        <v/>
      </c>
      <c r="U35" s="32">
        <f t="shared" si="7"/>
        <v>1</v>
      </c>
      <c r="V35" s="32" t="str">
        <f t="shared" si="8"/>
        <v/>
      </c>
      <c r="W35" s="41">
        <f t="shared" si="5"/>
        <v>3.1254078611154745</v>
      </c>
      <c r="X35" s="6">
        <f t="shared" si="6"/>
        <v>59.382749361194016</v>
      </c>
      <c r="Y35" s="7">
        <f t="shared" si="9"/>
        <v>442</v>
      </c>
      <c r="AA35" s="7">
        <f t="shared" si="10"/>
        <v>0</v>
      </c>
      <c r="AB35" s="7" t="str">
        <f t="shared" si="11"/>
        <v/>
      </c>
      <c r="AC35" s="7">
        <f t="shared" si="12"/>
        <v>1</v>
      </c>
      <c r="AD35" s="7">
        <f t="shared" si="13"/>
        <v>19</v>
      </c>
      <c r="AE35" s="6">
        <f t="shared" si="14"/>
        <v>0</v>
      </c>
      <c r="AF35" s="69">
        <f t="shared" si="15"/>
        <v>3.1254078611154745</v>
      </c>
      <c r="AG35" s="6">
        <f t="shared" si="16"/>
        <v>0</v>
      </c>
      <c r="AH35" s="6">
        <f t="shared" si="17"/>
        <v>604</v>
      </c>
    </row>
    <row r="36" spans="2:34" x14ac:dyDescent="0.25">
      <c r="B36" s="3"/>
      <c r="H36" s="7">
        <v>43</v>
      </c>
      <c r="I36" s="7" t="s">
        <v>7</v>
      </c>
      <c r="J36" s="8">
        <v>38078</v>
      </c>
      <c r="K36" s="12" t="s">
        <v>18</v>
      </c>
      <c r="L36" s="9">
        <v>86</v>
      </c>
      <c r="M36" s="10">
        <v>259.85996934004856</v>
      </c>
      <c r="N36" s="7" t="s">
        <v>23</v>
      </c>
      <c r="P36" s="29" t="str">
        <f t="shared" si="0"/>
        <v/>
      </c>
      <c r="Q36" s="29">
        <f t="shared" si="1"/>
        <v>1</v>
      </c>
      <c r="R36" s="29" t="str">
        <f t="shared" si="2"/>
        <v/>
      </c>
      <c r="S36" s="29" t="str">
        <f t="shared" si="3"/>
        <v/>
      </c>
      <c r="T36" s="32" t="str">
        <f t="shared" si="4"/>
        <v/>
      </c>
      <c r="U36" s="32" t="str">
        <f t="shared" si="7"/>
        <v/>
      </c>
      <c r="V36" s="32" t="str">
        <f t="shared" si="8"/>
        <v/>
      </c>
      <c r="W36" s="41">
        <f t="shared" si="5"/>
        <v>3.0216275504656811</v>
      </c>
      <c r="X36" s="6">
        <f t="shared" si="6"/>
        <v>0</v>
      </c>
      <c r="Y36" s="7">
        <f t="shared" si="9"/>
        <v>567</v>
      </c>
      <c r="AA36" s="7">
        <f t="shared" si="10"/>
        <v>0</v>
      </c>
      <c r="AB36" s="7" t="str">
        <f t="shared" si="11"/>
        <v/>
      </c>
      <c r="AC36" s="7">
        <f t="shared" si="12"/>
        <v>0</v>
      </c>
      <c r="AD36" s="7" t="str">
        <f t="shared" si="13"/>
        <v/>
      </c>
      <c r="AE36" s="6">
        <f t="shared" si="14"/>
        <v>0</v>
      </c>
      <c r="AF36" s="69">
        <f t="shared" si="15"/>
        <v>3.0216275504656811</v>
      </c>
      <c r="AG36" s="6">
        <f t="shared" si="16"/>
        <v>259.85996934004856</v>
      </c>
      <c r="AH36" s="6">
        <f t="shared" si="17"/>
        <v>55</v>
      </c>
    </row>
    <row r="37" spans="2:34" x14ac:dyDescent="0.25">
      <c r="B37" s="3"/>
      <c r="H37" s="7">
        <v>44</v>
      </c>
      <c r="I37" s="7" t="s">
        <v>11</v>
      </c>
      <c r="J37" s="8">
        <v>38144</v>
      </c>
      <c r="K37" s="12" t="s">
        <v>17</v>
      </c>
      <c r="L37" s="9">
        <v>55</v>
      </c>
      <c r="M37" s="10">
        <v>167.11761356978838</v>
      </c>
      <c r="N37" s="7" t="s">
        <v>22</v>
      </c>
      <c r="P37" s="29" t="str">
        <f t="shared" si="0"/>
        <v/>
      </c>
      <c r="Q37" s="29">
        <f t="shared" si="1"/>
        <v>1</v>
      </c>
      <c r="R37" s="29" t="str">
        <f t="shared" si="2"/>
        <v/>
      </c>
      <c r="S37" s="29" t="str">
        <f t="shared" si="3"/>
        <v/>
      </c>
      <c r="T37" s="32" t="str">
        <f t="shared" si="4"/>
        <v/>
      </c>
      <c r="U37" s="32" t="str">
        <f t="shared" si="7"/>
        <v/>
      </c>
      <c r="V37" s="32" t="str">
        <f t="shared" si="8"/>
        <v/>
      </c>
      <c r="W37" s="41">
        <f t="shared" si="5"/>
        <v>3.0385020649052432</v>
      </c>
      <c r="X37" s="6">
        <f t="shared" si="6"/>
        <v>0</v>
      </c>
      <c r="Y37" s="7">
        <f t="shared" si="9"/>
        <v>567</v>
      </c>
      <c r="AA37" s="7">
        <f t="shared" si="10"/>
        <v>0</v>
      </c>
      <c r="AB37" s="7" t="str">
        <f t="shared" si="11"/>
        <v/>
      </c>
      <c r="AC37" s="7">
        <f t="shared" si="12"/>
        <v>0</v>
      </c>
      <c r="AD37" s="7" t="str">
        <f t="shared" si="13"/>
        <v/>
      </c>
      <c r="AE37" s="6">
        <f t="shared" si="14"/>
        <v>0</v>
      </c>
      <c r="AF37" s="69">
        <f t="shared" si="15"/>
        <v>3.0385020649052432</v>
      </c>
      <c r="AG37" s="6">
        <f t="shared" si="16"/>
        <v>167.11761356978838</v>
      </c>
      <c r="AH37" s="6">
        <f t="shared" si="17"/>
        <v>246</v>
      </c>
    </row>
    <row r="38" spans="2:34" x14ac:dyDescent="0.25">
      <c r="B38" s="3"/>
      <c r="H38" s="7">
        <v>45</v>
      </c>
      <c r="I38" s="7" t="s">
        <v>13</v>
      </c>
      <c r="J38" s="8">
        <v>38980</v>
      </c>
      <c r="K38" s="12" t="s">
        <v>17</v>
      </c>
      <c r="L38" s="9">
        <v>2</v>
      </c>
      <c r="M38" s="10">
        <v>7.8483600384211831</v>
      </c>
      <c r="N38" s="7" t="s">
        <v>24</v>
      </c>
      <c r="P38" s="29" t="str">
        <f t="shared" si="0"/>
        <v/>
      </c>
      <c r="Q38" s="29" t="str">
        <f t="shared" si="1"/>
        <v/>
      </c>
      <c r="R38" s="29" t="str">
        <f t="shared" si="2"/>
        <v/>
      </c>
      <c r="S38" s="29" t="str">
        <f t="shared" si="3"/>
        <v/>
      </c>
      <c r="T38" s="32" t="str">
        <f t="shared" si="4"/>
        <v/>
      </c>
      <c r="U38" s="32" t="str">
        <f t="shared" si="7"/>
        <v/>
      </c>
      <c r="V38" s="32">
        <f t="shared" si="8"/>
        <v>1</v>
      </c>
      <c r="W38" s="41">
        <f t="shared" si="5"/>
        <v>3.9241800192105916</v>
      </c>
      <c r="X38" s="6">
        <f t="shared" si="6"/>
        <v>0</v>
      </c>
      <c r="Y38" s="7">
        <f t="shared" si="9"/>
        <v>567</v>
      </c>
      <c r="AA38" s="7">
        <f t="shared" si="10"/>
        <v>0</v>
      </c>
      <c r="AB38" s="7" t="str">
        <f t="shared" si="11"/>
        <v/>
      </c>
      <c r="AC38" s="7">
        <f t="shared" si="12"/>
        <v>0</v>
      </c>
      <c r="AD38" s="7" t="str">
        <f t="shared" si="13"/>
        <v/>
      </c>
      <c r="AE38" s="6">
        <f t="shared" si="14"/>
        <v>0</v>
      </c>
      <c r="AF38" s="69">
        <f t="shared" si="15"/>
        <v>3.9241800192105916</v>
      </c>
      <c r="AG38" s="6">
        <f t="shared" si="16"/>
        <v>0</v>
      </c>
      <c r="AH38" s="6">
        <f t="shared" si="17"/>
        <v>604</v>
      </c>
    </row>
    <row r="39" spans="2:34" x14ac:dyDescent="0.25">
      <c r="B39" s="3"/>
      <c r="H39" s="7">
        <v>46</v>
      </c>
      <c r="I39" s="7" t="s">
        <v>9</v>
      </c>
      <c r="J39" s="8">
        <v>38573</v>
      </c>
      <c r="K39" s="12" t="s">
        <v>20</v>
      </c>
      <c r="L39" s="9">
        <v>93</v>
      </c>
      <c r="M39" s="10">
        <v>280.68747862762837</v>
      </c>
      <c r="N39" s="7" t="s">
        <v>24</v>
      </c>
      <c r="P39" s="29" t="str">
        <f t="shared" si="0"/>
        <v/>
      </c>
      <c r="Q39" s="29" t="str">
        <f t="shared" si="1"/>
        <v/>
      </c>
      <c r="R39" s="29" t="str">
        <f t="shared" si="2"/>
        <v/>
      </c>
      <c r="S39" s="29" t="str">
        <f t="shared" si="3"/>
        <v/>
      </c>
      <c r="T39" s="32" t="str">
        <f t="shared" si="4"/>
        <v/>
      </c>
      <c r="U39" s="32">
        <f t="shared" si="7"/>
        <v>1</v>
      </c>
      <c r="V39" s="32" t="str">
        <f t="shared" si="8"/>
        <v/>
      </c>
      <c r="W39" s="41">
        <f t="shared" si="5"/>
        <v>3.0181449314798749</v>
      </c>
      <c r="X39" s="6">
        <f t="shared" si="6"/>
        <v>280.68747862762837</v>
      </c>
      <c r="Y39" s="7">
        <f t="shared" si="9"/>
        <v>26</v>
      </c>
      <c r="AA39" s="7">
        <f t="shared" si="10"/>
        <v>1</v>
      </c>
      <c r="AB39" s="7">
        <f t="shared" si="11"/>
        <v>93</v>
      </c>
      <c r="AC39" s="7">
        <f t="shared" si="12"/>
        <v>0</v>
      </c>
      <c r="AD39" s="7" t="str">
        <f t="shared" si="13"/>
        <v/>
      </c>
      <c r="AE39" s="6">
        <f t="shared" si="14"/>
        <v>0</v>
      </c>
      <c r="AF39" s="69">
        <f t="shared" si="15"/>
        <v>3.0181449314798749</v>
      </c>
      <c r="AG39" s="6">
        <f t="shared" si="16"/>
        <v>0</v>
      </c>
      <c r="AH39" s="6">
        <f t="shared" si="17"/>
        <v>604</v>
      </c>
    </row>
    <row r="40" spans="2:34" x14ac:dyDescent="0.25">
      <c r="B40" s="3"/>
      <c r="H40" s="7">
        <v>47</v>
      </c>
      <c r="I40" s="7" t="s">
        <v>10</v>
      </c>
      <c r="J40" s="8">
        <v>38254</v>
      </c>
      <c r="K40" s="12" t="s">
        <v>16</v>
      </c>
      <c r="L40" s="9">
        <v>14</v>
      </c>
      <c r="M40" s="10">
        <v>43.931553656204748</v>
      </c>
      <c r="N40" s="7" t="s">
        <v>23</v>
      </c>
      <c r="P40" s="29" t="str">
        <f t="shared" si="0"/>
        <v/>
      </c>
      <c r="Q40" s="29" t="str">
        <f t="shared" si="1"/>
        <v/>
      </c>
      <c r="R40" s="29">
        <f t="shared" si="2"/>
        <v>1</v>
      </c>
      <c r="S40" s="29" t="str">
        <f t="shared" si="3"/>
        <v/>
      </c>
      <c r="T40" s="32" t="str">
        <f t="shared" si="4"/>
        <v/>
      </c>
      <c r="U40" s="32" t="str">
        <f t="shared" si="7"/>
        <v/>
      </c>
      <c r="V40" s="32" t="str">
        <f t="shared" si="8"/>
        <v/>
      </c>
      <c r="W40" s="41">
        <f t="shared" si="5"/>
        <v>3.1379681183003392</v>
      </c>
      <c r="X40" s="6">
        <f t="shared" si="6"/>
        <v>0</v>
      </c>
      <c r="Y40" s="7">
        <f t="shared" si="9"/>
        <v>567</v>
      </c>
      <c r="AA40" s="7">
        <f t="shared" si="10"/>
        <v>0</v>
      </c>
      <c r="AB40" s="7" t="str">
        <f t="shared" si="11"/>
        <v/>
      </c>
      <c r="AC40" s="7">
        <f t="shared" si="12"/>
        <v>0</v>
      </c>
      <c r="AD40" s="7" t="str">
        <f t="shared" si="13"/>
        <v/>
      </c>
      <c r="AE40" s="6">
        <f t="shared" si="14"/>
        <v>0</v>
      </c>
      <c r="AF40" s="69">
        <f t="shared" si="15"/>
        <v>3.1379681183003392</v>
      </c>
      <c r="AG40" s="6">
        <f t="shared" si="16"/>
        <v>43.931553656204748</v>
      </c>
      <c r="AH40" s="6">
        <f t="shared" si="17"/>
        <v>494</v>
      </c>
    </row>
    <row r="41" spans="2:34" x14ac:dyDescent="0.25">
      <c r="B41" s="3"/>
      <c r="H41" s="7">
        <v>48</v>
      </c>
      <c r="I41" s="7" t="s">
        <v>13</v>
      </c>
      <c r="J41" s="8">
        <v>38496</v>
      </c>
      <c r="K41" s="12" t="s">
        <v>16</v>
      </c>
      <c r="L41" s="9">
        <v>37</v>
      </c>
      <c r="M41" s="10">
        <v>113.03491000904664</v>
      </c>
      <c r="N41" s="7" t="s">
        <v>21</v>
      </c>
      <c r="P41" s="29" t="str">
        <f t="shared" si="0"/>
        <v/>
      </c>
      <c r="Q41" s="29" t="str">
        <f t="shared" si="1"/>
        <v/>
      </c>
      <c r="R41" s="29" t="str">
        <f t="shared" si="2"/>
        <v/>
      </c>
      <c r="S41" s="29" t="str">
        <f t="shared" si="3"/>
        <v/>
      </c>
      <c r="T41" s="32" t="str">
        <f t="shared" si="4"/>
        <v/>
      </c>
      <c r="U41" s="32">
        <f t="shared" si="7"/>
        <v>1</v>
      </c>
      <c r="V41" s="32" t="str">
        <f t="shared" si="8"/>
        <v/>
      </c>
      <c r="W41" s="41">
        <f t="shared" si="5"/>
        <v>3.0549975678120713</v>
      </c>
      <c r="X41" s="6">
        <f t="shared" si="6"/>
        <v>113.03491000904664</v>
      </c>
      <c r="Y41" s="7">
        <f t="shared" si="9"/>
        <v>334</v>
      </c>
      <c r="AA41" s="7">
        <f t="shared" si="10"/>
        <v>0</v>
      </c>
      <c r="AB41" s="7" t="str">
        <f t="shared" si="11"/>
        <v/>
      </c>
      <c r="AC41" s="7">
        <f t="shared" si="12"/>
        <v>1</v>
      </c>
      <c r="AD41" s="7">
        <f t="shared" si="13"/>
        <v>37</v>
      </c>
      <c r="AE41" s="6">
        <f t="shared" si="14"/>
        <v>0</v>
      </c>
      <c r="AF41" s="69">
        <f t="shared" si="15"/>
        <v>3.0549975678120713</v>
      </c>
      <c r="AG41" s="6">
        <f t="shared" si="16"/>
        <v>0</v>
      </c>
      <c r="AH41" s="6">
        <f t="shared" si="17"/>
        <v>604</v>
      </c>
    </row>
    <row r="42" spans="2:34" x14ac:dyDescent="0.25">
      <c r="B42" s="3"/>
      <c r="H42" s="7">
        <v>49</v>
      </c>
      <c r="I42" s="7" t="s">
        <v>7</v>
      </c>
      <c r="J42" s="8">
        <v>38309</v>
      </c>
      <c r="K42" s="12" t="s">
        <v>18</v>
      </c>
      <c r="L42" s="9">
        <v>63</v>
      </c>
      <c r="M42" s="10">
        <v>190.69511057123685</v>
      </c>
      <c r="N42" s="7" t="s">
        <v>23</v>
      </c>
      <c r="P42" s="29" t="str">
        <f t="shared" si="0"/>
        <v/>
      </c>
      <c r="Q42" s="29" t="str">
        <f t="shared" si="1"/>
        <v/>
      </c>
      <c r="R42" s="29" t="str">
        <f t="shared" si="2"/>
        <v/>
      </c>
      <c r="S42" s="29">
        <f t="shared" si="3"/>
        <v>1</v>
      </c>
      <c r="T42" s="32" t="str">
        <f t="shared" si="4"/>
        <v/>
      </c>
      <c r="U42" s="32" t="str">
        <f t="shared" si="7"/>
        <v/>
      </c>
      <c r="V42" s="32" t="str">
        <f t="shared" si="8"/>
        <v/>
      </c>
      <c r="W42" s="41">
        <f t="shared" si="5"/>
        <v>3.0269065170037597</v>
      </c>
      <c r="X42" s="6">
        <f t="shared" si="6"/>
        <v>0</v>
      </c>
      <c r="Y42" s="7">
        <f t="shared" si="9"/>
        <v>567</v>
      </c>
      <c r="AA42" s="7">
        <f t="shared" si="10"/>
        <v>0</v>
      </c>
      <c r="AB42" s="7" t="str">
        <f t="shared" si="11"/>
        <v/>
      </c>
      <c r="AC42" s="7">
        <f t="shared" si="12"/>
        <v>0</v>
      </c>
      <c r="AD42" s="7" t="str">
        <f t="shared" si="13"/>
        <v/>
      </c>
      <c r="AE42" s="6">
        <f t="shared" si="14"/>
        <v>0</v>
      </c>
      <c r="AF42" s="69">
        <f t="shared" si="15"/>
        <v>3.0269065170037597</v>
      </c>
      <c r="AG42" s="6">
        <f t="shared" si="16"/>
        <v>190.69511057123685</v>
      </c>
      <c r="AH42" s="6">
        <f t="shared" si="17"/>
        <v>197</v>
      </c>
    </row>
    <row r="43" spans="2:34" x14ac:dyDescent="0.25">
      <c r="B43" s="3"/>
      <c r="H43" s="7">
        <v>50</v>
      </c>
      <c r="I43" s="7" t="s">
        <v>10</v>
      </c>
      <c r="J43" s="8">
        <v>38309</v>
      </c>
      <c r="K43" s="12" t="s">
        <v>17</v>
      </c>
      <c r="L43" s="9">
        <v>1</v>
      </c>
      <c r="M43" s="10">
        <v>5.599704779498877</v>
      </c>
      <c r="N43" s="7" t="s">
        <v>23</v>
      </c>
      <c r="P43" s="29" t="str">
        <f t="shared" si="0"/>
        <v/>
      </c>
      <c r="Q43" s="29" t="str">
        <f t="shared" si="1"/>
        <v/>
      </c>
      <c r="R43" s="29" t="str">
        <f t="shared" si="2"/>
        <v/>
      </c>
      <c r="S43" s="29">
        <f t="shared" si="3"/>
        <v>1</v>
      </c>
      <c r="T43" s="32" t="str">
        <f t="shared" si="4"/>
        <v/>
      </c>
      <c r="U43" s="32" t="str">
        <f t="shared" si="7"/>
        <v/>
      </c>
      <c r="V43" s="32" t="str">
        <f t="shared" si="8"/>
        <v/>
      </c>
      <c r="W43" s="41">
        <f t="shared" si="5"/>
        <v>5.599704779498877</v>
      </c>
      <c r="X43" s="6">
        <f t="shared" si="6"/>
        <v>0</v>
      </c>
      <c r="Y43" s="7">
        <f t="shared" si="9"/>
        <v>567</v>
      </c>
      <c r="AA43" s="7">
        <f t="shared" si="10"/>
        <v>0</v>
      </c>
      <c r="AB43" s="7" t="str">
        <f t="shared" si="11"/>
        <v/>
      </c>
      <c r="AC43" s="7">
        <f t="shared" si="12"/>
        <v>0</v>
      </c>
      <c r="AD43" s="7" t="str">
        <f t="shared" si="13"/>
        <v/>
      </c>
      <c r="AE43" s="6">
        <f t="shared" si="14"/>
        <v>0</v>
      </c>
      <c r="AF43" s="69">
        <f t="shared" si="15"/>
        <v>5.599704779498877</v>
      </c>
      <c r="AG43" s="6">
        <f t="shared" si="16"/>
        <v>5.599704779498877</v>
      </c>
      <c r="AH43" s="6">
        <f t="shared" si="17"/>
        <v>592</v>
      </c>
    </row>
    <row r="44" spans="2:34" x14ac:dyDescent="0.25">
      <c r="B44" s="3"/>
      <c r="H44" s="7">
        <v>51</v>
      </c>
      <c r="I44" s="7" t="s">
        <v>10</v>
      </c>
      <c r="J44" s="8">
        <v>38518</v>
      </c>
      <c r="K44" s="12" t="s">
        <v>16</v>
      </c>
      <c r="L44" s="9">
        <v>24</v>
      </c>
      <c r="M44" s="10">
        <v>73.599272692165783</v>
      </c>
      <c r="N44" s="7" t="s">
        <v>22</v>
      </c>
      <c r="P44" s="29" t="str">
        <f t="shared" si="0"/>
        <v/>
      </c>
      <c r="Q44" s="29" t="str">
        <f t="shared" si="1"/>
        <v/>
      </c>
      <c r="R44" s="29" t="str">
        <f t="shared" si="2"/>
        <v/>
      </c>
      <c r="S44" s="29" t="str">
        <f t="shared" si="3"/>
        <v/>
      </c>
      <c r="T44" s="32" t="str">
        <f t="shared" si="4"/>
        <v/>
      </c>
      <c r="U44" s="32">
        <f t="shared" si="7"/>
        <v>1</v>
      </c>
      <c r="V44" s="32" t="str">
        <f t="shared" si="8"/>
        <v/>
      </c>
      <c r="W44" s="41">
        <f t="shared" si="5"/>
        <v>3.0666363621735742</v>
      </c>
      <c r="X44" s="6">
        <f t="shared" si="6"/>
        <v>73.599272692165783</v>
      </c>
      <c r="Y44" s="7">
        <f t="shared" si="9"/>
        <v>420</v>
      </c>
      <c r="AA44" s="7">
        <f t="shared" si="10"/>
        <v>0</v>
      </c>
      <c r="AB44" s="7" t="str">
        <f t="shared" si="11"/>
        <v/>
      </c>
      <c r="AC44" s="7">
        <f t="shared" si="12"/>
        <v>1</v>
      </c>
      <c r="AD44" s="7">
        <f t="shared" si="13"/>
        <v>24</v>
      </c>
      <c r="AE44" s="6">
        <f t="shared" si="14"/>
        <v>0</v>
      </c>
      <c r="AF44" s="69">
        <f t="shared" si="15"/>
        <v>3.0666363621735742</v>
      </c>
      <c r="AG44" s="6">
        <f t="shared" si="16"/>
        <v>0</v>
      </c>
      <c r="AH44" s="6">
        <f t="shared" si="17"/>
        <v>604</v>
      </c>
    </row>
    <row r="45" spans="2:34" x14ac:dyDescent="0.25">
      <c r="B45" s="3"/>
      <c r="H45" s="7">
        <v>52</v>
      </c>
      <c r="I45" s="7" t="s">
        <v>8</v>
      </c>
      <c r="J45" s="8">
        <v>37990</v>
      </c>
      <c r="K45" s="12" t="s">
        <v>16</v>
      </c>
      <c r="L45" s="9">
        <v>83</v>
      </c>
      <c r="M45" s="10">
        <v>250.33273832124888</v>
      </c>
      <c r="N45" s="7" t="s">
        <v>22</v>
      </c>
      <c r="P45" s="29">
        <f t="shared" si="0"/>
        <v>1</v>
      </c>
      <c r="Q45" s="29" t="str">
        <f t="shared" si="1"/>
        <v/>
      </c>
      <c r="R45" s="29" t="str">
        <f t="shared" si="2"/>
        <v/>
      </c>
      <c r="S45" s="29" t="str">
        <f t="shared" si="3"/>
        <v/>
      </c>
      <c r="T45" s="32" t="str">
        <f t="shared" si="4"/>
        <v/>
      </c>
      <c r="U45" s="32" t="str">
        <f t="shared" si="7"/>
        <v/>
      </c>
      <c r="V45" s="32" t="str">
        <f t="shared" si="8"/>
        <v/>
      </c>
      <c r="W45" s="41">
        <f t="shared" si="5"/>
        <v>3.0160570882078179</v>
      </c>
      <c r="X45" s="6">
        <f t="shared" si="6"/>
        <v>0</v>
      </c>
      <c r="Y45" s="7">
        <f t="shared" si="9"/>
        <v>567</v>
      </c>
      <c r="AA45" s="7">
        <f t="shared" si="10"/>
        <v>0</v>
      </c>
      <c r="AB45" s="7" t="str">
        <f t="shared" si="11"/>
        <v/>
      </c>
      <c r="AC45" s="7">
        <f t="shared" si="12"/>
        <v>0</v>
      </c>
      <c r="AD45" s="7" t="str">
        <f t="shared" si="13"/>
        <v/>
      </c>
      <c r="AE45" s="6">
        <f t="shared" si="14"/>
        <v>0</v>
      </c>
      <c r="AF45" s="69">
        <f t="shared" si="15"/>
        <v>3.0160570882078179</v>
      </c>
      <c r="AG45" s="6">
        <f t="shared" si="16"/>
        <v>250.33273832124888</v>
      </c>
      <c r="AH45" s="6">
        <f t="shared" si="17"/>
        <v>68</v>
      </c>
    </row>
    <row r="46" spans="2:34" x14ac:dyDescent="0.25">
      <c r="B46" s="3"/>
      <c r="H46" s="7">
        <v>53</v>
      </c>
      <c r="I46" s="7" t="s">
        <v>15</v>
      </c>
      <c r="J46" s="8">
        <v>38540</v>
      </c>
      <c r="K46" s="12" t="s">
        <v>16</v>
      </c>
      <c r="L46" s="9">
        <v>49</v>
      </c>
      <c r="M46" s="10">
        <v>148.50659729480034</v>
      </c>
      <c r="N46" s="7" t="s">
        <v>22</v>
      </c>
      <c r="P46" s="29" t="str">
        <f t="shared" si="0"/>
        <v/>
      </c>
      <c r="Q46" s="29" t="str">
        <f t="shared" si="1"/>
        <v/>
      </c>
      <c r="R46" s="29" t="str">
        <f t="shared" si="2"/>
        <v/>
      </c>
      <c r="S46" s="29" t="str">
        <f t="shared" si="3"/>
        <v/>
      </c>
      <c r="T46" s="32" t="str">
        <f t="shared" si="4"/>
        <v/>
      </c>
      <c r="U46" s="32">
        <f t="shared" si="7"/>
        <v>1</v>
      </c>
      <c r="V46" s="32" t="str">
        <f t="shared" si="8"/>
        <v/>
      </c>
      <c r="W46" s="41">
        <f t="shared" si="5"/>
        <v>3.0307468835673541</v>
      </c>
      <c r="X46" s="6">
        <f t="shared" si="6"/>
        <v>148.50659729480034</v>
      </c>
      <c r="Y46" s="7">
        <f t="shared" si="9"/>
        <v>276</v>
      </c>
      <c r="AA46" s="7">
        <f t="shared" si="10"/>
        <v>1</v>
      </c>
      <c r="AB46" s="7">
        <f t="shared" si="11"/>
        <v>49</v>
      </c>
      <c r="AC46" s="7">
        <f t="shared" si="12"/>
        <v>0</v>
      </c>
      <c r="AD46" s="7" t="str">
        <f t="shared" si="13"/>
        <v/>
      </c>
      <c r="AE46" s="6">
        <f t="shared" si="14"/>
        <v>0</v>
      </c>
      <c r="AF46" s="69">
        <f t="shared" si="15"/>
        <v>3.0307468835673541</v>
      </c>
      <c r="AG46" s="6">
        <f t="shared" si="16"/>
        <v>0</v>
      </c>
      <c r="AH46" s="6">
        <f t="shared" si="17"/>
        <v>604</v>
      </c>
    </row>
    <row r="47" spans="2:34" x14ac:dyDescent="0.25">
      <c r="B47" s="3"/>
      <c r="H47" s="7">
        <v>54</v>
      </c>
      <c r="I47" s="7" t="s">
        <v>12</v>
      </c>
      <c r="J47" s="8">
        <v>38452</v>
      </c>
      <c r="K47" s="12" t="s">
        <v>17</v>
      </c>
      <c r="L47" s="9">
        <v>26</v>
      </c>
      <c r="M47" s="10">
        <v>80.197912185633001</v>
      </c>
      <c r="N47" s="7" t="s">
        <v>23</v>
      </c>
      <c r="P47" s="29" t="str">
        <f t="shared" si="0"/>
        <v/>
      </c>
      <c r="Q47" s="29" t="str">
        <f t="shared" si="1"/>
        <v/>
      </c>
      <c r="R47" s="29" t="str">
        <f t="shared" si="2"/>
        <v/>
      </c>
      <c r="S47" s="29" t="str">
        <f t="shared" si="3"/>
        <v/>
      </c>
      <c r="T47" s="32" t="str">
        <f t="shared" si="4"/>
        <v/>
      </c>
      <c r="U47" s="32">
        <f t="shared" si="7"/>
        <v>1</v>
      </c>
      <c r="V47" s="32" t="str">
        <f t="shared" si="8"/>
        <v/>
      </c>
      <c r="W47" s="41">
        <f t="shared" si="5"/>
        <v>3.0845350840628076</v>
      </c>
      <c r="X47" s="6">
        <f t="shared" si="6"/>
        <v>80.197912185633001</v>
      </c>
      <c r="Y47" s="7">
        <f t="shared" si="9"/>
        <v>403</v>
      </c>
      <c r="AA47" s="7">
        <f t="shared" si="10"/>
        <v>0</v>
      </c>
      <c r="AB47" s="7" t="str">
        <f t="shared" si="11"/>
        <v/>
      </c>
      <c r="AC47" s="7">
        <f t="shared" si="12"/>
        <v>1</v>
      </c>
      <c r="AD47" s="7">
        <f t="shared" si="13"/>
        <v>26</v>
      </c>
      <c r="AE47" s="6">
        <f t="shared" si="14"/>
        <v>0</v>
      </c>
      <c r="AF47" s="69">
        <f t="shared" si="15"/>
        <v>3.0845350840628076</v>
      </c>
      <c r="AG47" s="6">
        <f t="shared" si="16"/>
        <v>0</v>
      </c>
      <c r="AH47" s="6">
        <f t="shared" si="17"/>
        <v>604</v>
      </c>
    </row>
    <row r="48" spans="2:34" x14ac:dyDescent="0.25">
      <c r="B48" s="3"/>
      <c r="H48" s="7">
        <v>55</v>
      </c>
      <c r="I48" s="7" t="s">
        <v>14</v>
      </c>
      <c r="J48" s="8">
        <v>38859</v>
      </c>
      <c r="K48" s="12" t="s">
        <v>17</v>
      </c>
      <c r="L48" s="9">
        <v>35</v>
      </c>
      <c r="M48" s="10">
        <v>107.99264815962536</v>
      </c>
      <c r="N48" s="7" t="s">
        <v>23</v>
      </c>
      <c r="P48" s="29" t="str">
        <f t="shared" si="0"/>
        <v/>
      </c>
      <c r="Q48" s="29" t="str">
        <f t="shared" si="1"/>
        <v/>
      </c>
      <c r="R48" s="29" t="str">
        <f t="shared" si="2"/>
        <v/>
      </c>
      <c r="S48" s="29" t="str">
        <f t="shared" si="3"/>
        <v/>
      </c>
      <c r="T48" s="32" t="str">
        <f t="shared" si="4"/>
        <v/>
      </c>
      <c r="U48" s="32" t="str">
        <f t="shared" si="7"/>
        <v/>
      </c>
      <c r="V48" s="32">
        <f t="shared" si="8"/>
        <v>1</v>
      </c>
      <c r="W48" s="41">
        <f t="shared" si="5"/>
        <v>3.0855042331321534</v>
      </c>
      <c r="X48" s="6">
        <f t="shared" si="6"/>
        <v>0</v>
      </c>
      <c r="Y48" s="7">
        <f t="shared" si="9"/>
        <v>567</v>
      </c>
      <c r="AA48" s="7">
        <f t="shared" si="10"/>
        <v>0</v>
      </c>
      <c r="AB48" s="7" t="str">
        <f t="shared" si="11"/>
        <v/>
      </c>
      <c r="AC48" s="7">
        <f t="shared" si="12"/>
        <v>0</v>
      </c>
      <c r="AD48" s="7" t="str">
        <f t="shared" si="13"/>
        <v/>
      </c>
      <c r="AE48" s="6">
        <f t="shared" si="14"/>
        <v>0</v>
      </c>
      <c r="AF48" s="69">
        <f t="shared" si="15"/>
        <v>3.0855042331321534</v>
      </c>
      <c r="AG48" s="6">
        <f t="shared" si="16"/>
        <v>0</v>
      </c>
      <c r="AH48" s="6">
        <f t="shared" si="17"/>
        <v>604</v>
      </c>
    </row>
    <row r="49" spans="2:34" x14ac:dyDescent="0.25">
      <c r="B49" s="3"/>
      <c r="H49" s="7">
        <v>56</v>
      </c>
      <c r="I49" s="7" t="s">
        <v>12</v>
      </c>
      <c r="J49" s="8">
        <v>38089</v>
      </c>
      <c r="K49" s="12" t="s">
        <v>17</v>
      </c>
      <c r="L49" s="9">
        <v>8</v>
      </c>
      <c r="M49" s="10">
        <v>26.909399775034267</v>
      </c>
      <c r="N49" s="7" t="s">
        <v>21</v>
      </c>
      <c r="P49" s="29" t="str">
        <f t="shared" si="0"/>
        <v/>
      </c>
      <c r="Q49" s="29">
        <f t="shared" si="1"/>
        <v>1</v>
      </c>
      <c r="R49" s="29" t="str">
        <f t="shared" si="2"/>
        <v/>
      </c>
      <c r="S49" s="29" t="str">
        <f t="shared" si="3"/>
        <v/>
      </c>
      <c r="T49" s="32" t="str">
        <f t="shared" si="4"/>
        <v/>
      </c>
      <c r="U49" s="32" t="str">
        <f t="shared" si="7"/>
        <v/>
      </c>
      <c r="V49" s="32" t="str">
        <f t="shared" si="8"/>
        <v/>
      </c>
      <c r="W49" s="41">
        <f t="shared" si="5"/>
        <v>3.3636749718792833</v>
      </c>
      <c r="X49" s="6">
        <f t="shared" si="6"/>
        <v>0</v>
      </c>
      <c r="Y49" s="7">
        <f t="shared" si="9"/>
        <v>567</v>
      </c>
      <c r="AA49" s="7">
        <f t="shared" si="10"/>
        <v>0</v>
      </c>
      <c r="AB49" s="7" t="str">
        <f t="shared" si="11"/>
        <v/>
      </c>
      <c r="AC49" s="7">
        <f t="shared" si="12"/>
        <v>0</v>
      </c>
      <c r="AD49" s="7" t="str">
        <f t="shared" si="13"/>
        <v/>
      </c>
      <c r="AE49" s="6">
        <f t="shared" si="14"/>
        <v>0</v>
      </c>
      <c r="AF49" s="69">
        <f t="shared" si="15"/>
        <v>3.3636749718792833</v>
      </c>
      <c r="AG49" s="6">
        <f t="shared" si="16"/>
        <v>26.909399775034267</v>
      </c>
      <c r="AH49" s="6">
        <f t="shared" si="17"/>
        <v>540</v>
      </c>
    </row>
    <row r="50" spans="2:34" x14ac:dyDescent="0.25">
      <c r="B50" s="3"/>
      <c r="H50" s="7">
        <v>57</v>
      </c>
      <c r="I50" s="7" t="s">
        <v>15</v>
      </c>
      <c r="J50" s="8">
        <v>38166</v>
      </c>
      <c r="K50" s="12" t="s">
        <v>20</v>
      </c>
      <c r="L50" s="9">
        <v>49</v>
      </c>
      <c r="M50" s="10">
        <v>148.777847479907</v>
      </c>
      <c r="N50" s="7" t="s">
        <v>22</v>
      </c>
      <c r="P50" s="29" t="str">
        <f t="shared" si="0"/>
        <v/>
      </c>
      <c r="Q50" s="29">
        <f t="shared" si="1"/>
        <v>1</v>
      </c>
      <c r="R50" s="29" t="str">
        <f t="shared" si="2"/>
        <v/>
      </c>
      <c r="S50" s="29" t="str">
        <f t="shared" si="3"/>
        <v/>
      </c>
      <c r="T50" s="32" t="str">
        <f t="shared" si="4"/>
        <v/>
      </c>
      <c r="U50" s="32" t="str">
        <f t="shared" si="7"/>
        <v/>
      </c>
      <c r="V50" s="32" t="str">
        <f t="shared" si="8"/>
        <v/>
      </c>
      <c r="W50" s="41">
        <f t="shared" si="5"/>
        <v>3.0362826016307549</v>
      </c>
      <c r="X50" s="6">
        <f t="shared" si="6"/>
        <v>0</v>
      </c>
      <c r="Y50" s="7">
        <f t="shared" si="9"/>
        <v>567</v>
      </c>
      <c r="AA50" s="7">
        <f t="shared" si="10"/>
        <v>0</v>
      </c>
      <c r="AB50" s="7" t="str">
        <f t="shared" si="11"/>
        <v/>
      </c>
      <c r="AC50" s="7">
        <f t="shared" si="12"/>
        <v>0</v>
      </c>
      <c r="AD50" s="7" t="str">
        <f t="shared" si="13"/>
        <v/>
      </c>
      <c r="AE50" s="6">
        <f t="shared" si="14"/>
        <v>0</v>
      </c>
      <c r="AF50" s="69">
        <f t="shared" si="15"/>
        <v>3.0362826016307549</v>
      </c>
      <c r="AG50" s="6">
        <f t="shared" si="16"/>
        <v>148.777847479907</v>
      </c>
      <c r="AH50" s="6">
        <f t="shared" si="17"/>
        <v>275</v>
      </c>
    </row>
    <row r="51" spans="2:34" x14ac:dyDescent="0.25">
      <c r="B51" s="3"/>
      <c r="H51" s="7">
        <v>58</v>
      </c>
      <c r="I51" s="7" t="s">
        <v>12</v>
      </c>
      <c r="J51" s="8">
        <v>38089</v>
      </c>
      <c r="K51" s="12" t="s">
        <v>18</v>
      </c>
      <c r="L51" s="9">
        <v>34</v>
      </c>
      <c r="M51" s="10">
        <v>104.09375694795658</v>
      </c>
      <c r="N51" s="7" t="s">
        <v>24</v>
      </c>
      <c r="P51" s="29" t="str">
        <f t="shared" si="0"/>
        <v/>
      </c>
      <c r="Q51" s="29">
        <f t="shared" si="1"/>
        <v>1</v>
      </c>
      <c r="R51" s="29" t="str">
        <f t="shared" si="2"/>
        <v/>
      </c>
      <c r="S51" s="29" t="str">
        <f t="shared" si="3"/>
        <v/>
      </c>
      <c r="T51" s="32" t="str">
        <f t="shared" si="4"/>
        <v/>
      </c>
      <c r="U51" s="32" t="str">
        <f t="shared" si="7"/>
        <v/>
      </c>
      <c r="V51" s="32" t="str">
        <f t="shared" si="8"/>
        <v/>
      </c>
      <c r="W51" s="41">
        <f t="shared" si="5"/>
        <v>3.0615810867046052</v>
      </c>
      <c r="X51" s="6">
        <f t="shared" si="6"/>
        <v>0</v>
      </c>
      <c r="Y51" s="7">
        <f t="shared" si="9"/>
        <v>567</v>
      </c>
      <c r="AA51" s="7">
        <f t="shared" si="10"/>
        <v>0</v>
      </c>
      <c r="AB51" s="7" t="str">
        <f t="shared" si="11"/>
        <v/>
      </c>
      <c r="AC51" s="7">
        <f t="shared" si="12"/>
        <v>0</v>
      </c>
      <c r="AD51" s="7" t="str">
        <f t="shared" si="13"/>
        <v/>
      </c>
      <c r="AE51" s="6">
        <f t="shared" si="14"/>
        <v>0</v>
      </c>
      <c r="AF51" s="69">
        <f t="shared" si="15"/>
        <v>3.0615810867046052</v>
      </c>
      <c r="AG51" s="6">
        <f t="shared" si="16"/>
        <v>104.09375694795658</v>
      </c>
      <c r="AH51" s="6">
        <f t="shared" si="17"/>
        <v>363</v>
      </c>
    </row>
    <row r="52" spans="2:34" x14ac:dyDescent="0.25">
      <c r="B52" s="3"/>
      <c r="H52" s="7">
        <v>59</v>
      </c>
      <c r="I52" s="7" t="s">
        <v>12</v>
      </c>
      <c r="J52" s="8">
        <v>38694</v>
      </c>
      <c r="K52" s="12" t="s">
        <v>17</v>
      </c>
      <c r="L52" s="9">
        <v>8</v>
      </c>
      <c r="M52" s="10">
        <v>26.236564211223342</v>
      </c>
      <c r="N52" s="7" t="s">
        <v>22</v>
      </c>
      <c r="P52" s="29" t="str">
        <f t="shared" si="0"/>
        <v/>
      </c>
      <c r="Q52" s="29" t="str">
        <f t="shared" si="1"/>
        <v/>
      </c>
      <c r="R52" s="29" t="str">
        <f t="shared" si="2"/>
        <v/>
      </c>
      <c r="S52" s="29" t="str">
        <f t="shared" si="3"/>
        <v/>
      </c>
      <c r="T52" s="32">
        <f t="shared" si="4"/>
        <v>1</v>
      </c>
      <c r="U52" s="32">
        <f t="shared" si="7"/>
        <v>1</v>
      </c>
      <c r="V52" s="32" t="str">
        <f t="shared" si="8"/>
        <v/>
      </c>
      <c r="W52" s="41">
        <f t="shared" si="5"/>
        <v>3.2795705264029178</v>
      </c>
      <c r="X52" s="6">
        <f t="shared" si="6"/>
        <v>26.236564211223342</v>
      </c>
      <c r="Y52" s="7">
        <f t="shared" si="9"/>
        <v>510</v>
      </c>
      <c r="AA52" s="7">
        <f t="shared" si="10"/>
        <v>0</v>
      </c>
      <c r="AB52" s="7" t="str">
        <f t="shared" si="11"/>
        <v/>
      </c>
      <c r="AC52" s="7">
        <f t="shared" si="12"/>
        <v>1</v>
      </c>
      <c r="AD52" s="7">
        <f t="shared" si="13"/>
        <v>8</v>
      </c>
      <c r="AE52" s="6">
        <f t="shared" si="14"/>
        <v>0</v>
      </c>
      <c r="AF52" s="69">
        <f t="shared" si="15"/>
        <v>3.2795705264029178</v>
      </c>
      <c r="AG52" s="6">
        <f t="shared" si="16"/>
        <v>0</v>
      </c>
      <c r="AH52" s="6">
        <f t="shared" si="17"/>
        <v>604</v>
      </c>
    </row>
    <row r="53" spans="2:34" x14ac:dyDescent="0.25">
      <c r="B53" s="3"/>
      <c r="H53" s="7">
        <v>60</v>
      </c>
      <c r="I53" s="7" t="s">
        <v>14</v>
      </c>
      <c r="J53" s="8">
        <v>38287</v>
      </c>
      <c r="K53" s="12" t="s">
        <v>20</v>
      </c>
      <c r="L53" s="9">
        <v>89</v>
      </c>
      <c r="M53" s="10">
        <v>269.09085017901094</v>
      </c>
      <c r="N53" s="7" t="s">
        <v>24</v>
      </c>
      <c r="P53" s="29" t="str">
        <f t="shared" si="0"/>
        <v/>
      </c>
      <c r="Q53" s="29" t="str">
        <f t="shared" si="1"/>
        <v/>
      </c>
      <c r="R53" s="29" t="str">
        <f t="shared" si="2"/>
        <v/>
      </c>
      <c r="S53" s="29">
        <f t="shared" si="3"/>
        <v>1</v>
      </c>
      <c r="T53" s="32" t="str">
        <f t="shared" si="4"/>
        <v/>
      </c>
      <c r="U53" s="32" t="str">
        <f t="shared" si="7"/>
        <v/>
      </c>
      <c r="V53" s="32" t="str">
        <f t="shared" si="8"/>
        <v/>
      </c>
      <c r="W53" s="41">
        <f t="shared" si="5"/>
        <v>3.0234926986405726</v>
      </c>
      <c r="X53" s="6">
        <f t="shared" si="6"/>
        <v>0</v>
      </c>
      <c r="Y53" s="7">
        <f t="shared" si="9"/>
        <v>567</v>
      </c>
      <c r="AA53" s="7">
        <f t="shared" si="10"/>
        <v>0</v>
      </c>
      <c r="AB53" s="7" t="str">
        <f t="shared" si="11"/>
        <v/>
      </c>
      <c r="AC53" s="7">
        <f t="shared" si="12"/>
        <v>0</v>
      </c>
      <c r="AD53" s="7" t="str">
        <f t="shared" si="13"/>
        <v/>
      </c>
      <c r="AE53" s="6">
        <f t="shared" si="14"/>
        <v>0</v>
      </c>
      <c r="AF53" s="69">
        <f t="shared" si="15"/>
        <v>3.0234926986405726</v>
      </c>
      <c r="AG53" s="6">
        <f t="shared" si="16"/>
        <v>269.09085017901094</v>
      </c>
      <c r="AH53" s="6">
        <f t="shared" si="17"/>
        <v>36</v>
      </c>
    </row>
    <row r="54" spans="2:34" x14ac:dyDescent="0.25">
      <c r="B54" s="3"/>
      <c r="H54" s="7">
        <v>61</v>
      </c>
      <c r="I54" s="7" t="s">
        <v>11</v>
      </c>
      <c r="J54" s="8">
        <v>38672</v>
      </c>
      <c r="K54" s="12" t="s">
        <v>18</v>
      </c>
      <c r="L54" s="9">
        <v>62</v>
      </c>
      <c r="M54" s="10">
        <v>189.25415891346557</v>
      </c>
      <c r="N54" s="7" t="s">
        <v>22</v>
      </c>
      <c r="P54" s="29" t="str">
        <f t="shared" si="0"/>
        <v/>
      </c>
      <c r="Q54" s="29" t="str">
        <f t="shared" si="1"/>
        <v/>
      </c>
      <c r="R54" s="29" t="str">
        <f t="shared" si="2"/>
        <v/>
      </c>
      <c r="S54" s="29" t="str">
        <f t="shared" si="3"/>
        <v/>
      </c>
      <c r="T54" s="32">
        <f t="shared" si="4"/>
        <v>1</v>
      </c>
      <c r="U54" s="32">
        <f t="shared" si="7"/>
        <v>1</v>
      </c>
      <c r="V54" s="32" t="str">
        <f t="shared" si="8"/>
        <v/>
      </c>
      <c r="W54" s="41">
        <f t="shared" si="5"/>
        <v>3.0524864340881543</v>
      </c>
      <c r="X54" s="6">
        <f t="shared" si="6"/>
        <v>189.25415891346557</v>
      </c>
      <c r="Y54" s="7">
        <f t="shared" si="9"/>
        <v>193</v>
      </c>
      <c r="AA54" s="7">
        <f t="shared" si="10"/>
        <v>0</v>
      </c>
      <c r="AB54" s="7" t="str">
        <f t="shared" si="11"/>
        <v/>
      </c>
      <c r="AC54" s="7">
        <f t="shared" si="12"/>
        <v>1</v>
      </c>
      <c r="AD54" s="7">
        <f t="shared" si="13"/>
        <v>62</v>
      </c>
      <c r="AE54" s="6">
        <f t="shared" si="14"/>
        <v>0</v>
      </c>
      <c r="AF54" s="69">
        <f t="shared" si="15"/>
        <v>3.0524864340881543</v>
      </c>
      <c r="AG54" s="6">
        <f t="shared" si="16"/>
        <v>0</v>
      </c>
      <c r="AH54" s="6">
        <f t="shared" si="17"/>
        <v>604</v>
      </c>
    </row>
    <row r="55" spans="2:34" x14ac:dyDescent="0.25">
      <c r="B55" s="3"/>
      <c r="H55" s="7">
        <v>62</v>
      </c>
      <c r="I55" s="7" t="s">
        <v>13</v>
      </c>
      <c r="J55" s="8">
        <v>38210</v>
      </c>
      <c r="K55" s="12" t="s">
        <v>18</v>
      </c>
      <c r="L55" s="9">
        <v>23</v>
      </c>
      <c r="M55" s="10">
        <v>71.313211840267556</v>
      </c>
      <c r="N55" s="7" t="s">
        <v>21</v>
      </c>
      <c r="P55" s="29" t="str">
        <f t="shared" si="0"/>
        <v/>
      </c>
      <c r="Q55" s="29" t="str">
        <f t="shared" si="1"/>
        <v/>
      </c>
      <c r="R55" s="29">
        <f t="shared" si="2"/>
        <v>1</v>
      </c>
      <c r="S55" s="29" t="str">
        <f t="shared" si="3"/>
        <v/>
      </c>
      <c r="T55" s="32" t="str">
        <f t="shared" si="4"/>
        <v/>
      </c>
      <c r="U55" s="32" t="str">
        <f t="shared" si="7"/>
        <v/>
      </c>
      <c r="V55" s="32" t="str">
        <f t="shared" si="8"/>
        <v/>
      </c>
      <c r="W55" s="41">
        <f t="shared" si="5"/>
        <v>3.1005744278377199</v>
      </c>
      <c r="X55" s="6">
        <f t="shared" si="6"/>
        <v>0</v>
      </c>
      <c r="Y55" s="7">
        <f t="shared" si="9"/>
        <v>567</v>
      </c>
      <c r="AA55" s="7">
        <f t="shared" si="10"/>
        <v>0</v>
      </c>
      <c r="AB55" s="7" t="str">
        <f t="shared" si="11"/>
        <v/>
      </c>
      <c r="AC55" s="7">
        <f t="shared" si="12"/>
        <v>0</v>
      </c>
      <c r="AD55" s="7" t="str">
        <f t="shared" si="13"/>
        <v/>
      </c>
      <c r="AE55" s="6">
        <f t="shared" si="14"/>
        <v>0</v>
      </c>
      <c r="AF55" s="69">
        <f t="shared" si="15"/>
        <v>3.1005744278377199</v>
      </c>
      <c r="AG55" s="6">
        <f t="shared" si="16"/>
        <v>71.313211840267556</v>
      </c>
      <c r="AH55" s="6">
        <f t="shared" si="17"/>
        <v>439</v>
      </c>
    </row>
    <row r="56" spans="2:34" x14ac:dyDescent="0.25">
      <c r="B56" s="3"/>
      <c r="H56" s="7">
        <v>63</v>
      </c>
      <c r="I56" s="7" t="s">
        <v>15</v>
      </c>
      <c r="J56" s="8">
        <v>38155</v>
      </c>
      <c r="K56" s="12" t="s">
        <v>16</v>
      </c>
      <c r="L56" s="9">
        <v>95</v>
      </c>
      <c r="M56" s="10">
        <v>287.76081692141696</v>
      </c>
      <c r="N56" s="7" t="s">
        <v>22</v>
      </c>
      <c r="P56" s="29" t="str">
        <f t="shared" si="0"/>
        <v/>
      </c>
      <c r="Q56" s="29">
        <f t="shared" si="1"/>
        <v>1</v>
      </c>
      <c r="R56" s="29" t="str">
        <f t="shared" si="2"/>
        <v/>
      </c>
      <c r="S56" s="29" t="str">
        <f t="shared" si="3"/>
        <v/>
      </c>
      <c r="T56" s="32" t="str">
        <f t="shared" si="4"/>
        <v/>
      </c>
      <c r="U56" s="32" t="str">
        <f t="shared" si="7"/>
        <v/>
      </c>
      <c r="V56" s="32" t="str">
        <f t="shared" si="8"/>
        <v/>
      </c>
      <c r="W56" s="41">
        <f t="shared" si="5"/>
        <v>3.0290612307517573</v>
      </c>
      <c r="X56" s="6">
        <f t="shared" si="6"/>
        <v>0</v>
      </c>
      <c r="Y56" s="7">
        <f t="shared" si="9"/>
        <v>567</v>
      </c>
      <c r="AA56" s="7">
        <f t="shared" si="10"/>
        <v>0</v>
      </c>
      <c r="AB56" s="7" t="str">
        <f t="shared" si="11"/>
        <v/>
      </c>
      <c r="AC56" s="7">
        <f t="shared" si="12"/>
        <v>0</v>
      </c>
      <c r="AD56" s="7" t="str">
        <f t="shared" si="13"/>
        <v/>
      </c>
      <c r="AE56" s="6">
        <f t="shared" si="14"/>
        <v>0</v>
      </c>
      <c r="AF56" s="69">
        <f t="shared" si="15"/>
        <v>3.0290612307517573</v>
      </c>
      <c r="AG56" s="6">
        <f t="shared" si="16"/>
        <v>287.76081692141696</v>
      </c>
      <c r="AH56" s="6">
        <f t="shared" si="17"/>
        <v>1</v>
      </c>
    </row>
    <row r="57" spans="2:34" x14ac:dyDescent="0.25">
      <c r="B57" s="3"/>
      <c r="H57" s="7">
        <v>64</v>
      </c>
      <c r="I57" s="7" t="s">
        <v>13</v>
      </c>
      <c r="J57" s="8">
        <v>38848</v>
      </c>
      <c r="K57" s="12" t="s">
        <v>16</v>
      </c>
      <c r="L57" s="9">
        <v>41</v>
      </c>
      <c r="M57" s="10">
        <v>125.00018840758105</v>
      </c>
      <c r="N57" s="7" t="s">
        <v>21</v>
      </c>
      <c r="P57" s="29" t="str">
        <f t="shared" si="0"/>
        <v/>
      </c>
      <c r="Q57" s="29" t="str">
        <f t="shared" si="1"/>
        <v/>
      </c>
      <c r="R57" s="29" t="str">
        <f t="shared" si="2"/>
        <v/>
      </c>
      <c r="S57" s="29" t="str">
        <f t="shared" si="3"/>
        <v/>
      </c>
      <c r="T57" s="32" t="str">
        <f t="shared" si="4"/>
        <v/>
      </c>
      <c r="U57" s="32" t="str">
        <f t="shared" si="7"/>
        <v/>
      </c>
      <c r="V57" s="32">
        <f t="shared" si="8"/>
        <v>1</v>
      </c>
      <c r="W57" s="41">
        <f t="shared" si="5"/>
        <v>3.0487850831117331</v>
      </c>
      <c r="X57" s="6">
        <f t="shared" si="6"/>
        <v>0</v>
      </c>
      <c r="Y57" s="7">
        <f t="shared" si="9"/>
        <v>567</v>
      </c>
      <c r="AA57" s="7">
        <f t="shared" si="10"/>
        <v>0</v>
      </c>
      <c r="AB57" s="7" t="str">
        <f t="shared" si="11"/>
        <v/>
      </c>
      <c r="AC57" s="7">
        <f t="shared" si="12"/>
        <v>0</v>
      </c>
      <c r="AD57" s="7" t="str">
        <f t="shared" si="13"/>
        <v/>
      </c>
      <c r="AE57" s="6">
        <f t="shared" si="14"/>
        <v>0</v>
      </c>
      <c r="AF57" s="69">
        <f t="shared" si="15"/>
        <v>3.0487850831117331</v>
      </c>
      <c r="AG57" s="6">
        <f t="shared" si="16"/>
        <v>0</v>
      </c>
      <c r="AH57" s="6">
        <f t="shared" si="17"/>
        <v>604</v>
      </c>
    </row>
    <row r="58" spans="2:34" x14ac:dyDescent="0.25">
      <c r="B58" s="3"/>
      <c r="H58" s="7">
        <v>65</v>
      </c>
      <c r="I58" s="7" t="s">
        <v>9</v>
      </c>
      <c r="J58" s="8">
        <v>38452</v>
      </c>
      <c r="K58" s="12" t="s">
        <v>17</v>
      </c>
      <c r="L58" s="9">
        <v>-6</v>
      </c>
      <c r="M58" s="10">
        <v>-15.942861162173479</v>
      </c>
      <c r="N58" s="7" t="s">
        <v>22</v>
      </c>
      <c r="P58" s="29" t="str">
        <f t="shared" si="0"/>
        <v/>
      </c>
      <c r="Q58" s="29" t="str">
        <f t="shared" si="1"/>
        <v/>
      </c>
      <c r="R58" s="29" t="str">
        <f t="shared" si="2"/>
        <v/>
      </c>
      <c r="S58" s="29" t="str">
        <f t="shared" si="3"/>
        <v/>
      </c>
      <c r="T58" s="32" t="str">
        <f t="shared" si="4"/>
        <v/>
      </c>
      <c r="U58" s="32">
        <f t="shared" si="7"/>
        <v>1</v>
      </c>
      <c r="V58" s="32" t="str">
        <f t="shared" si="8"/>
        <v/>
      </c>
      <c r="W58" s="41" t="str">
        <f t="shared" si="5"/>
        <v/>
      </c>
      <c r="X58" s="6">
        <f t="shared" si="6"/>
        <v>-15.942861162173479</v>
      </c>
      <c r="Y58" s="7">
        <f t="shared" si="9"/>
        <v>1869</v>
      </c>
      <c r="AA58" s="7">
        <f t="shared" si="10"/>
        <v>0</v>
      </c>
      <c r="AB58" s="7" t="str">
        <f t="shared" si="11"/>
        <v/>
      </c>
      <c r="AC58" s="7">
        <f t="shared" si="12"/>
        <v>1</v>
      </c>
      <c r="AD58" s="7">
        <f t="shared" si="13"/>
        <v>-6</v>
      </c>
      <c r="AE58" s="6">
        <f t="shared" si="14"/>
        <v>-6</v>
      </c>
      <c r="AF58" s="69" t="str">
        <f t="shared" si="15"/>
        <v/>
      </c>
      <c r="AG58" s="6">
        <f t="shared" si="16"/>
        <v>0</v>
      </c>
      <c r="AH58" s="6">
        <f t="shared" si="17"/>
        <v>604</v>
      </c>
    </row>
    <row r="59" spans="2:34" x14ac:dyDescent="0.25">
      <c r="B59" s="3"/>
      <c r="H59" s="7">
        <v>66</v>
      </c>
      <c r="I59" s="7" t="s">
        <v>7</v>
      </c>
      <c r="J59" s="8">
        <v>38353</v>
      </c>
      <c r="K59" s="12" t="s">
        <v>20</v>
      </c>
      <c r="L59" s="9">
        <v>84</v>
      </c>
      <c r="M59" s="10">
        <v>253.99061782802139</v>
      </c>
      <c r="N59" s="7" t="s">
        <v>21</v>
      </c>
      <c r="P59" s="29" t="str">
        <f t="shared" si="0"/>
        <v/>
      </c>
      <c r="Q59" s="29" t="str">
        <f t="shared" si="1"/>
        <v/>
      </c>
      <c r="R59" s="29" t="str">
        <f t="shared" si="2"/>
        <v/>
      </c>
      <c r="S59" s="29" t="str">
        <f t="shared" si="3"/>
        <v/>
      </c>
      <c r="T59" s="32" t="str">
        <f t="shared" si="4"/>
        <v/>
      </c>
      <c r="U59" s="32">
        <f t="shared" si="7"/>
        <v>1</v>
      </c>
      <c r="V59" s="32" t="str">
        <f t="shared" si="8"/>
        <v/>
      </c>
      <c r="W59" s="41">
        <f t="shared" si="5"/>
        <v>3.0236978312859688</v>
      </c>
      <c r="X59" s="6">
        <f t="shared" si="6"/>
        <v>253.99061782802139</v>
      </c>
      <c r="Y59" s="7">
        <f t="shared" si="9"/>
        <v>73</v>
      </c>
      <c r="AA59" s="7">
        <f t="shared" si="10"/>
        <v>1</v>
      </c>
      <c r="AB59" s="7">
        <f t="shared" si="11"/>
        <v>84</v>
      </c>
      <c r="AC59" s="7">
        <f t="shared" si="12"/>
        <v>0</v>
      </c>
      <c r="AD59" s="7" t="str">
        <f t="shared" si="13"/>
        <v/>
      </c>
      <c r="AE59" s="6">
        <f t="shared" si="14"/>
        <v>0</v>
      </c>
      <c r="AF59" s="69">
        <f t="shared" si="15"/>
        <v>3.0236978312859688</v>
      </c>
      <c r="AG59" s="6">
        <f t="shared" si="16"/>
        <v>0</v>
      </c>
      <c r="AH59" s="6">
        <f t="shared" si="17"/>
        <v>604</v>
      </c>
    </row>
    <row r="60" spans="2:34" x14ac:dyDescent="0.25">
      <c r="B60" s="3"/>
      <c r="H60" s="7">
        <v>67</v>
      </c>
      <c r="I60" s="7" t="s">
        <v>8</v>
      </c>
      <c r="J60" s="8">
        <v>38661</v>
      </c>
      <c r="K60" s="12" t="s">
        <v>18</v>
      </c>
      <c r="L60" s="9">
        <v>63</v>
      </c>
      <c r="M60" s="10">
        <v>191.36713896782123</v>
      </c>
      <c r="N60" s="7" t="s">
        <v>21</v>
      </c>
      <c r="P60" s="29" t="str">
        <f t="shared" si="0"/>
        <v/>
      </c>
      <c r="Q60" s="29" t="str">
        <f t="shared" si="1"/>
        <v/>
      </c>
      <c r="R60" s="29" t="str">
        <f t="shared" si="2"/>
        <v/>
      </c>
      <c r="S60" s="29" t="str">
        <f t="shared" si="3"/>
        <v/>
      </c>
      <c r="T60" s="32">
        <f t="shared" si="4"/>
        <v>1</v>
      </c>
      <c r="U60" s="32">
        <f t="shared" si="7"/>
        <v>1</v>
      </c>
      <c r="V60" s="32" t="str">
        <f t="shared" si="8"/>
        <v/>
      </c>
      <c r="W60" s="41">
        <f t="shared" si="5"/>
        <v>3.0375736344098607</v>
      </c>
      <c r="X60" s="6">
        <f t="shared" si="6"/>
        <v>191.36713896782123</v>
      </c>
      <c r="Y60" s="7">
        <f t="shared" si="9"/>
        <v>190</v>
      </c>
      <c r="AA60" s="7">
        <f t="shared" si="10"/>
        <v>0</v>
      </c>
      <c r="AB60" s="7" t="str">
        <f t="shared" si="11"/>
        <v/>
      </c>
      <c r="AC60" s="7">
        <f t="shared" si="12"/>
        <v>1</v>
      </c>
      <c r="AD60" s="7">
        <f t="shared" si="13"/>
        <v>63</v>
      </c>
      <c r="AE60" s="6">
        <f t="shared" si="14"/>
        <v>0</v>
      </c>
      <c r="AF60" s="69">
        <f t="shared" si="15"/>
        <v>3.0375736344098607</v>
      </c>
      <c r="AG60" s="6">
        <f t="shared" si="16"/>
        <v>0</v>
      </c>
      <c r="AH60" s="6">
        <f t="shared" si="17"/>
        <v>604</v>
      </c>
    </row>
    <row r="61" spans="2:34" x14ac:dyDescent="0.25">
      <c r="B61" s="3"/>
      <c r="H61" s="7">
        <v>68</v>
      </c>
      <c r="I61" s="7" t="s">
        <v>10</v>
      </c>
      <c r="J61" s="8">
        <v>38914</v>
      </c>
      <c r="K61" s="12" t="s">
        <v>17</v>
      </c>
      <c r="L61" s="9">
        <v>0</v>
      </c>
      <c r="M61" s="10">
        <v>2.3682330895483967</v>
      </c>
      <c r="N61" s="7" t="s">
        <v>23</v>
      </c>
      <c r="P61" s="29" t="str">
        <f t="shared" si="0"/>
        <v/>
      </c>
      <c r="Q61" s="29" t="str">
        <f t="shared" si="1"/>
        <v/>
      </c>
      <c r="R61" s="29" t="str">
        <f t="shared" si="2"/>
        <v/>
      </c>
      <c r="S61" s="29" t="str">
        <f t="shared" si="3"/>
        <v/>
      </c>
      <c r="T61" s="32" t="str">
        <f t="shared" si="4"/>
        <v/>
      </c>
      <c r="U61" s="32" t="str">
        <f t="shared" si="7"/>
        <v/>
      </c>
      <c r="V61" s="32">
        <f t="shared" si="8"/>
        <v>1</v>
      </c>
      <c r="W61" s="41" t="str">
        <f t="shared" si="5"/>
        <v/>
      </c>
      <c r="X61" s="6">
        <f t="shared" si="6"/>
        <v>0</v>
      </c>
      <c r="Y61" s="7">
        <f t="shared" si="9"/>
        <v>567</v>
      </c>
      <c r="AA61" s="7">
        <f t="shared" si="10"/>
        <v>0</v>
      </c>
      <c r="AB61" s="7" t="str">
        <f t="shared" si="11"/>
        <v/>
      </c>
      <c r="AC61" s="7">
        <f t="shared" si="12"/>
        <v>0</v>
      </c>
      <c r="AD61" s="7" t="str">
        <f t="shared" si="13"/>
        <v/>
      </c>
      <c r="AE61" s="6">
        <f t="shared" si="14"/>
        <v>0</v>
      </c>
      <c r="AF61" s="69" t="str">
        <f t="shared" si="15"/>
        <v/>
      </c>
      <c r="AG61" s="6">
        <f t="shared" si="16"/>
        <v>0</v>
      </c>
      <c r="AH61" s="6">
        <f t="shared" si="17"/>
        <v>604</v>
      </c>
    </row>
    <row r="62" spans="2:34" x14ac:dyDescent="0.25">
      <c r="B62" s="3"/>
      <c r="H62" s="7">
        <v>69</v>
      </c>
      <c r="I62" s="7" t="s">
        <v>12</v>
      </c>
      <c r="J62" s="8">
        <v>38375</v>
      </c>
      <c r="K62" s="12" t="s">
        <v>16</v>
      </c>
      <c r="L62" s="9">
        <v>73</v>
      </c>
      <c r="M62" s="10">
        <v>221.4068752836437</v>
      </c>
      <c r="N62" s="7" t="s">
        <v>24</v>
      </c>
      <c r="P62" s="29" t="str">
        <f t="shared" si="0"/>
        <v/>
      </c>
      <c r="Q62" s="29" t="str">
        <f t="shared" si="1"/>
        <v/>
      </c>
      <c r="R62" s="29" t="str">
        <f t="shared" si="2"/>
        <v/>
      </c>
      <c r="S62" s="29" t="str">
        <f t="shared" si="3"/>
        <v/>
      </c>
      <c r="T62" s="32" t="str">
        <f t="shared" si="4"/>
        <v/>
      </c>
      <c r="U62" s="32">
        <f t="shared" si="7"/>
        <v>1</v>
      </c>
      <c r="V62" s="32" t="str">
        <f t="shared" si="8"/>
        <v/>
      </c>
      <c r="W62" s="41">
        <f t="shared" si="5"/>
        <v>3.032970894296489</v>
      </c>
      <c r="X62" s="6">
        <f t="shared" si="6"/>
        <v>221.4068752836437</v>
      </c>
      <c r="Y62" s="7">
        <f t="shared" si="9"/>
        <v>137</v>
      </c>
      <c r="AA62" s="7">
        <f t="shared" si="10"/>
        <v>1</v>
      </c>
      <c r="AB62" s="7">
        <f t="shared" si="11"/>
        <v>73</v>
      </c>
      <c r="AC62" s="7">
        <f t="shared" si="12"/>
        <v>0</v>
      </c>
      <c r="AD62" s="7" t="str">
        <f t="shared" si="13"/>
        <v/>
      </c>
      <c r="AE62" s="6">
        <f t="shared" si="14"/>
        <v>0</v>
      </c>
      <c r="AF62" s="69">
        <f t="shared" si="15"/>
        <v>3.032970894296489</v>
      </c>
      <c r="AG62" s="6">
        <f t="shared" si="16"/>
        <v>0</v>
      </c>
      <c r="AH62" s="6">
        <f t="shared" si="17"/>
        <v>604</v>
      </c>
    </row>
    <row r="63" spans="2:34" x14ac:dyDescent="0.25">
      <c r="B63" s="3"/>
      <c r="H63" s="7">
        <v>70</v>
      </c>
      <c r="I63" s="7" t="s">
        <v>13</v>
      </c>
      <c r="J63" s="8">
        <v>38342</v>
      </c>
      <c r="K63" s="12" t="s">
        <v>16</v>
      </c>
      <c r="L63" s="9">
        <v>95</v>
      </c>
      <c r="M63" s="10">
        <v>287.05320060576679</v>
      </c>
      <c r="N63" s="7" t="s">
        <v>22</v>
      </c>
      <c r="P63" s="29" t="str">
        <f t="shared" si="0"/>
        <v/>
      </c>
      <c r="Q63" s="29" t="str">
        <f t="shared" si="1"/>
        <v/>
      </c>
      <c r="R63" s="29" t="str">
        <f t="shared" si="2"/>
        <v/>
      </c>
      <c r="S63" s="29">
        <f t="shared" si="3"/>
        <v>1</v>
      </c>
      <c r="T63" s="32" t="str">
        <f t="shared" si="4"/>
        <v/>
      </c>
      <c r="U63" s="32" t="str">
        <f t="shared" si="7"/>
        <v/>
      </c>
      <c r="V63" s="32" t="str">
        <f t="shared" si="8"/>
        <v/>
      </c>
      <c r="W63" s="41">
        <f t="shared" si="5"/>
        <v>3.0216126379554398</v>
      </c>
      <c r="X63" s="6">
        <f t="shared" si="6"/>
        <v>0</v>
      </c>
      <c r="Y63" s="7">
        <f t="shared" si="9"/>
        <v>567</v>
      </c>
      <c r="AA63" s="7">
        <f t="shared" si="10"/>
        <v>0</v>
      </c>
      <c r="AB63" s="7" t="str">
        <f t="shared" si="11"/>
        <v/>
      </c>
      <c r="AC63" s="7">
        <f t="shared" si="12"/>
        <v>0</v>
      </c>
      <c r="AD63" s="7" t="str">
        <f t="shared" si="13"/>
        <v/>
      </c>
      <c r="AE63" s="6">
        <f t="shared" si="14"/>
        <v>0</v>
      </c>
      <c r="AF63" s="69">
        <f t="shared" si="15"/>
        <v>3.0216126379554398</v>
      </c>
      <c r="AG63" s="6">
        <f t="shared" si="16"/>
        <v>287.05320060576679</v>
      </c>
      <c r="AH63" s="6">
        <f t="shared" si="17"/>
        <v>2</v>
      </c>
    </row>
    <row r="64" spans="2:34" x14ac:dyDescent="0.25">
      <c r="B64" s="3"/>
      <c r="H64" s="7">
        <v>71</v>
      </c>
      <c r="I64" s="7" t="s">
        <v>9</v>
      </c>
      <c r="J64" s="8">
        <v>38672</v>
      </c>
      <c r="K64" s="12" t="s">
        <v>19</v>
      </c>
      <c r="L64" s="9">
        <v>93</v>
      </c>
      <c r="M64" s="10">
        <v>280.76798505156279</v>
      </c>
      <c r="N64" s="7" t="s">
        <v>23</v>
      </c>
      <c r="P64" s="29" t="str">
        <f t="shared" si="0"/>
        <v/>
      </c>
      <c r="Q64" s="29" t="str">
        <f t="shared" si="1"/>
        <v/>
      </c>
      <c r="R64" s="29" t="str">
        <f t="shared" si="2"/>
        <v/>
      </c>
      <c r="S64" s="29" t="str">
        <f t="shared" si="3"/>
        <v/>
      </c>
      <c r="T64" s="32">
        <f t="shared" si="4"/>
        <v>1</v>
      </c>
      <c r="U64" s="32">
        <f t="shared" si="7"/>
        <v>1</v>
      </c>
      <c r="V64" s="32" t="str">
        <f t="shared" si="8"/>
        <v/>
      </c>
      <c r="W64" s="41">
        <f t="shared" si="5"/>
        <v>3.0190105919522883</v>
      </c>
      <c r="X64" s="6">
        <f t="shared" si="6"/>
        <v>280.76798505156279</v>
      </c>
      <c r="Y64" s="7">
        <f t="shared" si="9"/>
        <v>25</v>
      </c>
      <c r="AA64" s="7">
        <f t="shared" si="10"/>
        <v>0</v>
      </c>
      <c r="AB64" s="7" t="str">
        <f t="shared" si="11"/>
        <v/>
      </c>
      <c r="AC64" s="7">
        <f t="shared" si="12"/>
        <v>1</v>
      </c>
      <c r="AD64" s="7">
        <f t="shared" si="13"/>
        <v>93</v>
      </c>
      <c r="AE64" s="6">
        <f t="shared" si="14"/>
        <v>0</v>
      </c>
      <c r="AF64" s="69">
        <f t="shared" si="15"/>
        <v>3.0190105919522883</v>
      </c>
      <c r="AG64" s="6">
        <f t="shared" si="16"/>
        <v>0</v>
      </c>
      <c r="AH64" s="6">
        <f t="shared" si="17"/>
        <v>604</v>
      </c>
    </row>
    <row r="65" spans="2:34" x14ac:dyDescent="0.25">
      <c r="B65" s="3"/>
      <c r="H65" s="7">
        <v>72</v>
      </c>
      <c r="I65" s="7" t="s">
        <v>10</v>
      </c>
      <c r="J65" s="8">
        <v>38155</v>
      </c>
      <c r="K65" s="12" t="s">
        <v>19</v>
      </c>
      <c r="L65" s="9">
        <v>54</v>
      </c>
      <c r="M65" s="10">
        <v>163.86605406277587</v>
      </c>
      <c r="N65" s="7" t="s">
        <v>21</v>
      </c>
      <c r="P65" s="29" t="str">
        <f t="shared" si="0"/>
        <v/>
      </c>
      <c r="Q65" s="29">
        <f t="shared" si="1"/>
        <v>1</v>
      </c>
      <c r="R65" s="29" t="str">
        <f t="shared" si="2"/>
        <v/>
      </c>
      <c r="S65" s="29" t="str">
        <f t="shared" si="3"/>
        <v/>
      </c>
      <c r="T65" s="32" t="str">
        <f t="shared" si="4"/>
        <v/>
      </c>
      <c r="U65" s="32" t="str">
        <f t="shared" si="7"/>
        <v/>
      </c>
      <c r="V65" s="32" t="str">
        <f t="shared" si="8"/>
        <v/>
      </c>
      <c r="W65" s="41">
        <f t="shared" si="5"/>
        <v>3.0345565567180719</v>
      </c>
      <c r="X65" s="6">
        <f t="shared" si="6"/>
        <v>0</v>
      </c>
      <c r="Y65" s="7">
        <f t="shared" si="9"/>
        <v>567</v>
      </c>
      <c r="AA65" s="7">
        <f t="shared" si="10"/>
        <v>0</v>
      </c>
      <c r="AB65" s="7" t="str">
        <f t="shared" si="11"/>
        <v/>
      </c>
      <c r="AC65" s="7">
        <f t="shared" si="12"/>
        <v>0</v>
      </c>
      <c r="AD65" s="7" t="str">
        <f t="shared" si="13"/>
        <v/>
      </c>
      <c r="AE65" s="6">
        <f t="shared" si="14"/>
        <v>0</v>
      </c>
      <c r="AF65" s="69">
        <f t="shared" si="15"/>
        <v>3.0345565567180719</v>
      </c>
      <c r="AG65" s="6">
        <f t="shared" si="16"/>
        <v>163.86605406277587</v>
      </c>
      <c r="AH65" s="6">
        <f t="shared" si="17"/>
        <v>255</v>
      </c>
    </row>
    <row r="66" spans="2:34" x14ac:dyDescent="0.25">
      <c r="B66" s="1"/>
      <c r="H66" s="7">
        <v>73</v>
      </c>
      <c r="I66" s="7" t="s">
        <v>12</v>
      </c>
      <c r="J66" s="8">
        <v>38529</v>
      </c>
      <c r="K66" s="12" t="s">
        <v>18</v>
      </c>
      <c r="L66" s="9">
        <v>33</v>
      </c>
      <c r="M66" s="10">
        <v>101.36706423848841</v>
      </c>
      <c r="N66" s="7" t="s">
        <v>21</v>
      </c>
      <c r="P66" s="29" t="str">
        <f t="shared" si="0"/>
        <v/>
      </c>
      <c r="Q66" s="29" t="str">
        <f t="shared" si="1"/>
        <v/>
      </c>
      <c r="R66" s="29" t="str">
        <f t="shared" si="2"/>
        <v/>
      </c>
      <c r="S66" s="29" t="str">
        <f t="shared" si="3"/>
        <v/>
      </c>
      <c r="T66" s="32" t="str">
        <f t="shared" si="4"/>
        <v/>
      </c>
      <c r="U66" s="32">
        <f t="shared" si="7"/>
        <v>1</v>
      </c>
      <c r="V66" s="32" t="str">
        <f t="shared" si="8"/>
        <v/>
      </c>
      <c r="W66" s="41">
        <f t="shared" si="5"/>
        <v>3.0717292193481338</v>
      </c>
      <c r="X66" s="6">
        <f t="shared" si="6"/>
        <v>101.36706423848841</v>
      </c>
      <c r="Y66" s="7">
        <f t="shared" si="9"/>
        <v>360</v>
      </c>
      <c r="AA66" s="7">
        <f t="shared" si="10"/>
        <v>0</v>
      </c>
      <c r="AB66" s="7" t="str">
        <f t="shared" si="11"/>
        <v/>
      </c>
      <c r="AC66" s="7">
        <f t="shared" si="12"/>
        <v>1</v>
      </c>
      <c r="AD66" s="7">
        <f t="shared" si="13"/>
        <v>33</v>
      </c>
      <c r="AE66" s="6">
        <f t="shared" si="14"/>
        <v>0</v>
      </c>
      <c r="AF66" s="69">
        <f t="shared" si="15"/>
        <v>3.0717292193481338</v>
      </c>
      <c r="AG66" s="6">
        <f t="shared" si="16"/>
        <v>0</v>
      </c>
      <c r="AH66" s="6">
        <f t="shared" si="17"/>
        <v>604</v>
      </c>
    </row>
    <row r="67" spans="2:34" x14ac:dyDescent="0.25">
      <c r="B67" s="1"/>
      <c r="H67" s="7">
        <v>74</v>
      </c>
      <c r="I67" s="7" t="s">
        <v>9</v>
      </c>
      <c r="J67" s="8">
        <v>38089</v>
      </c>
      <c r="K67" s="12" t="s">
        <v>20</v>
      </c>
      <c r="L67" s="9">
        <v>48</v>
      </c>
      <c r="M67" s="10">
        <v>145.83607322448287</v>
      </c>
      <c r="N67" s="7" t="s">
        <v>23</v>
      </c>
      <c r="P67" s="29" t="str">
        <f t="shared" ref="P67:P130" si="18">IF(AND((MONTH(J67))&lt;4,YEAR(J67)=2004),1,"")</f>
        <v/>
      </c>
      <c r="Q67" s="29">
        <f t="shared" ref="Q67:Q130" si="19">IF(AND(3&lt;(MONTH(J67)),(MONTH(J67)&lt;7),YEAR(J67)=2004),1,"")</f>
        <v>1</v>
      </c>
      <c r="R67" s="29" t="str">
        <f t="shared" ref="R67:R130" si="20">IF(AND(6&lt;(MONTH(J67)),(MONTH(J67)&lt;10),YEAR(J67)=2004),1,"")</f>
        <v/>
      </c>
      <c r="S67" s="29" t="str">
        <f t="shared" ref="S67:S130" si="21">IF(AND(9&lt;(MONTH(J67)),(MONTH(J67)&lt;13),YEAR(J67)=2004),1,"")</f>
        <v/>
      </c>
      <c r="T67" s="32" t="str">
        <f t="shared" ref="T67:T130" si="22">IF(AND((9&lt;MONTH(J67)),YEAR(J67)=2005),1,"")</f>
        <v/>
      </c>
      <c r="U67" s="32" t="str">
        <f t="shared" si="7"/>
        <v/>
      </c>
      <c r="V67" s="32" t="str">
        <f t="shared" si="8"/>
        <v/>
      </c>
      <c r="W67" s="41">
        <f t="shared" ref="W67:W130" si="23">IF(L67&gt;0,M67/L67,"")</f>
        <v>3.0382515255100597</v>
      </c>
      <c r="X67" s="6">
        <f t="shared" ref="X67:X130" si="24">IF(U67=1,M67,0)</f>
        <v>0</v>
      </c>
      <c r="Y67" s="7">
        <f t="shared" si="9"/>
        <v>567</v>
      </c>
      <c r="AA67" s="7">
        <f t="shared" si="10"/>
        <v>0</v>
      </c>
      <c r="AB67" s="7" t="str">
        <f t="shared" si="11"/>
        <v/>
      </c>
      <c r="AC67" s="7">
        <f t="shared" si="12"/>
        <v>0</v>
      </c>
      <c r="AD67" s="7" t="str">
        <f t="shared" si="13"/>
        <v/>
      </c>
      <c r="AE67" s="6">
        <f t="shared" si="14"/>
        <v>0</v>
      </c>
      <c r="AF67" s="69">
        <f t="shared" si="15"/>
        <v>3.0382515255100597</v>
      </c>
      <c r="AG67" s="6">
        <f t="shared" si="16"/>
        <v>145.83607322448287</v>
      </c>
      <c r="AH67" s="6">
        <f t="shared" si="17"/>
        <v>281</v>
      </c>
    </row>
    <row r="68" spans="2:34" x14ac:dyDescent="0.25">
      <c r="B68" s="1"/>
      <c r="H68" s="7">
        <v>75</v>
      </c>
      <c r="I68" s="7" t="s">
        <v>14</v>
      </c>
      <c r="J68" s="8">
        <v>38375</v>
      </c>
      <c r="K68" s="12" t="s">
        <v>16</v>
      </c>
      <c r="L68" s="9">
        <v>-7</v>
      </c>
      <c r="M68" s="10">
        <v>-18.531454427544542</v>
      </c>
      <c r="N68" s="7" t="s">
        <v>22</v>
      </c>
      <c r="P68" s="29" t="str">
        <f t="shared" si="18"/>
        <v/>
      </c>
      <c r="Q68" s="29" t="str">
        <f t="shared" si="19"/>
        <v/>
      </c>
      <c r="R68" s="29" t="str">
        <f t="shared" si="20"/>
        <v/>
      </c>
      <c r="S68" s="29" t="str">
        <f t="shared" si="21"/>
        <v/>
      </c>
      <c r="T68" s="32" t="str">
        <f t="shared" si="22"/>
        <v/>
      </c>
      <c r="U68" s="32">
        <f t="shared" ref="U68:U131" si="25">IF(YEAR(J68)=2005,1,"")</f>
        <v>1</v>
      </c>
      <c r="V68" s="32" t="str">
        <f t="shared" ref="V68:V131" si="26">IF(YEAR(J68)=2006,1,"")</f>
        <v/>
      </c>
      <c r="W68" s="41" t="str">
        <f t="shared" si="23"/>
        <v/>
      </c>
      <c r="X68" s="6">
        <f t="shared" si="24"/>
        <v>-18.531454427544542</v>
      </c>
      <c r="Y68" s="7">
        <f t="shared" ref="Y68:Y131" si="27">RANK(X68,$X$3:$X$1893)</f>
        <v>1872</v>
      </c>
      <c r="AA68" s="7">
        <f t="shared" ref="AA68:AA131" si="28">IF(AND(OR((MONTH(J68))=1,(MONTH(J68))=2,(MONTH(J68))=3,(MONTH(J68))=7,(MONTH(J68))=8,(MONTH(J68))=9),YEAR(J68)=2005),1,0)</f>
        <v>1</v>
      </c>
      <c r="AB68" s="7">
        <f t="shared" ref="AB68:AB131" si="29">IF(AA68=1,L68,"")</f>
        <v>-7</v>
      </c>
      <c r="AC68" s="7">
        <f t="shared" ref="AC68:AC131" si="30">IF(AND(OR((MONTH(J68))=4,(MONTH(J68))=5,(MONTH(J68))=6,(MONTH(J68))=10,(MONTH(J68))=11,(MONTH(J68))=12),YEAR(J68)=2005),1,0)</f>
        <v>0</v>
      </c>
      <c r="AD68" s="7" t="str">
        <f t="shared" ref="AD68:AD131" si="31">IF(AC68=1,L68,"")</f>
        <v/>
      </c>
      <c r="AE68" s="6">
        <f t="shared" ref="AE68:AE131" si="32">IF(L68&lt;0,L68,0)</f>
        <v>-7</v>
      </c>
      <c r="AF68" s="69" t="str">
        <f t="shared" ref="AF68:AF131" si="33">IF(L68&gt;0,W68,"")</f>
        <v/>
      </c>
      <c r="AG68" s="6">
        <f t="shared" ref="AG68:AG131" si="34">IF(AND((M68&gt;0),(YEAR(J68)=2004)),M68,0)</f>
        <v>0</v>
      </c>
      <c r="AH68" s="6">
        <f t="shared" ref="AH68:AH131" si="35">RANK(AG68,$AG$3:$AG$1893)</f>
        <v>604</v>
      </c>
    </row>
    <row r="69" spans="2:34" x14ac:dyDescent="0.25">
      <c r="B69" s="1"/>
      <c r="H69" s="7">
        <v>76</v>
      </c>
      <c r="I69" s="7" t="s">
        <v>11</v>
      </c>
      <c r="J69" s="8">
        <v>38782</v>
      </c>
      <c r="K69" s="12" t="s">
        <v>18</v>
      </c>
      <c r="L69" s="9">
        <v>-2</v>
      </c>
      <c r="M69" s="10">
        <v>-3.941491558920891</v>
      </c>
      <c r="N69" s="7" t="s">
        <v>23</v>
      </c>
      <c r="P69" s="29" t="str">
        <f t="shared" si="18"/>
        <v/>
      </c>
      <c r="Q69" s="29" t="str">
        <f t="shared" si="19"/>
        <v/>
      </c>
      <c r="R69" s="29" t="str">
        <f t="shared" si="20"/>
        <v/>
      </c>
      <c r="S69" s="29" t="str">
        <f t="shared" si="21"/>
        <v/>
      </c>
      <c r="T69" s="32" t="str">
        <f t="shared" si="22"/>
        <v/>
      </c>
      <c r="U69" s="32" t="str">
        <f t="shared" si="25"/>
        <v/>
      </c>
      <c r="V69" s="32">
        <f t="shared" si="26"/>
        <v>1</v>
      </c>
      <c r="W69" s="41" t="str">
        <f t="shared" si="23"/>
        <v/>
      </c>
      <c r="X69" s="6">
        <f t="shared" si="24"/>
        <v>0</v>
      </c>
      <c r="Y69" s="7">
        <f t="shared" si="27"/>
        <v>567</v>
      </c>
      <c r="AA69" s="7">
        <f t="shared" si="28"/>
        <v>0</v>
      </c>
      <c r="AB69" s="7" t="str">
        <f t="shared" si="29"/>
        <v/>
      </c>
      <c r="AC69" s="7">
        <f t="shared" si="30"/>
        <v>0</v>
      </c>
      <c r="AD69" s="7" t="str">
        <f t="shared" si="31"/>
        <v/>
      </c>
      <c r="AE69" s="6">
        <f t="shared" si="32"/>
        <v>-2</v>
      </c>
      <c r="AF69" s="69" t="str">
        <f t="shared" si="33"/>
        <v/>
      </c>
      <c r="AG69" s="6">
        <f t="shared" si="34"/>
        <v>0</v>
      </c>
      <c r="AH69" s="6">
        <f t="shared" si="35"/>
        <v>604</v>
      </c>
    </row>
    <row r="70" spans="2:34" x14ac:dyDescent="0.25">
      <c r="B70" s="1"/>
      <c r="H70" s="7">
        <v>77</v>
      </c>
      <c r="I70" s="7" t="s">
        <v>12</v>
      </c>
      <c r="J70" s="8">
        <v>38001</v>
      </c>
      <c r="K70" s="12" t="s">
        <v>20</v>
      </c>
      <c r="L70" s="9">
        <v>27</v>
      </c>
      <c r="M70" s="10">
        <v>83.29090970219859</v>
      </c>
      <c r="N70" s="7" t="s">
        <v>24</v>
      </c>
      <c r="P70" s="29">
        <f t="shared" si="18"/>
        <v>1</v>
      </c>
      <c r="Q70" s="29" t="str">
        <f t="shared" si="19"/>
        <v/>
      </c>
      <c r="R70" s="29" t="str">
        <f t="shared" si="20"/>
        <v/>
      </c>
      <c r="S70" s="29" t="str">
        <f t="shared" si="21"/>
        <v/>
      </c>
      <c r="T70" s="32" t="str">
        <f t="shared" si="22"/>
        <v/>
      </c>
      <c r="U70" s="32" t="str">
        <f t="shared" si="25"/>
        <v/>
      </c>
      <c r="V70" s="32" t="str">
        <f t="shared" si="26"/>
        <v/>
      </c>
      <c r="W70" s="41">
        <f t="shared" si="23"/>
        <v>3.0848485074888368</v>
      </c>
      <c r="X70" s="6">
        <f t="shared" si="24"/>
        <v>0</v>
      </c>
      <c r="Y70" s="7">
        <f t="shared" si="27"/>
        <v>567</v>
      </c>
      <c r="AA70" s="7">
        <f t="shared" si="28"/>
        <v>0</v>
      </c>
      <c r="AB70" s="7" t="str">
        <f t="shared" si="29"/>
        <v/>
      </c>
      <c r="AC70" s="7">
        <f t="shared" si="30"/>
        <v>0</v>
      </c>
      <c r="AD70" s="7" t="str">
        <f t="shared" si="31"/>
        <v/>
      </c>
      <c r="AE70" s="6">
        <f t="shared" si="32"/>
        <v>0</v>
      </c>
      <c r="AF70" s="69">
        <f t="shared" si="33"/>
        <v>3.0848485074888368</v>
      </c>
      <c r="AG70" s="6">
        <f t="shared" si="34"/>
        <v>83.29090970219859</v>
      </c>
      <c r="AH70" s="6">
        <f t="shared" si="35"/>
        <v>415</v>
      </c>
    </row>
    <row r="71" spans="2:34" x14ac:dyDescent="0.25">
      <c r="B71" s="1"/>
      <c r="H71" s="7">
        <v>78</v>
      </c>
      <c r="I71" s="7" t="s">
        <v>13</v>
      </c>
      <c r="J71" s="8">
        <v>39068</v>
      </c>
      <c r="K71" s="12" t="s">
        <v>18</v>
      </c>
      <c r="L71" s="9">
        <v>56</v>
      </c>
      <c r="M71" s="10">
        <v>170.23780299763459</v>
      </c>
      <c r="N71" s="7" t="s">
        <v>21</v>
      </c>
      <c r="P71" s="29" t="str">
        <f t="shared" si="18"/>
        <v/>
      </c>
      <c r="Q71" s="29" t="str">
        <f t="shared" si="19"/>
        <v/>
      </c>
      <c r="R71" s="29" t="str">
        <f t="shared" si="20"/>
        <v/>
      </c>
      <c r="S71" s="29" t="str">
        <f t="shared" si="21"/>
        <v/>
      </c>
      <c r="T71" s="32" t="str">
        <f t="shared" si="22"/>
        <v/>
      </c>
      <c r="U71" s="32" t="str">
        <f t="shared" si="25"/>
        <v/>
      </c>
      <c r="V71" s="32">
        <f t="shared" si="26"/>
        <v>1</v>
      </c>
      <c r="W71" s="41">
        <f t="shared" si="23"/>
        <v>3.0399607678149034</v>
      </c>
      <c r="X71" s="6">
        <f t="shared" si="24"/>
        <v>0</v>
      </c>
      <c r="Y71" s="7">
        <f t="shared" si="27"/>
        <v>567</v>
      </c>
      <c r="AA71" s="7">
        <f t="shared" si="28"/>
        <v>0</v>
      </c>
      <c r="AB71" s="7" t="str">
        <f t="shared" si="29"/>
        <v/>
      </c>
      <c r="AC71" s="7">
        <f t="shared" si="30"/>
        <v>0</v>
      </c>
      <c r="AD71" s="7" t="str">
        <f t="shared" si="31"/>
        <v/>
      </c>
      <c r="AE71" s="6">
        <f t="shared" si="32"/>
        <v>0</v>
      </c>
      <c r="AF71" s="69">
        <f t="shared" si="33"/>
        <v>3.0399607678149034</v>
      </c>
      <c r="AG71" s="6">
        <f t="shared" si="34"/>
        <v>0</v>
      </c>
      <c r="AH71" s="6">
        <f t="shared" si="35"/>
        <v>604</v>
      </c>
    </row>
    <row r="72" spans="2:34" x14ac:dyDescent="0.25">
      <c r="B72" s="1"/>
      <c r="H72" s="7">
        <v>79</v>
      </c>
      <c r="I72" s="7" t="s">
        <v>12</v>
      </c>
      <c r="J72" s="8">
        <v>38397</v>
      </c>
      <c r="K72" s="12" t="s">
        <v>20</v>
      </c>
      <c r="L72" s="9">
        <v>70</v>
      </c>
      <c r="M72" s="10">
        <v>212.29242314468692</v>
      </c>
      <c r="N72" s="7" t="s">
        <v>21</v>
      </c>
      <c r="P72" s="29" t="str">
        <f t="shared" si="18"/>
        <v/>
      </c>
      <c r="Q72" s="29" t="str">
        <f t="shared" si="19"/>
        <v/>
      </c>
      <c r="R72" s="29" t="str">
        <f t="shared" si="20"/>
        <v/>
      </c>
      <c r="S72" s="29" t="str">
        <f t="shared" si="21"/>
        <v/>
      </c>
      <c r="T72" s="32" t="str">
        <f t="shared" si="22"/>
        <v/>
      </c>
      <c r="U72" s="32">
        <f t="shared" si="25"/>
        <v>1</v>
      </c>
      <c r="V72" s="32" t="str">
        <f t="shared" si="26"/>
        <v/>
      </c>
      <c r="W72" s="41">
        <f t="shared" si="23"/>
        <v>3.032748902066956</v>
      </c>
      <c r="X72" s="6">
        <f t="shared" si="24"/>
        <v>212.29242314468692</v>
      </c>
      <c r="Y72" s="7">
        <f t="shared" si="27"/>
        <v>155</v>
      </c>
      <c r="AA72" s="7">
        <f t="shared" si="28"/>
        <v>1</v>
      </c>
      <c r="AB72" s="7">
        <f t="shared" si="29"/>
        <v>70</v>
      </c>
      <c r="AC72" s="7">
        <f t="shared" si="30"/>
        <v>0</v>
      </c>
      <c r="AD72" s="7" t="str">
        <f t="shared" si="31"/>
        <v/>
      </c>
      <c r="AE72" s="6">
        <f t="shared" si="32"/>
        <v>0</v>
      </c>
      <c r="AF72" s="69">
        <f t="shared" si="33"/>
        <v>3.032748902066956</v>
      </c>
      <c r="AG72" s="6">
        <f t="shared" si="34"/>
        <v>0</v>
      </c>
      <c r="AH72" s="6">
        <f t="shared" si="35"/>
        <v>604</v>
      </c>
    </row>
    <row r="73" spans="2:34" x14ac:dyDescent="0.25">
      <c r="B73" s="1"/>
      <c r="H73" s="7">
        <v>80</v>
      </c>
      <c r="I73" s="7" t="s">
        <v>14</v>
      </c>
      <c r="J73" s="8">
        <v>38441</v>
      </c>
      <c r="K73" s="12" t="s">
        <v>20</v>
      </c>
      <c r="L73" s="9">
        <v>16</v>
      </c>
      <c r="M73" s="10">
        <v>49.457645878335306</v>
      </c>
      <c r="N73" s="7" t="s">
        <v>23</v>
      </c>
      <c r="P73" s="29" t="str">
        <f t="shared" si="18"/>
        <v/>
      </c>
      <c r="Q73" s="29" t="str">
        <f t="shared" si="19"/>
        <v/>
      </c>
      <c r="R73" s="29" t="str">
        <f t="shared" si="20"/>
        <v/>
      </c>
      <c r="S73" s="29" t="str">
        <f t="shared" si="21"/>
        <v/>
      </c>
      <c r="T73" s="32" t="str">
        <f t="shared" si="22"/>
        <v/>
      </c>
      <c r="U73" s="32">
        <f t="shared" si="25"/>
        <v>1</v>
      </c>
      <c r="V73" s="32" t="str">
        <f t="shared" si="26"/>
        <v/>
      </c>
      <c r="W73" s="41">
        <f t="shared" si="23"/>
        <v>3.0911028673959566</v>
      </c>
      <c r="X73" s="6">
        <f t="shared" si="24"/>
        <v>49.457645878335306</v>
      </c>
      <c r="Y73" s="7">
        <f t="shared" si="27"/>
        <v>463</v>
      </c>
      <c r="AA73" s="7">
        <f t="shared" si="28"/>
        <v>1</v>
      </c>
      <c r="AB73" s="7">
        <f t="shared" si="29"/>
        <v>16</v>
      </c>
      <c r="AC73" s="7">
        <f t="shared" si="30"/>
        <v>0</v>
      </c>
      <c r="AD73" s="7" t="str">
        <f t="shared" si="31"/>
        <v/>
      </c>
      <c r="AE73" s="6">
        <f t="shared" si="32"/>
        <v>0</v>
      </c>
      <c r="AF73" s="69">
        <f t="shared" si="33"/>
        <v>3.0911028673959566</v>
      </c>
      <c r="AG73" s="6">
        <f t="shared" si="34"/>
        <v>0</v>
      </c>
      <c r="AH73" s="6">
        <f t="shared" si="35"/>
        <v>604</v>
      </c>
    </row>
    <row r="74" spans="2:34" x14ac:dyDescent="0.25">
      <c r="B74" s="1"/>
      <c r="H74" s="7">
        <v>81</v>
      </c>
      <c r="I74" s="7" t="s">
        <v>14</v>
      </c>
      <c r="J74" s="8">
        <v>38727</v>
      </c>
      <c r="K74" s="12" t="s">
        <v>17</v>
      </c>
      <c r="L74" s="9">
        <v>69</v>
      </c>
      <c r="M74" s="10">
        <v>208.68512958069783</v>
      </c>
      <c r="N74" s="7" t="s">
        <v>24</v>
      </c>
      <c r="P74" s="29" t="str">
        <f t="shared" si="18"/>
        <v/>
      </c>
      <c r="Q74" s="29" t="str">
        <f t="shared" si="19"/>
        <v/>
      </c>
      <c r="R74" s="29" t="str">
        <f t="shared" si="20"/>
        <v/>
      </c>
      <c r="S74" s="29" t="str">
        <f t="shared" si="21"/>
        <v/>
      </c>
      <c r="T74" s="32" t="str">
        <f t="shared" si="22"/>
        <v/>
      </c>
      <c r="U74" s="32" t="str">
        <f t="shared" si="25"/>
        <v/>
      </c>
      <c r="V74" s="32">
        <f t="shared" si="26"/>
        <v>1</v>
      </c>
      <c r="W74" s="41">
        <f t="shared" si="23"/>
        <v>3.0244221678362004</v>
      </c>
      <c r="X74" s="6">
        <f t="shared" si="24"/>
        <v>0</v>
      </c>
      <c r="Y74" s="7">
        <f t="shared" si="27"/>
        <v>567</v>
      </c>
      <c r="AA74" s="7">
        <f t="shared" si="28"/>
        <v>0</v>
      </c>
      <c r="AB74" s="7" t="str">
        <f t="shared" si="29"/>
        <v/>
      </c>
      <c r="AC74" s="7">
        <f t="shared" si="30"/>
        <v>0</v>
      </c>
      <c r="AD74" s="7" t="str">
        <f t="shared" si="31"/>
        <v/>
      </c>
      <c r="AE74" s="6">
        <f t="shared" si="32"/>
        <v>0</v>
      </c>
      <c r="AF74" s="69">
        <f t="shared" si="33"/>
        <v>3.0244221678362004</v>
      </c>
      <c r="AG74" s="6">
        <f t="shared" si="34"/>
        <v>0</v>
      </c>
      <c r="AH74" s="6">
        <f t="shared" si="35"/>
        <v>604</v>
      </c>
    </row>
    <row r="75" spans="2:34" x14ac:dyDescent="0.25">
      <c r="B75" s="1"/>
      <c r="H75" s="7">
        <v>82</v>
      </c>
      <c r="I75" s="7" t="s">
        <v>11</v>
      </c>
      <c r="J75" s="8">
        <v>38562</v>
      </c>
      <c r="K75" s="12" t="s">
        <v>18</v>
      </c>
      <c r="L75" s="9">
        <v>67</v>
      </c>
      <c r="M75" s="10">
        <v>203.01428430380912</v>
      </c>
      <c r="N75" s="7" t="s">
        <v>22</v>
      </c>
      <c r="P75" s="29" t="str">
        <f t="shared" si="18"/>
        <v/>
      </c>
      <c r="Q75" s="29" t="str">
        <f t="shared" si="19"/>
        <v/>
      </c>
      <c r="R75" s="29" t="str">
        <f t="shared" si="20"/>
        <v/>
      </c>
      <c r="S75" s="29" t="str">
        <f t="shared" si="21"/>
        <v/>
      </c>
      <c r="T75" s="32" t="str">
        <f t="shared" si="22"/>
        <v/>
      </c>
      <c r="U75" s="32">
        <f t="shared" si="25"/>
        <v>1</v>
      </c>
      <c r="V75" s="32" t="str">
        <f t="shared" si="26"/>
        <v/>
      </c>
      <c r="W75" s="41">
        <f t="shared" si="23"/>
        <v>3.030063944832972</v>
      </c>
      <c r="X75" s="6">
        <f t="shared" si="24"/>
        <v>203.01428430380912</v>
      </c>
      <c r="Y75" s="7">
        <f t="shared" si="27"/>
        <v>173</v>
      </c>
      <c r="AA75" s="7">
        <f t="shared" si="28"/>
        <v>1</v>
      </c>
      <c r="AB75" s="7">
        <f t="shared" si="29"/>
        <v>67</v>
      </c>
      <c r="AC75" s="7">
        <f t="shared" si="30"/>
        <v>0</v>
      </c>
      <c r="AD75" s="7" t="str">
        <f t="shared" si="31"/>
        <v/>
      </c>
      <c r="AE75" s="6">
        <f t="shared" si="32"/>
        <v>0</v>
      </c>
      <c r="AF75" s="69">
        <f t="shared" si="33"/>
        <v>3.030063944832972</v>
      </c>
      <c r="AG75" s="6">
        <f t="shared" si="34"/>
        <v>0</v>
      </c>
      <c r="AH75" s="6">
        <f t="shared" si="35"/>
        <v>604</v>
      </c>
    </row>
    <row r="76" spans="2:34" x14ac:dyDescent="0.25">
      <c r="B76" s="1"/>
      <c r="H76" s="7">
        <v>83</v>
      </c>
      <c r="I76" s="7" t="s">
        <v>15</v>
      </c>
      <c r="J76" s="8">
        <v>38298</v>
      </c>
      <c r="K76" s="12" t="s">
        <v>18</v>
      </c>
      <c r="L76" s="9">
        <v>82</v>
      </c>
      <c r="M76" s="10">
        <v>248.09860782564255</v>
      </c>
      <c r="N76" s="7" t="s">
        <v>23</v>
      </c>
      <c r="P76" s="29" t="str">
        <f t="shared" si="18"/>
        <v/>
      </c>
      <c r="Q76" s="29" t="str">
        <f t="shared" si="19"/>
        <v/>
      </c>
      <c r="R76" s="29" t="str">
        <f t="shared" si="20"/>
        <v/>
      </c>
      <c r="S76" s="29">
        <f t="shared" si="21"/>
        <v>1</v>
      </c>
      <c r="T76" s="32" t="str">
        <f t="shared" si="22"/>
        <v/>
      </c>
      <c r="U76" s="32" t="str">
        <f t="shared" si="25"/>
        <v/>
      </c>
      <c r="V76" s="32" t="str">
        <f t="shared" si="26"/>
        <v/>
      </c>
      <c r="W76" s="41">
        <f t="shared" si="23"/>
        <v>3.0255927783614944</v>
      </c>
      <c r="X76" s="6">
        <f t="shared" si="24"/>
        <v>0</v>
      </c>
      <c r="Y76" s="7">
        <f t="shared" si="27"/>
        <v>567</v>
      </c>
      <c r="AA76" s="7">
        <f t="shared" si="28"/>
        <v>0</v>
      </c>
      <c r="AB76" s="7" t="str">
        <f t="shared" si="29"/>
        <v/>
      </c>
      <c r="AC76" s="7">
        <f t="shared" si="30"/>
        <v>0</v>
      </c>
      <c r="AD76" s="7" t="str">
        <f t="shared" si="31"/>
        <v/>
      </c>
      <c r="AE76" s="6">
        <f t="shared" si="32"/>
        <v>0</v>
      </c>
      <c r="AF76" s="69">
        <f t="shared" si="33"/>
        <v>3.0255927783614944</v>
      </c>
      <c r="AG76" s="6">
        <f t="shared" si="34"/>
        <v>248.09860782564255</v>
      </c>
      <c r="AH76" s="6">
        <f t="shared" si="35"/>
        <v>71</v>
      </c>
    </row>
    <row r="77" spans="2:34" x14ac:dyDescent="0.25">
      <c r="B77" s="1"/>
      <c r="H77" s="7">
        <v>84</v>
      </c>
      <c r="I77" s="7" t="s">
        <v>9</v>
      </c>
      <c r="J77" s="8">
        <v>38991</v>
      </c>
      <c r="K77" s="12" t="s">
        <v>16</v>
      </c>
      <c r="L77" s="9">
        <v>73</v>
      </c>
      <c r="M77" s="10">
        <v>221.4762294351379</v>
      </c>
      <c r="N77" s="7" t="s">
        <v>23</v>
      </c>
      <c r="P77" s="29" t="str">
        <f t="shared" si="18"/>
        <v/>
      </c>
      <c r="Q77" s="29" t="str">
        <f t="shared" si="19"/>
        <v/>
      </c>
      <c r="R77" s="29" t="str">
        <f t="shared" si="20"/>
        <v/>
      </c>
      <c r="S77" s="29" t="str">
        <f t="shared" si="21"/>
        <v/>
      </c>
      <c r="T77" s="32" t="str">
        <f t="shared" si="22"/>
        <v/>
      </c>
      <c r="U77" s="32" t="str">
        <f t="shared" si="25"/>
        <v/>
      </c>
      <c r="V77" s="32">
        <f t="shared" si="26"/>
        <v>1</v>
      </c>
      <c r="W77" s="41">
        <f t="shared" si="23"/>
        <v>3.0339209511662726</v>
      </c>
      <c r="X77" s="6">
        <f t="shared" si="24"/>
        <v>0</v>
      </c>
      <c r="Y77" s="7">
        <f t="shared" si="27"/>
        <v>567</v>
      </c>
      <c r="AA77" s="7">
        <f t="shared" si="28"/>
        <v>0</v>
      </c>
      <c r="AB77" s="7" t="str">
        <f t="shared" si="29"/>
        <v/>
      </c>
      <c r="AC77" s="7">
        <f t="shared" si="30"/>
        <v>0</v>
      </c>
      <c r="AD77" s="7" t="str">
        <f t="shared" si="31"/>
        <v/>
      </c>
      <c r="AE77" s="6">
        <f t="shared" si="32"/>
        <v>0</v>
      </c>
      <c r="AF77" s="69">
        <f t="shared" si="33"/>
        <v>3.0339209511662726</v>
      </c>
      <c r="AG77" s="6">
        <f t="shared" si="34"/>
        <v>0</v>
      </c>
      <c r="AH77" s="6">
        <f t="shared" si="35"/>
        <v>604</v>
      </c>
    </row>
    <row r="78" spans="2:34" x14ac:dyDescent="0.25">
      <c r="B78" s="1"/>
      <c r="H78" s="7">
        <v>85</v>
      </c>
      <c r="I78" s="7" t="s">
        <v>15</v>
      </c>
      <c r="J78" s="8">
        <v>38034</v>
      </c>
      <c r="K78" s="12" t="s">
        <v>18</v>
      </c>
      <c r="L78" s="9">
        <v>80</v>
      </c>
      <c r="M78" s="10">
        <v>241.26239073863908</v>
      </c>
      <c r="N78" s="7" t="s">
        <v>21</v>
      </c>
      <c r="P78" s="29">
        <f t="shared" si="18"/>
        <v>1</v>
      </c>
      <c r="Q78" s="29" t="str">
        <f t="shared" si="19"/>
        <v/>
      </c>
      <c r="R78" s="29" t="str">
        <f t="shared" si="20"/>
        <v/>
      </c>
      <c r="S78" s="29" t="str">
        <f t="shared" si="21"/>
        <v/>
      </c>
      <c r="T78" s="32" t="str">
        <f t="shared" si="22"/>
        <v/>
      </c>
      <c r="U78" s="32" t="str">
        <f t="shared" si="25"/>
        <v/>
      </c>
      <c r="V78" s="32" t="str">
        <f t="shared" si="26"/>
        <v/>
      </c>
      <c r="W78" s="41">
        <f t="shared" si="23"/>
        <v>3.0157798842329884</v>
      </c>
      <c r="X78" s="6">
        <f t="shared" si="24"/>
        <v>0</v>
      </c>
      <c r="Y78" s="7">
        <f t="shared" si="27"/>
        <v>567</v>
      </c>
      <c r="AA78" s="7">
        <f t="shared" si="28"/>
        <v>0</v>
      </c>
      <c r="AB78" s="7" t="str">
        <f t="shared" si="29"/>
        <v/>
      </c>
      <c r="AC78" s="7">
        <f t="shared" si="30"/>
        <v>0</v>
      </c>
      <c r="AD78" s="7" t="str">
        <f t="shared" si="31"/>
        <v/>
      </c>
      <c r="AE78" s="6">
        <f t="shared" si="32"/>
        <v>0</v>
      </c>
      <c r="AF78" s="69">
        <f t="shared" si="33"/>
        <v>3.0157798842329884</v>
      </c>
      <c r="AG78" s="6">
        <f t="shared" si="34"/>
        <v>241.26239073863908</v>
      </c>
      <c r="AH78" s="6">
        <f t="shared" si="35"/>
        <v>87</v>
      </c>
    </row>
    <row r="79" spans="2:34" x14ac:dyDescent="0.25">
      <c r="B79" s="1"/>
      <c r="H79" s="7">
        <v>86</v>
      </c>
      <c r="I79" s="7" t="s">
        <v>14</v>
      </c>
      <c r="J79" s="8">
        <v>38573</v>
      </c>
      <c r="K79" s="12" t="s">
        <v>16</v>
      </c>
      <c r="L79" s="9">
        <v>-2</v>
      </c>
      <c r="M79" s="10">
        <v>-4.2379405606125751</v>
      </c>
      <c r="N79" s="7" t="s">
        <v>24</v>
      </c>
      <c r="P79" s="29" t="str">
        <f t="shared" si="18"/>
        <v/>
      </c>
      <c r="Q79" s="29" t="str">
        <f t="shared" si="19"/>
        <v/>
      </c>
      <c r="R79" s="29" t="str">
        <f t="shared" si="20"/>
        <v/>
      </c>
      <c r="S79" s="29" t="str">
        <f t="shared" si="21"/>
        <v/>
      </c>
      <c r="T79" s="32" t="str">
        <f t="shared" si="22"/>
        <v/>
      </c>
      <c r="U79" s="32">
        <f t="shared" si="25"/>
        <v>1</v>
      </c>
      <c r="V79" s="32" t="str">
        <f t="shared" si="26"/>
        <v/>
      </c>
      <c r="W79" s="41" t="str">
        <f t="shared" si="23"/>
        <v/>
      </c>
      <c r="X79" s="6">
        <f t="shared" si="24"/>
        <v>-4.2379405606125751</v>
      </c>
      <c r="Y79" s="7">
        <f t="shared" si="27"/>
        <v>1849</v>
      </c>
      <c r="AA79" s="7">
        <f t="shared" si="28"/>
        <v>1</v>
      </c>
      <c r="AB79" s="7">
        <f t="shared" si="29"/>
        <v>-2</v>
      </c>
      <c r="AC79" s="7">
        <f t="shared" si="30"/>
        <v>0</v>
      </c>
      <c r="AD79" s="7" t="str">
        <f t="shared" si="31"/>
        <v/>
      </c>
      <c r="AE79" s="6">
        <f t="shared" si="32"/>
        <v>-2</v>
      </c>
      <c r="AF79" s="69" t="str">
        <f t="shared" si="33"/>
        <v/>
      </c>
      <c r="AG79" s="6">
        <f t="shared" si="34"/>
        <v>0</v>
      </c>
      <c r="AH79" s="6">
        <f t="shared" si="35"/>
        <v>604</v>
      </c>
    </row>
    <row r="80" spans="2:34" x14ac:dyDescent="0.25">
      <c r="B80" s="1"/>
      <c r="H80" s="7">
        <v>87</v>
      </c>
      <c r="I80" s="7" t="s">
        <v>13</v>
      </c>
      <c r="J80" s="8">
        <v>38595</v>
      </c>
      <c r="K80" s="12" t="s">
        <v>16</v>
      </c>
      <c r="L80" s="9">
        <v>5</v>
      </c>
      <c r="M80" s="10">
        <v>17.026058044096466</v>
      </c>
      <c r="N80" s="7" t="s">
        <v>24</v>
      </c>
      <c r="P80" s="29" t="str">
        <f t="shared" si="18"/>
        <v/>
      </c>
      <c r="Q80" s="29" t="str">
        <f t="shared" si="19"/>
        <v/>
      </c>
      <c r="R80" s="29" t="str">
        <f t="shared" si="20"/>
        <v/>
      </c>
      <c r="S80" s="29" t="str">
        <f t="shared" si="21"/>
        <v/>
      </c>
      <c r="T80" s="32" t="str">
        <f t="shared" si="22"/>
        <v/>
      </c>
      <c r="U80" s="32">
        <f t="shared" si="25"/>
        <v>1</v>
      </c>
      <c r="V80" s="32" t="str">
        <f t="shared" si="26"/>
        <v/>
      </c>
      <c r="W80" s="41">
        <f t="shared" si="23"/>
        <v>3.4052116088192932</v>
      </c>
      <c r="X80" s="6">
        <f t="shared" si="24"/>
        <v>17.026058044096466</v>
      </c>
      <c r="Y80" s="7">
        <f t="shared" si="27"/>
        <v>529</v>
      </c>
      <c r="AA80" s="7">
        <f t="shared" si="28"/>
        <v>1</v>
      </c>
      <c r="AB80" s="7">
        <f t="shared" si="29"/>
        <v>5</v>
      </c>
      <c r="AC80" s="7">
        <f t="shared" si="30"/>
        <v>0</v>
      </c>
      <c r="AD80" s="7" t="str">
        <f t="shared" si="31"/>
        <v/>
      </c>
      <c r="AE80" s="6">
        <f t="shared" si="32"/>
        <v>0</v>
      </c>
      <c r="AF80" s="69">
        <f t="shared" si="33"/>
        <v>3.4052116088192932</v>
      </c>
      <c r="AG80" s="6">
        <f t="shared" si="34"/>
        <v>0</v>
      </c>
      <c r="AH80" s="6">
        <f t="shared" si="35"/>
        <v>604</v>
      </c>
    </row>
    <row r="81" spans="2:34" x14ac:dyDescent="0.25">
      <c r="B81" s="1"/>
      <c r="H81" s="7">
        <v>88</v>
      </c>
      <c r="I81" s="7" t="s">
        <v>10</v>
      </c>
      <c r="J81" s="8">
        <v>38705</v>
      </c>
      <c r="K81" s="12" t="s">
        <v>16</v>
      </c>
      <c r="L81" s="9">
        <v>26</v>
      </c>
      <c r="M81" s="10">
        <v>80.296764498097943</v>
      </c>
      <c r="N81" s="7" t="s">
        <v>21</v>
      </c>
      <c r="P81" s="29" t="str">
        <f t="shared" si="18"/>
        <v/>
      </c>
      <c r="Q81" s="29" t="str">
        <f t="shared" si="19"/>
        <v/>
      </c>
      <c r="R81" s="29" t="str">
        <f t="shared" si="20"/>
        <v/>
      </c>
      <c r="S81" s="29" t="str">
        <f t="shared" si="21"/>
        <v/>
      </c>
      <c r="T81" s="32">
        <f t="shared" si="22"/>
        <v>1</v>
      </c>
      <c r="U81" s="32">
        <f t="shared" si="25"/>
        <v>1</v>
      </c>
      <c r="V81" s="32" t="str">
        <f t="shared" si="26"/>
        <v/>
      </c>
      <c r="W81" s="41">
        <f t="shared" si="23"/>
        <v>3.0883370960806902</v>
      </c>
      <c r="X81" s="6">
        <f t="shared" si="24"/>
        <v>80.296764498097943</v>
      </c>
      <c r="Y81" s="7">
        <f t="shared" si="27"/>
        <v>402</v>
      </c>
      <c r="AA81" s="7">
        <f t="shared" si="28"/>
        <v>0</v>
      </c>
      <c r="AB81" s="7" t="str">
        <f t="shared" si="29"/>
        <v/>
      </c>
      <c r="AC81" s="7">
        <f t="shared" si="30"/>
        <v>1</v>
      </c>
      <c r="AD81" s="7">
        <f t="shared" si="31"/>
        <v>26</v>
      </c>
      <c r="AE81" s="6">
        <f t="shared" si="32"/>
        <v>0</v>
      </c>
      <c r="AF81" s="69">
        <f t="shared" si="33"/>
        <v>3.0883370960806902</v>
      </c>
      <c r="AG81" s="6">
        <f t="shared" si="34"/>
        <v>0</v>
      </c>
      <c r="AH81" s="6">
        <f t="shared" si="35"/>
        <v>604</v>
      </c>
    </row>
    <row r="82" spans="2:34" x14ac:dyDescent="0.25">
      <c r="B82" s="1"/>
      <c r="H82" s="7">
        <v>89</v>
      </c>
      <c r="I82" s="7" t="s">
        <v>15</v>
      </c>
      <c r="J82" s="8">
        <v>38430</v>
      </c>
      <c r="K82" s="12" t="s">
        <v>18</v>
      </c>
      <c r="L82" s="9">
        <v>1</v>
      </c>
      <c r="M82" s="10">
        <v>5.0101440126936883</v>
      </c>
      <c r="N82" s="7" t="s">
        <v>22</v>
      </c>
      <c r="P82" s="29" t="str">
        <f t="shared" si="18"/>
        <v/>
      </c>
      <c r="Q82" s="29" t="str">
        <f t="shared" si="19"/>
        <v/>
      </c>
      <c r="R82" s="29" t="str">
        <f t="shared" si="20"/>
        <v/>
      </c>
      <c r="S82" s="29" t="str">
        <f t="shared" si="21"/>
        <v/>
      </c>
      <c r="T82" s="32" t="str">
        <f t="shared" si="22"/>
        <v/>
      </c>
      <c r="U82" s="32">
        <f t="shared" si="25"/>
        <v>1</v>
      </c>
      <c r="V82" s="32" t="str">
        <f t="shared" si="26"/>
        <v/>
      </c>
      <c r="W82" s="41">
        <f t="shared" si="23"/>
        <v>5.0101440126936883</v>
      </c>
      <c r="X82" s="6">
        <f t="shared" si="24"/>
        <v>5.0101440126936883</v>
      </c>
      <c r="Y82" s="7">
        <f t="shared" si="27"/>
        <v>556</v>
      </c>
      <c r="AA82" s="7">
        <f t="shared" si="28"/>
        <v>1</v>
      </c>
      <c r="AB82" s="7">
        <f t="shared" si="29"/>
        <v>1</v>
      </c>
      <c r="AC82" s="7">
        <f t="shared" si="30"/>
        <v>0</v>
      </c>
      <c r="AD82" s="7" t="str">
        <f t="shared" si="31"/>
        <v/>
      </c>
      <c r="AE82" s="6">
        <f t="shared" si="32"/>
        <v>0</v>
      </c>
      <c r="AF82" s="69">
        <f t="shared" si="33"/>
        <v>5.0101440126936883</v>
      </c>
      <c r="AG82" s="6">
        <f t="shared" si="34"/>
        <v>0</v>
      </c>
      <c r="AH82" s="6">
        <f t="shared" si="35"/>
        <v>604</v>
      </c>
    </row>
    <row r="83" spans="2:34" x14ac:dyDescent="0.25">
      <c r="B83" s="1"/>
      <c r="H83" s="7">
        <v>90</v>
      </c>
      <c r="I83" s="7" t="s">
        <v>15</v>
      </c>
      <c r="J83" s="8">
        <v>38881</v>
      </c>
      <c r="K83" s="12" t="s">
        <v>19</v>
      </c>
      <c r="L83" s="9">
        <v>-3</v>
      </c>
      <c r="M83" s="10">
        <v>-7.6150918857367635</v>
      </c>
      <c r="N83" s="7" t="s">
        <v>21</v>
      </c>
      <c r="P83" s="29" t="str">
        <f t="shared" si="18"/>
        <v/>
      </c>
      <c r="Q83" s="29" t="str">
        <f t="shared" si="19"/>
        <v/>
      </c>
      <c r="R83" s="29" t="str">
        <f t="shared" si="20"/>
        <v/>
      </c>
      <c r="S83" s="29" t="str">
        <f t="shared" si="21"/>
        <v/>
      </c>
      <c r="T83" s="32" t="str">
        <f t="shared" si="22"/>
        <v/>
      </c>
      <c r="U83" s="32" t="str">
        <f t="shared" si="25"/>
        <v/>
      </c>
      <c r="V83" s="32">
        <f t="shared" si="26"/>
        <v>1</v>
      </c>
      <c r="W83" s="41" t="str">
        <f t="shared" si="23"/>
        <v/>
      </c>
      <c r="X83" s="6">
        <f t="shared" si="24"/>
        <v>0</v>
      </c>
      <c r="Y83" s="7">
        <f t="shared" si="27"/>
        <v>567</v>
      </c>
      <c r="AA83" s="7">
        <f t="shared" si="28"/>
        <v>0</v>
      </c>
      <c r="AB83" s="7" t="str">
        <f t="shared" si="29"/>
        <v/>
      </c>
      <c r="AC83" s="7">
        <f t="shared" si="30"/>
        <v>0</v>
      </c>
      <c r="AD83" s="7" t="str">
        <f t="shared" si="31"/>
        <v/>
      </c>
      <c r="AE83" s="6">
        <f t="shared" si="32"/>
        <v>-3</v>
      </c>
      <c r="AF83" s="69" t="str">
        <f t="shared" si="33"/>
        <v/>
      </c>
      <c r="AG83" s="6">
        <f t="shared" si="34"/>
        <v>0</v>
      </c>
      <c r="AH83" s="6">
        <f t="shared" si="35"/>
        <v>604</v>
      </c>
    </row>
    <row r="84" spans="2:34" x14ac:dyDescent="0.25">
      <c r="B84" s="1"/>
      <c r="H84" s="7">
        <v>91</v>
      </c>
      <c r="I84" s="7" t="s">
        <v>7</v>
      </c>
      <c r="J84" s="8">
        <v>38947</v>
      </c>
      <c r="K84" s="12" t="s">
        <v>16</v>
      </c>
      <c r="L84" s="9">
        <v>83</v>
      </c>
      <c r="M84" s="10">
        <v>251.18350564763173</v>
      </c>
      <c r="N84" s="7" t="s">
        <v>21</v>
      </c>
      <c r="P84" s="29" t="str">
        <f t="shared" si="18"/>
        <v/>
      </c>
      <c r="Q84" s="29" t="str">
        <f t="shared" si="19"/>
        <v/>
      </c>
      <c r="R84" s="29" t="str">
        <f t="shared" si="20"/>
        <v/>
      </c>
      <c r="S84" s="29" t="str">
        <f t="shared" si="21"/>
        <v/>
      </c>
      <c r="T84" s="32" t="str">
        <f t="shared" si="22"/>
        <v/>
      </c>
      <c r="U84" s="32" t="str">
        <f t="shared" si="25"/>
        <v/>
      </c>
      <c r="V84" s="32">
        <f t="shared" si="26"/>
        <v>1</v>
      </c>
      <c r="W84" s="41">
        <f t="shared" si="23"/>
        <v>3.0263072969594185</v>
      </c>
      <c r="X84" s="6">
        <f t="shared" si="24"/>
        <v>0</v>
      </c>
      <c r="Y84" s="7">
        <f t="shared" si="27"/>
        <v>567</v>
      </c>
      <c r="AA84" s="7">
        <f t="shared" si="28"/>
        <v>0</v>
      </c>
      <c r="AB84" s="7" t="str">
        <f t="shared" si="29"/>
        <v/>
      </c>
      <c r="AC84" s="7">
        <f t="shared" si="30"/>
        <v>0</v>
      </c>
      <c r="AD84" s="7" t="str">
        <f t="shared" si="31"/>
        <v/>
      </c>
      <c r="AE84" s="6">
        <f t="shared" si="32"/>
        <v>0</v>
      </c>
      <c r="AF84" s="69">
        <f t="shared" si="33"/>
        <v>3.0263072969594185</v>
      </c>
      <c r="AG84" s="6">
        <f t="shared" si="34"/>
        <v>0</v>
      </c>
      <c r="AH84" s="6">
        <f t="shared" si="35"/>
        <v>604</v>
      </c>
    </row>
    <row r="85" spans="2:34" x14ac:dyDescent="0.25">
      <c r="B85" s="1"/>
      <c r="H85" s="7">
        <v>92</v>
      </c>
      <c r="I85" s="7" t="s">
        <v>14</v>
      </c>
      <c r="J85" s="8">
        <v>38133</v>
      </c>
      <c r="K85" s="12" t="s">
        <v>20</v>
      </c>
      <c r="L85" s="9">
        <v>33</v>
      </c>
      <c r="M85" s="10">
        <v>100.32795234701418</v>
      </c>
      <c r="N85" s="7" t="s">
        <v>22</v>
      </c>
      <c r="P85" s="29" t="str">
        <f t="shared" si="18"/>
        <v/>
      </c>
      <c r="Q85" s="29">
        <f t="shared" si="19"/>
        <v>1</v>
      </c>
      <c r="R85" s="29" t="str">
        <f t="shared" si="20"/>
        <v/>
      </c>
      <c r="S85" s="29" t="str">
        <f t="shared" si="21"/>
        <v/>
      </c>
      <c r="T85" s="32" t="str">
        <f t="shared" si="22"/>
        <v/>
      </c>
      <c r="U85" s="32" t="str">
        <f t="shared" si="25"/>
        <v/>
      </c>
      <c r="V85" s="32" t="str">
        <f t="shared" si="26"/>
        <v/>
      </c>
      <c r="W85" s="41">
        <f t="shared" si="23"/>
        <v>3.040240980212551</v>
      </c>
      <c r="X85" s="6">
        <f t="shared" si="24"/>
        <v>0</v>
      </c>
      <c r="Y85" s="7">
        <f t="shared" si="27"/>
        <v>567</v>
      </c>
      <c r="AA85" s="7">
        <f t="shared" si="28"/>
        <v>0</v>
      </c>
      <c r="AB85" s="7" t="str">
        <f t="shared" si="29"/>
        <v/>
      </c>
      <c r="AC85" s="7">
        <f t="shared" si="30"/>
        <v>0</v>
      </c>
      <c r="AD85" s="7" t="str">
        <f t="shared" si="31"/>
        <v/>
      </c>
      <c r="AE85" s="6">
        <f t="shared" si="32"/>
        <v>0</v>
      </c>
      <c r="AF85" s="69">
        <f t="shared" si="33"/>
        <v>3.040240980212551</v>
      </c>
      <c r="AG85" s="6">
        <f t="shared" si="34"/>
        <v>100.32795234701418</v>
      </c>
      <c r="AH85" s="6">
        <f t="shared" si="35"/>
        <v>374</v>
      </c>
    </row>
    <row r="86" spans="2:34" x14ac:dyDescent="0.25">
      <c r="B86" s="1"/>
      <c r="H86" s="7">
        <v>93</v>
      </c>
      <c r="I86" s="7" t="s">
        <v>10</v>
      </c>
      <c r="J86" s="8">
        <v>38089</v>
      </c>
      <c r="K86" s="12" t="s">
        <v>18</v>
      </c>
      <c r="L86" s="9">
        <v>62</v>
      </c>
      <c r="M86" s="10">
        <v>188.06461550204614</v>
      </c>
      <c r="N86" s="7" t="s">
        <v>23</v>
      </c>
      <c r="P86" s="29" t="str">
        <f t="shared" si="18"/>
        <v/>
      </c>
      <c r="Q86" s="29">
        <f t="shared" si="19"/>
        <v>1</v>
      </c>
      <c r="R86" s="29" t="str">
        <f t="shared" si="20"/>
        <v/>
      </c>
      <c r="S86" s="29" t="str">
        <f t="shared" si="21"/>
        <v/>
      </c>
      <c r="T86" s="32" t="str">
        <f t="shared" si="22"/>
        <v/>
      </c>
      <c r="U86" s="32" t="str">
        <f t="shared" si="25"/>
        <v/>
      </c>
      <c r="V86" s="32" t="str">
        <f t="shared" si="26"/>
        <v/>
      </c>
      <c r="W86" s="41">
        <f t="shared" si="23"/>
        <v>3.0333002500330024</v>
      </c>
      <c r="X86" s="6">
        <f t="shared" si="24"/>
        <v>0</v>
      </c>
      <c r="Y86" s="7">
        <f t="shared" si="27"/>
        <v>567</v>
      </c>
      <c r="AA86" s="7">
        <f t="shared" si="28"/>
        <v>0</v>
      </c>
      <c r="AB86" s="7" t="str">
        <f t="shared" si="29"/>
        <v/>
      </c>
      <c r="AC86" s="7">
        <f t="shared" si="30"/>
        <v>0</v>
      </c>
      <c r="AD86" s="7" t="str">
        <f t="shared" si="31"/>
        <v/>
      </c>
      <c r="AE86" s="6">
        <f t="shared" si="32"/>
        <v>0</v>
      </c>
      <c r="AF86" s="69">
        <f t="shared" si="33"/>
        <v>3.0333002500330024</v>
      </c>
      <c r="AG86" s="6">
        <f t="shared" si="34"/>
        <v>188.06461550204614</v>
      </c>
      <c r="AH86" s="6">
        <f t="shared" si="35"/>
        <v>203</v>
      </c>
    </row>
    <row r="87" spans="2:34" x14ac:dyDescent="0.25">
      <c r="B87" s="1"/>
      <c r="H87" s="7">
        <v>94</v>
      </c>
      <c r="I87" s="7" t="s">
        <v>11</v>
      </c>
      <c r="J87" s="8">
        <v>38848</v>
      </c>
      <c r="K87" s="12" t="s">
        <v>16</v>
      </c>
      <c r="L87" s="9">
        <v>58</v>
      </c>
      <c r="M87" s="10">
        <v>176.47069512712616</v>
      </c>
      <c r="N87" s="7" t="s">
        <v>22</v>
      </c>
      <c r="P87" s="29" t="str">
        <f t="shared" si="18"/>
        <v/>
      </c>
      <c r="Q87" s="29" t="str">
        <f t="shared" si="19"/>
        <v/>
      </c>
      <c r="R87" s="29" t="str">
        <f t="shared" si="20"/>
        <v/>
      </c>
      <c r="S87" s="29" t="str">
        <f t="shared" si="21"/>
        <v/>
      </c>
      <c r="T87" s="32" t="str">
        <f t="shared" si="22"/>
        <v/>
      </c>
      <c r="U87" s="32" t="str">
        <f t="shared" si="25"/>
        <v/>
      </c>
      <c r="V87" s="32">
        <f t="shared" si="26"/>
        <v>1</v>
      </c>
      <c r="W87" s="41">
        <f t="shared" si="23"/>
        <v>3.0425981918470026</v>
      </c>
      <c r="X87" s="6">
        <f t="shared" si="24"/>
        <v>0</v>
      </c>
      <c r="Y87" s="7">
        <f t="shared" si="27"/>
        <v>567</v>
      </c>
      <c r="AA87" s="7">
        <f t="shared" si="28"/>
        <v>0</v>
      </c>
      <c r="AB87" s="7" t="str">
        <f t="shared" si="29"/>
        <v/>
      </c>
      <c r="AC87" s="7">
        <f t="shared" si="30"/>
        <v>0</v>
      </c>
      <c r="AD87" s="7" t="str">
        <f t="shared" si="31"/>
        <v/>
      </c>
      <c r="AE87" s="6">
        <f t="shared" si="32"/>
        <v>0</v>
      </c>
      <c r="AF87" s="69">
        <f t="shared" si="33"/>
        <v>3.0425981918470026</v>
      </c>
      <c r="AG87" s="6">
        <f t="shared" si="34"/>
        <v>0</v>
      </c>
      <c r="AH87" s="6">
        <f t="shared" si="35"/>
        <v>604</v>
      </c>
    </row>
    <row r="88" spans="2:34" x14ac:dyDescent="0.25">
      <c r="B88" s="1"/>
      <c r="H88" s="7">
        <v>95</v>
      </c>
      <c r="I88" s="7" t="s">
        <v>13</v>
      </c>
      <c r="J88" s="8">
        <v>38584</v>
      </c>
      <c r="K88" s="12" t="s">
        <v>18</v>
      </c>
      <c r="L88" s="9">
        <v>28</v>
      </c>
      <c r="M88" s="10">
        <v>85.544260264222203</v>
      </c>
      <c r="N88" s="7" t="s">
        <v>21</v>
      </c>
      <c r="P88" s="29" t="str">
        <f t="shared" si="18"/>
        <v/>
      </c>
      <c r="Q88" s="29" t="str">
        <f t="shared" si="19"/>
        <v/>
      </c>
      <c r="R88" s="29" t="str">
        <f t="shared" si="20"/>
        <v/>
      </c>
      <c r="S88" s="29" t="str">
        <f t="shared" si="21"/>
        <v/>
      </c>
      <c r="T88" s="32" t="str">
        <f t="shared" si="22"/>
        <v/>
      </c>
      <c r="U88" s="32">
        <f t="shared" si="25"/>
        <v>1</v>
      </c>
      <c r="V88" s="32" t="str">
        <f t="shared" si="26"/>
        <v/>
      </c>
      <c r="W88" s="41">
        <f t="shared" si="23"/>
        <v>3.0551521522936502</v>
      </c>
      <c r="X88" s="6">
        <f t="shared" si="24"/>
        <v>85.544260264222203</v>
      </c>
      <c r="Y88" s="7">
        <f t="shared" si="27"/>
        <v>391</v>
      </c>
      <c r="AA88" s="7">
        <f t="shared" si="28"/>
        <v>1</v>
      </c>
      <c r="AB88" s="7">
        <f t="shared" si="29"/>
        <v>28</v>
      </c>
      <c r="AC88" s="7">
        <f t="shared" si="30"/>
        <v>0</v>
      </c>
      <c r="AD88" s="7" t="str">
        <f t="shared" si="31"/>
        <v/>
      </c>
      <c r="AE88" s="6">
        <f t="shared" si="32"/>
        <v>0</v>
      </c>
      <c r="AF88" s="69">
        <f t="shared" si="33"/>
        <v>3.0551521522936502</v>
      </c>
      <c r="AG88" s="6">
        <f t="shared" si="34"/>
        <v>0</v>
      </c>
      <c r="AH88" s="6">
        <f t="shared" si="35"/>
        <v>604</v>
      </c>
    </row>
    <row r="89" spans="2:34" x14ac:dyDescent="0.25">
      <c r="B89" s="1"/>
      <c r="H89" s="7">
        <v>96</v>
      </c>
      <c r="I89" s="7" t="s">
        <v>14</v>
      </c>
      <c r="J89" s="8">
        <v>39068</v>
      </c>
      <c r="K89" s="12" t="s">
        <v>17</v>
      </c>
      <c r="L89" s="9">
        <v>33</v>
      </c>
      <c r="M89" s="10">
        <v>100.68612237181482</v>
      </c>
      <c r="N89" s="7" t="s">
        <v>23</v>
      </c>
      <c r="P89" s="29" t="str">
        <f t="shared" si="18"/>
        <v/>
      </c>
      <c r="Q89" s="29" t="str">
        <f t="shared" si="19"/>
        <v/>
      </c>
      <c r="R89" s="29" t="str">
        <f t="shared" si="20"/>
        <v/>
      </c>
      <c r="S89" s="29" t="str">
        <f t="shared" si="21"/>
        <v/>
      </c>
      <c r="T89" s="32" t="str">
        <f t="shared" si="22"/>
        <v/>
      </c>
      <c r="U89" s="32" t="str">
        <f t="shared" si="25"/>
        <v/>
      </c>
      <c r="V89" s="32">
        <f t="shared" si="26"/>
        <v>1</v>
      </c>
      <c r="W89" s="41">
        <f t="shared" si="23"/>
        <v>3.0510946173277218</v>
      </c>
      <c r="X89" s="6">
        <f t="shared" si="24"/>
        <v>0</v>
      </c>
      <c r="Y89" s="7">
        <f t="shared" si="27"/>
        <v>567</v>
      </c>
      <c r="AA89" s="7">
        <f t="shared" si="28"/>
        <v>0</v>
      </c>
      <c r="AB89" s="7" t="str">
        <f t="shared" si="29"/>
        <v/>
      </c>
      <c r="AC89" s="7">
        <f t="shared" si="30"/>
        <v>0</v>
      </c>
      <c r="AD89" s="7" t="str">
        <f t="shared" si="31"/>
        <v/>
      </c>
      <c r="AE89" s="6">
        <f t="shared" si="32"/>
        <v>0</v>
      </c>
      <c r="AF89" s="69">
        <f t="shared" si="33"/>
        <v>3.0510946173277218</v>
      </c>
      <c r="AG89" s="6">
        <f t="shared" si="34"/>
        <v>0</v>
      </c>
      <c r="AH89" s="6">
        <f t="shared" si="35"/>
        <v>604</v>
      </c>
    </row>
    <row r="90" spans="2:34" x14ac:dyDescent="0.25">
      <c r="B90" s="1"/>
      <c r="H90" s="7">
        <v>97</v>
      </c>
      <c r="I90" s="7" t="s">
        <v>12</v>
      </c>
      <c r="J90" s="8">
        <v>39046</v>
      </c>
      <c r="K90" s="12" t="s">
        <v>18</v>
      </c>
      <c r="L90" s="9">
        <v>92</v>
      </c>
      <c r="M90" s="10">
        <v>278.15933854048899</v>
      </c>
      <c r="N90" s="7" t="s">
        <v>21</v>
      </c>
      <c r="P90" s="29" t="str">
        <f t="shared" si="18"/>
        <v/>
      </c>
      <c r="Q90" s="29" t="str">
        <f t="shared" si="19"/>
        <v/>
      </c>
      <c r="R90" s="29" t="str">
        <f t="shared" si="20"/>
        <v/>
      </c>
      <c r="S90" s="29" t="str">
        <f t="shared" si="21"/>
        <v/>
      </c>
      <c r="T90" s="32" t="str">
        <f t="shared" si="22"/>
        <v/>
      </c>
      <c r="U90" s="32" t="str">
        <f t="shared" si="25"/>
        <v/>
      </c>
      <c r="V90" s="32">
        <f t="shared" si="26"/>
        <v>1</v>
      </c>
      <c r="W90" s="41">
        <f t="shared" si="23"/>
        <v>3.0234710710922714</v>
      </c>
      <c r="X90" s="6">
        <f t="shared" si="24"/>
        <v>0</v>
      </c>
      <c r="Y90" s="7">
        <f t="shared" si="27"/>
        <v>567</v>
      </c>
      <c r="AA90" s="7">
        <f t="shared" si="28"/>
        <v>0</v>
      </c>
      <c r="AB90" s="7" t="str">
        <f t="shared" si="29"/>
        <v/>
      </c>
      <c r="AC90" s="7">
        <f t="shared" si="30"/>
        <v>0</v>
      </c>
      <c r="AD90" s="7" t="str">
        <f t="shared" si="31"/>
        <v/>
      </c>
      <c r="AE90" s="6">
        <f t="shared" si="32"/>
        <v>0</v>
      </c>
      <c r="AF90" s="69">
        <f t="shared" si="33"/>
        <v>3.0234710710922714</v>
      </c>
      <c r="AG90" s="6">
        <f t="shared" si="34"/>
        <v>0</v>
      </c>
      <c r="AH90" s="6">
        <f t="shared" si="35"/>
        <v>604</v>
      </c>
    </row>
    <row r="91" spans="2:34" x14ac:dyDescent="0.25">
      <c r="B91" s="1"/>
      <c r="H91" s="7">
        <v>98</v>
      </c>
      <c r="I91" s="7" t="s">
        <v>14</v>
      </c>
      <c r="J91" s="8">
        <v>38089</v>
      </c>
      <c r="K91" s="12" t="s">
        <v>17</v>
      </c>
      <c r="L91" s="9">
        <v>92</v>
      </c>
      <c r="M91" s="10">
        <v>277.53974563422275</v>
      </c>
      <c r="N91" s="7" t="s">
        <v>24</v>
      </c>
      <c r="P91" s="29" t="str">
        <f t="shared" si="18"/>
        <v/>
      </c>
      <c r="Q91" s="29">
        <f t="shared" si="19"/>
        <v>1</v>
      </c>
      <c r="R91" s="29" t="str">
        <f t="shared" si="20"/>
        <v/>
      </c>
      <c r="S91" s="29" t="str">
        <f t="shared" si="21"/>
        <v/>
      </c>
      <c r="T91" s="32" t="str">
        <f t="shared" si="22"/>
        <v/>
      </c>
      <c r="U91" s="32" t="str">
        <f t="shared" si="25"/>
        <v/>
      </c>
      <c r="V91" s="32" t="str">
        <f t="shared" si="26"/>
        <v/>
      </c>
      <c r="W91" s="41">
        <f t="shared" si="23"/>
        <v>3.0167363655893777</v>
      </c>
      <c r="X91" s="6">
        <f t="shared" si="24"/>
        <v>0</v>
      </c>
      <c r="Y91" s="7">
        <f t="shared" si="27"/>
        <v>567</v>
      </c>
      <c r="AA91" s="7">
        <f t="shared" si="28"/>
        <v>0</v>
      </c>
      <c r="AB91" s="7" t="str">
        <f t="shared" si="29"/>
        <v/>
      </c>
      <c r="AC91" s="7">
        <f t="shared" si="30"/>
        <v>0</v>
      </c>
      <c r="AD91" s="7" t="str">
        <f t="shared" si="31"/>
        <v/>
      </c>
      <c r="AE91" s="6">
        <f t="shared" si="32"/>
        <v>0</v>
      </c>
      <c r="AF91" s="69">
        <f t="shared" si="33"/>
        <v>3.0167363655893777</v>
      </c>
      <c r="AG91" s="6">
        <f t="shared" si="34"/>
        <v>277.53974563422275</v>
      </c>
      <c r="AH91" s="6">
        <f t="shared" si="35"/>
        <v>23</v>
      </c>
    </row>
    <row r="92" spans="2:34" x14ac:dyDescent="0.25">
      <c r="B92" s="1"/>
      <c r="H92" s="7">
        <v>99</v>
      </c>
      <c r="I92" s="7" t="s">
        <v>11</v>
      </c>
      <c r="J92" s="8">
        <v>38738</v>
      </c>
      <c r="K92" s="12" t="s">
        <v>17</v>
      </c>
      <c r="L92" s="9">
        <v>75</v>
      </c>
      <c r="M92" s="10">
        <v>226.73977333901354</v>
      </c>
      <c r="N92" s="7" t="s">
        <v>21</v>
      </c>
      <c r="P92" s="29" t="str">
        <f t="shared" si="18"/>
        <v/>
      </c>
      <c r="Q92" s="29" t="str">
        <f t="shared" si="19"/>
        <v/>
      </c>
      <c r="R92" s="29" t="str">
        <f t="shared" si="20"/>
        <v/>
      </c>
      <c r="S92" s="29" t="str">
        <f t="shared" si="21"/>
        <v/>
      </c>
      <c r="T92" s="32" t="str">
        <f t="shared" si="22"/>
        <v/>
      </c>
      <c r="U92" s="32" t="str">
        <f t="shared" si="25"/>
        <v/>
      </c>
      <c r="V92" s="32">
        <f t="shared" si="26"/>
        <v>1</v>
      </c>
      <c r="W92" s="41">
        <f t="shared" si="23"/>
        <v>3.0231969778535137</v>
      </c>
      <c r="X92" s="6">
        <f t="shared" si="24"/>
        <v>0</v>
      </c>
      <c r="Y92" s="7">
        <f t="shared" si="27"/>
        <v>567</v>
      </c>
      <c r="AA92" s="7">
        <f t="shared" si="28"/>
        <v>0</v>
      </c>
      <c r="AB92" s="7" t="str">
        <f t="shared" si="29"/>
        <v/>
      </c>
      <c r="AC92" s="7">
        <f t="shared" si="30"/>
        <v>0</v>
      </c>
      <c r="AD92" s="7" t="str">
        <f t="shared" si="31"/>
        <v/>
      </c>
      <c r="AE92" s="6">
        <f t="shared" si="32"/>
        <v>0</v>
      </c>
      <c r="AF92" s="69">
        <f t="shared" si="33"/>
        <v>3.0231969778535137</v>
      </c>
      <c r="AG92" s="6">
        <f t="shared" si="34"/>
        <v>0</v>
      </c>
      <c r="AH92" s="6">
        <f t="shared" si="35"/>
        <v>604</v>
      </c>
    </row>
    <row r="93" spans="2:34" x14ac:dyDescent="0.25">
      <c r="B93" s="1"/>
      <c r="H93" s="7">
        <v>100</v>
      </c>
      <c r="I93" s="7" t="s">
        <v>7</v>
      </c>
      <c r="J93" s="8">
        <v>38628</v>
      </c>
      <c r="K93" s="12" t="s">
        <v>16</v>
      </c>
      <c r="L93" s="9">
        <v>74</v>
      </c>
      <c r="M93" s="10">
        <v>224.23346975523705</v>
      </c>
      <c r="N93" s="7" t="s">
        <v>23</v>
      </c>
      <c r="P93" s="29" t="str">
        <f t="shared" si="18"/>
        <v/>
      </c>
      <c r="Q93" s="29" t="str">
        <f t="shared" si="19"/>
        <v/>
      </c>
      <c r="R93" s="29" t="str">
        <f t="shared" si="20"/>
        <v/>
      </c>
      <c r="S93" s="29" t="str">
        <f t="shared" si="21"/>
        <v/>
      </c>
      <c r="T93" s="32">
        <f t="shared" si="22"/>
        <v>1</v>
      </c>
      <c r="U93" s="32">
        <f t="shared" si="25"/>
        <v>1</v>
      </c>
      <c r="V93" s="32" t="str">
        <f t="shared" si="26"/>
        <v/>
      </c>
      <c r="W93" s="41">
        <f t="shared" si="23"/>
        <v>3.0301820237194197</v>
      </c>
      <c r="X93" s="6">
        <f t="shared" si="24"/>
        <v>224.23346975523705</v>
      </c>
      <c r="Y93" s="7">
        <f t="shared" si="27"/>
        <v>132</v>
      </c>
      <c r="AA93" s="7">
        <f t="shared" si="28"/>
        <v>0</v>
      </c>
      <c r="AB93" s="7" t="str">
        <f t="shared" si="29"/>
        <v/>
      </c>
      <c r="AC93" s="7">
        <f t="shared" si="30"/>
        <v>1</v>
      </c>
      <c r="AD93" s="7">
        <f t="shared" si="31"/>
        <v>74</v>
      </c>
      <c r="AE93" s="6">
        <f t="shared" si="32"/>
        <v>0</v>
      </c>
      <c r="AF93" s="69">
        <f t="shared" si="33"/>
        <v>3.0301820237194197</v>
      </c>
      <c r="AG93" s="6">
        <f t="shared" si="34"/>
        <v>0</v>
      </c>
      <c r="AH93" s="6">
        <f t="shared" si="35"/>
        <v>604</v>
      </c>
    </row>
    <row r="94" spans="2:34" x14ac:dyDescent="0.25">
      <c r="B94" s="1"/>
      <c r="H94" s="7">
        <v>101</v>
      </c>
      <c r="I94" s="7" t="s">
        <v>10</v>
      </c>
      <c r="J94" s="8">
        <v>38001</v>
      </c>
      <c r="K94" s="12" t="s">
        <v>18</v>
      </c>
      <c r="L94" s="9">
        <v>67</v>
      </c>
      <c r="M94" s="10">
        <v>202.45009266432331</v>
      </c>
      <c r="N94" s="7" t="s">
        <v>23</v>
      </c>
      <c r="P94" s="29">
        <f t="shared" si="18"/>
        <v>1</v>
      </c>
      <c r="Q94" s="29" t="str">
        <f t="shared" si="19"/>
        <v/>
      </c>
      <c r="R94" s="29" t="str">
        <f t="shared" si="20"/>
        <v/>
      </c>
      <c r="S94" s="29" t="str">
        <f t="shared" si="21"/>
        <v/>
      </c>
      <c r="T94" s="32" t="str">
        <f t="shared" si="22"/>
        <v/>
      </c>
      <c r="U94" s="32" t="str">
        <f t="shared" si="25"/>
        <v/>
      </c>
      <c r="V94" s="32" t="str">
        <f t="shared" si="26"/>
        <v/>
      </c>
      <c r="W94" s="41">
        <f t="shared" si="23"/>
        <v>3.0216431740943777</v>
      </c>
      <c r="X94" s="6">
        <f t="shared" si="24"/>
        <v>0</v>
      </c>
      <c r="Y94" s="7">
        <f t="shared" si="27"/>
        <v>567</v>
      </c>
      <c r="AA94" s="7">
        <f t="shared" si="28"/>
        <v>0</v>
      </c>
      <c r="AB94" s="7" t="str">
        <f t="shared" si="29"/>
        <v/>
      </c>
      <c r="AC94" s="7">
        <f t="shared" si="30"/>
        <v>0</v>
      </c>
      <c r="AD94" s="7" t="str">
        <f t="shared" si="31"/>
        <v/>
      </c>
      <c r="AE94" s="6">
        <f t="shared" si="32"/>
        <v>0</v>
      </c>
      <c r="AF94" s="69">
        <f t="shared" si="33"/>
        <v>3.0216431740943777</v>
      </c>
      <c r="AG94" s="6">
        <f t="shared" si="34"/>
        <v>202.45009266432331</v>
      </c>
      <c r="AH94" s="6">
        <f t="shared" si="35"/>
        <v>171</v>
      </c>
    </row>
    <row r="95" spans="2:34" x14ac:dyDescent="0.25">
      <c r="B95" s="1"/>
      <c r="H95" s="7">
        <v>102</v>
      </c>
      <c r="I95" s="7" t="s">
        <v>12</v>
      </c>
      <c r="J95" s="8">
        <v>38210</v>
      </c>
      <c r="K95" s="12" t="s">
        <v>18</v>
      </c>
      <c r="L95" s="9">
        <v>16</v>
      </c>
      <c r="M95" s="10">
        <v>49.450018506623742</v>
      </c>
      <c r="N95" s="7" t="s">
        <v>21</v>
      </c>
      <c r="P95" s="29" t="str">
        <f t="shared" si="18"/>
        <v/>
      </c>
      <c r="Q95" s="29" t="str">
        <f t="shared" si="19"/>
        <v/>
      </c>
      <c r="R95" s="29">
        <f t="shared" si="20"/>
        <v>1</v>
      </c>
      <c r="S95" s="29" t="str">
        <f t="shared" si="21"/>
        <v/>
      </c>
      <c r="T95" s="32" t="str">
        <f t="shared" si="22"/>
        <v/>
      </c>
      <c r="U95" s="32" t="str">
        <f t="shared" si="25"/>
        <v/>
      </c>
      <c r="V95" s="32" t="str">
        <f t="shared" si="26"/>
        <v/>
      </c>
      <c r="W95" s="41">
        <f t="shared" si="23"/>
        <v>3.0906261566639839</v>
      </c>
      <c r="X95" s="6">
        <f t="shared" si="24"/>
        <v>0</v>
      </c>
      <c r="Y95" s="7">
        <f t="shared" si="27"/>
        <v>567</v>
      </c>
      <c r="AA95" s="7">
        <f t="shared" si="28"/>
        <v>0</v>
      </c>
      <c r="AB95" s="7" t="str">
        <f t="shared" si="29"/>
        <v/>
      </c>
      <c r="AC95" s="7">
        <f t="shared" si="30"/>
        <v>0</v>
      </c>
      <c r="AD95" s="7" t="str">
        <f t="shared" si="31"/>
        <v/>
      </c>
      <c r="AE95" s="6">
        <f t="shared" si="32"/>
        <v>0</v>
      </c>
      <c r="AF95" s="69">
        <f t="shared" si="33"/>
        <v>3.0906261566639839</v>
      </c>
      <c r="AG95" s="6">
        <f t="shared" si="34"/>
        <v>49.450018506623742</v>
      </c>
      <c r="AH95" s="6">
        <f t="shared" si="35"/>
        <v>483</v>
      </c>
    </row>
    <row r="96" spans="2:34" x14ac:dyDescent="0.25">
      <c r="B96" s="1"/>
      <c r="H96" s="7">
        <v>103</v>
      </c>
      <c r="I96" s="7" t="s">
        <v>8</v>
      </c>
      <c r="J96" s="8">
        <v>38485</v>
      </c>
      <c r="K96" s="12" t="s">
        <v>18</v>
      </c>
      <c r="L96" s="9">
        <v>90</v>
      </c>
      <c r="M96" s="10">
        <v>272.33991590998778</v>
      </c>
      <c r="N96" s="7" t="s">
        <v>23</v>
      </c>
      <c r="P96" s="29" t="str">
        <f t="shared" si="18"/>
        <v/>
      </c>
      <c r="Q96" s="29" t="str">
        <f t="shared" si="19"/>
        <v/>
      </c>
      <c r="R96" s="29" t="str">
        <f t="shared" si="20"/>
        <v/>
      </c>
      <c r="S96" s="29" t="str">
        <f t="shared" si="21"/>
        <v/>
      </c>
      <c r="T96" s="32" t="str">
        <f t="shared" si="22"/>
        <v/>
      </c>
      <c r="U96" s="32">
        <f t="shared" si="25"/>
        <v>1</v>
      </c>
      <c r="V96" s="32" t="str">
        <f t="shared" si="26"/>
        <v/>
      </c>
      <c r="W96" s="41">
        <f t="shared" si="23"/>
        <v>3.025999065666531</v>
      </c>
      <c r="X96" s="6">
        <f t="shared" si="24"/>
        <v>272.33991590998778</v>
      </c>
      <c r="Y96" s="7">
        <f t="shared" si="27"/>
        <v>40</v>
      </c>
      <c r="AA96" s="7">
        <f t="shared" si="28"/>
        <v>0</v>
      </c>
      <c r="AB96" s="7" t="str">
        <f t="shared" si="29"/>
        <v/>
      </c>
      <c r="AC96" s="7">
        <f t="shared" si="30"/>
        <v>1</v>
      </c>
      <c r="AD96" s="7">
        <f t="shared" si="31"/>
        <v>90</v>
      </c>
      <c r="AE96" s="6">
        <f t="shared" si="32"/>
        <v>0</v>
      </c>
      <c r="AF96" s="69">
        <f t="shared" si="33"/>
        <v>3.025999065666531</v>
      </c>
      <c r="AG96" s="6">
        <f t="shared" si="34"/>
        <v>0</v>
      </c>
      <c r="AH96" s="6">
        <f t="shared" si="35"/>
        <v>604</v>
      </c>
    </row>
    <row r="97" spans="2:34" x14ac:dyDescent="0.25">
      <c r="B97" s="1"/>
      <c r="H97" s="7">
        <v>104</v>
      </c>
      <c r="I97" s="7" t="s">
        <v>14</v>
      </c>
      <c r="J97" s="8">
        <v>38793</v>
      </c>
      <c r="K97" s="12" t="s">
        <v>19</v>
      </c>
      <c r="L97" s="9">
        <v>-8</v>
      </c>
      <c r="M97" s="10">
        <v>-22.10755433572842</v>
      </c>
      <c r="N97" s="7" t="s">
        <v>23</v>
      </c>
      <c r="P97" s="29" t="str">
        <f t="shared" si="18"/>
        <v/>
      </c>
      <c r="Q97" s="29" t="str">
        <f t="shared" si="19"/>
        <v/>
      </c>
      <c r="R97" s="29" t="str">
        <f t="shared" si="20"/>
        <v/>
      </c>
      <c r="S97" s="29" t="str">
        <f t="shared" si="21"/>
        <v/>
      </c>
      <c r="T97" s="32" t="str">
        <f t="shared" si="22"/>
        <v/>
      </c>
      <c r="U97" s="32" t="str">
        <f t="shared" si="25"/>
        <v/>
      </c>
      <c r="V97" s="32">
        <f t="shared" si="26"/>
        <v>1</v>
      </c>
      <c r="W97" s="41" t="str">
        <f t="shared" si="23"/>
        <v/>
      </c>
      <c r="X97" s="6">
        <f t="shared" si="24"/>
        <v>0</v>
      </c>
      <c r="Y97" s="7">
        <f t="shared" si="27"/>
        <v>567</v>
      </c>
      <c r="AA97" s="7">
        <f t="shared" si="28"/>
        <v>0</v>
      </c>
      <c r="AB97" s="7" t="str">
        <f t="shared" si="29"/>
        <v/>
      </c>
      <c r="AC97" s="7">
        <f t="shared" si="30"/>
        <v>0</v>
      </c>
      <c r="AD97" s="7" t="str">
        <f t="shared" si="31"/>
        <v/>
      </c>
      <c r="AE97" s="6">
        <f t="shared" si="32"/>
        <v>-8</v>
      </c>
      <c r="AF97" s="69" t="str">
        <f t="shared" si="33"/>
        <v/>
      </c>
      <c r="AG97" s="6">
        <f t="shared" si="34"/>
        <v>0</v>
      </c>
      <c r="AH97" s="6">
        <f t="shared" si="35"/>
        <v>604</v>
      </c>
    </row>
    <row r="98" spans="2:34" x14ac:dyDescent="0.25">
      <c r="B98" s="1"/>
      <c r="H98" s="7">
        <v>105</v>
      </c>
      <c r="I98" s="7" t="s">
        <v>12</v>
      </c>
      <c r="J98" s="8">
        <v>38243</v>
      </c>
      <c r="K98" s="12" t="s">
        <v>19</v>
      </c>
      <c r="L98" s="9">
        <v>51</v>
      </c>
      <c r="M98" s="10">
        <v>155.29818889700317</v>
      </c>
      <c r="N98" s="7" t="s">
        <v>22</v>
      </c>
      <c r="P98" s="29" t="str">
        <f t="shared" si="18"/>
        <v/>
      </c>
      <c r="Q98" s="29" t="str">
        <f t="shared" si="19"/>
        <v/>
      </c>
      <c r="R98" s="29">
        <f t="shared" si="20"/>
        <v>1</v>
      </c>
      <c r="S98" s="29" t="str">
        <f t="shared" si="21"/>
        <v/>
      </c>
      <c r="T98" s="32" t="str">
        <f t="shared" si="22"/>
        <v/>
      </c>
      <c r="U98" s="32" t="str">
        <f t="shared" si="25"/>
        <v/>
      </c>
      <c r="V98" s="32" t="str">
        <f t="shared" si="26"/>
        <v/>
      </c>
      <c r="W98" s="41">
        <f t="shared" si="23"/>
        <v>3.0450625273922189</v>
      </c>
      <c r="X98" s="6">
        <f t="shared" si="24"/>
        <v>0</v>
      </c>
      <c r="Y98" s="7">
        <f t="shared" si="27"/>
        <v>567</v>
      </c>
      <c r="AA98" s="7">
        <f t="shared" si="28"/>
        <v>0</v>
      </c>
      <c r="AB98" s="7" t="str">
        <f t="shared" si="29"/>
        <v/>
      </c>
      <c r="AC98" s="7">
        <f t="shared" si="30"/>
        <v>0</v>
      </c>
      <c r="AD98" s="7" t="str">
        <f t="shared" si="31"/>
        <v/>
      </c>
      <c r="AE98" s="6">
        <f t="shared" si="32"/>
        <v>0</v>
      </c>
      <c r="AF98" s="69">
        <f t="shared" si="33"/>
        <v>3.0450625273922189</v>
      </c>
      <c r="AG98" s="6">
        <f t="shared" si="34"/>
        <v>155.29818889700317</v>
      </c>
      <c r="AH98" s="6">
        <f t="shared" si="35"/>
        <v>267</v>
      </c>
    </row>
    <row r="99" spans="2:34" x14ac:dyDescent="0.25">
      <c r="B99" s="1"/>
      <c r="H99" s="7">
        <v>106</v>
      </c>
      <c r="I99" s="7" t="s">
        <v>14</v>
      </c>
      <c r="J99" s="8">
        <v>38441</v>
      </c>
      <c r="K99" s="12" t="s">
        <v>18</v>
      </c>
      <c r="L99" s="9">
        <v>-7</v>
      </c>
      <c r="M99" s="10">
        <v>-19.532896832828285</v>
      </c>
      <c r="N99" s="7" t="s">
        <v>21</v>
      </c>
      <c r="P99" s="29" t="str">
        <f t="shared" si="18"/>
        <v/>
      </c>
      <c r="Q99" s="29" t="str">
        <f t="shared" si="19"/>
        <v/>
      </c>
      <c r="R99" s="29" t="str">
        <f t="shared" si="20"/>
        <v/>
      </c>
      <c r="S99" s="29" t="str">
        <f t="shared" si="21"/>
        <v/>
      </c>
      <c r="T99" s="32" t="str">
        <f t="shared" si="22"/>
        <v/>
      </c>
      <c r="U99" s="32">
        <f t="shared" si="25"/>
        <v>1</v>
      </c>
      <c r="V99" s="32" t="str">
        <f t="shared" si="26"/>
        <v/>
      </c>
      <c r="W99" s="41" t="str">
        <f t="shared" si="23"/>
        <v/>
      </c>
      <c r="X99" s="6">
        <f t="shared" si="24"/>
        <v>-19.532896832828285</v>
      </c>
      <c r="Y99" s="7">
        <f t="shared" si="27"/>
        <v>1878</v>
      </c>
      <c r="AA99" s="7">
        <f t="shared" si="28"/>
        <v>1</v>
      </c>
      <c r="AB99" s="7">
        <f t="shared" si="29"/>
        <v>-7</v>
      </c>
      <c r="AC99" s="7">
        <f t="shared" si="30"/>
        <v>0</v>
      </c>
      <c r="AD99" s="7" t="str">
        <f t="shared" si="31"/>
        <v/>
      </c>
      <c r="AE99" s="6">
        <f t="shared" si="32"/>
        <v>-7</v>
      </c>
      <c r="AF99" s="69" t="str">
        <f t="shared" si="33"/>
        <v/>
      </c>
      <c r="AG99" s="6">
        <f t="shared" si="34"/>
        <v>0</v>
      </c>
      <c r="AH99" s="6">
        <f t="shared" si="35"/>
        <v>604</v>
      </c>
    </row>
    <row r="100" spans="2:34" x14ac:dyDescent="0.25">
      <c r="B100" s="1"/>
      <c r="H100" s="7">
        <v>107</v>
      </c>
      <c r="I100" s="7" t="s">
        <v>13</v>
      </c>
      <c r="J100" s="8">
        <v>38067</v>
      </c>
      <c r="K100" s="12" t="s">
        <v>17</v>
      </c>
      <c r="L100" s="9">
        <v>9</v>
      </c>
      <c r="M100" s="10">
        <v>29.277821643264524</v>
      </c>
      <c r="N100" s="7" t="s">
        <v>22</v>
      </c>
      <c r="P100" s="29">
        <f t="shared" si="18"/>
        <v>1</v>
      </c>
      <c r="Q100" s="29" t="str">
        <f t="shared" si="19"/>
        <v/>
      </c>
      <c r="R100" s="29" t="str">
        <f t="shared" si="20"/>
        <v/>
      </c>
      <c r="S100" s="29" t="str">
        <f t="shared" si="21"/>
        <v/>
      </c>
      <c r="T100" s="32" t="str">
        <f t="shared" si="22"/>
        <v/>
      </c>
      <c r="U100" s="32" t="str">
        <f t="shared" si="25"/>
        <v/>
      </c>
      <c r="V100" s="32" t="str">
        <f t="shared" si="26"/>
        <v/>
      </c>
      <c r="W100" s="41">
        <f t="shared" si="23"/>
        <v>3.2530912936960581</v>
      </c>
      <c r="X100" s="6">
        <f t="shared" si="24"/>
        <v>0</v>
      </c>
      <c r="Y100" s="7">
        <f t="shared" si="27"/>
        <v>567</v>
      </c>
      <c r="AA100" s="7">
        <f t="shared" si="28"/>
        <v>0</v>
      </c>
      <c r="AB100" s="7" t="str">
        <f t="shared" si="29"/>
        <v/>
      </c>
      <c r="AC100" s="7">
        <f t="shared" si="30"/>
        <v>0</v>
      </c>
      <c r="AD100" s="7" t="str">
        <f t="shared" si="31"/>
        <v/>
      </c>
      <c r="AE100" s="6">
        <f t="shared" si="32"/>
        <v>0</v>
      </c>
      <c r="AF100" s="69">
        <f t="shared" si="33"/>
        <v>3.2530912936960581</v>
      </c>
      <c r="AG100" s="6">
        <f t="shared" si="34"/>
        <v>29.277821643264524</v>
      </c>
      <c r="AH100" s="6">
        <f t="shared" si="35"/>
        <v>533</v>
      </c>
    </row>
    <row r="101" spans="2:34" x14ac:dyDescent="0.25">
      <c r="B101" s="1"/>
      <c r="H101" s="7">
        <v>108</v>
      </c>
      <c r="I101" s="7" t="s">
        <v>15</v>
      </c>
      <c r="J101" s="8">
        <v>38595</v>
      </c>
      <c r="K101" s="12" t="s">
        <v>17</v>
      </c>
      <c r="L101" s="9">
        <v>-10</v>
      </c>
      <c r="M101" s="10">
        <v>-28.406748282006184</v>
      </c>
      <c r="N101" s="7" t="s">
        <v>24</v>
      </c>
      <c r="P101" s="29" t="str">
        <f t="shared" si="18"/>
        <v/>
      </c>
      <c r="Q101" s="29" t="str">
        <f t="shared" si="19"/>
        <v/>
      </c>
      <c r="R101" s="29" t="str">
        <f t="shared" si="20"/>
        <v/>
      </c>
      <c r="S101" s="29" t="str">
        <f t="shared" si="21"/>
        <v/>
      </c>
      <c r="T101" s="32" t="str">
        <f t="shared" si="22"/>
        <v/>
      </c>
      <c r="U101" s="32">
        <f t="shared" si="25"/>
        <v>1</v>
      </c>
      <c r="V101" s="32" t="str">
        <f t="shared" si="26"/>
        <v/>
      </c>
      <c r="W101" s="41" t="str">
        <f t="shared" si="23"/>
        <v/>
      </c>
      <c r="X101" s="6">
        <f t="shared" si="24"/>
        <v>-28.406748282006184</v>
      </c>
      <c r="Y101" s="7">
        <f t="shared" si="27"/>
        <v>1891</v>
      </c>
      <c r="AA101" s="7">
        <f t="shared" si="28"/>
        <v>1</v>
      </c>
      <c r="AB101" s="7">
        <f t="shared" si="29"/>
        <v>-10</v>
      </c>
      <c r="AC101" s="7">
        <f t="shared" si="30"/>
        <v>0</v>
      </c>
      <c r="AD101" s="7" t="str">
        <f t="shared" si="31"/>
        <v/>
      </c>
      <c r="AE101" s="6">
        <f t="shared" si="32"/>
        <v>-10</v>
      </c>
      <c r="AF101" s="69" t="str">
        <f t="shared" si="33"/>
        <v/>
      </c>
      <c r="AG101" s="6">
        <f t="shared" si="34"/>
        <v>0</v>
      </c>
      <c r="AH101" s="6">
        <f t="shared" si="35"/>
        <v>604</v>
      </c>
    </row>
    <row r="102" spans="2:34" x14ac:dyDescent="0.25">
      <c r="B102" s="1"/>
      <c r="H102" s="7">
        <v>109</v>
      </c>
      <c r="I102" s="7" t="s">
        <v>9</v>
      </c>
      <c r="J102" s="8">
        <v>38914</v>
      </c>
      <c r="K102" s="12" t="s">
        <v>18</v>
      </c>
      <c r="L102" s="9">
        <v>10</v>
      </c>
      <c r="M102" s="10">
        <v>32.113204788074981</v>
      </c>
      <c r="N102" s="7" t="s">
        <v>21</v>
      </c>
      <c r="P102" s="29" t="str">
        <f t="shared" si="18"/>
        <v/>
      </c>
      <c r="Q102" s="29" t="str">
        <f t="shared" si="19"/>
        <v/>
      </c>
      <c r="R102" s="29" t="str">
        <f t="shared" si="20"/>
        <v/>
      </c>
      <c r="S102" s="29" t="str">
        <f t="shared" si="21"/>
        <v/>
      </c>
      <c r="T102" s="32" t="str">
        <f t="shared" si="22"/>
        <v/>
      </c>
      <c r="U102" s="32" t="str">
        <f t="shared" si="25"/>
        <v/>
      </c>
      <c r="V102" s="32">
        <f t="shared" si="26"/>
        <v>1</v>
      </c>
      <c r="W102" s="41">
        <f t="shared" si="23"/>
        <v>3.2113204788074983</v>
      </c>
      <c r="X102" s="6">
        <f t="shared" si="24"/>
        <v>0</v>
      </c>
      <c r="Y102" s="7">
        <f t="shared" si="27"/>
        <v>567</v>
      </c>
      <c r="AA102" s="7">
        <f t="shared" si="28"/>
        <v>0</v>
      </c>
      <c r="AB102" s="7" t="str">
        <f t="shared" si="29"/>
        <v/>
      </c>
      <c r="AC102" s="7">
        <f t="shared" si="30"/>
        <v>0</v>
      </c>
      <c r="AD102" s="7" t="str">
        <f t="shared" si="31"/>
        <v/>
      </c>
      <c r="AE102" s="6">
        <f t="shared" si="32"/>
        <v>0</v>
      </c>
      <c r="AF102" s="69">
        <f t="shared" si="33"/>
        <v>3.2113204788074983</v>
      </c>
      <c r="AG102" s="6">
        <f t="shared" si="34"/>
        <v>0</v>
      </c>
      <c r="AH102" s="6">
        <f t="shared" si="35"/>
        <v>604</v>
      </c>
    </row>
    <row r="103" spans="2:34" x14ac:dyDescent="0.25">
      <c r="H103" s="7">
        <v>110</v>
      </c>
      <c r="I103" s="7" t="s">
        <v>9</v>
      </c>
      <c r="J103" s="8">
        <v>38419</v>
      </c>
      <c r="K103" s="12" t="s">
        <v>20</v>
      </c>
      <c r="L103" s="9">
        <v>35</v>
      </c>
      <c r="M103" s="10">
        <v>107.58710427119863</v>
      </c>
      <c r="N103" s="7" t="s">
        <v>22</v>
      </c>
      <c r="P103" s="29" t="str">
        <f t="shared" si="18"/>
        <v/>
      </c>
      <c r="Q103" s="29" t="str">
        <f t="shared" si="19"/>
        <v/>
      </c>
      <c r="R103" s="29" t="str">
        <f t="shared" si="20"/>
        <v/>
      </c>
      <c r="S103" s="29" t="str">
        <f t="shared" si="21"/>
        <v/>
      </c>
      <c r="T103" s="32" t="str">
        <f t="shared" si="22"/>
        <v/>
      </c>
      <c r="U103" s="32">
        <f t="shared" si="25"/>
        <v>1</v>
      </c>
      <c r="V103" s="32" t="str">
        <f t="shared" si="26"/>
        <v/>
      </c>
      <c r="W103" s="41">
        <f t="shared" si="23"/>
        <v>3.0739172648913895</v>
      </c>
      <c r="X103" s="6">
        <f t="shared" si="24"/>
        <v>107.58710427119863</v>
      </c>
      <c r="Y103" s="7">
        <f t="shared" si="27"/>
        <v>344</v>
      </c>
      <c r="AA103" s="7">
        <f t="shared" si="28"/>
        <v>1</v>
      </c>
      <c r="AB103" s="7">
        <f t="shared" si="29"/>
        <v>35</v>
      </c>
      <c r="AC103" s="7">
        <f t="shared" si="30"/>
        <v>0</v>
      </c>
      <c r="AD103" s="7" t="str">
        <f t="shared" si="31"/>
        <v/>
      </c>
      <c r="AE103" s="6">
        <f t="shared" si="32"/>
        <v>0</v>
      </c>
      <c r="AF103" s="69">
        <f t="shared" si="33"/>
        <v>3.0739172648913895</v>
      </c>
      <c r="AG103" s="6">
        <f t="shared" si="34"/>
        <v>0</v>
      </c>
      <c r="AH103" s="6">
        <f t="shared" si="35"/>
        <v>604</v>
      </c>
    </row>
    <row r="104" spans="2:34" x14ac:dyDescent="0.25">
      <c r="H104" s="7">
        <v>111</v>
      </c>
      <c r="I104" s="7" t="s">
        <v>15</v>
      </c>
      <c r="J104" s="8">
        <v>38265</v>
      </c>
      <c r="K104" s="12" t="s">
        <v>20</v>
      </c>
      <c r="L104" s="9">
        <v>81</v>
      </c>
      <c r="M104" s="10">
        <v>244.46099351680689</v>
      </c>
      <c r="N104" s="7" t="s">
        <v>23</v>
      </c>
      <c r="P104" s="29" t="str">
        <f t="shared" si="18"/>
        <v/>
      </c>
      <c r="Q104" s="29" t="str">
        <f t="shared" si="19"/>
        <v/>
      </c>
      <c r="R104" s="29" t="str">
        <f t="shared" si="20"/>
        <v/>
      </c>
      <c r="S104" s="29">
        <f t="shared" si="21"/>
        <v>1</v>
      </c>
      <c r="T104" s="32" t="str">
        <f t="shared" si="22"/>
        <v/>
      </c>
      <c r="U104" s="32" t="str">
        <f t="shared" si="25"/>
        <v/>
      </c>
      <c r="V104" s="32" t="str">
        <f t="shared" si="26"/>
        <v/>
      </c>
      <c r="W104" s="41">
        <f t="shared" si="23"/>
        <v>3.0180369569976158</v>
      </c>
      <c r="X104" s="6">
        <f t="shared" si="24"/>
        <v>0</v>
      </c>
      <c r="Y104" s="7">
        <f t="shared" si="27"/>
        <v>567</v>
      </c>
      <c r="AA104" s="7">
        <f t="shared" si="28"/>
        <v>0</v>
      </c>
      <c r="AB104" s="7" t="str">
        <f t="shared" si="29"/>
        <v/>
      </c>
      <c r="AC104" s="7">
        <f t="shared" si="30"/>
        <v>0</v>
      </c>
      <c r="AD104" s="7" t="str">
        <f t="shared" si="31"/>
        <v/>
      </c>
      <c r="AE104" s="6">
        <f t="shared" si="32"/>
        <v>0</v>
      </c>
      <c r="AF104" s="69">
        <f t="shared" si="33"/>
        <v>3.0180369569976158</v>
      </c>
      <c r="AG104" s="6">
        <f t="shared" si="34"/>
        <v>244.46099351680689</v>
      </c>
      <c r="AH104" s="6">
        <f t="shared" si="35"/>
        <v>78</v>
      </c>
    </row>
    <row r="105" spans="2:34" x14ac:dyDescent="0.25">
      <c r="H105" s="7">
        <v>112</v>
      </c>
      <c r="I105" s="7" t="s">
        <v>15</v>
      </c>
      <c r="J105" s="8">
        <v>38309</v>
      </c>
      <c r="K105" s="12" t="s">
        <v>20</v>
      </c>
      <c r="L105" s="9">
        <v>38</v>
      </c>
      <c r="M105" s="10">
        <v>115.86487308982943</v>
      </c>
      <c r="N105" s="7" t="s">
        <v>21</v>
      </c>
      <c r="P105" s="29" t="str">
        <f t="shared" si="18"/>
        <v/>
      </c>
      <c r="Q105" s="29" t="str">
        <f t="shared" si="19"/>
        <v/>
      </c>
      <c r="R105" s="29" t="str">
        <f t="shared" si="20"/>
        <v/>
      </c>
      <c r="S105" s="29">
        <f t="shared" si="21"/>
        <v>1</v>
      </c>
      <c r="T105" s="32" t="str">
        <f t="shared" si="22"/>
        <v/>
      </c>
      <c r="U105" s="32" t="str">
        <f t="shared" si="25"/>
        <v/>
      </c>
      <c r="V105" s="32" t="str">
        <f t="shared" si="26"/>
        <v/>
      </c>
      <c r="W105" s="41">
        <f t="shared" si="23"/>
        <v>3.0490756076270902</v>
      </c>
      <c r="X105" s="6">
        <f t="shared" si="24"/>
        <v>0</v>
      </c>
      <c r="Y105" s="7">
        <f t="shared" si="27"/>
        <v>567</v>
      </c>
      <c r="AA105" s="7">
        <f t="shared" si="28"/>
        <v>0</v>
      </c>
      <c r="AB105" s="7" t="str">
        <f t="shared" si="29"/>
        <v/>
      </c>
      <c r="AC105" s="7">
        <f t="shared" si="30"/>
        <v>0</v>
      </c>
      <c r="AD105" s="7" t="str">
        <f t="shared" si="31"/>
        <v/>
      </c>
      <c r="AE105" s="6">
        <f t="shared" si="32"/>
        <v>0</v>
      </c>
      <c r="AF105" s="69">
        <f t="shared" si="33"/>
        <v>3.0490756076270902</v>
      </c>
      <c r="AG105" s="6">
        <f t="shared" si="34"/>
        <v>115.86487308982943</v>
      </c>
      <c r="AH105" s="6">
        <f t="shared" si="35"/>
        <v>342</v>
      </c>
    </row>
    <row r="106" spans="2:34" x14ac:dyDescent="0.25">
      <c r="H106" s="7">
        <v>113</v>
      </c>
      <c r="I106" s="7" t="s">
        <v>13</v>
      </c>
      <c r="J106" s="8">
        <v>39057</v>
      </c>
      <c r="K106" s="12" t="s">
        <v>20</v>
      </c>
      <c r="L106" s="9">
        <v>26</v>
      </c>
      <c r="M106" s="10">
        <v>80.488645084091601</v>
      </c>
      <c r="N106" s="7" t="s">
        <v>23</v>
      </c>
      <c r="P106" s="29" t="str">
        <f t="shared" si="18"/>
        <v/>
      </c>
      <c r="Q106" s="29" t="str">
        <f t="shared" si="19"/>
        <v/>
      </c>
      <c r="R106" s="29" t="str">
        <f t="shared" si="20"/>
        <v/>
      </c>
      <c r="S106" s="29" t="str">
        <f t="shared" si="21"/>
        <v/>
      </c>
      <c r="T106" s="32" t="str">
        <f t="shared" si="22"/>
        <v/>
      </c>
      <c r="U106" s="32" t="str">
        <f t="shared" si="25"/>
        <v/>
      </c>
      <c r="V106" s="32">
        <f t="shared" si="26"/>
        <v>1</v>
      </c>
      <c r="W106" s="41">
        <f t="shared" si="23"/>
        <v>3.0957171186189076</v>
      </c>
      <c r="X106" s="6">
        <f t="shared" si="24"/>
        <v>0</v>
      </c>
      <c r="Y106" s="7">
        <f t="shared" si="27"/>
        <v>567</v>
      </c>
      <c r="AA106" s="7">
        <f t="shared" si="28"/>
        <v>0</v>
      </c>
      <c r="AB106" s="7" t="str">
        <f t="shared" si="29"/>
        <v/>
      </c>
      <c r="AC106" s="7">
        <f t="shared" si="30"/>
        <v>0</v>
      </c>
      <c r="AD106" s="7" t="str">
        <f t="shared" si="31"/>
        <v/>
      </c>
      <c r="AE106" s="6">
        <f t="shared" si="32"/>
        <v>0</v>
      </c>
      <c r="AF106" s="69">
        <f t="shared" si="33"/>
        <v>3.0957171186189076</v>
      </c>
      <c r="AG106" s="6">
        <f t="shared" si="34"/>
        <v>0</v>
      </c>
      <c r="AH106" s="6">
        <f t="shared" si="35"/>
        <v>604</v>
      </c>
    </row>
    <row r="107" spans="2:34" x14ac:dyDescent="0.25">
      <c r="H107" s="7">
        <v>114</v>
      </c>
      <c r="I107" s="7" t="s">
        <v>7</v>
      </c>
      <c r="J107" s="8">
        <v>38617</v>
      </c>
      <c r="K107" s="12" t="s">
        <v>19</v>
      </c>
      <c r="L107" s="9">
        <v>77</v>
      </c>
      <c r="M107" s="10">
        <v>233.33103169462888</v>
      </c>
      <c r="N107" s="7" t="s">
        <v>24</v>
      </c>
      <c r="P107" s="29" t="str">
        <f t="shared" si="18"/>
        <v/>
      </c>
      <c r="Q107" s="29" t="str">
        <f t="shared" si="19"/>
        <v/>
      </c>
      <c r="R107" s="29" t="str">
        <f t="shared" si="20"/>
        <v/>
      </c>
      <c r="S107" s="29" t="str">
        <f t="shared" si="21"/>
        <v/>
      </c>
      <c r="T107" s="32" t="str">
        <f t="shared" si="22"/>
        <v/>
      </c>
      <c r="U107" s="32">
        <f t="shared" si="25"/>
        <v>1</v>
      </c>
      <c r="V107" s="32" t="str">
        <f t="shared" si="26"/>
        <v/>
      </c>
      <c r="W107" s="41">
        <f t="shared" si="23"/>
        <v>3.030273138891284</v>
      </c>
      <c r="X107" s="6">
        <f t="shared" si="24"/>
        <v>233.33103169462888</v>
      </c>
      <c r="Y107" s="7">
        <f t="shared" si="27"/>
        <v>117</v>
      </c>
      <c r="AA107" s="7">
        <f t="shared" si="28"/>
        <v>1</v>
      </c>
      <c r="AB107" s="7">
        <f t="shared" si="29"/>
        <v>77</v>
      </c>
      <c r="AC107" s="7">
        <f t="shared" si="30"/>
        <v>0</v>
      </c>
      <c r="AD107" s="7" t="str">
        <f t="shared" si="31"/>
        <v/>
      </c>
      <c r="AE107" s="6">
        <f t="shared" si="32"/>
        <v>0</v>
      </c>
      <c r="AF107" s="69">
        <f t="shared" si="33"/>
        <v>3.030273138891284</v>
      </c>
      <c r="AG107" s="6">
        <f t="shared" si="34"/>
        <v>0</v>
      </c>
      <c r="AH107" s="6">
        <f t="shared" si="35"/>
        <v>604</v>
      </c>
    </row>
    <row r="108" spans="2:34" x14ac:dyDescent="0.25">
      <c r="H108" s="7">
        <v>115</v>
      </c>
      <c r="I108" s="7" t="s">
        <v>13</v>
      </c>
      <c r="J108" s="8">
        <v>38738</v>
      </c>
      <c r="K108" s="12" t="s">
        <v>18</v>
      </c>
      <c r="L108" s="9">
        <v>39</v>
      </c>
      <c r="M108" s="10">
        <v>118.62706142640471</v>
      </c>
      <c r="N108" s="7" t="s">
        <v>21</v>
      </c>
      <c r="P108" s="29" t="str">
        <f t="shared" si="18"/>
        <v/>
      </c>
      <c r="Q108" s="29" t="str">
        <f t="shared" si="19"/>
        <v/>
      </c>
      <c r="R108" s="29" t="str">
        <f t="shared" si="20"/>
        <v/>
      </c>
      <c r="S108" s="29" t="str">
        <f t="shared" si="21"/>
        <v/>
      </c>
      <c r="T108" s="32" t="str">
        <f t="shared" si="22"/>
        <v/>
      </c>
      <c r="U108" s="32" t="str">
        <f t="shared" si="25"/>
        <v/>
      </c>
      <c r="V108" s="32">
        <f t="shared" si="26"/>
        <v>1</v>
      </c>
      <c r="W108" s="41">
        <f t="shared" si="23"/>
        <v>3.0417195237539669</v>
      </c>
      <c r="X108" s="6">
        <f t="shared" si="24"/>
        <v>0</v>
      </c>
      <c r="Y108" s="7">
        <f t="shared" si="27"/>
        <v>567</v>
      </c>
      <c r="AA108" s="7">
        <f t="shared" si="28"/>
        <v>0</v>
      </c>
      <c r="AB108" s="7" t="str">
        <f t="shared" si="29"/>
        <v/>
      </c>
      <c r="AC108" s="7">
        <f t="shared" si="30"/>
        <v>0</v>
      </c>
      <c r="AD108" s="7" t="str">
        <f t="shared" si="31"/>
        <v/>
      </c>
      <c r="AE108" s="6">
        <f t="shared" si="32"/>
        <v>0</v>
      </c>
      <c r="AF108" s="69">
        <f t="shared" si="33"/>
        <v>3.0417195237539669</v>
      </c>
      <c r="AG108" s="6">
        <f t="shared" si="34"/>
        <v>0</v>
      </c>
      <c r="AH108" s="6">
        <f t="shared" si="35"/>
        <v>604</v>
      </c>
    </row>
    <row r="109" spans="2:34" x14ac:dyDescent="0.25">
      <c r="H109" s="7">
        <v>116</v>
      </c>
      <c r="I109" s="7" t="s">
        <v>10</v>
      </c>
      <c r="J109" s="8">
        <v>38892</v>
      </c>
      <c r="K109" s="12" t="s">
        <v>16</v>
      </c>
      <c r="L109" s="9">
        <v>22</v>
      </c>
      <c r="M109" s="10">
        <v>68.07066358826728</v>
      </c>
      <c r="N109" s="7" t="s">
        <v>24</v>
      </c>
      <c r="P109" s="29" t="str">
        <f t="shared" si="18"/>
        <v/>
      </c>
      <c r="Q109" s="29" t="str">
        <f t="shared" si="19"/>
        <v/>
      </c>
      <c r="R109" s="29" t="str">
        <f t="shared" si="20"/>
        <v/>
      </c>
      <c r="S109" s="29" t="str">
        <f t="shared" si="21"/>
        <v/>
      </c>
      <c r="T109" s="32" t="str">
        <f t="shared" si="22"/>
        <v/>
      </c>
      <c r="U109" s="32" t="str">
        <f t="shared" si="25"/>
        <v/>
      </c>
      <c r="V109" s="32">
        <f t="shared" si="26"/>
        <v>1</v>
      </c>
      <c r="W109" s="41">
        <f t="shared" si="23"/>
        <v>3.0941210721939671</v>
      </c>
      <c r="X109" s="6">
        <f t="shared" si="24"/>
        <v>0</v>
      </c>
      <c r="Y109" s="7">
        <f t="shared" si="27"/>
        <v>567</v>
      </c>
      <c r="AA109" s="7">
        <f t="shared" si="28"/>
        <v>0</v>
      </c>
      <c r="AB109" s="7" t="str">
        <f t="shared" si="29"/>
        <v/>
      </c>
      <c r="AC109" s="7">
        <f t="shared" si="30"/>
        <v>0</v>
      </c>
      <c r="AD109" s="7" t="str">
        <f t="shared" si="31"/>
        <v/>
      </c>
      <c r="AE109" s="6">
        <f t="shared" si="32"/>
        <v>0</v>
      </c>
      <c r="AF109" s="69">
        <f t="shared" si="33"/>
        <v>3.0941210721939671</v>
      </c>
      <c r="AG109" s="6">
        <f t="shared" si="34"/>
        <v>0</v>
      </c>
      <c r="AH109" s="6">
        <f t="shared" si="35"/>
        <v>604</v>
      </c>
    </row>
    <row r="110" spans="2:34" x14ac:dyDescent="0.25">
      <c r="H110" s="7">
        <v>117</v>
      </c>
      <c r="I110" s="7" t="s">
        <v>10</v>
      </c>
      <c r="J110" s="8">
        <v>38870</v>
      </c>
      <c r="K110" s="12" t="s">
        <v>18</v>
      </c>
      <c r="L110" s="9">
        <v>68</v>
      </c>
      <c r="M110" s="10">
        <v>205.76676002797973</v>
      </c>
      <c r="N110" s="7" t="s">
        <v>22</v>
      </c>
      <c r="P110" s="29" t="str">
        <f t="shared" si="18"/>
        <v/>
      </c>
      <c r="Q110" s="29" t="str">
        <f t="shared" si="19"/>
        <v/>
      </c>
      <c r="R110" s="29" t="str">
        <f t="shared" si="20"/>
        <v/>
      </c>
      <c r="S110" s="29" t="str">
        <f t="shared" si="21"/>
        <v/>
      </c>
      <c r="T110" s="32" t="str">
        <f t="shared" si="22"/>
        <v/>
      </c>
      <c r="U110" s="32" t="str">
        <f t="shared" si="25"/>
        <v/>
      </c>
      <c r="V110" s="32">
        <f t="shared" si="26"/>
        <v>1</v>
      </c>
      <c r="W110" s="41">
        <f t="shared" si="23"/>
        <v>3.0259817651173488</v>
      </c>
      <c r="X110" s="6">
        <f t="shared" si="24"/>
        <v>0</v>
      </c>
      <c r="Y110" s="7">
        <f t="shared" si="27"/>
        <v>567</v>
      </c>
      <c r="AA110" s="7">
        <f t="shared" si="28"/>
        <v>0</v>
      </c>
      <c r="AB110" s="7" t="str">
        <f t="shared" si="29"/>
        <v/>
      </c>
      <c r="AC110" s="7">
        <f t="shared" si="30"/>
        <v>0</v>
      </c>
      <c r="AD110" s="7" t="str">
        <f t="shared" si="31"/>
        <v/>
      </c>
      <c r="AE110" s="6">
        <f t="shared" si="32"/>
        <v>0</v>
      </c>
      <c r="AF110" s="69">
        <f t="shared" si="33"/>
        <v>3.0259817651173488</v>
      </c>
      <c r="AG110" s="6">
        <f t="shared" si="34"/>
        <v>0</v>
      </c>
      <c r="AH110" s="6">
        <f t="shared" si="35"/>
        <v>604</v>
      </c>
    </row>
    <row r="111" spans="2:34" x14ac:dyDescent="0.25">
      <c r="H111" s="7">
        <v>118</v>
      </c>
      <c r="I111" s="7" t="s">
        <v>15</v>
      </c>
      <c r="J111" s="8">
        <v>38496</v>
      </c>
      <c r="K111" s="12" t="s">
        <v>18</v>
      </c>
      <c r="L111" s="9">
        <v>59</v>
      </c>
      <c r="M111" s="10">
        <v>178.71308198822226</v>
      </c>
      <c r="N111" s="7" t="s">
        <v>22</v>
      </c>
      <c r="P111" s="29" t="str">
        <f t="shared" si="18"/>
        <v/>
      </c>
      <c r="Q111" s="29" t="str">
        <f t="shared" si="19"/>
        <v/>
      </c>
      <c r="R111" s="29" t="str">
        <f t="shared" si="20"/>
        <v/>
      </c>
      <c r="S111" s="29" t="str">
        <f t="shared" si="21"/>
        <v/>
      </c>
      <c r="T111" s="32" t="str">
        <f t="shared" si="22"/>
        <v/>
      </c>
      <c r="U111" s="32">
        <f t="shared" si="25"/>
        <v>1</v>
      </c>
      <c r="V111" s="32" t="str">
        <f t="shared" si="26"/>
        <v/>
      </c>
      <c r="W111" s="41">
        <f t="shared" si="23"/>
        <v>3.0290352879359705</v>
      </c>
      <c r="X111" s="6">
        <f t="shared" si="24"/>
        <v>178.71308198822226</v>
      </c>
      <c r="Y111" s="7">
        <f t="shared" si="27"/>
        <v>209</v>
      </c>
      <c r="AA111" s="7">
        <f t="shared" si="28"/>
        <v>0</v>
      </c>
      <c r="AB111" s="7" t="str">
        <f t="shared" si="29"/>
        <v/>
      </c>
      <c r="AC111" s="7">
        <f t="shared" si="30"/>
        <v>1</v>
      </c>
      <c r="AD111" s="7">
        <f t="shared" si="31"/>
        <v>59</v>
      </c>
      <c r="AE111" s="6">
        <f t="shared" si="32"/>
        <v>0</v>
      </c>
      <c r="AF111" s="69">
        <f t="shared" si="33"/>
        <v>3.0290352879359705</v>
      </c>
      <c r="AG111" s="6">
        <f t="shared" si="34"/>
        <v>0</v>
      </c>
      <c r="AH111" s="6">
        <f t="shared" si="35"/>
        <v>604</v>
      </c>
    </row>
    <row r="112" spans="2:34" x14ac:dyDescent="0.25">
      <c r="H112" s="7">
        <v>119</v>
      </c>
      <c r="I112" s="7" t="s">
        <v>11</v>
      </c>
      <c r="J112" s="8">
        <v>38859</v>
      </c>
      <c r="K112" s="12" t="s">
        <v>16</v>
      </c>
      <c r="L112" s="9">
        <v>20</v>
      </c>
      <c r="M112" s="10">
        <v>62.366566165716954</v>
      </c>
      <c r="N112" s="7" t="s">
        <v>24</v>
      </c>
      <c r="P112" s="29" t="str">
        <f t="shared" si="18"/>
        <v/>
      </c>
      <c r="Q112" s="29" t="str">
        <f t="shared" si="19"/>
        <v/>
      </c>
      <c r="R112" s="29" t="str">
        <f t="shared" si="20"/>
        <v/>
      </c>
      <c r="S112" s="29" t="str">
        <f t="shared" si="21"/>
        <v/>
      </c>
      <c r="T112" s="32" t="str">
        <f t="shared" si="22"/>
        <v/>
      </c>
      <c r="U112" s="32" t="str">
        <f t="shared" si="25"/>
        <v/>
      </c>
      <c r="V112" s="32">
        <f t="shared" si="26"/>
        <v>1</v>
      </c>
      <c r="W112" s="41">
        <f t="shared" si="23"/>
        <v>3.1183283082858475</v>
      </c>
      <c r="X112" s="6">
        <f t="shared" si="24"/>
        <v>0</v>
      </c>
      <c r="Y112" s="7">
        <f t="shared" si="27"/>
        <v>567</v>
      </c>
      <c r="AA112" s="7">
        <f t="shared" si="28"/>
        <v>0</v>
      </c>
      <c r="AB112" s="7" t="str">
        <f t="shared" si="29"/>
        <v/>
      </c>
      <c r="AC112" s="7">
        <f t="shared" si="30"/>
        <v>0</v>
      </c>
      <c r="AD112" s="7" t="str">
        <f t="shared" si="31"/>
        <v/>
      </c>
      <c r="AE112" s="6">
        <f t="shared" si="32"/>
        <v>0</v>
      </c>
      <c r="AF112" s="69">
        <f t="shared" si="33"/>
        <v>3.1183283082858475</v>
      </c>
      <c r="AG112" s="6">
        <f t="shared" si="34"/>
        <v>0</v>
      </c>
      <c r="AH112" s="6">
        <f t="shared" si="35"/>
        <v>604</v>
      </c>
    </row>
    <row r="113" spans="8:34" x14ac:dyDescent="0.25">
      <c r="H113" s="7">
        <v>120</v>
      </c>
      <c r="I113" s="7" t="s">
        <v>8</v>
      </c>
      <c r="J113" s="8">
        <v>38650</v>
      </c>
      <c r="K113" s="12" t="s">
        <v>20</v>
      </c>
      <c r="L113" s="9">
        <v>61</v>
      </c>
      <c r="M113" s="10">
        <v>184.56247310465258</v>
      </c>
      <c r="N113" s="7" t="s">
        <v>21</v>
      </c>
      <c r="P113" s="29" t="str">
        <f t="shared" si="18"/>
        <v/>
      </c>
      <c r="Q113" s="29" t="str">
        <f t="shared" si="19"/>
        <v/>
      </c>
      <c r="R113" s="29" t="str">
        <f t="shared" si="20"/>
        <v/>
      </c>
      <c r="S113" s="29" t="str">
        <f t="shared" si="21"/>
        <v/>
      </c>
      <c r="T113" s="32">
        <f t="shared" si="22"/>
        <v>1</v>
      </c>
      <c r="U113" s="32">
        <f t="shared" si="25"/>
        <v>1</v>
      </c>
      <c r="V113" s="32" t="str">
        <f t="shared" si="26"/>
        <v/>
      </c>
      <c r="W113" s="41">
        <f t="shared" si="23"/>
        <v>3.025614313191026</v>
      </c>
      <c r="X113" s="6">
        <f t="shared" si="24"/>
        <v>184.56247310465258</v>
      </c>
      <c r="Y113" s="7">
        <f t="shared" si="27"/>
        <v>200</v>
      </c>
      <c r="AA113" s="7">
        <f t="shared" si="28"/>
        <v>0</v>
      </c>
      <c r="AB113" s="7" t="str">
        <f t="shared" si="29"/>
        <v/>
      </c>
      <c r="AC113" s="7">
        <f t="shared" si="30"/>
        <v>1</v>
      </c>
      <c r="AD113" s="7">
        <f t="shared" si="31"/>
        <v>61</v>
      </c>
      <c r="AE113" s="6">
        <f t="shared" si="32"/>
        <v>0</v>
      </c>
      <c r="AF113" s="69">
        <f t="shared" si="33"/>
        <v>3.025614313191026</v>
      </c>
      <c r="AG113" s="6">
        <f t="shared" si="34"/>
        <v>0</v>
      </c>
      <c r="AH113" s="6">
        <f t="shared" si="35"/>
        <v>604</v>
      </c>
    </row>
    <row r="114" spans="8:34" x14ac:dyDescent="0.25">
      <c r="H114" s="7">
        <v>121</v>
      </c>
      <c r="I114" s="7" t="s">
        <v>10</v>
      </c>
      <c r="J114" s="8">
        <v>38782</v>
      </c>
      <c r="K114" s="12" t="s">
        <v>18</v>
      </c>
      <c r="L114" s="9">
        <v>30</v>
      </c>
      <c r="M114" s="10">
        <v>92.434422469644105</v>
      </c>
      <c r="N114" s="7" t="s">
        <v>21</v>
      </c>
      <c r="P114" s="29" t="str">
        <f t="shared" si="18"/>
        <v/>
      </c>
      <c r="Q114" s="29" t="str">
        <f t="shared" si="19"/>
        <v/>
      </c>
      <c r="R114" s="29" t="str">
        <f t="shared" si="20"/>
        <v/>
      </c>
      <c r="S114" s="29" t="str">
        <f t="shared" si="21"/>
        <v/>
      </c>
      <c r="T114" s="32" t="str">
        <f t="shared" si="22"/>
        <v/>
      </c>
      <c r="U114" s="32" t="str">
        <f t="shared" si="25"/>
        <v/>
      </c>
      <c r="V114" s="32">
        <f t="shared" si="26"/>
        <v>1</v>
      </c>
      <c r="W114" s="41">
        <f t="shared" si="23"/>
        <v>3.0811474156548035</v>
      </c>
      <c r="X114" s="6">
        <f t="shared" si="24"/>
        <v>0</v>
      </c>
      <c r="Y114" s="7">
        <f t="shared" si="27"/>
        <v>567</v>
      </c>
      <c r="AA114" s="7">
        <f t="shared" si="28"/>
        <v>0</v>
      </c>
      <c r="AB114" s="7" t="str">
        <f t="shared" si="29"/>
        <v/>
      </c>
      <c r="AC114" s="7">
        <f t="shared" si="30"/>
        <v>0</v>
      </c>
      <c r="AD114" s="7" t="str">
        <f t="shared" si="31"/>
        <v/>
      </c>
      <c r="AE114" s="6">
        <f t="shared" si="32"/>
        <v>0</v>
      </c>
      <c r="AF114" s="69">
        <f t="shared" si="33"/>
        <v>3.0811474156548035</v>
      </c>
      <c r="AG114" s="6">
        <f t="shared" si="34"/>
        <v>0</v>
      </c>
      <c r="AH114" s="6">
        <f t="shared" si="35"/>
        <v>604</v>
      </c>
    </row>
    <row r="115" spans="8:34" x14ac:dyDescent="0.25">
      <c r="H115" s="7">
        <v>122</v>
      </c>
      <c r="I115" s="7" t="s">
        <v>14</v>
      </c>
      <c r="J115" s="8">
        <v>38925</v>
      </c>
      <c r="K115" s="12" t="s">
        <v>20</v>
      </c>
      <c r="L115" s="9">
        <v>10</v>
      </c>
      <c r="M115" s="10">
        <v>32.298727574185413</v>
      </c>
      <c r="N115" s="7" t="s">
        <v>23</v>
      </c>
      <c r="P115" s="29" t="str">
        <f t="shared" si="18"/>
        <v/>
      </c>
      <c r="Q115" s="29" t="str">
        <f t="shared" si="19"/>
        <v/>
      </c>
      <c r="R115" s="29" t="str">
        <f t="shared" si="20"/>
        <v/>
      </c>
      <c r="S115" s="29" t="str">
        <f t="shared" si="21"/>
        <v/>
      </c>
      <c r="T115" s="32" t="str">
        <f t="shared" si="22"/>
        <v/>
      </c>
      <c r="U115" s="32" t="str">
        <f t="shared" si="25"/>
        <v/>
      </c>
      <c r="V115" s="32">
        <f t="shared" si="26"/>
        <v>1</v>
      </c>
      <c r="W115" s="41">
        <f t="shared" si="23"/>
        <v>3.2298727574185415</v>
      </c>
      <c r="X115" s="6">
        <f t="shared" si="24"/>
        <v>0</v>
      </c>
      <c r="Y115" s="7">
        <f t="shared" si="27"/>
        <v>567</v>
      </c>
      <c r="AA115" s="7">
        <f t="shared" si="28"/>
        <v>0</v>
      </c>
      <c r="AB115" s="7" t="str">
        <f t="shared" si="29"/>
        <v/>
      </c>
      <c r="AC115" s="7">
        <f t="shared" si="30"/>
        <v>0</v>
      </c>
      <c r="AD115" s="7" t="str">
        <f t="shared" si="31"/>
        <v/>
      </c>
      <c r="AE115" s="6">
        <f t="shared" si="32"/>
        <v>0</v>
      </c>
      <c r="AF115" s="69">
        <f t="shared" si="33"/>
        <v>3.2298727574185415</v>
      </c>
      <c r="AG115" s="6">
        <f t="shared" si="34"/>
        <v>0</v>
      </c>
      <c r="AH115" s="6">
        <f t="shared" si="35"/>
        <v>604</v>
      </c>
    </row>
    <row r="116" spans="8:34" x14ac:dyDescent="0.25">
      <c r="H116" s="7">
        <v>123</v>
      </c>
      <c r="I116" s="7" t="s">
        <v>10</v>
      </c>
      <c r="J116" s="8">
        <v>38837</v>
      </c>
      <c r="K116" s="12" t="s">
        <v>16</v>
      </c>
      <c r="L116" s="9">
        <v>72</v>
      </c>
      <c r="M116" s="10">
        <v>217.45289850686984</v>
      </c>
      <c r="N116" s="7" t="s">
        <v>21</v>
      </c>
      <c r="P116" s="29" t="str">
        <f t="shared" si="18"/>
        <v/>
      </c>
      <c r="Q116" s="29" t="str">
        <f t="shared" si="19"/>
        <v/>
      </c>
      <c r="R116" s="29" t="str">
        <f t="shared" si="20"/>
        <v/>
      </c>
      <c r="S116" s="29" t="str">
        <f t="shared" si="21"/>
        <v/>
      </c>
      <c r="T116" s="32" t="str">
        <f t="shared" si="22"/>
        <v/>
      </c>
      <c r="U116" s="32" t="str">
        <f t="shared" si="25"/>
        <v/>
      </c>
      <c r="V116" s="32">
        <f t="shared" si="26"/>
        <v>1</v>
      </c>
      <c r="W116" s="41">
        <f t="shared" si="23"/>
        <v>3.0201791459287479</v>
      </c>
      <c r="X116" s="6">
        <f t="shared" si="24"/>
        <v>0</v>
      </c>
      <c r="Y116" s="7">
        <f t="shared" si="27"/>
        <v>567</v>
      </c>
      <c r="AA116" s="7">
        <f t="shared" si="28"/>
        <v>0</v>
      </c>
      <c r="AB116" s="7" t="str">
        <f t="shared" si="29"/>
        <v/>
      </c>
      <c r="AC116" s="7">
        <f t="shared" si="30"/>
        <v>0</v>
      </c>
      <c r="AD116" s="7" t="str">
        <f t="shared" si="31"/>
        <v/>
      </c>
      <c r="AE116" s="6">
        <f t="shared" si="32"/>
        <v>0</v>
      </c>
      <c r="AF116" s="69">
        <f t="shared" si="33"/>
        <v>3.0201791459287479</v>
      </c>
      <c r="AG116" s="6">
        <f t="shared" si="34"/>
        <v>0</v>
      </c>
      <c r="AH116" s="6">
        <f t="shared" si="35"/>
        <v>604</v>
      </c>
    </row>
    <row r="117" spans="8:34" x14ac:dyDescent="0.25">
      <c r="H117" s="7">
        <v>124</v>
      </c>
      <c r="I117" s="7" t="s">
        <v>9</v>
      </c>
      <c r="J117" s="8">
        <v>38727</v>
      </c>
      <c r="K117" s="12" t="s">
        <v>16</v>
      </c>
      <c r="L117" s="9">
        <v>57</v>
      </c>
      <c r="M117" s="10">
        <v>173.36376703616165</v>
      </c>
      <c r="N117" s="7" t="s">
        <v>23</v>
      </c>
      <c r="P117" s="29" t="str">
        <f t="shared" si="18"/>
        <v/>
      </c>
      <c r="Q117" s="29" t="str">
        <f t="shared" si="19"/>
        <v/>
      </c>
      <c r="R117" s="29" t="str">
        <f t="shared" si="20"/>
        <v/>
      </c>
      <c r="S117" s="29" t="str">
        <f t="shared" si="21"/>
        <v/>
      </c>
      <c r="T117" s="32" t="str">
        <f t="shared" si="22"/>
        <v/>
      </c>
      <c r="U117" s="32" t="str">
        <f t="shared" si="25"/>
        <v/>
      </c>
      <c r="V117" s="32">
        <f t="shared" si="26"/>
        <v>1</v>
      </c>
      <c r="W117" s="41">
        <f t="shared" si="23"/>
        <v>3.0414695971256429</v>
      </c>
      <c r="X117" s="6">
        <f t="shared" si="24"/>
        <v>0</v>
      </c>
      <c r="Y117" s="7">
        <f t="shared" si="27"/>
        <v>567</v>
      </c>
      <c r="AA117" s="7">
        <f t="shared" si="28"/>
        <v>0</v>
      </c>
      <c r="AB117" s="7" t="str">
        <f t="shared" si="29"/>
        <v/>
      </c>
      <c r="AC117" s="7">
        <f t="shared" si="30"/>
        <v>0</v>
      </c>
      <c r="AD117" s="7" t="str">
        <f t="shared" si="31"/>
        <v/>
      </c>
      <c r="AE117" s="6">
        <f t="shared" si="32"/>
        <v>0</v>
      </c>
      <c r="AF117" s="69">
        <f t="shared" si="33"/>
        <v>3.0414695971256429</v>
      </c>
      <c r="AG117" s="6">
        <f t="shared" si="34"/>
        <v>0</v>
      </c>
      <c r="AH117" s="6">
        <f t="shared" si="35"/>
        <v>604</v>
      </c>
    </row>
    <row r="118" spans="8:34" x14ac:dyDescent="0.25">
      <c r="H118" s="7">
        <v>125</v>
      </c>
      <c r="I118" s="7" t="s">
        <v>8</v>
      </c>
      <c r="J118" s="8">
        <v>38672</v>
      </c>
      <c r="K118" s="12" t="s">
        <v>17</v>
      </c>
      <c r="L118" s="9">
        <v>41</v>
      </c>
      <c r="M118" s="10">
        <v>124.3880808412182</v>
      </c>
      <c r="N118" s="7" t="s">
        <v>22</v>
      </c>
      <c r="P118" s="29" t="str">
        <f t="shared" si="18"/>
        <v/>
      </c>
      <c r="Q118" s="29" t="str">
        <f t="shared" si="19"/>
        <v/>
      </c>
      <c r="R118" s="29" t="str">
        <f t="shared" si="20"/>
        <v/>
      </c>
      <c r="S118" s="29" t="str">
        <f t="shared" si="21"/>
        <v/>
      </c>
      <c r="T118" s="32">
        <f t="shared" si="22"/>
        <v>1</v>
      </c>
      <c r="U118" s="32">
        <f t="shared" si="25"/>
        <v>1</v>
      </c>
      <c r="V118" s="32" t="str">
        <f t="shared" si="26"/>
        <v/>
      </c>
      <c r="W118" s="41">
        <f t="shared" si="23"/>
        <v>3.0338556302736146</v>
      </c>
      <c r="X118" s="6">
        <f t="shared" si="24"/>
        <v>124.3880808412182</v>
      </c>
      <c r="Y118" s="7">
        <f t="shared" si="27"/>
        <v>312</v>
      </c>
      <c r="AA118" s="7">
        <f t="shared" si="28"/>
        <v>0</v>
      </c>
      <c r="AB118" s="7" t="str">
        <f t="shared" si="29"/>
        <v/>
      </c>
      <c r="AC118" s="7">
        <f t="shared" si="30"/>
        <v>1</v>
      </c>
      <c r="AD118" s="7">
        <f t="shared" si="31"/>
        <v>41</v>
      </c>
      <c r="AE118" s="6">
        <f t="shared" si="32"/>
        <v>0</v>
      </c>
      <c r="AF118" s="69">
        <f t="shared" si="33"/>
        <v>3.0338556302736146</v>
      </c>
      <c r="AG118" s="6">
        <f t="shared" si="34"/>
        <v>0</v>
      </c>
      <c r="AH118" s="6">
        <f t="shared" si="35"/>
        <v>604</v>
      </c>
    </row>
    <row r="119" spans="8:34" x14ac:dyDescent="0.25">
      <c r="H119" s="7">
        <v>126</v>
      </c>
      <c r="I119" s="7" t="s">
        <v>10</v>
      </c>
      <c r="J119" s="8">
        <v>38100</v>
      </c>
      <c r="K119" s="12" t="s">
        <v>16</v>
      </c>
      <c r="L119" s="9">
        <v>54</v>
      </c>
      <c r="M119" s="10">
        <v>163.7455521062605</v>
      </c>
      <c r="N119" s="7" t="s">
        <v>23</v>
      </c>
      <c r="P119" s="29" t="str">
        <f t="shared" si="18"/>
        <v/>
      </c>
      <c r="Q119" s="29">
        <f t="shared" si="19"/>
        <v>1</v>
      </c>
      <c r="R119" s="29" t="str">
        <f t="shared" si="20"/>
        <v/>
      </c>
      <c r="S119" s="29" t="str">
        <f t="shared" si="21"/>
        <v/>
      </c>
      <c r="T119" s="32" t="str">
        <f t="shared" si="22"/>
        <v/>
      </c>
      <c r="U119" s="32" t="str">
        <f t="shared" si="25"/>
        <v/>
      </c>
      <c r="V119" s="32" t="str">
        <f t="shared" si="26"/>
        <v/>
      </c>
      <c r="W119" s="41">
        <f t="shared" si="23"/>
        <v>3.032325039004824</v>
      </c>
      <c r="X119" s="6">
        <f t="shared" si="24"/>
        <v>0</v>
      </c>
      <c r="Y119" s="7">
        <f t="shared" si="27"/>
        <v>567</v>
      </c>
      <c r="AA119" s="7">
        <f t="shared" si="28"/>
        <v>0</v>
      </c>
      <c r="AB119" s="7" t="str">
        <f t="shared" si="29"/>
        <v/>
      </c>
      <c r="AC119" s="7">
        <f t="shared" si="30"/>
        <v>0</v>
      </c>
      <c r="AD119" s="7" t="str">
        <f t="shared" si="31"/>
        <v/>
      </c>
      <c r="AE119" s="6">
        <f t="shared" si="32"/>
        <v>0</v>
      </c>
      <c r="AF119" s="69">
        <f t="shared" si="33"/>
        <v>3.032325039004824</v>
      </c>
      <c r="AG119" s="6">
        <f t="shared" si="34"/>
        <v>163.7455521062605</v>
      </c>
      <c r="AH119" s="6">
        <f t="shared" si="35"/>
        <v>256</v>
      </c>
    </row>
    <row r="120" spans="8:34" x14ac:dyDescent="0.25">
      <c r="H120" s="7">
        <v>127</v>
      </c>
      <c r="I120" s="7" t="s">
        <v>13</v>
      </c>
      <c r="J120" s="8">
        <v>38540</v>
      </c>
      <c r="K120" s="12" t="s">
        <v>19</v>
      </c>
      <c r="L120" s="9">
        <v>9</v>
      </c>
      <c r="M120" s="10">
        <v>29.259949674062039</v>
      </c>
      <c r="N120" s="7" t="s">
        <v>22</v>
      </c>
      <c r="P120" s="29" t="str">
        <f t="shared" si="18"/>
        <v/>
      </c>
      <c r="Q120" s="29" t="str">
        <f t="shared" si="19"/>
        <v/>
      </c>
      <c r="R120" s="29" t="str">
        <f t="shared" si="20"/>
        <v/>
      </c>
      <c r="S120" s="29" t="str">
        <f t="shared" si="21"/>
        <v/>
      </c>
      <c r="T120" s="32" t="str">
        <f t="shared" si="22"/>
        <v/>
      </c>
      <c r="U120" s="32">
        <f t="shared" si="25"/>
        <v>1</v>
      </c>
      <c r="V120" s="32" t="str">
        <f t="shared" si="26"/>
        <v/>
      </c>
      <c r="W120" s="41">
        <f t="shared" si="23"/>
        <v>3.2511055193402267</v>
      </c>
      <c r="X120" s="6">
        <f t="shared" si="24"/>
        <v>29.259949674062039</v>
      </c>
      <c r="Y120" s="7">
        <f t="shared" si="27"/>
        <v>503</v>
      </c>
      <c r="AA120" s="7">
        <f t="shared" si="28"/>
        <v>1</v>
      </c>
      <c r="AB120" s="7">
        <f t="shared" si="29"/>
        <v>9</v>
      </c>
      <c r="AC120" s="7">
        <f t="shared" si="30"/>
        <v>0</v>
      </c>
      <c r="AD120" s="7" t="str">
        <f t="shared" si="31"/>
        <v/>
      </c>
      <c r="AE120" s="6">
        <f t="shared" si="32"/>
        <v>0</v>
      </c>
      <c r="AF120" s="69">
        <f t="shared" si="33"/>
        <v>3.2511055193402267</v>
      </c>
      <c r="AG120" s="6">
        <f t="shared" si="34"/>
        <v>0</v>
      </c>
      <c r="AH120" s="6">
        <f t="shared" si="35"/>
        <v>604</v>
      </c>
    </row>
    <row r="121" spans="8:34" x14ac:dyDescent="0.25">
      <c r="H121" s="7">
        <v>128</v>
      </c>
      <c r="I121" s="7" t="s">
        <v>15</v>
      </c>
      <c r="J121" s="8">
        <v>38485</v>
      </c>
      <c r="K121" s="12" t="s">
        <v>17</v>
      </c>
      <c r="L121" s="9">
        <v>1</v>
      </c>
      <c r="M121" s="10">
        <v>5.0062586848309145</v>
      </c>
      <c r="N121" s="7" t="s">
        <v>21</v>
      </c>
      <c r="P121" s="29" t="str">
        <f t="shared" si="18"/>
        <v/>
      </c>
      <c r="Q121" s="29" t="str">
        <f t="shared" si="19"/>
        <v/>
      </c>
      <c r="R121" s="29" t="str">
        <f t="shared" si="20"/>
        <v/>
      </c>
      <c r="S121" s="29" t="str">
        <f t="shared" si="21"/>
        <v/>
      </c>
      <c r="T121" s="32" t="str">
        <f t="shared" si="22"/>
        <v/>
      </c>
      <c r="U121" s="32">
        <f t="shared" si="25"/>
        <v>1</v>
      </c>
      <c r="V121" s="32" t="str">
        <f t="shared" si="26"/>
        <v/>
      </c>
      <c r="W121" s="41">
        <f t="shared" si="23"/>
        <v>5.0062586848309145</v>
      </c>
      <c r="X121" s="6">
        <f t="shared" si="24"/>
        <v>5.0062586848309145</v>
      </c>
      <c r="Y121" s="7">
        <f t="shared" si="27"/>
        <v>557</v>
      </c>
      <c r="AA121" s="7">
        <f t="shared" si="28"/>
        <v>0</v>
      </c>
      <c r="AB121" s="7" t="str">
        <f t="shared" si="29"/>
        <v/>
      </c>
      <c r="AC121" s="7">
        <f t="shared" si="30"/>
        <v>1</v>
      </c>
      <c r="AD121" s="7">
        <f t="shared" si="31"/>
        <v>1</v>
      </c>
      <c r="AE121" s="6">
        <f t="shared" si="32"/>
        <v>0</v>
      </c>
      <c r="AF121" s="69">
        <f t="shared" si="33"/>
        <v>5.0062586848309145</v>
      </c>
      <c r="AG121" s="6">
        <f t="shared" si="34"/>
        <v>0</v>
      </c>
      <c r="AH121" s="6">
        <f t="shared" si="35"/>
        <v>604</v>
      </c>
    </row>
    <row r="122" spans="8:34" x14ac:dyDescent="0.25">
      <c r="H122" s="7">
        <v>129</v>
      </c>
      <c r="I122" s="7" t="s">
        <v>10</v>
      </c>
      <c r="J122" s="8">
        <v>38760</v>
      </c>
      <c r="K122" s="12" t="s">
        <v>20</v>
      </c>
      <c r="L122" s="9">
        <v>-10</v>
      </c>
      <c r="M122" s="10">
        <v>-28.888600496770302</v>
      </c>
      <c r="N122" s="7" t="s">
        <v>23</v>
      </c>
      <c r="P122" s="29" t="str">
        <f t="shared" si="18"/>
        <v/>
      </c>
      <c r="Q122" s="29" t="str">
        <f t="shared" si="19"/>
        <v/>
      </c>
      <c r="R122" s="29" t="str">
        <f t="shared" si="20"/>
        <v/>
      </c>
      <c r="S122" s="29" t="str">
        <f t="shared" si="21"/>
        <v/>
      </c>
      <c r="T122" s="32" t="str">
        <f t="shared" si="22"/>
        <v/>
      </c>
      <c r="U122" s="32" t="str">
        <f t="shared" si="25"/>
        <v/>
      </c>
      <c r="V122" s="32">
        <f t="shared" si="26"/>
        <v>1</v>
      </c>
      <c r="W122" s="41" t="str">
        <f t="shared" si="23"/>
        <v/>
      </c>
      <c r="X122" s="6">
        <f t="shared" si="24"/>
        <v>0</v>
      </c>
      <c r="Y122" s="7">
        <f t="shared" si="27"/>
        <v>567</v>
      </c>
      <c r="AA122" s="7">
        <f t="shared" si="28"/>
        <v>0</v>
      </c>
      <c r="AB122" s="7" t="str">
        <f t="shared" si="29"/>
        <v/>
      </c>
      <c r="AC122" s="7">
        <f t="shared" si="30"/>
        <v>0</v>
      </c>
      <c r="AD122" s="7" t="str">
        <f t="shared" si="31"/>
        <v/>
      </c>
      <c r="AE122" s="6">
        <f t="shared" si="32"/>
        <v>-10</v>
      </c>
      <c r="AF122" s="69" t="str">
        <f t="shared" si="33"/>
        <v/>
      </c>
      <c r="AG122" s="6">
        <f t="shared" si="34"/>
        <v>0</v>
      </c>
      <c r="AH122" s="6">
        <f t="shared" si="35"/>
        <v>604</v>
      </c>
    </row>
    <row r="123" spans="8:34" x14ac:dyDescent="0.25">
      <c r="H123" s="7">
        <v>130</v>
      </c>
      <c r="I123" s="7" t="s">
        <v>9</v>
      </c>
      <c r="J123" s="8">
        <v>39035</v>
      </c>
      <c r="K123" s="12" t="s">
        <v>18</v>
      </c>
      <c r="L123" s="9">
        <v>-9</v>
      </c>
      <c r="M123" s="10">
        <v>-25.059711277411697</v>
      </c>
      <c r="N123" s="7" t="s">
        <v>23</v>
      </c>
      <c r="P123" s="29" t="str">
        <f t="shared" si="18"/>
        <v/>
      </c>
      <c r="Q123" s="29" t="str">
        <f t="shared" si="19"/>
        <v/>
      </c>
      <c r="R123" s="29" t="str">
        <f t="shared" si="20"/>
        <v/>
      </c>
      <c r="S123" s="29" t="str">
        <f t="shared" si="21"/>
        <v/>
      </c>
      <c r="T123" s="32" t="str">
        <f t="shared" si="22"/>
        <v/>
      </c>
      <c r="U123" s="32" t="str">
        <f t="shared" si="25"/>
        <v/>
      </c>
      <c r="V123" s="32">
        <f t="shared" si="26"/>
        <v>1</v>
      </c>
      <c r="W123" s="41" t="str">
        <f t="shared" si="23"/>
        <v/>
      </c>
      <c r="X123" s="6">
        <f t="shared" si="24"/>
        <v>0</v>
      </c>
      <c r="Y123" s="7">
        <f t="shared" si="27"/>
        <v>567</v>
      </c>
      <c r="AA123" s="7">
        <f t="shared" si="28"/>
        <v>0</v>
      </c>
      <c r="AB123" s="7" t="str">
        <f t="shared" si="29"/>
        <v/>
      </c>
      <c r="AC123" s="7">
        <f t="shared" si="30"/>
        <v>0</v>
      </c>
      <c r="AD123" s="7" t="str">
        <f t="shared" si="31"/>
        <v/>
      </c>
      <c r="AE123" s="6">
        <f t="shared" si="32"/>
        <v>-9</v>
      </c>
      <c r="AF123" s="69" t="str">
        <f t="shared" si="33"/>
        <v/>
      </c>
      <c r="AG123" s="6">
        <f t="shared" si="34"/>
        <v>0</v>
      </c>
      <c r="AH123" s="6">
        <f t="shared" si="35"/>
        <v>604</v>
      </c>
    </row>
    <row r="124" spans="8:34" x14ac:dyDescent="0.25">
      <c r="H124" s="7">
        <v>131</v>
      </c>
      <c r="I124" s="7" t="s">
        <v>14</v>
      </c>
      <c r="J124" s="8">
        <v>38320</v>
      </c>
      <c r="K124" s="12" t="s">
        <v>20</v>
      </c>
      <c r="L124" s="9">
        <v>56</v>
      </c>
      <c r="M124" s="10">
        <v>168.8685012955201</v>
      </c>
      <c r="N124" s="7" t="s">
        <v>24</v>
      </c>
      <c r="P124" s="29" t="str">
        <f t="shared" si="18"/>
        <v/>
      </c>
      <c r="Q124" s="29" t="str">
        <f t="shared" si="19"/>
        <v/>
      </c>
      <c r="R124" s="29" t="str">
        <f t="shared" si="20"/>
        <v/>
      </c>
      <c r="S124" s="29">
        <f t="shared" si="21"/>
        <v>1</v>
      </c>
      <c r="T124" s="32" t="str">
        <f t="shared" si="22"/>
        <v/>
      </c>
      <c r="U124" s="32" t="str">
        <f t="shared" si="25"/>
        <v/>
      </c>
      <c r="V124" s="32" t="str">
        <f t="shared" si="26"/>
        <v/>
      </c>
      <c r="W124" s="41">
        <f t="shared" si="23"/>
        <v>3.0155089517057161</v>
      </c>
      <c r="X124" s="6">
        <f t="shared" si="24"/>
        <v>0</v>
      </c>
      <c r="Y124" s="7">
        <f t="shared" si="27"/>
        <v>567</v>
      </c>
      <c r="AA124" s="7">
        <f t="shared" si="28"/>
        <v>0</v>
      </c>
      <c r="AB124" s="7" t="str">
        <f t="shared" si="29"/>
        <v/>
      </c>
      <c r="AC124" s="7">
        <f t="shared" si="30"/>
        <v>0</v>
      </c>
      <c r="AD124" s="7" t="str">
        <f t="shared" si="31"/>
        <v/>
      </c>
      <c r="AE124" s="6">
        <f t="shared" si="32"/>
        <v>0</v>
      </c>
      <c r="AF124" s="69">
        <f t="shared" si="33"/>
        <v>3.0155089517057161</v>
      </c>
      <c r="AG124" s="6">
        <f t="shared" si="34"/>
        <v>168.8685012955201</v>
      </c>
      <c r="AH124" s="6">
        <f t="shared" si="35"/>
        <v>242</v>
      </c>
    </row>
    <row r="125" spans="8:34" x14ac:dyDescent="0.25">
      <c r="H125" s="7">
        <v>132</v>
      </c>
      <c r="I125" s="7" t="s">
        <v>15</v>
      </c>
      <c r="J125" s="8">
        <v>38067</v>
      </c>
      <c r="K125" s="12" t="s">
        <v>19</v>
      </c>
      <c r="L125" s="9">
        <v>28</v>
      </c>
      <c r="M125" s="10">
        <v>85.600623651403808</v>
      </c>
      <c r="N125" s="7" t="s">
        <v>22</v>
      </c>
      <c r="P125" s="29">
        <f t="shared" si="18"/>
        <v>1</v>
      </c>
      <c r="Q125" s="29" t="str">
        <f t="shared" si="19"/>
        <v/>
      </c>
      <c r="R125" s="29" t="str">
        <f t="shared" si="20"/>
        <v/>
      </c>
      <c r="S125" s="29" t="str">
        <f t="shared" si="21"/>
        <v/>
      </c>
      <c r="T125" s="32" t="str">
        <f t="shared" si="22"/>
        <v/>
      </c>
      <c r="U125" s="32" t="str">
        <f t="shared" si="25"/>
        <v/>
      </c>
      <c r="V125" s="32" t="str">
        <f t="shared" si="26"/>
        <v/>
      </c>
      <c r="W125" s="41">
        <f t="shared" si="23"/>
        <v>3.0571651304072787</v>
      </c>
      <c r="X125" s="6">
        <f t="shared" si="24"/>
        <v>0</v>
      </c>
      <c r="Y125" s="7">
        <f t="shared" si="27"/>
        <v>567</v>
      </c>
      <c r="AA125" s="7">
        <f t="shared" si="28"/>
        <v>0</v>
      </c>
      <c r="AB125" s="7" t="str">
        <f t="shared" si="29"/>
        <v/>
      </c>
      <c r="AC125" s="7">
        <f t="shared" si="30"/>
        <v>0</v>
      </c>
      <c r="AD125" s="7" t="str">
        <f t="shared" si="31"/>
        <v/>
      </c>
      <c r="AE125" s="6">
        <f t="shared" si="32"/>
        <v>0</v>
      </c>
      <c r="AF125" s="69">
        <f t="shared" si="33"/>
        <v>3.0571651304072787</v>
      </c>
      <c r="AG125" s="6">
        <f t="shared" si="34"/>
        <v>85.600623651403808</v>
      </c>
      <c r="AH125" s="6">
        <f t="shared" si="35"/>
        <v>412</v>
      </c>
    </row>
    <row r="126" spans="8:34" x14ac:dyDescent="0.25">
      <c r="H126" s="7">
        <v>133</v>
      </c>
      <c r="I126" s="7" t="s">
        <v>7</v>
      </c>
      <c r="J126" s="8">
        <v>38177</v>
      </c>
      <c r="K126" s="12" t="s">
        <v>20</v>
      </c>
      <c r="L126" s="9">
        <v>11</v>
      </c>
      <c r="M126" s="10">
        <v>34.417378586902672</v>
      </c>
      <c r="N126" s="7" t="s">
        <v>24</v>
      </c>
      <c r="P126" s="29" t="str">
        <f t="shared" si="18"/>
        <v/>
      </c>
      <c r="Q126" s="29" t="str">
        <f t="shared" si="19"/>
        <v/>
      </c>
      <c r="R126" s="29">
        <f t="shared" si="20"/>
        <v>1</v>
      </c>
      <c r="S126" s="29" t="str">
        <f t="shared" si="21"/>
        <v/>
      </c>
      <c r="T126" s="32" t="str">
        <f t="shared" si="22"/>
        <v/>
      </c>
      <c r="U126" s="32" t="str">
        <f t="shared" si="25"/>
        <v/>
      </c>
      <c r="V126" s="32" t="str">
        <f t="shared" si="26"/>
        <v/>
      </c>
      <c r="W126" s="41">
        <f t="shared" si="23"/>
        <v>3.1288525988093339</v>
      </c>
      <c r="X126" s="6">
        <f t="shared" si="24"/>
        <v>0</v>
      </c>
      <c r="Y126" s="7">
        <f t="shared" si="27"/>
        <v>567</v>
      </c>
      <c r="AA126" s="7">
        <f t="shared" si="28"/>
        <v>0</v>
      </c>
      <c r="AB126" s="7" t="str">
        <f t="shared" si="29"/>
        <v/>
      </c>
      <c r="AC126" s="7">
        <f t="shared" si="30"/>
        <v>0</v>
      </c>
      <c r="AD126" s="7" t="str">
        <f t="shared" si="31"/>
        <v/>
      </c>
      <c r="AE126" s="6">
        <f t="shared" si="32"/>
        <v>0</v>
      </c>
      <c r="AF126" s="69">
        <f t="shared" si="33"/>
        <v>3.1288525988093339</v>
      </c>
      <c r="AG126" s="6">
        <f t="shared" si="34"/>
        <v>34.417378586902672</v>
      </c>
      <c r="AH126" s="6">
        <f t="shared" si="35"/>
        <v>523</v>
      </c>
    </row>
    <row r="127" spans="8:34" x14ac:dyDescent="0.25">
      <c r="H127" s="7">
        <v>134</v>
      </c>
      <c r="I127" s="7" t="s">
        <v>12</v>
      </c>
      <c r="J127" s="8">
        <v>39068</v>
      </c>
      <c r="K127" s="12" t="s">
        <v>17</v>
      </c>
      <c r="L127" s="9">
        <v>11</v>
      </c>
      <c r="M127" s="10">
        <v>34.910086692815099</v>
      </c>
      <c r="N127" s="7" t="s">
        <v>21</v>
      </c>
      <c r="P127" s="29" t="str">
        <f t="shared" si="18"/>
        <v/>
      </c>
      <c r="Q127" s="29" t="str">
        <f t="shared" si="19"/>
        <v/>
      </c>
      <c r="R127" s="29" t="str">
        <f t="shared" si="20"/>
        <v/>
      </c>
      <c r="S127" s="29" t="str">
        <f t="shared" si="21"/>
        <v/>
      </c>
      <c r="T127" s="32" t="str">
        <f t="shared" si="22"/>
        <v/>
      </c>
      <c r="U127" s="32" t="str">
        <f t="shared" si="25"/>
        <v/>
      </c>
      <c r="V127" s="32">
        <f t="shared" si="26"/>
        <v>1</v>
      </c>
      <c r="W127" s="41">
        <f t="shared" si="23"/>
        <v>3.1736442448013729</v>
      </c>
      <c r="X127" s="6">
        <f t="shared" si="24"/>
        <v>0</v>
      </c>
      <c r="Y127" s="7">
        <f t="shared" si="27"/>
        <v>567</v>
      </c>
      <c r="AA127" s="7">
        <f t="shared" si="28"/>
        <v>0</v>
      </c>
      <c r="AB127" s="7" t="str">
        <f t="shared" si="29"/>
        <v/>
      </c>
      <c r="AC127" s="7">
        <f t="shared" si="30"/>
        <v>0</v>
      </c>
      <c r="AD127" s="7" t="str">
        <f t="shared" si="31"/>
        <v/>
      </c>
      <c r="AE127" s="6">
        <f t="shared" si="32"/>
        <v>0</v>
      </c>
      <c r="AF127" s="69">
        <f t="shared" si="33"/>
        <v>3.1736442448013729</v>
      </c>
      <c r="AG127" s="6">
        <f t="shared" si="34"/>
        <v>0</v>
      </c>
      <c r="AH127" s="6">
        <f t="shared" si="35"/>
        <v>604</v>
      </c>
    </row>
    <row r="128" spans="8:34" x14ac:dyDescent="0.25">
      <c r="H128" s="7">
        <v>135</v>
      </c>
      <c r="I128" s="7" t="s">
        <v>12</v>
      </c>
      <c r="J128" s="8">
        <v>38397</v>
      </c>
      <c r="K128" s="12" t="s">
        <v>16</v>
      </c>
      <c r="L128" s="9">
        <v>67</v>
      </c>
      <c r="M128" s="10">
        <v>202.86608183653496</v>
      </c>
      <c r="N128" s="7" t="s">
        <v>23</v>
      </c>
      <c r="P128" s="29" t="str">
        <f t="shared" si="18"/>
        <v/>
      </c>
      <c r="Q128" s="29" t="str">
        <f t="shared" si="19"/>
        <v/>
      </c>
      <c r="R128" s="29" t="str">
        <f t="shared" si="20"/>
        <v/>
      </c>
      <c r="S128" s="29" t="str">
        <f t="shared" si="21"/>
        <v/>
      </c>
      <c r="T128" s="32" t="str">
        <f t="shared" si="22"/>
        <v/>
      </c>
      <c r="U128" s="32">
        <f t="shared" si="25"/>
        <v>1</v>
      </c>
      <c r="V128" s="32" t="str">
        <f t="shared" si="26"/>
        <v/>
      </c>
      <c r="W128" s="41">
        <f t="shared" si="23"/>
        <v>3.0278519677094771</v>
      </c>
      <c r="X128" s="6">
        <f t="shared" si="24"/>
        <v>202.86608183653496</v>
      </c>
      <c r="Y128" s="7">
        <f t="shared" si="27"/>
        <v>175</v>
      </c>
      <c r="AA128" s="7">
        <f t="shared" si="28"/>
        <v>1</v>
      </c>
      <c r="AB128" s="7">
        <f t="shared" si="29"/>
        <v>67</v>
      </c>
      <c r="AC128" s="7">
        <f t="shared" si="30"/>
        <v>0</v>
      </c>
      <c r="AD128" s="7" t="str">
        <f t="shared" si="31"/>
        <v/>
      </c>
      <c r="AE128" s="6">
        <f t="shared" si="32"/>
        <v>0</v>
      </c>
      <c r="AF128" s="69">
        <f t="shared" si="33"/>
        <v>3.0278519677094771</v>
      </c>
      <c r="AG128" s="6">
        <f t="shared" si="34"/>
        <v>0</v>
      </c>
      <c r="AH128" s="6">
        <f t="shared" si="35"/>
        <v>604</v>
      </c>
    </row>
    <row r="129" spans="8:34" x14ac:dyDescent="0.25">
      <c r="H129" s="7">
        <v>136</v>
      </c>
      <c r="I129" s="7" t="s">
        <v>11</v>
      </c>
      <c r="J129" s="8">
        <v>38441</v>
      </c>
      <c r="K129" s="12" t="s">
        <v>17</v>
      </c>
      <c r="L129" s="9">
        <v>10</v>
      </c>
      <c r="M129" s="10">
        <v>31.43203475838104</v>
      </c>
      <c r="N129" s="7" t="s">
        <v>23</v>
      </c>
      <c r="P129" s="29" t="str">
        <f t="shared" si="18"/>
        <v/>
      </c>
      <c r="Q129" s="29" t="str">
        <f t="shared" si="19"/>
        <v/>
      </c>
      <c r="R129" s="29" t="str">
        <f t="shared" si="20"/>
        <v/>
      </c>
      <c r="S129" s="29" t="str">
        <f t="shared" si="21"/>
        <v/>
      </c>
      <c r="T129" s="32" t="str">
        <f t="shared" si="22"/>
        <v/>
      </c>
      <c r="U129" s="32">
        <f t="shared" si="25"/>
        <v>1</v>
      </c>
      <c r="V129" s="32" t="str">
        <f t="shared" si="26"/>
        <v/>
      </c>
      <c r="W129" s="41">
        <f t="shared" si="23"/>
        <v>3.1432034758381038</v>
      </c>
      <c r="X129" s="6">
        <f t="shared" si="24"/>
        <v>31.43203475838104</v>
      </c>
      <c r="Y129" s="7">
        <f t="shared" si="27"/>
        <v>499</v>
      </c>
      <c r="AA129" s="7">
        <f t="shared" si="28"/>
        <v>1</v>
      </c>
      <c r="AB129" s="7">
        <f t="shared" si="29"/>
        <v>10</v>
      </c>
      <c r="AC129" s="7">
        <f t="shared" si="30"/>
        <v>0</v>
      </c>
      <c r="AD129" s="7" t="str">
        <f t="shared" si="31"/>
        <v/>
      </c>
      <c r="AE129" s="6">
        <f t="shared" si="32"/>
        <v>0</v>
      </c>
      <c r="AF129" s="69">
        <f t="shared" si="33"/>
        <v>3.1432034758381038</v>
      </c>
      <c r="AG129" s="6">
        <f t="shared" si="34"/>
        <v>0</v>
      </c>
      <c r="AH129" s="6">
        <f t="shared" si="35"/>
        <v>604</v>
      </c>
    </row>
    <row r="130" spans="8:34" x14ac:dyDescent="0.25">
      <c r="H130" s="7">
        <v>137</v>
      </c>
      <c r="I130" s="7" t="s">
        <v>13</v>
      </c>
      <c r="J130" s="8">
        <v>38287</v>
      </c>
      <c r="K130" s="12" t="s">
        <v>18</v>
      </c>
      <c r="L130" s="9">
        <v>40</v>
      </c>
      <c r="M130" s="10">
        <v>121.94725640981379</v>
      </c>
      <c r="N130" s="7" t="s">
        <v>23</v>
      </c>
      <c r="P130" s="29" t="str">
        <f t="shared" si="18"/>
        <v/>
      </c>
      <c r="Q130" s="29" t="str">
        <f t="shared" si="19"/>
        <v/>
      </c>
      <c r="R130" s="29" t="str">
        <f t="shared" si="20"/>
        <v/>
      </c>
      <c r="S130" s="29">
        <f t="shared" si="21"/>
        <v>1</v>
      </c>
      <c r="T130" s="32" t="str">
        <f t="shared" si="22"/>
        <v/>
      </c>
      <c r="U130" s="32" t="str">
        <f t="shared" si="25"/>
        <v/>
      </c>
      <c r="V130" s="32" t="str">
        <f t="shared" si="26"/>
        <v/>
      </c>
      <c r="W130" s="41">
        <f t="shared" si="23"/>
        <v>3.0486814102453446</v>
      </c>
      <c r="X130" s="6">
        <f t="shared" si="24"/>
        <v>0</v>
      </c>
      <c r="Y130" s="7">
        <f t="shared" si="27"/>
        <v>567</v>
      </c>
      <c r="AA130" s="7">
        <f t="shared" si="28"/>
        <v>0</v>
      </c>
      <c r="AB130" s="7" t="str">
        <f t="shared" si="29"/>
        <v/>
      </c>
      <c r="AC130" s="7">
        <f t="shared" si="30"/>
        <v>0</v>
      </c>
      <c r="AD130" s="7" t="str">
        <f t="shared" si="31"/>
        <v/>
      </c>
      <c r="AE130" s="6">
        <f t="shared" si="32"/>
        <v>0</v>
      </c>
      <c r="AF130" s="69">
        <f t="shared" si="33"/>
        <v>3.0486814102453446</v>
      </c>
      <c r="AG130" s="6">
        <f t="shared" si="34"/>
        <v>121.94725640981379</v>
      </c>
      <c r="AH130" s="6">
        <f t="shared" si="35"/>
        <v>330</v>
      </c>
    </row>
    <row r="131" spans="8:34" x14ac:dyDescent="0.25">
      <c r="H131" s="7">
        <v>138</v>
      </c>
      <c r="I131" s="7" t="s">
        <v>11</v>
      </c>
      <c r="J131" s="8">
        <v>38540</v>
      </c>
      <c r="K131" s="12" t="s">
        <v>20</v>
      </c>
      <c r="L131" s="9">
        <v>77</v>
      </c>
      <c r="M131" s="10">
        <v>233.07983567827679</v>
      </c>
      <c r="N131" s="7" t="s">
        <v>23</v>
      </c>
      <c r="P131" s="29" t="str">
        <f t="shared" ref="P131:P194" si="36">IF(AND((MONTH(J131))&lt;4,YEAR(J131)=2004),1,"")</f>
        <v/>
      </c>
      <c r="Q131" s="29" t="str">
        <f t="shared" ref="Q131:Q194" si="37">IF(AND(3&lt;(MONTH(J131)),(MONTH(J131)&lt;7),YEAR(J131)=2004),1,"")</f>
        <v/>
      </c>
      <c r="R131" s="29" t="str">
        <f t="shared" ref="R131:R194" si="38">IF(AND(6&lt;(MONTH(J131)),(MONTH(J131)&lt;10),YEAR(J131)=2004),1,"")</f>
        <v/>
      </c>
      <c r="S131" s="29" t="str">
        <f t="shared" ref="S131:S194" si="39">IF(AND(9&lt;(MONTH(J131)),(MONTH(J131)&lt;13),YEAR(J131)=2004),1,"")</f>
        <v/>
      </c>
      <c r="T131" s="32" t="str">
        <f t="shared" ref="T131:T194" si="40">IF(AND((9&lt;MONTH(J131)),YEAR(J131)=2005),1,"")</f>
        <v/>
      </c>
      <c r="U131" s="32">
        <f t="shared" si="25"/>
        <v>1</v>
      </c>
      <c r="V131" s="32" t="str">
        <f t="shared" si="26"/>
        <v/>
      </c>
      <c r="W131" s="41">
        <f t="shared" ref="W131:W194" si="41">IF(L131&gt;0,M131/L131,"")</f>
        <v>3.0270108529646338</v>
      </c>
      <c r="X131" s="6">
        <f t="shared" ref="X131:X194" si="42">IF(U131=1,M131,0)</f>
        <v>233.07983567827679</v>
      </c>
      <c r="Y131" s="7">
        <f t="shared" si="27"/>
        <v>118</v>
      </c>
      <c r="AA131" s="7">
        <f t="shared" si="28"/>
        <v>1</v>
      </c>
      <c r="AB131" s="7">
        <f t="shared" si="29"/>
        <v>77</v>
      </c>
      <c r="AC131" s="7">
        <f t="shared" si="30"/>
        <v>0</v>
      </c>
      <c r="AD131" s="7" t="str">
        <f t="shared" si="31"/>
        <v/>
      </c>
      <c r="AE131" s="6">
        <f t="shared" si="32"/>
        <v>0</v>
      </c>
      <c r="AF131" s="69">
        <f t="shared" si="33"/>
        <v>3.0270108529646338</v>
      </c>
      <c r="AG131" s="6">
        <f t="shared" si="34"/>
        <v>0</v>
      </c>
      <c r="AH131" s="6">
        <f t="shared" si="35"/>
        <v>604</v>
      </c>
    </row>
    <row r="132" spans="8:34" x14ac:dyDescent="0.25">
      <c r="H132" s="7">
        <v>139</v>
      </c>
      <c r="I132" s="7" t="s">
        <v>7</v>
      </c>
      <c r="J132" s="8">
        <v>38496</v>
      </c>
      <c r="K132" s="12" t="s">
        <v>19</v>
      </c>
      <c r="L132" s="9">
        <v>50</v>
      </c>
      <c r="M132" s="10">
        <v>152.04318524136269</v>
      </c>
      <c r="N132" s="7" t="s">
        <v>21</v>
      </c>
      <c r="P132" s="29" t="str">
        <f t="shared" si="36"/>
        <v/>
      </c>
      <c r="Q132" s="29" t="str">
        <f t="shared" si="37"/>
        <v/>
      </c>
      <c r="R132" s="29" t="str">
        <f t="shared" si="38"/>
        <v/>
      </c>
      <c r="S132" s="29" t="str">
        <f t="shared" si="39"/>
        <v/>
      </c>
      <c r="T132" s="32" t="str">
        <f t="shared" si="40"/>
        <v/>
      </c>
      <c r="U132" s="32">
        <f t="shared" ref="U132:U195" si="43">IF(YEAR(J132)=2005,1,"")</f>
        <v>1</v>
      </c>
      <c r="V132" s="32" t="str">
        <f t="shared" ref="V132:V195" si="44">IF(YEAR(J132)=2006,1,"")</f>
        <v/>
      </c>
      <c r="W132" s="41">
        <f t="shared" si="41"/>
        <v>3.0408637048272538</v>
      </c>
      <c r="X132" s="6">
        <f t="shared" si="42"/>
        <v>152.04318524136269</v>
      </c>
      <c r="Y132" s="7">
        <f t="shared" ref="Y132:Y195" si="45">RANK(X132,$X$3:$X$1893)</f>
        <v>269</v>
      </c>
      <c r="AA132" s="7">
        <f t="shared" ref="AA132:AA195" si="46">IF(AND(OR((MONTH(J132))=1,(MONTH(J132))=2,(MONTH(J132))=3,(MONTH(J132))=7,(MONTH(J132))=8,(MONTH(J132))=9),YEAR(J132)=2005),1,0)</f>
        <v>0</v>
      </c>
      <c r="AB132" s="7" t="str">
        <f t="shared" ref="AB132:AB195" si="47">IF(AA132=1,L132,"")</f>
        <v/>
      </c>
      <c r="AC132" s="7">
        <f t="shared" ref="AC132:AC195" si="48">IF(AND(OR((MONTH(J132))=4,(MONTH(J132))=5,(MONTH(J132))=6,(MONTH(J132))=10,(MONTH(J132))=11,(MONTH(J132))=12),YEAR(J132)=2005),1,0)</f>
        <v>1</v>
      </c>
      <c r="AD132" s="7">
        <f t="shared" ref="AD132:AD195" si="49">IF(AC132=1,L132,"")</f>
        <v>50</v>
      </c>
      <c r="AE132" s="6">
        <f t="shared" ref="AE132:AE195" si="50">IF(L132&lt;0,L132,0)</f>
        <v>0</v>
      </c>
      <c r="AF132" s="69">
        <f t="shared" ref="AF132:AF195" si="51">IF(L132&gt;0,W132,"")</f>
        <v>3.0408637048272538</v>
      </c>
      <c r="AG132" s="6">
        <f t="shared" ref="AG132:AG195" si="52">IF(AND((M132&gt;0),(YEAR(J132)=2004)),M132,0)</f>
        <v>0</v>
      </c>
      <c r="AH132" s="6">
        <f t="shared" ref="AH132:AH195" si="53">RANK(AG132,$AG$3:$AG$1893)</f>
        <v>604</v>
      </c>
    </row>
    <row r="133" spans="8:34" x14ac:dyDescent="0.25">
      <c r="H133" s="7">
        <v>140</v>
      </c>
      <c r="I133" s="7" t="s">
        <v>14</v>
      </c>
      <c r="J133" s="8">
        <v>38166</v>
      </c>
      <c r="K133" s="12" t="s">
        <v>16</v>
      </c>
      <c r="L133" s="9">
        <v>80</v>
      </c>
      <c r="M133" s="10">
        <v>242.49550041476004</v>
      </c>
      <c r="N133" s="7" t="s">
        <v>24</v>
      </c>
      <c r="P133" s="29" t="str">
        <f t="shared" si="36"/>
        <v/>
      </c>
      <c r="Q133" s="29">
        <f t="shared" si="37"/>
        <v>1</v>
      </c>
      <c r="R133" s="29" t="str">
        <f t="shared" si="38"/>
        <v/>
      </c>
      <c r="S133" s="29" t="str">
        <f t="shared" si="39"/>
        <v/>
      </c>
      <c r="T133" s="32" t="str">
        <f t="shared" si="40"/>
        <v/>
      </c>
      <c r="U133" s="32" t="str">
        <f t="shared" si="43"/>
        <v/>
      </c>
      <c r="V133" s="32" t="str">
        <f t="shared" si="44"/>
        <v/>
      </c>
      <c r="W133" s="41">
        <f t="shared" si="41"/>
        <v>3.0311937551845007</v>
      </c>
      <c r="X133" s="6">
        <f t="shared" si="42"/>
        <v>0</v>
      </c>
      <c r="Y133" s="7">
        <f t="shared" si="45"/>
        <v>567</v>
      </c>
      <c r="AA133" s="7">
        <f t="shared" si="46"/>
        <v>0</v>
      </c>
      <c r="AB133" s="7" t="str">
        <f t="shared" si="47"/>
        <v/>
      </c>
      <c r="AC133" s="7">
        <f t="shared" si="48"/>
        <v>0</v>
      </c>
      <c r="AD133" s="7" t="str">
        <f t="shared" si="49"/>
        <v/>
      </c>
      <c r="AE133" s="6">
        <f t="shared" si="50"/>
        <v>0</v>
      </c>
      <c r="AF133" s="69">
        <f t="shared" si="51"/>
        <v>3.0311937551845007</v>
      </c>
      <c r="AG133" s="6">
        <f t="shared" si="52"/>
        <v>242.49550041476004</v>
      </c>
      <c r="AH133" s="6">
        <f t="shared" si="53"/>
        <v>80</v>
      </c>
    </row>
    <row r="134" spans="8:34" x14ac:dyDescent="0.25">
      <c r="H134" s="7">
        <v>141</v>
      </c>
      <c r="I134" s="7" t="s">
        <v>14</v>
      </c>
      <c r="J134" s="8">
        <v>39079</v>
      </c>
      <c r="K134" s="12" t="s">
        <v>16</v>
      </c>
      <c r="L134" s="9">
        <v>83</v>
      </c>
      <c r="M134" s="10">
        <v>250.79460647762514</v>
      </c>
      <c r="N134" s="7" t="s">
        <v>21</v>
      </c>
      <c r="P134" s="29" t="str">
        <f t="shared" si="36"/>
        <v/>
      </c>
      <c r="Q134" s="29" t="str">
        <f t="shared" si="37"/>
        <v/>
      </c>
      <c r="R134" s="29" t="str">
        <f t="shared" si="38"/>
        <v/>
      </c>
      <c r="S134" s="29" t="str">
        <f t="shared" si="39"/>
        <v/>
      </c>
      <c r="T134" s="32" t="str">
        <f t="shared" si="40"/>
        <v/>
      </c>
      <c r="U134" s="32" t="str">
        <f t="shared" si="43"/>
        <v/>
      </c>
      <c r="V134" s="32">
        <f t="shared" si="44"/>
        <v>1</v>
      </c>
      <c r="W134" s="41">
        <f t="shared" si="41"/>
        <v>3.0216217647906642</v>
      </c>
      <c r="X134" s="6">
        <f t="shared" si="42"/>
        <v>0</v>
      </c>
      <c r="Y134" s="7">
        <f t="shared" si="45"/>
        <v>567</v>
      </c>
      <c r="AA134" s="7">
        <f t="shared" si="46"/>
        <v>0</v>
      </c>
      <c r="AB134" s="7" t="str">
        <f t="shared" si="47"/>
        <v/>
      </c>
      <c r="AC134" s="7">
        <f t="shared" si="48"/>
        <v>0</v>
      </c>
      <c r="AD134" s="7" t="str">
        <f t="shared" si="49"/>
        <v/>
      </c>
      <c r="AE134" s="6">
        <f t="shared" si="50"/>
        <v>0</v>
      </c>
      <c r="AF134" s="69">
        <f t="shared" si="51"/>
        <v>3.0216217647906642</v>
      </c>
      <c r="AG134" s="6">
        <f t="shared" si="52"/>
        <v>0</v>
      </c>
      <c r="AH134" s="6">
        <f t="shared" si="53"/>
        <v>604</v>
      </c>
    </row>
    <row r="135" spans="8:34" x14ac:dyDescent="0.25">
      <c r="H135" s="7">
        <v>142</v>
      </c>
      <c r="I135" s="7" t="s">
        <v>7</v>
      </c>
      <c r="J135" s="8">
        <v>38749</v>
      </c>
      <c r="K135" s="12" t="s">
        <v>17</v>
      </c>
      <c r="L135" s="9">
        <v>-4</v>
      </c>
      <c r="M135" s="10">
        <v>-9.4996327629453567</v>
      </c>
      <c r="N135" s="7" t="s">
        <v>23</v>
      </c>
      <c r="P135" s="29" t="str">
        <f t="shared" si="36"/>
        <v/>
      </c>
      <c r="Q135" s="29" t="str">
        <f t="shared" si="37"/>
        <v/>
      </c>
      <c r="R135" s="29" t="str">
        <f t="shared" si="38"/>
        <v/>
      </c>
      <c r="S135" s="29" t="str">
        <f t="shared" si="39"/>
        <v/>
      </c>
      <c r="T135" s="32" t="str">
        <f t="shared" si="40"/>
        <v/>
      </c>
      <c r="U135" s="32" t="str">
        <f t="shared" si="43"/>
        <v/>
      </c>
      <c r="V135" s="32">
        <f t="shared" si="44"/>
        <v>1</v>
      </c>
      <c r="W135" s="41" t="str">
        <f t="shared" si="41"/>
        <v/>
      </c>
      <c r="X135" s="6">
        <f t="shared" si="42"/>
        <v>0</v>
      </c>
      <c r="Y135" s="7">
        <f t="shared" si="45"/>
        <v>567</v>
      </c>
      <c r="AA135" s="7">
        <f t="shared" si="46"/>
        <v>0</v>
      </c>
      <c r="AB135" s="7" t="str">
        <f t="shared" si="47"/>
        <v/>
      </c>
      <c r="AC135" s="7">
        <f t="shared" si="48"/>
        <v>0</v>
      </c>
      <c r="AD135" s="7" t="str">
        <f t="shared" si="49"/>
        <v/>
      </c>
      <c r="AE135" s="6">
        <f t="shared" si="50"/>
        <v>-4</v>
      </c>
      <c r="AF135" s="69" t="str">
        <f t="shared" si="51"/>
        <v/>
      </c>
      <c r="AG135" s="6">
        <f t="shared" si="52"/>
        <v>0</v>
      </c>
      <c r="AH135" s="6">
        <f t="shared" si="53"/>
        <v>604</v>
      </c>
    </row>
    <row r="136" spans="8:34" x14ac:dyDescent="0.25">
      <c r="H136" s="7">
        <v>143</v>
      </c>
      <c r="I136" s="7" t="s">
        <v>11</v>
      </c>
      <c r="J136" s="8">
        <v>38386</v>
      </c>
      <c r="K136" s="12" t="s">
        <v>18</v>
      </c>
      <c r="L136" s="9">
        <v>46</v>
      </c>
      <c r="M136" s="10">
        <v>139.75509706516939</v>
      </c>
      <c r="N136" s="7" t="s">
        <v>21</v>
      </c>
      <c r="P136" s="29" t="str">
        <f t="shared" si="36"/>
        <v/>
      </c>
      <c r="Q136" s="29" t="str">
        <f t="shared" si="37"/>
        <v/>
      </c>
      <c r="R136" s="29" t="str">
        <f t="shared" si="38"/>
        <v/>
      </c>
      <c r="S136" s="29" t="str">
        <f t="shared" si="39"/>
        <v/>
      </c>
      <c r="T136" s="32" t="str">
        <f t="shared" si="40"/>
        <v/>
      </c>
      <c r="U136" s="32">
        <f t="shared" si="43"/>
        <v>1</v>
      </c>
      <c r="V136" s="32" t="str">
        <f t="shared" si="44"/>
        <v/>
      </c>
      <c r="W136" s="41">
        <f t="shared" si="41"/>
        <v>3.0381542840254214</v>
      </c>
      <c r="X136" s="6">
        <f t="shared" si="42"/>
        <v>139.75509706516939</v>
      </c>
      <c r="Y136" s="7">
        <f t="shared" si="45"/>
        <v>289</v>
      </c>
      <c r="AA136" s="7">
        <f t="shared" si="46"/>
        <v>1</v>
      </c>
      <c r="AB136" s="7">
        <f t="shared" si="47"/>
        <v>46</v>
      </c>
      <c r="AC136" s="7">
        <f t="shared" si="48"/>
        <v>0</v>
      </c>
      <c r="AD136" s="7" t="str">
        <f t="shared" si="49"/>
        <v/>
      </c>
      <c r="AE136" s="6">
        <f t="shared" si="50"/>
        <v>0</v>
      </c>
      <c r="AF136" s="69">
        <f t="shared" si="51"/>
        <v>3.0381542840254214</v>
      </c>
      <c r="AG136" s="6">
        <f t="shared" si="52"/>
        <v>0</v>
      </c>
      <c r="AH136" s="6">
        <f t="shared" si="53"/>
        <v>604</v>
      </c>
    </row>
    <row r="137" spans="8:34" x14ac:dyDescent="0.25">
      <c r="H137" s="7">
        <v>144</v>
      </c>
      <c r="I137" s="7" t="s">
        <v>9</v>
      </c>
      <c r="J137" s="8">
        <v>39013</v>
      </c>
      <c r="K137" s="12" t="s">
        <v>20</v>
      </c>
      <c r="L137" s="9">
        <v>55</v>
      </c>
      <c r="M137" s="10">
        <v>167.19317791229159</v>
      </c>
      <c r="N137" s="7" t="s">
        <v>21</v>
      </c>
      <c r="P137" s="29" t="str">
        <f t="shared" si="36"/>
        <v/>
      </c>
      <c r="Q137" s="29" t="str">
        <f t="shared" si="37"/>
        <v/>
      </c>
      <c r="R137" s="29" t="str">
        <f t="shared" si="38"/>
        <v/>
      </c>
      <c r="S137" s="29" t="str">
        <f t="shared" si="39"/>
        <v/>
      </c>
      <c r="T137" s="32" t="str">
        <f t="shared" si="40"/>
        <v/>
      </c>
      <c r="U137" s="32" t="str">
        <f t="shared" si="43"/>
        <v/>
      </c>
      <c r="V137" s="32">
        <f t="shared" si="44"/>
        <v>1</v>
      </c>
      <c r="W137" s="41">
        <f t="shared" si="41"/>
        <v>3.0398759620416653</v>
      </c>
      <c r="X137" s="6">
        <f t="shared" si="42"/>
        <v>0</v>
      </c>
      <c r="Y137" s="7">
        <f t="shared" si="45"/>
        <v>567</v>
      </c>
      <c r="AA137" s="7">
        <f t="shared" si="46"/>
        <v>0</v>
      </c>
      <c r="AB137" s="7" t="str">
        <f t="shared" si="47"/>
        <v/>
      </c>
      <c r="AC137" s="7">
        <f t="shared" si="48"/>
        <v>0</v>
      </c>
      <c r="AD137" s="7" t="str">
        <f t="shared" si="49"/>
        <v/>
      </c>
      <c r="AE137" s="6">
        <f t="shared" si="50"/>
        <v>0</v>
      </c>
      <c r="AF137" s="69">
        <f t="shared" si="51"/>
        <v>3.0398759620416653</v>
      </c>
      <c r="AG137" s="6">
        <f t="shared" si="52"/>
        <v>0</v>
      </c>
      <c r="AH137" s="6">
        <f t="shared" si="53"/>
        <v>604</v>
      </c>
    </row>
    <row r="138" spans="8:34" x14ac:dyDescent="0.25">
      <c r="H138" s="7">
        <v>145</v>
      </c>
      <c r="I138" s="7" t="s">
        <v>15</v>
      </c>
      <c r="J138" s="8">
        <v>38254</v>
      </c>
      <c r="K138" s="12" t="s">
        <v>20</v>
      </c>
      <c r="L138" s="9">
        <v>89</v>
      </c>
      <c r="M138" s="10">
        <v>269.40466549843933</v>
      </c>
      <c r="N138" s="7" t="s">
        <v>24</v>
      </c>
      <c r="P138" s="29" t="str">
        <f t="shared" si="36"/>
        <v/>
      </c>
      <c r="Q138" s="29" t="str">
        <f t="shared" si="37"/>
        <v/>
      </c>
      <c r="R138" s="29">
        <f t="shared" si="38"/>
        <v>1</v>
      </c>
      <c r="S138" s="29" t="str">
        <f t="shared" si="39"/>
        <v/>
      </c>
      <c r="T138" s="32" t="str">
        <f t="shared" si="40"/>
        <v/>
      </c>
      <c r="U138" s="32" t="str">
        <f t="shared" si="43"/>
        <v/>
      </c>
      <c r="V138" s="32" t="str">
        <f t="shared" si="44"/>
        <v/>
      </c>
      <c r="W138" s="41">
        <f t="shared" si="41"/>
        <v>3.0270187134656106</v>
      </c>
      <c r="X138" s="6">
        <f t="shared" si="42"/>
        <v>0</v>
      </c>
      <c r="Y138" s="7">
        <f t="shared" si="45"/>
        <v>567</v>
      </c>
      <c r="AA138" s="7">
        <f t="shared" si="46"/>
        <v>0</v>
      </c>
      <c r="AB138" s="7" t="str">
        <f t="shared" si="47"/>
        <v/>
      </c>
      <c r="AC138" s="7">
        <f t="shared" si="48"/>
        <v>0</v>
      </c>
      <c r="AD138" s="7" t="str">
        <f t="shared" si="49"/>
        <v/>
      </c>
      <c r="AE138" s="6">
        <f t="shared" si="50"/>
        <v>0</v>
      </c>
      <c r="AF138" s="69">
        <f t="shared" si="51"/>
        <v>3.0270187134656106</v>
      </c>
      <c r="AG138" s="6">
        <f t="shared" si="52"/>
        <v>269.40466549843933</v>
      </c>
      <c r="AH138" s="6">
        <f t="shared" si="53"/>
        <v>34</v>
      </c>
    </row>
    <row r="139" spans="8:34" x14ac:dyDescent="0.25">
      <c r="H139" s="7">
        <v>146</v>
      </c>
      <c r="I139" s="7" t="s">
        <v>13</v>
      </c>
      <c r="J139" s="8">
        <v>38540</v>
      </c>
      <c r="K139" s="12" t="s">
        <v>16</v>
      </c>
      <c r="L139" s="9">
        <v>59</v>
      </c>
      <c r="M139" s="10">
        <v>179.11590007622482</v>
      </c>
      <c r="N139" s="7" t="s">
        <v>23</v>
      </c>
      <c r="P139" s="29" t="str">
        <f t="shared" si="36"/>
        <v/>
      </c>
      <c r="Q139" s="29" t="str">
        <f t="shared" si="37"/>
        <v/>
      </c>
      <c r="R139" s="29" t="str">
        <f t="shared" si="38"/>
        <v/>
      </c>
      <c r="S139" s="29" t="str">
        <f t="shared" si="39"/>
        <v/>
      </c>
      <c r="T139" s="32" t="str">
        <f t="shared" si="40"/>
        <v/>
      </c>
      <c r="U139" s="32">
        <f t="shared" si="43"/>
        <v>1</v>
      </c>
      <c r="V139" s="32" t="str">
        <f t="shared" si="44"/>
        <v/>
      </c>
      <c r="W139" s="41">
        <f t="shared" si="41"/>
        <v>3.0358627131563529</v>
      </c>
      <c r="X139" s="6">
        <f t="shared" si="42"/>
        <v>179.11590007622482</v>
      </c>
      <c r="Y139" s="7">
        <f t="shared" si="45"/>
        <v>206</v>
      </c>
      <c r="AA139" s="7">
        <f t="shared" si="46"/>
        <v>1</v>
      </c>
      <c r="AB139" s="7">
        <f t="shared" si="47"/>
        <v>59</v>
      </c>
      <c r="AC139" s="7">
        <f t="shared" si="48"/>
        <v>0</v>
      </c>
      <c r="AD139" s="7" t="str">
        <f t="shared" si="49"/>
        <v/>
      </c>
      <c r="AE139" s="6">
        <f t="shared" si="50"/>
        <v>0</v>
      </c>
      <c r="AF139" s="69">
        <f t="shared" si="51"/>
        <v>3.0358627131563529</v>
      </c>
      <c r="AG139" s="6">
        <f t="shared" si="52"/>
        <v>0</v>
      </c>
      <c r="AH139" s="6">
        <f t="shared" si="53"/>
        <v>604</v>
      </c>
    </row>
    <row r="140" spans="8:34" x14ac:dyDescent="0.25">
      <c r="H140" s="7">
        <v>147</v>
      </c>
      <c r="I140" s="7" t="s">
        <v>13</v>
      </c>
      <c r="J140" s="8">
        <v>38419</v>
      </c>
      <c r="K140" s="12" t="s">
        <v>19</v>
      </c>
      <c r="L140" s="9">
        <v>90</v>
      </c>
      <c r="M140" s="10">
        <v>271.75315679180818</v>
      </c>
      <c r="N140" s="7" t="s">
        <v>24</v>
      </c>
      <c r="P140" s="29" t="str">
        <f t="shared" si="36"/>
        <v/>
      </c>
      <c r="Q140" s="29" t="str">
        <f t="shared" si="37"/>
        <v/>
      </c>
      <c r="R140" s="29" t="str">
        <f t="shared" si="38"/>
        <v/>
      </c>
      <c r="S140" s="29" t="str">
        <f t="shared" si="39"/>
        <v/>
      </c>
      <c r="T140" s="32" t="str">
        <f t="shared" si="40"/>
        <v/>
      </c>
      <c r="U140" s="32">
        <f t="shared" si="43"/>
        <v>1</v>
      </c>
      <c r="V140" s="32" t="str">
        <f t="shared" si="44"/>
        <v/>
      </c>
      <c r="W140" s="41">
        <f t="shared" si="41"/>
        <v>3.0194795199089799</v>
      </c>
      <c r="X140" s="6">
        <f t="shared" si="42"/>
        <v>271.75315679180818</v>
      </c>
      <c r="Y140" s="7">
        <f t="shared" si="45"/>
        <v>41</v>
      </c>
      <c r="AA140" s="7">
        <f t="shared" si="46"/>
        <v>1</v>
      </c>
      <c r="AB140" s="7">
        <f t="shared" si="47"/>
        <v>90</v>
      </c>
      <c r="AC140" s="7">
        <f t="shared" si="48"/>
        <v>0</v>
      </c>
      <c r="AD140" s="7" t="str">
        <f t="shared" si="49"/>
        <v/>
      </c>
      <c r="AE140" s="6">
        <f t="shared" si="50"/>
        <v>0</v>
      </c>
      <c r="AF140" s="69">
        <f t="shared" si="51"/>
        <v>3.0194795199089799</v>
      </c>
      <c r="AG140" s="6">
        <f t="shared" si="52"/>
        <v>0</v>
      </c>
      <c r="AH140" s="6">
        <f t="shared" si="53"/>
        <v>604</v>
      </c>
    </row>
    <row r="141" spans="8:34" x14ac:dyDescent="0.25">
      <c r="H141" s="7">
        <v>148</v>
      </c>
      <c r="I141" s="7" t="s">
        <v>9</v>
      </c>
      <c r="J141" s="8">
        <v>39024</v>
      </c>
      <c r="K141" s="12" t="s">
        <v>19</v>
      </c>
      <c r="L141" s="9">
        <v>17</v>
      </c>
      <c r="M141" s="10">
        <v>53.665884026524566</v>
      </c>
      <c r="N141" s="7" t="s">
        <v>22</v>
      </c>
      <c r="P141" s="29" t="str">
        <f t="shared" si="36"/>
        <v/>
      </c>
      <c r="Q141" s="29" t="str">
        <f t="shared" si="37"/>
        <v/>
      </c>
      <c r="R141" s="29" t="str">
        <f t="shared" si="38"/>
        <v/>
      </c>
      <c r="S141" s="29" t="str">
        <f t="shared" si="39"/>
        <v/>
      </c>
      <c r="T141" s="32" t="str">
        <f t="shared" si="40"/>
        <v/>
      </c>
      <c r="U141" s="32" t="str">
        <f t="shared" si="43"/>
        <v/>
      </c>
      <c r="V141" s="32">
        <f t="shared" si="44"/>
        <v>1</v>
      </c>
      <c r="W141" s="41">
        <f t="shared" si="41"/>
        <v>3.1568167074426214</v>
      </c>
      <c r="X141" s="6">
        <f t="shared" si="42"/>
        <v>0</v>
      </c>
      <c r="Y141" s="7">
        <f t="shared" si="45"/>
        <v>567</v>
      </c>
      <c r="AA141" s="7">
        <f t="shared" si="46"/>
        <v>0</v>
      </c>
      <c r="AB141" s="7" t="str">
        <f t="shared" si="47"/>
        <v/>
      </c>
      <c r="AC141" s="7">
        <f t="shared" si="48"/>
        <v>0</v>
      </c>
      <c r="AD141" s="7" t="str">
        <f t="shared" si="49"/>
        <v/>
      </c>
      <c r="AE141" s="6">
        <f t="shared" si="50"/>
        <v>0</v>
      </c>
      <c r="AF141" s="69">
        <f t="shared" si="51"/>
        <v>3.1568167074426214</v>
      </c>
      <c r="AG141" s="6">
        <f t="shared" si="52"/>
        <v>0</v>
      </c>
      <c r="AH141" s="6">
        <f t="shared" si="53"/>
        <v>604</v>
      </c>
    </row>
    <row r="142" spans="8:34" x14ac:dyDescent="0.25">
      <c r="H142" s="7">
        <v>149</v>
      </c>
      <c r="I142" s="7" t="s">
        <v>15</v>
      </c>
      <c r="J142" s="8">
        <v>38419</v>
      </c>
      <c r="K142" s="12" t="s">
        <v>19</v>
      </c>
      <c r="L142" s="9">
        <v>37</v>
      </c>
      <c r="M142" s="10">
        <v>113.6496958349757</v>
      </c>
      <c r="N142" s="7" t="s">
        <v>24</v>
      </c>
      <c r="P142" s="29" t="str">
        <f t="shared" si="36"/>
        <v/>
      </c>
      <c r="Q142" s="29" t="str">
        <f t="shared" si="37"/>
        <v/>
      </c>
      <c r="R142" s="29" t="str">
        <f t="shared" si="38"/>
        <v/>
      </c>
      <c r="S142" s="29" t="str">
        <f t="shared" si="39"/>
        <v/>
      </c>
      <c r="T142" s="32" t="str">
        <f t="shared" si="40"/>
        <v/>
      </c>
      <c r="U142" s="32">
        <f t="shared" si="43"/>
        <v>1</v>
      </c>
      <c r="V142" s="32" t="str">
        <f t="shared" si="44"/>
        <v/>
      </c>
      <c r="W142" s="41">
        <f t="shared" si="41"/>
        <v>3.0716134009452891</v>
      </c>
      <c r="X142" s="6">
        <f t="shared" si="42"/>
        <v>113.6496958349757</v>
      </c>
      <c r="Y142" s="7">
        <f t="shared" si="45"/>
        <v>331</v>
      </c>
      <c r="AA142" s="7">
        <f t="shared" si="46"/>
        <v>1</v>
      </c>
      <c r="AB142" s="7">
        <f t="shared" si="47"/>
        <v>37</v>
      </c>
      <c r="AC142" s="7">
        <f t="shared" si="48"/>
        <v>0</v>
      </c>
      <c r="AD142" s="7" t="str">
        <f t="shared" si="49"/>
        <v/>
      </c>
      <c r="AE142" s="6">
        <f t="shared" si="50"/>
        <v>0</v>
      </c>
      <c r="AF142" s="69">
        <f t="shared" si="51"/>
        <v>3.0716134009452891</v>
      </c>
      <c r="AG142" s="6">
        <f t="shared" si="52"/>
        <v>0</v>
      </c>
      <c r="AH142" s="6">
        <f t="shared" si="53"/>
        <v>604</v>
      </c>
    </row>
    <row r="143" spans="8:34" x14ac:dyDescent="0.25">
      <c r="H143" s="7">
        <v>150</v>
      </c>
      <c r="I143" s="7" t="s">
        <v>12</v>
      </c>
      <c r="J143" s="8">
        <v>38793</v>
      </c>
      <c r="K143" s="12" t="s">
        <v>18</v>
      </c>
      <c r="L143" s="9">
        <v>-4</v>
      </c>
      <c r="M143" s="10">
        <v>-9.4240327280666669</v>
      </c>
      <c r="N143" s="7" t="s">
        <v>21</v>
      </c>
      <c r="P143" s="29" t="str">
        <f t="shared" si="36"/>
        <v/>
      </c>
      <c r="Q143" s="29" t="str">
        <f t="shared" si="37"/>
        <v/>
      </c>
      <c r="R143" s="29" t="str">
        <f t="shared" si="38"/>
        <v/>
      </c>
      <c r="S143" s="29" t="str">
        <f t="shared" si="39"/>
        <v/>
      </c>
      <c r="T143" s="32" t="str">
        <f t="shared" si="40"/>
        <v/>
      </c>
      <c r="U143" s="32" t="str">
        <f t="shared" si="43"/>
        <v/>
      </c>
      <c r="V143" s="32">
        <f t="shared" si="44"/>
        <v>1</v>
      </c>
      <c r="W143" s="41" t="str">
        <f t="shared" si="41"/>
        <v/>
      </c>
      <c r="X143" s="6">
        <f t="shared" si="42"/>
        <v>0</v>
      </c>
      <c r="Y143" s="7">
        <f t="shared" si="45"/>
        <v>567</v>
      </c>
      <c r="AA143" s="7">
        <f t="shared" si="46"/>
        <v>0</v>
      </c>
      <c r="AB143" s="7" t="str">
        <f t="shared" si="47"/>
        <v/>
      </c>
      <c r="AC143" s="7">
        <f t="shared" si="48"/>
        <v>0</v>
      </c>
      <c r="AD143" s="7" t="str">
        <f t="shared" si="49"/>
        <v/>
      </c>
      <c r="AE143" s="6">
        <f t="shared" si="50"/>
        <v>-4</v>
      </c>
      <c r="AF143" s="69" t="str">
        <f t="shared" si="51"/>
        <v/>
      </c>
      <c r="AG143" s="6">
        <f t="shared" si="52"/>
        <v>0</v>
      </c>
      <c r="AH143" s="6">
        <f t="shared" si="53"/>
        <v>604</v>
      </c>
    </row>
    <row r="144" spans="8:34" x14ac:dyDescent="0.25">
      <c r="H144" s="7">
        <v>151</v>
      </c>
      <c r="I144" s="7" t="s">
        <v>13</v>
      </c>
      <c r="J144" s="8">
        <v>38540</v>
      </c>
      <c r="K144" s="12" t="s">
        <v>17</v>
      </c>
      <c r="L144" s="9">
        <v>-8</v>
      </c>
      <c r="M144" s="10">
        <v>-22.376386657781136</v>
      </c>
      <c r="N144" s="7" t="s">
        <v>23</v>
      </c>
      <c r="P144" s="29" t="str">
        <f t="shared" si="36"/>
        <v/>
      </c>
      <c r="Q144" s="29" t="str">
        <f t="shared" si="37"/>
        <v/>
      </c>
      <c r="R144" s="29" t="str">
        <f t="shared" si="38"/>
        <v/>
      </c>
      <c r="S144" s="29" t="str">
        <f t="shared" si="39"/>
        <v/>
      </c>
      <c r="T144" s="32" t="str">
        <f t="shared" si="40"/>
        <v/>
      </c>
      <c r="U144" s="32">
        <f t="shared" si="43"/>
        <v>1</v>
      </c>
      <c r="V144" s="32" t="str">
        <f t="shared" si="44"/>
        <v/>
      </c>
      <c r="W144" s="41" t="str">
        <f t="shared" si="41"/>
        <v/>
      </c>
      <c r="X144" s="6">
        <f t="shared" si="42"/>
        <v>-22.376386657781136</v>
      </c>
      <c r="Y144" s="7">
        <f t="shared" si="45"/>
        <v>1882</v>
      </c>
      <c r="AA144" s="7">
        <f t="shared" si="46"/>
        <v>1</v>
      </c>
      <c r="AB144" s="7">
        <f t="shared" si="47"/>
        <v>-8</v>
      </c>
      <c r="AC144" s="7">
        <f t="shared" si="48"/>
        <v>0</v>
      </c>
      <c r="AD144" s="7" t="str">
        <f t="shared" si="49"/>
        <v/>
      </c>
      <c r="AE144" s="6">
        <f t="shared" si="50"/>
        <v>-8</v>
      </c>
      <c r="AF144" s="69" t="str">
        <f t="shared" si="51"/>
        <v/>
      </c>
      <c r="AG144" s="6">
        <f t="shared" si="52"/>
        <v>0</v>
      </c>
      <c r="AH144" s="6">
        <f t="shared" si="53"/>
        <v>604</v>
      </c>
    </row>
    <row r="145" spans="8:34" x14ac:dyDescent="0.25">
      <c r="H145" s="7">
        <v>152</v>
      </c>
      <c r="I145" s="7" t="s">
        <v>10</v>
      </c>
      <c r="J145" s="8">
        <v>38232</v>
      </c>
      <c r="K145" s="12" t="s">
        <v>19</v>
      </c>
      <c r="L145" s="9">
        <v>6</v>
      </c>
      <c r="M145" s="10">
        <v>20.32160187847996</v>
      </c>
      <c r="N145" s="7" t="s">
        <v>22</v>
      </c>
      <c r="P145" s="29" t="str">
        <f t="shared" si="36"/>
        <v/>
      </c>
      <c r="Q145" s="29" t="str">
        <f t="shared" si="37"/>
        <v/>
      </c>
      <c r="R145" s="29">
        <f t="shared" si="38"/>
        <v>1</v>
      </c>
      <c r="S145" s="29" t="str">
        <f t="shared" si="39"/>
        <v/>
      </c>
      <c r="T145" s="32" t="str">
        <f t="shared" si="40"/>
        <v/>
      </c>
      <c r="U145" s="32" t="str">
        <f t="shared" si="43"/>
        <v/>
      </c>
      <c r="V145" s="32" t="str">
        <f t="shared" si="44"/>
        <v/>
      </c>
      <c r="W145" s="41">
        <f t="shared" si="41"/>
        <v>3.3869336464133268</v>
      </c>
      <c r="X145" s="6">
        <f t="shared" si="42"/>
        <v>0</v>
      </c>
      <c r="Y145" s="7">
        <f t="shared" si="45"/>
        <v>567</v>
      </c>
      <c r="AA145" s="7">
        <f t="shared" si="46"/>
        <v>0</v>
      </c>
      <c r="AB145" s="7" t="str">
        <f t="shared" si="47"/>
        <v/>
      </c>
      <c r="AC145" s="7">
        <f t="shared" si="48"/>
        <v>0</v>
      </c>
      <c r="AD145" s="7" t="str">
        <f t="shared" si="49"/>
        <v/>
      </c>
      <c r="AE145" s="6">
        <f t="shared" si="50"/>
        <v>0</v>
      </c>
      <c r="AF145" s="69">
        <f t="shared" si="51"/>
        <v>3.3869336464133268</v>
      </c>
      <c r="AG145" s="6">
        <f t="shared" si="52"/>
        <v>20.32160187847996</v>
      </c>
      <c r="AH145" s="6">
        <f t="shared" si="53"/>
        <v>559</v>
      </c>
    </row>
    <row r="146" spans="8:34" x14ac:dyDescent="0.25">
      <c r="H146" s="7">
        <v>153</v>
      </c>
      <c r="I146" s="7" t="s">
        <v>15</v>
      </c>
      <c r="J146" s="8">
        <v>38276</v>
      </c>
      <c r="K146" s="12" t="s">
        <v>19</v>
      </c>
      <c r="L146" s="9">
        <v>63</v>
      </c>
      <c r="M146" s="10">
        <v>191.67996095772898</v>
      </c>
      <c r="N146" s="7" t="s">
        <v>23</v>
      </c>
      <c r="P146" s="29" t="str">
        <f t="shared" si="36"/>
        <v/>
      </c>
      <c r="Q146" s="29" t="str">
        <f t="shared" si="37"/>
        <v/>
      </c>
      <c r="R146" s="29" t="str">
        <f t="shared" si="38"/>
        <v/>
      </c>
      <c r="S146" s="29">
        <f t="shared" si="39"/>
        <v>1</v>
      </c>
      <c r="T146" s="32" t="str">
        <f t="shared" si="40"/>
        <v/>
      </c>
      <c r="U146" s="32" t="str">
        <f t="shared" si="43"/>
        <v/>
      </c>
      <c r="V146" s="32" t="str">
        <f t="shared" si="44"/>
        <v/>
      </c>
      <c r="W146" s="41">
        <f t="shared" si="41"/>
        <v>3.0425390628210951</v>
      </c>
      <c r="X146" s="6">
        <f t="shared" si="42"/>
        <v>0</v>
      </c>
      <c r="Y146" s="7">
        <f t="shared" si="45"/>
        <v>567</v>
      </c>
      <c r="AA146" s="7">
        <f t="shared" si="46"/>
        <v>0</v>
      </c>
      <c r="AB146" s="7" t="str">
        <f t="shared" si="47"/>
        <v/>
      </c>
      <c r="AC146" s="7">
        <f t="shared" si="48"/>
        <v>0</v>
      </c>
      <c r="AD146" s="7" t="str">
        <f t="shared" si="49"/>
        <v/>
      </c>
      <c r="AE146" s="6">
        <f t="shared" si="50"/>
        <v>0</v>
      </c>
      <c r="AF146" s="69">
        <f t="shared" si="51"/>
        <v>3.0425390628210951</v>
      </c>
      <c r="AG146" s="6">
        <f t="shared" si="52"/>
        <v>191.67996095772898</v>
      </c>
      <c r="AH146" s="6">
        <f t="shared" si="53"/>
        <v>188</v>
      </c>
    </row>
    <row r="147" spans="8:34" x14ac:dyDescent="0.25">
      <c r="H147" s="7">
        <v>154</v>
      </c>
      <c r="I147" s="7" t="s">
        <v>14</v>
      </c>
      <c r="J147" s="8">
        <v>38210</v>
      </c>
      <c r="K147" s="12" t="s">
        <v>19</v>
      </c>
      <c r="L147" s="9">
        <v>16</v>
      </c>
      <c r="M147" s="10">
        <v>49.943726296074821</v>
      </c>
      <c r="N147" s="7" t="s">
        <v>21</v>
      </c>
      <c r="P147" s="29" t="str">
        <f t="shared" si="36"/>
        <v/>
      </c>
      <c r="Q147" s="29" t="str">
        <f t="shared" si="37"/>
        <v/>
      </c>
      <c r="R147" s="29">
        <f t="shared" si="38"/>
        <v>1</v>
      </c>
      <c r="S147" s="29" t="str">
        <f t="shared" si="39"/>
        <v/>
      </c>
      <c r="T147" s="32" t="str">
        <f t="shared" si="40"/>
        <v/>
      </c>
      <c r="U147" s="32" t="str">
        <f t="shared" si="43"/>
        <v/>
      </c>
      <c r="V147" s="32" t="str">
        <f t="shared" si="44"/>
        <v/>
      </c>
      <c r="W147" s="41">
        <f t="shared" si="41"/>
        <v>3.1214828935046763</v>
      </c>
      <c r="X147" s="6">
        <f t="shared" si="42"/>
        <v>0</v>
      </c>
      <c r="Y147" s="7">
        <f t="shared" si="45"/>
        <v>567</v>
      </c>
      <c r="AA147" s="7">
        <f t="shared" si="46"/>
        <v>0</v>
      </c>
      <c r="AB147" s="7" t="str">
        <f t="shared" si="47"/>
        <v/>
      </c>
      <c r="AC147" s="7">
        <f t="shared" si="48"/>
        <v>0</v>
      </c>
      <c r="AD147" s="7" t="str">
        <f t="shared" si="49"/>
        <v/>
      </c>
      <c r="AE147" s="6">
        <f t="shared" si="50"/>
        <v>0</v>
      </c>
      <c r="AF147" s="69">
        <f t="shared" si="51"/>
        <v>3.1214828935046763</v>
      </c>
      <c r="AG147" s="6">
        <f t="shared" si="52"/>
        <v>49.943726296074821</v>
      </c>
      <c r="AH147" s="6">
        <f t="shared" si="53"/>
        <v>482</v>
      </c>
    </row>
    <row r="148" spans="8:34" x14ac:dyDescent="0.25">
      <c r="H148" s="7">
        <v>155</v>
      </c>
      <c r="I148" s="7" t="s">
        <v>7</v>
      </c>
      <c r="J148" s="8">
        <v>38386</v>
      </c>
      <c r="K148" s="12" t="s">
        <v>20</v>
      </c>
      <c r="L148" s="9">
        <v>22</v>
      </c>
      <c r="M148" s="10">
        <v>67.814347194557499</v>
      </c>
      <c r="N148" s="7" t="s">
        <v>21</v>
      </c>
      <c r="P148" s="29" t="str">
        <f t="shared" si="36"/>
        <v/>
      </c>
      <c r="Q148" s="29" t="str">
        <f t="shared" si="37"/>
        <v/>
      </c>
      <c r="R148" s="29" t="str">
        <f t="shared" si="38"/>
        <v/>
      </c>
      <c r="S148" s="29" t="str">
        <f t="shared" si="39"/>
        <v/>
      </c>
      <c r="T148" s="32" t="str">
        <f t="shared" si="40"/>
        <v/>
      </c>
      <c r="U148" s="32">
        <f t="shared" si="43"/>
        <v>1</v>
      </c>
      <c r="V148" s="32" t="str">
        <f t="shared" si="44"/>
        <v/>
      </c>
      <c r="W148" s="41">
        <f t="shared" si="41"/>
        <v>3.0824703270253409</v>
      </c>
      <c r="X148" s="6">
        <f t="shared" si="42"/>
        <v>67.814347194557499</v>
      </c>
      <c r="Y148" s="7">
        <f t="shared" si="45"/>
        <v>432</v>
      </c>
      <c r="AA148" s="7">
        <f t="shared" si="46"/>
        <v>1</v>
      </c>
      <c r="AB148" s="7">
        <f t="shared" si="47"/>
        <v>22</v>
      </c>
      <c r="AC148" s="7">
        <f t="shared" si="48"/>
        <v>0</v>
      </c>
      <c r="AD148" s="7" t="str">
        <f t="shared" si="49"/>
        <v/>
      </c>
      <c r="AE148" s="6">
        <f t="shared" si="50"/>
        <v>0</v>
      </c>
      <c r="AF148" s="69">
        <f t="shared" si="51"/>
        <v>3.0824703270253409</v>
      </c>
      <c r="AG148" s="6">
        <f t="shared" si="52"/>
        <v>0</v>
      </c>
      <c r="AH148" s="6">
        <f t="shared" si="53"/>
        <v>604</v>
      </c>
    </row>
    <row r="149" spans="8:34" x14ac:dyDescent="0.25">
      <c r="H149" s="7">
        <v>156</v>
      </c>
      <c r="I149" s="7" t="s">
        <v>13</v>
      </c>
      <c r="J149" s="8">
        <v>38716</v>
      </c>
      <c r="K149" s="12" t="s">
        <v>18</v>
      </c>
      <c r="L149" s="9">
        <v>81</v>
      </c>
      <c r="M149" s="10">
        <v>244.96866878935498</v>
      </c>
      <c r="N149" s="7" t="s">
        <v>23</v>
      </c>
      <c r="P149" s="29" t="str">
        <f t="shared" si="36"/>
        <v/>
      </c>
      <c r="Q149" s="29" t="str">
        <f t="shared" si="37"/>
        <v/>
      </c>
      <c r="R149" s="29" t="str">
        <f t="shared" si="38"/>
        <v/>
      </c>
      <c r="S149" s="29" t="str">
        <f t="shared" si="39"/>
        <v/>
      </c>
      <c r="T149" s="32">
        <f t="shared" si="40"/>
        <v>1</v>
      </c>
      <c r="U149" s="32">
        <f t="shared" si="43"/>
        <v>1</v>
      </c>
      <c r="V149" s="32" t="str">
        <f t="shared" si="44"/>
        <v/>
      </c>
      <c r="W149" s="41">
        <f t="shared" si="41"/>
        <v>3.0243045529549999</v>
      </c>
      <c r="X149" s="6">
        <f t="shared" si="42"/>
        <v>244.96866878935498</v>
      </c>
      <c r="Y149" s="7">
        <f t="shared" si="45"/>
        <v>95</v>
      </c>
      <c r="AA149" s="7">
        <f t="shared" si="46"/>
        <v>0</v>
      </c>
      <c r="AB149" s="7" t="str">
        <f t="shared" si="47"/>
        <v/>
      </c>
      <c r="AC149" s="7">
        <f t="shared" si="48"/>
        <v>1</v>
      </c>
      <c r="AD149" s="7">
        <f t="shared" si="49"/>
        <v>81</v>
      </c>
      <c r="AE149" s="6">
        <f t="shared" si="50"/>
        <v>0</v>
      </c>
      <c r="AF149" s="69">
        <f t="shared" si="51"/>
        <v>3.0243045529549999</v>
      </c>
      <c r="AG149" s="6">
        <f t="shared" si="52"/>
        <v>0</v>
      </c>
      <c r="AH149" s="6">
        <f t="shared" si="53"/>
        <v>604</v>
      </c>
    </row>
    <row r="150" spans="8:34" x14ac:dyDescent="0.25">
      <c r="H150" s="7">
        <v>157</v>
      </c>
      <c r="I150" s="7" t="s">
        <v>13</v>
      </c>
      <c r="J150" s="8">
        <v>38606</v>
      </c>
      <c r="K150" s="12" t="s">
        <v>17</v>
      </c>
      <c r="L150" s="9">
        <v>85</v>
      </c>
      <c r="M150" s="10">
        <v>256.55696414737832</v>
      </c>
      <c r="N150" s="7" t="s">
        <v>21</v>
      </c>
      <c r="P150" s="29" t="str">
        <f t="shared" si="36"/>
        <v/>
      </c>
      <c r="Q150" s="29" t="str">
        <f t="shared" si="37"/>
        <v/>
      </c>
      <c r="R150" s="29" t="str">
        <f t="shared" si="38"/>
        <v/>
      </c>
      <c r="S150" s="29" t="str">
        <f t="shared" si="39"/>
        <v/>
      </c>
      <c r="T150" s="32" t="str">
        <f t="shared" si="40"/>
        <v/>
      </c>
      <c r="U150" s="32">
        <f t="shared" si="43"/>
        <v>1</v>
      </c>
      <c r="V150" s="32" t="str">
        <f t="shared" si="44"/>
        <v/>
      </c>
      <c r="W150" s="41">
        <f t="shared" si="41"/>
        <v>3.0183172252632744</v>
      </c>
      <c r="X150" s="6">
        <f t="shared" si="42"/>
        <v>256.55696414737832</v>
      </c>
      <c r="Y150" s="7">
        <f t="shared" si="45"/>
        <v>70</v>
      </c>
      <c r="AA150" s="7">
        <f t="shared" si="46"/>
        <v>1</v>
      </c>
      <c r="AB150" s="7">
        <f t="shared" si="47"/>
        <v>85</v>
      </c>
      <c r="AC150" s="7">
        <f t="shared" si="48"/>
        <v>0</v>
      </c>
      <c r="AD150" s="7" t="str">
        <f t="shared" si="49"/>
        <v/>
      </c>
      <c r="AE150" s="6">
        <f t="shared" si="50"/>
        <v>0</v>
      </c>
      <c r="AF150" s="69">
        <f t="shared" si="51"/>
        <v>3.0183172252632744</v>
      </c>
      <c r="AG150" s="6">
        <f t="shared" si="52"/>
        <v>0</v>
      </c>
      <c r="AH150" s="6">
        <f t="shared" si="53"/>
        <v>604</v>
      </c>
    </row>
    <row r="151" spans="8:34" x14ac:dyDescent="0.25">
      <c r="H151" s="7">
        <v>158</v>
      </c>
      <c r="I151" s="7" t="s">
        <v>14</v>
      </c>
      <c r="J151" s="8">
        <v>38122</v>
      </c>
      <c r="K151" s="12" t="s">
        <v>18</v>
      </c>
      <c r="L151" s="9">
        <v>-3</v>
      </c>
      <c r="M151" s="10">
        <v>-7.083148189481113</v>
      </c>
      <c r="N151" s="7" t="s">
        <v>22</v>
      </c>
      <c r="P151" s="29" t="str">
        <f t="shared" si="36"/>
        <v/>
      </c>
      <c r="Q151" s="29">
        <f t="shared" si="37"/>
        <v>1</v>
      </c>
      <c r="R151" s="29" t="str">
        <f t="shared" si="38"/>
        <v/>
      </c>
      <c r="S151" s="29" t="str">
        <f t="shared" si="39"/>
        <v/>
      </c>
      <c r="T151" s="32" t="str">
        <f t="shared" si="40"/>
        <v/>
      </c>
      <c r="U151" s="32" t="str">
        <f t="shared" si="43"/>
        <v/>
      </c>
      <c r="V151" s="32" t="str">
        <f t="shared" si="44"/>
        <v/>
      </c>
      <c r="W151" s="41" t="str">
        <f t="shared" si="41"/>
        <v/>
      </c>
      <c r="X151" s="6">
        <f t="shared" si="42"/>
        <v>0</v>
      </c>
      <c r="Y151" s="7">
        <f t="shared" si="45"/>
        <v>567</v>
      </c>
      <c r="AA151" s="7">
        <f t="shared" si="46"/>
        <v>0</v>
      </c>
      <c r="AB151" s="7" t="str">
        <f t="shared" si="47"/>
        <v/>
      </c>
      <c r="AC151" s="7">
        <f t="shared" si="48"/>
        <v>0</v>
      </c>
      <c r="AD151" s="7" t="str">
        <f t="shared" si="49"/>
        <v/>
      </c>
      <c r="AE151" s="6">
        <f t="shared" si="50"/>
        <v>-3</v>
      </c>
      <c r="AF151" s="69" t="str">
        <f t="shared" si="51"/>
        <v/>
      </c>
      <c r="AG151" s="6">
        <f t="shared" si="52"/>
        <v>0</v>
      </c>
      <c r="AH151" s="6">
        <f t="shared" si="53"/>
        <v>604</v>
      </c>
    </row>
    <row r="152" spans="8:34" x14ac:dyDescent="0.25">
      <c r="H152" s="7">
        <v>159</v>
      </c>
      <c r="I152" s="7" t="s">
        <v>13</v>
      </c>
      <c r="J152" s="8">
        <v>38375</v>
      </c>
      <c r="K152" s="12" t="s">
        <v>17</v>
      </c>
      <c r="L152" s="9">
        <v>51</v>
      </c>
      <c r="M152" s="10">
        <v>154.48755641985605</v>
      </c>
      <c r="N152" s="7" t="s">
        <v>21</v>
      </c>
      <c r="P152" s="29" t="str">
        <f t="shared" si="36"/>
        <v/>
      </c>
      <c r="Q152" s="29" t="str">
        <f t="shared" si="37"/>
        <v/>
      </c>
      <c r="R152" s="29" t="str">
        <f t="shared" si="38"/>
        <v/>
      </c>
      <c r="S152" s="29" t="str">
        <f t="shared" si="39"/>
        <v/>
      </c>
      <c r="T152" s="32" t="str">
        <f t="shared" si="40"/>
        <v/>
      </c>
      <c r="U152" s="32">
        <f t="shared" si="43"/>
        <v>1</v>
      </c>
      <c r="V152" s="32" t="str">
        <f t="shared" si="44"/>
        <v/>
      </c>
      <c r="W152" s="41">
        <f t="shared" si="41"/>
        <v>3.0291677729383539</v>
      </c>
      <c r="X152" s="6">
        <f t="shared" si="42"/>
        <v>154.48755641985605</v>
      </c>
      <c r="Y152" s="7">
        <f t="shared" si="45"/>
        <v>262</v>
      </c>
      <c r="AA152" s="7">
        <f t="shared" si="46"/>
        <v>1</v>
      </c>
      <c r="AB152" s="7">
        <f t="shared" si="47"/>
        <v>51</v>
      </c>
      <c r="AC152" s="7">
        <f t="shared" si="48"/>
        <v>0</v>
      </c>
      <c r="AD152" s="7" t="str">
        <f t="shared" si="49"/>
        <v/>
      </c>
      <c r="AE152" s="6">
        <f t="shared" si="50"/>
        <v>0</v>
      </c>
      <c r="AF152" s="69">
        <f t="shared" si="51"/>
        <v>3.0291677729383539</v>
      </c>
      <c r="AG152" s="6">
        <f t="shared" si="52"/>
        <v>0</v>
      </c>
      <c r="AH152" s="6">
        <f t="shared" si="53"/>
        <v>604</v>
      </c>
    </row>
    <row r="153" spans="8:34" x14ac:dyDescent="0.25">
      <c r="H153" s="7">
        <v>160</v>
      </c>
      <c r="I153" s="7" t="s">
        <v>15</v>
      </c>
      <c r="J153" s="8">
        <v>38353</v>
      </c>
      <c r="K153" s="12" t="s">
        <v>17</v>
      </c>
      <c r="L153" s="9">
        <v>72</v>
      </c>
      <c r="M153" s="10">
        <v>217.42437258205749</v>
      </c>
      <c r="N153" s="7" t="s">
        <v>21</v>
      </c>
      <c r="P153" s="29" t="str">
        <f t="shared" si="36"/>
        <v/>
      </c>
      <c r="Q153" s="29" t="str">
        <f t="shared" si="37"/>
        <v/>
      </c>
      <c r="R153" s="29" t="str">
        <f t="shared" si="38"/>
        <v/>
      </c>
      <c r="S153" s="29" t="str">
        <f t="shared" si="39"/>
        <v/>
      </c>
      <c r="T153" s="32" t="str">
        <f t="shared" si="40"/>
        <v/>
      </c>
      <c r="U153" s="32">
        <f t="shared" si="43"/>
        <v>1</v>
      </c>
      <c r="V153" s="32" t="str">
        <f t="shared" si="44"/>
        <v/>
      </c>
      <c r="W153" s="41">
        <f t="shared" si="41"/>
        <v>3.0197829525285762</v>
      </c>
      <c r="X153" s="6">
        <f t="shared" si="42"/>
        <v>217.42437258205749</v>
      </c>
      <c r="Y153" s="7">
        <f t="shared" si="45"/>
        <v>146</v>
      </c>
      <c r="AA153" s="7">
        <f t="shared" si="46"/>
        <v>1</v>
      </c>
      <c r="AB153" s="7">
        <f t="shared" si="47"/>
        <v>72</v>
      </c>
      <c r="AC153" s="7">
        <f t="shared" si="48"/>
        <v>0</v>
      </c>
      <c r="AD153" s="7" t="str">
        <f t="shared" si="49"/>
        <v/>
      </c>
      <c r="AE153" s="6">
        <f t="shared" si="50"/>
        <v>0</v>
      </c>
      <c r="AF153" s="69">
        <f t="shared" si="51"/>
        <v>3.0197829525285762</v>
      </c>
      <c r="AG153" s="6">
        <f t="shared" si="52"/>
        <v>0</v>
      </c>
      <c r="AH153" s="6">
        <f t="shared" si="53"/>
        <v>604</v>
      </c>
    </row>
    <row r="154" spans="8:34" x14ac:dyDescent="0.25">
      <c r="H154" s="7">
        <v>161</v>
      </c>
      <c r="I154" s="7" t="s">
        <v>12</v>
      </c>
      <c r="J154" s="8">
        <v>38034</v>
      </c>
      <c r="K154" s="12" t="s">
        <v>17</v>
      </c>
      <c r="L154" s="9">
        <v>46</v>
      </c>
      <c r="M154" s="10">
        <v>139.92999594688814</v>
      </c>
      <c r="N154" s="7" t="s">
        <v>22</v>
      </c>
      <c r="P154" s="29">
        <f t="shared" si="36"/>
        <v>1</v>
      </c>
      <c r="Q154" s="29" t="str">
        <f t="shared" si="37"/>
        <v/>
      </c>
      <c r="R154" s="29" t="str">
        <f t="shared" si="38"/>
        <v/>
      </c>
      <c r="S154" s="29" t="str">
        <f t="shared" si="39"/>
        <v/>
      </c>
      <c r="T154" s="32" t="str">
        <f t="shared" si="40"/>
        <v/>
      </c>
      <c r="U154" s="32" t="str">
        <f t="shared" si="43"/>
        <v/>
      </c>
      <c r="V154" s="32" t="str">
        <f t="shared" si="44"/>
        <v/>
      </c>
      <c r="W154" s="41">
        <f t="shared" si="41"/>
        <v>3.0419564336280032</v>
      </c>
      <c r="X154" s="6">
        <f t="shared" si="42"/>
        <v>0</v>
      </c>
      <c r="Y154" s="7">
        <f t="shared" si="45"/>
        <v>567</v>
      </c>
      <c r="AA154" s="7">
        <f t="shared" si="46"/>
        <v>0</v>
      </c>
      <c r="AB154" s="7" t="str">
        <f t="shared" si="47"/>
        <v/>
      </c>
      <c r="AC154" s="7">
        <f t="shared" si="48"/>
        <v>0</v>
      </c>
      <c r="AD154" s="7" t="str">
        <f t="shared" si="49"/>
        <v/>
      </c>
      <c r="AE154" s="6">
        <f t="shared" si="50"/>
        <v>0</v>
      </c>
      <c r="AF154" s="69">
        <f t="shared" si="51"/>
        <v>3.0419564336280032</v>
      </c>
      <c r="AG154" s="6">
        <f t="shared" si="52"/>
        <v>139.92999594688814</v>
      </c>
      <c r="AH154" s="6">
        <f t="shared" si="53"/>
        <v>298</v>
      </c>
    </row>
    <row r="155" spans="8:34" x14ac:dyDescent="0.25">
      <c r="H155" s="7">
        <v>162</v>
      </c>
      <c r="I155" s="7" t="s">
        <v>8</v>
      </c>
      <c r="J155" s="8">
        <v>38408</v>
      </c>
      <c r="K155" s="12" t="s">
        <v>20</v>
      </c>
      <c r="L155" s="9">
        <v>-10</v>
      </c>
      <c r="M155" s="10">
        <v>-27.996195351956981</v>
      </c>
      <c r="N155" s="7" t="s">
        <v>21</v>
      </c>
      <c r="P155" s="29" t="str">
        <f t="shared" si="36"/>
        <v/>
      </c>
      <c r="Q155" s="29" t="str">
        <f t="shared" si="37"/>
        <v/>
      </c>
      <c r="R155" s="29" t="str">
        <f t="shared" si="38"/>
        <v/>
      </c>
      <c r="S155" s="29" t="str">
        <f t="shared" si="39"/>
        <v/>
      </c>
      <c r="T155" s="32" t="str">
        <f t="shared" si="40"/>
        <v/>
      </c>
      <c r="U155" s="32">
        <f t="shared" si="43"/>
        <v>1</v>
      </c>
      <c r="V155" s="32" t="str">
        <f t="shared" si="44"/>
        <v/>
      </c>
      <c r="W155" s="41" t="str">
        <f t="shared" si="41"/>
        <v/>
      </c>
      <c r="X155" s="6">
        <f t="shared" si="42"/>
        <v>-27.996195351956981</v>
      </c>
      <c r="Y155" s="7">
        <f t="shared" si="45"/>
        <v>1890</v>
      </c>
      <c r="AA155" s="7">
        <f t="shared" si="46"/>
        <v>1</v>
      </c>
      <c r="AB155" s="7">
        <f t="shared" si="47"/>
        <v>-10</v>
      </c>
      <c r="AC155" s="7">
        <f t="shared" si="48"/>
        <v>0</v>
      </c>
      <c r="AD155" s="7" t="str">
        <f t="shared" si="49"/>
        <v/>
      </c>
      <c r="AE155" s="6">
        <f t="shared" si="50"/>
        <v>-10</v>
      </c>
      <c r="AF155" s="69" t="str">
        <f t="shared" si="51"/>
        <v/>
      </c>
      <c r="AG155" s="6">
        <f t="shared" si="52"/>
        <v>0</v>
      </c>
      <c r="AH155" s="6">
        <f t="shared" si="53"/>
        <v>604</v>
      </c>
    </row>
    <row r="156" spans="8:34" x14ac:dyDescent="0.25">
      <c r="H156" s="7">
        <v>163</v>
      </c>
      <c r="I156" s="7" t="s">
        <v>15</v>
      </c>
      <c r="J156" s="8">
        <v>38573</v>
      </c>
      <c r="K156" s="12" t="s">
        <v>18</v>
      </c>
      <c r="L156" s="9">
        <v>-5</v>
      </c>
      <c r="M156" s="10">
        <v>-12.197238533968166</v>
      </c>
      <c r="N156" s="7" t="s">
        <v>21</v>
      </c>
      <c r="P156" s="29" t="str">
        <f t="shared" si="36"/>
        <v/>
      </c>
      <c r="Q156" s="29" t="str">
        <f t="shared" si="37"/>
        <v/>
      </c>
      <c r="R156" s="29" t="str">
        <f t="shared" si="38"/>
        <v/>
      </c>
      <c r="S156" s="29" t="str">
        <f t="shared" si="39"/>
        <v/>
      </c>
      <c r="T156" s="32" t="str">
        <f t="shared" si="40"/>
        <v/>
      </c>
      <c r="U156" s="32">
        <f t="shared" si="43"/>
        <v>1</v>
      </c>
      <c r="V156" s="32" t="str">
        <f t="shared" si="44"/>
        <v/>
      </c>
      <c r="W156" s="41" t="str">
        <f t="shared" si="41"/>
        <v/>
      </c>
      <c r="X156" s="6">
        <f t="shared" si="42"/>
        <v>-12.197238533968166</v>
      </c>
      <c r="Y156" s="7">
        <f t="shared" si="45"/>
        <v>1864</v>
      </c>
      <c r="AA156" s="7">
        <f t="shared" si="46"/>
        <v>1</v>
      </c>
      <c r="AB156" s="7">
        <f t="shared" si="47"/>
        <v>-5</v>
      </c>
      <c r="AC156" s="7">
        <f t="shared" si="48"/>
        <v>0</v>
      </c>
      <c r="AD156" s="7" t="str">
        <f t="shared" si="49"/>
        <v/>
      </c>
      <c r="AE156" s="6">
        <f t="shared" si="50"/>
        <v>-5</v>
      </c>
      <c r="AF156" s="69" t="str">
        <f t="shared" si="51"/>
        <v/>
      </c>
      <c r="AG156" s="6">
        <f t="shared" si="52"/>
        <v>0</v>
      </c>
      <c r="AH156" s="6">
        <f t="shared" si="53"/>
        <v>604</v>
      </c>
    </row>
    <row r="157" spans="8:34" x14ac:dyDescent="0.25">
      <c r="H157" s="7">
        <v>164</v>
      </c>
      <c r="I157" s="7" t="s">
        <v>8</v>
      </c>
      <c r="J157" s="8">
        <v>39002</v>
      </c>
      <c r="K157" s="12" t="s">
        <v>16</v>
      </c>
      <c r="L157" s="9">
        <v>16</v>
      </c>
      <c r="M157" s="10">
        <v>49.917622272183785</v>
      </c>
      <c r="N157" s="7" t="s">
        <v>24</v>
      </c>
      <c r="P157" s="29" t="str">
        <f t="shared" si="36"/>
        <v/>
      </c>
      <c r="Q157" s="29" t="str">
        <f t="shared" si="37"/>
        <v/>
      </c>
      <c r="R157" s="29" t="str">
        <f t="shared" si="38"/>
        <v/>
      </c>
      <c r="S157" s="29" t="str">
        <f t="shared" si="39"/>
        <v/>
      </c>
      <c r="T157" s="32" t="str">
        <f t="shared" si="40"/>
        <v/>
      </c>
      <c r="U157" s="32" t="str">
        <f t="shared" si="43"/>
        <v/>
      </c>
      <c r="V157" s="32">
        <f t="shared" si="44"/>
        <v>1</v>
      </c>
      <c r="W157" s="41">
        <f t="shared" si="41"/>
        <v>3.1198513920114865</v>
      </c>
      <c r="X157" s="6">
        <f t="shared" si="42"/>
        <v>0</v>
      </c>
      <c r="Y157" s="7">
        <f t="shared" si="45"/>
        <v>567</v>
      </c>
      <c r="AA157" s="7">
        <f t="shared" si="46"/>
        <v>0</v>
      </c>
      <c r="AB157" s="7" t="str">
        <f t="shared" si="47"/>
        <v/>
      </c>
      <c r="AC157" s="7">
        <f t="shared" si="48"/>
        <v>0</v>
      </c>
      <c r="AD157" s="7" t="str">
        <f t="shared" si="49"/>
        <v/>
      </c>
      <c r="AE157" s="6">
        <f t="shared" si="50"/>
        <v>0</v>
      </c>
      <c r="AF157" s="69">
        <f t="shared" si="51"/>
        <v>3.1198513920114865</v>
      </c>
      <c r="AG157" s="6">
        <f t="shared" si="52"/>
        <v>0</v>
      </c>
      <c r="AH157" s="6">
        <f t="shared" si="53"/>
        <v>604</v>
      </c>
    </row>
    <row r="158" spans="8:34" x14ac:dyDescent="0.25">
      <c r="H158" s="7">
        <v>165</v>
      </c>
      <c r="I158" s="7" t="s">
        <v>8</v>
      </c>
      <c r="J158" s="8">
        <v>38705</v>
      </c>
      <c r="K158" s="12" t="s">
        <v>18</v>
      </c>
      <c r="L158" s="9">
        <v>25</v>
      </c>
      <c r="M158" s="10">
        <v>76.986898914774684</v>
      </c>
      <c r="N158" s="7" t="s">
        <v>24</v>
      </c>
      <c r="P158" s="29" t="str">
        <f t="shared" si="36"/>
        <v/>
      </c>
      <c r="Q158" s="29" t="str">
        <f t="shared" si="37"/>
        <v/>
      </c>
      <c r="R158" s="29" t="str">
        <f t="shared" si="38"/>
        <v/>
      </c>
      <c r="S158" s="29" t="str">
        <f t="shared" si="39"/>
        <v/>
      </c>
      <c r="T158" s="32">
        <f t="shared" si="40"/>
        <v>1</v>
      </c>
      <c r="U158" s="32">
        <f t="shared" si="43"/>
        <v>1</v>
      </c>
      <c r="V158" s="32" t="str">
        <f t="shared" si="44"/>
        <v/>
      </c>
      <c r="W158" s="41">
        <f t="shared" si="41"/>
        <v>3.0794759565909873</v>
      </c>
      <c r="X158" s="6">
        <f t="shared" si="42"/>
        <v>76.986898914774684</v>
      </c>
      <c r="Y158" s="7">
        <f t="shared" si="45"/>
        <v>411</v>
      </c>
      <c r="AA158" s="7">
        <f t="shared" si="46"/>
        <v>0</v>
      </c>
      <c r="AB158" s="7" t="str">
        <f t="shared" si="47"/>
        <v/>
      </c>
      <c r="AC158" s="7">
        <f t="shared" si="48"/>
        <v>1</v>
      </c>
      <c r="AD158" s="7">
        <f t="shared" si="49"/>
        <v>25</v>
      </c>
      <c r="AE158" s="6">
        <f t="shared" si="50"/>
        <v>0</v>
      </c>
      <c r="AF158" s="69">
        <f t="shared" si="51"/>
        <v>3.0794759565909873</v>
      </c>
      <c r="AG158" s="6">
        <f t="shared" si="52"/>
        <v>0</v>
      </c>
      <c r="AH158" s="6">
        <f t="shared" si="53"/>
        <v>604</v>
      </c>
    </row>
    <row r="159" spans="8:34" x14ac:dyDescent="0.25">
      <c r="H159" s="7">
        <v>166</v>
      </c>
      <c r="I159" s="7" t="s">
        <v>13</v>
      </c>
      <c r="J159" s="8">
        <v>38441</v>
      </c>
      <c r="K159" s="12" t="s">
        <v>16</v>
      </c>
      <c r="L159" s="9">
        <v>49</v>
      </c>
      <c r="M159" s="10">
        <v>148.90711866414762</v>
      </c>
      <c r="N159" s="7" t="s">
        <v>22</v>
      </c>
      <c r="P159" s="29" t="str">
        <f t="shared" si="36"/>
        <v/>
      </c>
      <c r="Q159" s="29" t="str">
        <f t="shared" si="37"/>
        <v/>
      </c>
      <c r="R159" s="29" t="str">
        <f t="shared" si="38"/>
        <v/>
      </c>
      <c r="S159" s="29" t="str">
        <f t="shared" si="39"/>
        <v/>
      </c>
      <c r="T159" s="32" t="str">
        <f t="shared" si="40"/>
        <v/>
      </c>
      <c r="U159" s="32">
        <f t="shared" si="43"/>
        <v>1</v>
      </c>
      <c r="V159" s="32" t="str">
        <f t="shared" si="44"/>
        <v/>
      </c>
      <c r="W159" s="41">
        <f t="shared" si="41"/>
        <v>3.0389207890642371</v>
      </c>
      <c r="X159" s="6">
        <f t="shared" si="42"/>
        <v>148.90711866414762</v>
      </c>
      <c r="Y159" s="7">
        <f t="shared" si="45"/>
        <v>275</v>
      </c>
      <c r="AA159" s="7">
        <f t="shared" si="46"/>
        <v>1</v>
      </c>
      <c r="AB159" s="7">
        <f t="shared" si="47"/>
        <v>49</v>
      </c>
      <c r="AC159" s="7">
        <f t="shared" si="48"/>
        <v>0</v>
      </c>
      <c r="AD159" s="7" t="str">
        <f t="shared" si="49"/>
        <v/>
      </c>
      <c r="AE159" s="6">
        <f t="shared" si="50"/>
        <v>0</v>
      </c>
      <c r="AF159" s="69">
        <f t="shared" si="51"/>
        <v>3.0389207890642371</v>
      </c>
      <c r="AG159" s="6">
        <f t="shared" si="52"/>
        <v>0</v>
      </c>
      <c r="AH159" s="6">
        <f t="shared" si="53"/>
        <v>604</v>
      </c>
    </row>
    <row r="160" spans="8:34" x14ac:dyDescent="0.25">
      <c r="H160" s="7">
        <v>167</v>
      </c>
      <c r="I160" s="7" t="s">
        <v>7</v>
      </c>
      <c r="J160" s="8">
        <v>38067</v>
      </c>
      <c r="K160" s="12" t="s">
        <v>17</v>
      </c>
      <c r="L160" s="9">
        <v>21</v>
      </c>
      <c r="M160" s="10">
        <v>64.326659101878747</v>
      </c>
      <c r="N160" s="7" t="s">
        <v>23</v>
      </c>
      <c r="P160" s="29">
        <f t="shared" si="36"/>
        <v>1</v>
      </c>
      <c r="Q160" s="29" t="str">
        <f t="shared" si="37"/>
        <v/>
      </c>
      <c r="R160" s="29" t="str">
        <f t="shared" si="38"/>
        <v/>
      </c>
      <c r="S160" s="29" t="str">
        <f t="shared" si="39"/>
        <v/>
      </c>
      <c r="T160" s="32" t="str">
        <f t="shared" si="40"/>
        <v/>
      </c>
      <c r="U160" s="32" t="str">
        <f t="shared" si="43"/>
        <v/>
      </c>
      <c r="V160" s="32" t="str">
        <f t="shared" si="44"/>
        <v/>
      </c>
      <c r="W160" s="41">
        <f t="shared" si="41"/>
        <v>3.0631742429466069</v>
      </c>
      <c r="X160" s="6">
        <f t="shared" si="42"/>
        <v>0</v>
      </c>
      <c r="Y160" s="7">
        <f t="shared" si="45"/>
        <v>567</v>
      </c>
      <c r="AA160" s="7">
        <f t="shared" si="46"/>
        <v>0</v>
      </c>
      <c r="AB160" s="7" t="str">
        <f t="shared" si="47"/>
        <v/>
      </c>
      <c r="AC160" s="7">
        <f t="shared" si="48"/>
        <v>0</v>
      </c>
      <c r="AD160" s="7" t="str">
        <f t="shared" si="49"/>
        <v/>
      </c>
      <c r="AE160" s="6">
        <f t="shared" si="50"/>
        <v>0</v>
      </c>
      <c r="AF160" s="69">
        <f t="shared" si="51"/>
        <v>3.0631742429466069</v>
      </c>
      <c r="AG160" s="6">
        <f t="shared" si="52"/>
        <v>64.326659101878747</v>
      </c>
      <c r="AH160" s="6">
        <f t="shared" si="53"/>
        <v>455</v>
      </c>
    </row>
    <row r="161" spans="8:34" x14ac:dyDescent="0.25">
      <c r="H161" s="7">
        <v>168</v>
      </c>
      <c r="I161" s="7" t="s">
        <v>12</v>
      </c>
      <c r="J161" s="8">
        <v>38859</v>
      </c>
      <c r="K161" s="12" t="s">
        <v>17</v>
      </c>
      <c r="L161" s="9">
        <v>29</v>
      </c>
      <c r="M161" s="10">
        <v>88.984161458299795</v>
      </c>
      <c r="N161" s="7" t="s">
        <v>21</v>
      </c>
      <c r="P161" s="29" t="str">
        <f t="shared" si="36"/>
        <v/>
      </c>
      <c r="Q161" s="29" t="str">
        <f t="shared" si="37"/>
        <v/>
      </c>
      <c r="R161" s="29" t="str">
        <f t="shared" si="38"/>
        <v/>
      </c>
      <c r="S161" s="29" t="str">
        <f t="shared" si="39"/>
        <v/>
      </c>
      <c r="T161" s="32" t="str">
        <f t="shared" si="40"/>
        <v/>
      </c>
      <c r="U161" s="32" t="str">
        <f t="shared" si="43"/>
        <v/>
      </c>
      <c r="V161" s="32">
        <f t="shared" si="44"/>
        <v>1</v>
      </c>
      <c r="W161" s="41">
        <f t="shared" si="41"/>
        <v>3.0684193606310273</v>
      </c>
      <c r="X161" s="6">
        <f t="shared" si="42"/>
        <v>0</v>
      </c>
      <c r="Y161" s="7">
        <f t="shared" si="45"/>
        <v>567</v>
      </c>
      <c r="AA161" s="7">
        <f t="shared" si="46"/>
        <v>0</v>
      </c>
      <c r="AB161" s="7" t="str">
        <f t="shared" si="47"/>
        <v/>
      </c>
      <c r="AC161" s="7">
        <f t="shared" si="48"/>
        <v>0</v>
      </c>
      <c r="AD161" s="7" t="str">
        <f t="shared" si="49"/>
        <v/>
      </c>
      <c r="AE161" s="6">
        <f t="shared" si="50"/>
        <v>0</v>
      </c>
      <c r="AF161" s="69">
        <f t="shared" si="51"/>
        <v>3.0684193606310273</v>
      </c>
      <c r="AG161" s="6">
        <f t="shared" si="52"/>
        <v>0</v>
      </c>
      <c r="AH161" s="6">
        <f t="shared" si="53"/>
        <v>604</v>
      </c>
    </row>
    <row r="162" spans="8:34" x14ac:dyDescent="0.25">
      <c r="H162" s="7">
        <v>169</v>
      </c>
      <c r="I162" s="7" t="s">
        <v>9</v>
      </c>
      <c r="J162" s="8">
        <v>38034</v>
      </c>
      <c r="K162" s="12" t="s">
        <v>17</v>
      </c>
      <c r="L162" s="9">
        <v>63</v>
      </c>
      <c r="M162" s="10">
        <v>191.11407977738014</v>
      </c>
      <c r="N162" s="7" t="s">
        <v>24</v>
      </c>
      <c r="P162" s="29">
        <f t="shared" si="36"/>
        <v>1</v>
      </c>
      <c r="Q162" s="29" t="str">
        <f t="shared" si="37"/>
        <v/>
      </c>
      <c r="R162" s="29" t="str">
        <f t="shared" si="38"/>
        <v/>
      </c>
      <c r="S162" s="29" t="str">
        <f t="shared" si="39"/>
        <v/>
      </c>
      <c r="T162" s="32" t="str">
        <f t="shared" si="40"/>
        <v/>
      </c>
      <c r="U162" s="32" t="str">
        <f t="shared" si="43"/>
        <v/>
      </c>
      <c r="V162" s="32" t="str">
        <f t="shared" si="44"/>
        <v/>
      </c>
      <c r="W162" s="41">
        <f t="shared" si="41"/>
        <v>3.033556821863177</v>
      </c>
      <c r="X162" s="6">
        <f t="shared" si="42"/>
        <v>0</v>
      </c>
      <c r="Y162" s="7">
        <f t="shared" si="45"/>
        <v>567</v>
      </c>
      <c r="AA162" s="7">
        <f t="shared" si="46"/>
        <v>0</v>
      </c>
      <c r="AB162" s="7" t="str">
        <f t="shared" si="47"/>
        <v/>
      </c>
      <c r="AC162" s="7">
        <f t="shared" si="48"/>
        <v>0</v>
      </c>
      <c r="AD162" s="7" t="str">
        <f t="shared" si="49"/>
        <v/>
      </c>
      <c r="AE162" s="6">
        <f t="shared" si="50"/>
        <v>0</v>
      </c>
      <c r="AF162" s="69">
        <f t="shared" si="51"/>
        <v>3.033556821863177</v>
      </c>
      <c r="AG162" s="6">
        <f t="shared" si="52"/>
        <v>191.11407977738014</v>
      </c>
      <c r="AH162" s="6">
        <f t="shared" si="53"/>
        <v>192</v>
      </c>
    </row>
    <row r="163" spans="8:34" x14ac:dyDescent="0.25">
      <c r="H163" s="7">
        <v>170</v>
      </c>
      <c r="I163" s="7" t="s">
        <v>14</v>
      </c>
      <c r="J163" s="8">
        <v>38881</v>
      </c>
      <c r="K163" s="12" t="s">
        <v>17</v>
      </c>
      <c r="L163" s="9">
        <v>21</v>
      </c>
      <c r="M163" s="10">
        <v>64.602960723055489</v>
      </c>
      <c r="N163" s="7" t="s">
        <v>21</v>
      </c>
      <c r="P163" s="29" t="str">
        <f t="shared" si="36"/>
        <v/>
      </c>
      <c r="Q163" s="29" t="str">
        <f t="shared" si="37"/>
        <v/>
      </c>
      <c r="R163" s="29" t="str">
        <f t="shared" si="38"/>
        <v/>
      </c>
      <c r="S163" s="29" t="str">
        <f t="shared" si="39"/>
        <v/>
      </c>
      <c r="T163" s="32" t="str">
        <f t="shared" si="40"/>
        <v/>
      </c>
      <c r="U163" s="32" t="str">
        <f t="shared" si="43"/>
        <v/>
      </c>
      <c r="V163" s="32">
        <f t="shared" si="44"/>
        <v>1</v>
      </c>
      <c r="W163" s="41">
        <f t="shared" si="41"/>
        <v>3.0763314630026422</v>
      </c>
      <c r="X163" s="6">
        <f t="shared" si="42"/>
        <v>0</v>
      </c>
      <c r="Y163" s="7">
        <f t="shared" si="45"/>
        <v>567</v>
      </c>
      <c r="AA163" s="7">
        <f t="shared" si="46"/>
        <v>0</v>
      </c>
      <c r="AB163" s="7" t="str">
        <f t="shared" si="47"/>
        <v/>
      </c>
      <c r="AC163" s="7">
        <f t="shared" si="48"/>
        <v>0</v>
      </c>
      <c r="AD163" s="7" t="str">
        <f t="shared" si="49"/>
        <v/>
      </c>
      <c r="AE163" s="6">
        <f t="shared" si="50"/>
        <v>0</v>
      </c>
      <c r="AF163" s="69">
        <f t="shared" si="51"/>
        <v>3.0763314630026422</v>
      </c>
      <c r="AG163" s="6">
        <f t="shared" si="52"/>
        <v>0</v>
      </c>
      <c r="AH163" s="6">
        <f t="shared" si="53"/>
        <v>604</v>
      </c>
    </row>
    <row r="164" spans="8:34" x14ac:dyDescent="0.25">
      <c r="H164" s="7">
        <v>171</v>
      </c>
      <c r="I164" s="7" t="s">
        <v>7</v>
      </c>
      <c r="J164" s="8">
        <v>38639</v>
      </c>
      <c r="K164" s="12" t="s">
        <v>18</v>
      </c>
      <c r="L164" s="9">
        <v>93</v>
      </c>
      <c r="M164" s="10">
        <v>280.17276926587908</v>
      </c>
      <c r="N164" s="7" t="s">
        <v>23</v>
      </c>
      <c r="P164" s="29" t="str">
        <f t="shared" si="36"/>
        <v/>
      </c>
      <c r="Q164" s="29" t="str">
        <f t="shared" si="37"/>
        <v/>
      </c>
      <c r="R164" s="29" t="str">
        <f t="shared" si="38"/>
        <v/>
      </c>
      <c r="S164" s="29" t="str">
        <f t="shared" si="39"/>
        <v/>
      </c>
      <c r="T164" s="32">
        <f t="shared" si="40"/>
        <v>1</v>
      </c>
      <c r="U164" s="32">
        <f t="shared" si="43"/>
        <v>1</v>
      </c>
      <c r="V164" s="32" t="str">
        <f t="shared" si="44"/>
        <v/>
      </c>
      <c r="W164" s="41">
        <f t="shared" si="41"/>
        <v>3.0126104222137537</v>
      </c>
      <c r="X164" s="6">
        <f t="shared" si="42"/>
        <v>280.17276926587908</v>
      </c>
      <c r="Y164" s="7">
        <f t="shared" si="45"/>
        <v>27</v>
      </c>
      <c r="AA164" s="7">
        <f t="shared" si="46"/>
        <v>0</v>
      </c>
      <c r="AB164" s="7" t="str">
        <f t="shared" si="47"/>
        <v/>
      </c>
      <c r="AC164" s="7">
        <f t="shared" si="48"/>
        <v>1</v>
      </c>
      <c r="AD164" s="7">
        <f t="shared" si="49"/>
        <v>93</v>
      </c>
      <c r="AE164" s="6">
        <f t="shared" si="50"/>
        <v>0</v>
      </c>
      <c r="AF164" s="69">
        <f t="shared" si="51"/>
        <v>3.0126104222137537</v>
      </c>
      <c r="AG164" s="6">
        <f t="shared" si="52"/>
        <v>0</v>
      </c>
      <c r="AH164" s="6">
        <f t="shared" si="53"/>
        <v>604</v>
      </c>
    </row>
    <row r="165" spans="8:34" x14ac:dyDescent="0.25">
      <c r="H165" s="7">
        <v>172</v>
      </c>
      <c r="I165" s="7" t="s">
        <v>11</v>
      </c>
      <c r="J165" s="8">
        <v>38045</v>
      </c>
      <c r="K165" s="12" t="s">
        <v>18</v>
      </c>
      <c r="L165" s="9">
        <v>55</v>
      </c>
      <c r="M165" s="10">
        <v>167.55415680156585</v>
      </c>
      <c r="N165" s="7" t="s">
        <v>21</v>
      </c>
      <c r="P165" s="29">
        <f t="shared" si="36"/>
        <v>1</v>
      </c>
      <c r="Q165" s="29" t="str">
        <f t="shared" si="37"/>
        <v/>
      </c>
      <c r="R165" s="29" t="str">
        <f t="shared" si="38"/>
        <v/>
      </c>
      <c r="S165" s="29" t="str">
        <f t="shared" si="39"/>
        <v/>
      </c>
      <c r="T165" s="32" t="str">
        <f t="shared" si="40"/>
        <v/>
      </c>
      <c r="U165" s="32" t="str">
        <f t="shared" si="43"/>
        <v/>
      </c>
      <c r="V165" s="32" t="str">
        <f t="shared" si="44"/>
        <v/>
      </c>
      <c r="W165" s="41">
        <f t="shared" si="41"/>
        <v>3.0464392145739247</v>
      </c>
      <c r="X165" s="6">
        <f t="shared" si="42"/>
        <v>0</v>
      </c>
      <c r="Y165" s="7">
        <f t="shared" si="45"/>
        <v>567</v>
      </c>
      <c r="AA165" s="7">
        <f t="shared" si="46"/>
        <v>0</v>
      </c>
      <c r="AB165" s="7" t="str">
        <f t="shared" si="47"/>
        <v/>
      </c>
      <c r="AC165" s="7">
        <f t="shared" si="48"/>
        <v>0</v>
      </c>
      <c r="AD165" s="7" t="str">
        <f t="shared" si="49"/>
        <v/>
      </c>
      <c r="AE165" s="6">
        <f t="shared" si="50"/>
        <v>0</v>
      </c>
      <c r="AF165" s="69">
        <f t="shared" si="51"/>
        <v>3.0464392145739247</v>
      </c>
      <c r="AG165" s="6">
        <f t="shared" si="52"/>
        <v>167.55415680156585</v>
      </c>
      <c r="AH165" s="6">
        <f t="shared" si="53"/>
        <v>244</v>
      </c>
    </row>
    <row r="166" spans="8:34" x14ac:dyDescent="0.25">
      <c r="H166" s="7">
        <v>173</v>
      </c>
      <c r="I166" s="7" t="s">
        <v>13</v>
      </c>
      <c r="J166" s="8">
        <v>38914</v>
      </c>
      <c r="K166" s="12" t="s">
        <v>18</v>
      </c>
      <c r="L166" s="9">
        <v>14</v>
      </c>
      <c r="M166" s="10">
        <v>43.897196992459193</v>
      </c>
      <c r="N166" s="7" t="s">
        <v>21</v>
      </c>
      <c r="P166" s="29" t="str">
        <f t="shared" si="36"/>
        <v/>
      </c>
      <c r="Q166" s="29" t="str">
        <f t="shared" si="37"/>
        <v/>
      </c>
      <c r="R166" s="29" t="str">
        <f t="shared" si="38"/>
        <v/>
      </c>
      <c r="S166" s="29" t="str">
        <f t="shared" si="39"/>
        <v/>
      </c>
      <c r="T166" s="32" t="str">
        <f t="shared" si="40"/>
        <v/>
      </c>
      <c r="U166" s="32" t="str">
        <f t="shared" si="43"/>
        <v/>
      </c>
      <c r="V166" s="32">
        <f t="shared" si="44"/>
        <v>1</v>
      </c>
      <c r="W166" s="41">
        <f t="shared" si="41"/>
        <v>3.1355140708899425</v>
      </c>
      <c r="X166" s="6">
        <f t="shared" si="42"/>
        <v>0</v>
      </c>
      <c r="Y166" s="7">
        <f t="shared" si="45"/>
        <v>567</v>
      </c>
      <c r="AA166" s="7">
        <f t="shared" si="46"/>
        <v>0</v>
      </c>
      <c r="AB166" s="7" t="str">
        <f t="shared" si="47"/>
        <v/>
      </c>
      <c r="AC166" s="7">
        <f t="shared" si="48"/>
        <v>0</v>
      </c>
      <c r="AD166" s="7" t="str">
        <f t="shared" si="49"/>
        <v/>
      </c>
      <c r="AE166" s="6">
        <f t="shared" si="50"/>
        <v>0</v>
      </c>
      <c r="AF166" s="69">
        <f t="shared" si="51"/>
        <v>3.1355140708899425</v>
      </c>
      <c r="AG166" s="6">
        <f t="shared" si="52"/>
        <v>0</v>
      </c>
      <c r="AH166" s="6">
        <f t="shared" si="53"/>
        <v>604</v>
      </c>
    </row>
    <row r="167" spans="8:34" x14ac:dyDescent="0.25">
      <c r="H167" s="7">
        <v>174</v>
      </c>
      <c r="I167" s="7" t="s">
        <v>14</v>
      </c>
      <c r="J167" s="8">
        <v>38056</v>
      </c>
      <c r="K167" s="12" t="s">
        <v>19</v>
      </c>
      <c r="L167" s="9">
        <v>91</v>
      </c>
      <c r="M167" s="10">
        <v>275.24479602731037</v>
      </c>
      <c r="N167" s="7" t="s">
        <v>21</v>
      </c>
      <c r="P167" s="29">
        <f t="shared" si="36"/>
        <v>1</v>
      </c>
      <c r="Q167" s="29" t="str">
        <f t="shared" si="37"/>
        <v/>
      </c>
      <c r="R167" s="29" t="str">
        <f t="shared" si="38"/>
        <v/>
      </c>
      <c r="S167" s="29" t="str">
        <f t="shared" si="39"/>
        <v/>
      </c>
      <c r="T167" s="32" t="str">
        <f t="shared" si="40"/>
        <v/>
      </c>
      <c r="U167" s="32" t="str">
        <f t="shared" si="43"/>
        <v/>
      </c>
      <c r="V167" s="32" t="str">
        <f t="shared" si="44"/>
        <v/>
      </c>
      <c r="W167" s="41">
        <f t="shared" si="41"/>
        <v>3.0246680882122017</v>
      </c>
      <c r="X167" s="6">
        <f t="shared" si="42"/>
        <v>0</v>
      </c>
      <c r="Y167" s="7">
        <f t="shared" si="45"/>
        <v>567</v>
      </c>
      <c r="AA167" s="7">
        <f t="shared" si="46"/>
        <v>0</v>
      </c>
      <c r="AB167" s="7" t="str">
        <f t="shared" si="47"/>
        <v/>
      </c>
      <c r="AC167" s="7">
        <f t="shared" si="48"/>
        <v>0</v>
      </c>
      <c r="AD167" s="7" t="str">
        <f t="shared" si="49"/>
        <v/>
      </c>
      <c r="AE167" s="6">
        <f t="shared" si="50"/>
        <v>0</v>
      </c>
      <c r="AF167" s="69">
        <f t="shared" si="51"/>
        <v>3.0246680882122017</v>
      </c>
      <c r="AG167" s="6">
        <f t="shared" si="52"/>
        <v>275.24479602731037</v>
      </c>
      <c r="AH167" s="6">
        <f t="shared" si="53"/>
        <v>27</v>
      </c>
    </row>
    <row r="168" spans="8:34" x14ac:dyDescent="0.25">
      <c r="H168" s="7">
        <v>175</v>
      </c>
      <c r="I168" s="7" t="s">
        <v>13</v>
      </c>
      <c r="J168" s="8">
        <v>38100</v>
      </c>
      <c r="K168" s="12" t="s">
        <v>16</v>
      </c>
      <c r="L168" s="9">
        <v>80</v>
      </c>
      <c r="M168" s="10">
        <v>242.44859600981886</v>
      </c>
      <c r="N168" s="7" t="s">
        <v>21</v>
      </c>
      <c r="P168" s="29" t="str">
        <f t="shared" si="36"/>
        <v/>
      </c>
      <c r="Q168" s="29">
        <f t="shared" si="37"/>
        <v>1</v>
      </c>
      <c r="R168" s="29" t="str">
        <f t="shared" si="38"/>
        <v/>
      </c>
      <c r="S168" s="29" t="str">
        <f t="shared" si="39"/>
        <v/>
      </c>
      <c r="T168" s="32" t="str">
        <f t="shared" si="40"/>
        <v/>
      </c>
      <c r="U168" s="32" t="str">
        <f t="shared" si="43"/>
        <v/>
      </c>
      <c r="V168" s="32" t="str">
        <f t="shared" si="44"/>
        <v/>
      </c>
      <c r="W168" s="41">
        <f t="shared" si="41"/>
        <v>3.0306074501227358</v>
      </c>
      <c r="X168" s="6">
        <f t="shared" si="42"/>
        <v>0</v>
      </c>
      <c r="Y168" s="7">
        <f t="shared" si="45"/>
        <v>567</v>
      </c>
      <c r="AA168" s="7">
        <f t="shared" si="46"/>
        <v>0</v>
      </c>
      <c r="AB168" s="7" t="str">
        <f t="shared" si="47"/>
        <v/>
      </c>
      <c r="AC168" s="7">
        <f t="shared" si="48"/>
        <v>0</v>
      </c>
      <c r="AD168" s="7" t="str">
        <f t="shared" si="49"/>
        <v/>
      </c>
      <c r="AE168" s="6">
        <f t="shared" si="50"/>
        <v>0</v>
      </c>
      <c r="AF168" s="69">
        <f t="shared" si="51"/>
        <v>3.0306074501227358</v>
      </c>
      <c r="AG168" s="6">
        <f t="shared" si="52"/>
        <v>242.44859600981886</v>
      </c>
      <c r="AH168" s="6">
        <f t="shared" si="53"/>
        <v>81</v>
      </c>
    </row>
    <row r="169" spans="8:34" x14ac:dyDescent="0.25">
      <c r="H169" s="7">
        <v>176</v>
      </c>
      <c r="I169" s="7" t="s">
        <v>7</v>
      </c>
      <c r="J169" s="8">
        <v>38683</v>
      </c>
      <c r="K169" s="12" t="s">
        <v>16</v>
      </c>
      <c r="L169" s="9">
        <v>70</v>
      </c>
      <c r="M169" s="10">
        <v>211.755231476809</v>
      </c>
      <c r="N169" s="7" t="s">
        <v>21</v>
      </c>
      <c r="P169" s="29" t="str">
        <f t="shared" si="36"/>
        <v/>
      </c>
      <c r="Q169" s="29" t="str">
        <f t="shared" si="37"/>
        <v/>
      </c>
      <c r="R169" s="29" t="str">
        <f t="shared" si="38"/>
        <v/>
      </c>
      <c r="S169" s="29" t="str">
        <f t="shared" si="39"/>
        <v/>
      </c>
      <c r="T169" s="32">
        <f t="shared" si="40"/>
        <v>1</v>
      </c>
      <c r="U169" s="32">
        <f t="shared" si="43"/>
        <v>1</v>
      </c>
      <c r="V169" s="32" t="str">
        <f t="shared" si="44"/>
        <v/>
      </c>
      <c r="W169" s="41">
        <f t="shared" si="41"/>
        <v>3.0250747353829857</v>
      </c>
      <c r="X169" s="6">
        <f t="shared" si="42"/>
        <v>211.755231476809</v>
      </c>
      <c r="Y169" s="7">
        <f t="shared" si="45"/>
        <v>160</v>
      </c>
      <c r="AA169" s="7">
        <f t="shared" si="46"/>
        <v>0</v>
      </c>
      <c r="AB169" s="7" t="str">
        <f t="shared" si="47"/>
        <v/>
      </c>
      <c r="AC169" s="7">
        <f t="shared" si="48"/>
        <v>1</v>
      </c>
      <c r="AD169" s="7">
        <f t="shared" si="49"/>
        <v>70</v>
      </c>
      <c r="AE169" s="6">
        <f t="shared" si="50"/>
        <v>0</v>
      </c>
      <c r="AF169" s="69">
        <f t="shared" si="51"/>
        <v>3.0250747353829857</v>
      </c>
      <c r="AG169" s="6">
        <f t="shared" si="52"/>
        <v>0</v>
      </c>
      <c r="AH169" s="6">
        <f t="shared" si="53"/>
        <v>604</v>
      </c>
    </row>
    <row r="170" spans="8:34" x14ac:dyDescent="0.25">
      <c r="H170" s="7">
        <v>177</v>
      </c>
      <c r="I170" s="7" t="s">
        <v>15</v>
      </c>
      <c r="J170" s="8">
        <v>38188</v>
      </c>
      <c r="K170" s="12" t="s">
        <v>20</v>
      </c>
      <c r="L170" s="9">
        <v>54</v>
      </c>
      <c r="M170" s="10">
        <v>164.30496670412208</v>
      </c>
      <c r="N170" s="7" t="s">
        <v>23</v>
      </c>
      <c r="P170" s="29" t="str">
        <f t="shared" si="36"/>
        <v/>
      </c>
      <c r="Q170" s="29" t="str">
        <f t="shared" si="37"/>
        <v/>
      </c>
      <c r="R170" s="29">
        <f t="shared" si="38"/>
        <v>1</v>
      </c>
      <c r="S170" s="29" t="str">
        <f t="shared" si="39"/>
        <v/>
      </c>
      <c r="T170" s="32" t="str">
        <f t="shared" si="40"/>
        <v/>
      </c>
      <c r="U170" s="32" t="str">
        <f t="shared" si="43"/>
        <v/>
      </c>
      <c r="V170" s="32" t="str">
        <f t="shared" si="44"/>
        <v/>
      </c>
      <c r="W170" s="41">
        <f t="shared" si="41"/>
        <v>3.0426845685948534</v>
      </c>
      <c r="X170" s="6">
        <f t="shared" si="42"/>
        <v>0</v>
      </c>
      <c r="Y170" s="7">
        <f t="shared" si="45"/>
        <v>567</v>
      </c>
      <c r="AA170" s="7">
        <f t="shared" si="46"/>
        <v>0</v>
      </c>
      <c r="AB170" s="7" t="str">
        <f t="shared" si="47"/>
        <v/>
      </c>
      <c r="AC170" s="7">
        <f t="shared" si="48"/>
        <v>0</v>
      </c>
      <c r="AD170" s="7" t="str">
        <f t="shared" si="49"/>
        <v/>
      </c>
      <c r="AE170" s="6">
        <f t="shared" si="50"/>
        <v>0</v>
      </c>
      <c r="AF170" s="69">
        <f t="shared" si="51"/>
        <v>3.0426845685948534</v>
      </c>
      <c r="AG170" s="6">
        <f t="shared" si="52"/>
        <v>164.30496670412208</v>
      </c>
      <c r="AH170" s="6">
        <f t="shared" si="53"/>
        <v>252</v>
      </c>
    </row>
    <row r="171" spans="8:34" x14ac:dyDescent="0.25">
      <c r="H171" s="7">
        <v>178</v>
      </c>
      <c r="I171" s="7" t="s">
        <v>9</v>
      </c>
      <c r="J171" s="8">
        <v>38705</v>
      </c>
      <c r="K171" s="12" t="s">
        <v>20</v>
      </c>
      <c r="L171" s="9">
        <v>19</v>
      </c>
      <c r="M171" s="10">
        <v>58.362898336492826</v>
      </c>
      <c r="N171" s="7" t="s">
        <v>24</v>
      </c>
      <c r="P171" s="29" t="str">
        <f t="shared" si="36"/>
        <v/>
      </c>
      <c r="Q171" s="29" t="str">
        <f t="shared" si="37"/>
        <v/>
      </c>
      <c r="R171" s="29" t="str">
        <f t="shared" si="38"/>
        <v/>
      </c>
      <c r="S171" s="29" t="str">
        <f t="shared" si="39"/>
        <v/>
      </c>
      <c r="T171" s="32">
        <f t="shared" si="40"/>
        <v>1</v>
      </c>
      <c r="U171" s="32">
        <f t="shared" si="43"/>
        <v>1</v>
      </c>
      <c r="V171" s="32" t="str">
        <f t="shared" si="44"/>
        <v/>
      </c>
      <c r="W171" s="41">
        <f t="shared" si="41"/>
        <v>3.0717314913943592</v>
      </c>
      <c r="X171" s="6">
        <f t="shared" si="42"/>
        <v>58.362898336492826</v>
      </c>
      <c r="Y171" s="7">
        <f t="shared" si="45"/>
        <v>448</v>
      </c>
      <c r="AA171" s="7">
        <f t="shared" si="46"/>
        <v>0</v>
      </c>
      <c r="AB171" s="7" t="str">
        <f t="shared" si="47"/>
        <v/>
      </c>
      <c r="AC171" s="7">
        <f t="shared" si="48"/>
        <v>1</v>
      </c>
      <c r="AD171" s="7">
        <f t="shared" si="49"/>
        <v>19</v>
      </c>
      <c r="AE171" s="6">
        <f t="shared" si="50"/>
        <v>0</v>
      </c>
      <c r="AF171" s="69">
        <f t="shared" si="51"/>
        <v>3.0717314913943592</v>
      </c>
      <c r="AG171" s="6">
        <f t="shared" si="52"/>
        <v>0</v>
      </c>
      <c r="AH171" s="6">
        <f t="shared" si="53"/>
        <v>604</v>
      </c>
    </row>
    <row r="172" spans="8:34" x14ac:dyDescent="0.25">
      <c r="H172" s="7">
        <v>179</v>
      </c>
      <c r="I172" s="7" t="s">
        <v>8</v>
      </c>
      <c r="J172" s="8">
        <v>38617</v>
      </c>
      <c r="K172" s="12" t="s">
        <v>18</v>
      </c>
      <c r="L172" s="9">
        <v>38</v>
      </c>
      <c r="M172" s="10">
        <v>115.82878872794043</v>
      </c>
      <c r="N172" s="7" t="s">
        <v>21</v>
      </c>
      <c r="P172" s="29" t="str">
        <f t="shared" si="36"/>
        <v/>
      </c>
      <c r="Q172" s="29" t="str">
        <f t="shared" si="37"/>
        <v/>
      </c>
      <c r="R172" s="29" t="str">
        <f t="shared" si="38"/>
        <v/>
      </c>
      <c r="S172" s="29" t="str">
        <f t="shared" si="39"/>
        <v/>
      </c>
      <c r="T172" s="32" t="str">
        <f t="shared" si="40"/>
        <v/>
      </c>
      <c r="U172" s="32">
        <f t="shared" si="43"/>
        <v>1</v>
      </c>
      <c r="V172" s="32" t="str">
        <f t="shared" si="44"/>
        <v/>
      </c>
      <c r="W172" s="41">
        <f t="shared" si="41"/>
        <v>3.0481260191563271</v>
      </c>
      <c r="X172" s="6">
        <f t="shared" si="42"/>
        <v>115.82878872794043</v>
      </c>
      <c r="Y172" s="7">
        <f t="shared" si="45"/>
        <v>327</v>
      </c>
      <c r="AA172" s="7">
        <f t="shared" si="46"/>
        <v>1</v>
      </c>
      <c r="AB172" s="7">
        <f t="shared" si="47"/>
        <v>38</v>
      </c>
      <c r="AC172" s="7">
        <f t="shared" si="48"/>
        <v>0</v>
      </c>
      <c r="AD172" s="7" t="str">
        <f t="shared" si="49"/>
        <v/>
      </c>
      <c r="AE172" s="6">
        <f t="shared" si="50"/>
        <v>0</v>
      </c>
      <c r="AF172" s="69">
        <f t="shared" si="51"/>
        <v>3.0481260191563271</v>
      </c>
      <c r="AG172" s="6">
        <f t="shared" si="52"/>
        <v>0</v>
      </c>
      <c r="AH172" s="6">
        <f t="shared" si="53"/>
        <v>604</v>
      </c>
    </row>
    <row r="173" spans="8:34" x14ac:dyDescent="0.25">
      <c r="H173" s="7">
        <v>180</v>
      </c>
      <c r="I173" s="7" t="s">
        <v>11</v>
      </c>
      <c r="J173" s="8">
        <v>38133</v>
      </c>
      <c r="K173" s="12" t="s">
        <v>19</v>
      </c>
      <c r="L173" s="9">
        <v>60</v>
      </c>
      <c r="M173" s="10">
        <v>182.02229380076153</v>
      </c>
      <c r="N173" s="7" t="s">
        <v>24</v>
      </c>
      <c r="P173" s="29" t="str">
        <f t="shared" si="36"/>
        <v/>
      </c>
      <c r="Q173" s="29">
        <f t="shared" si="37"/>
        <v>1</v>
      </c>
      <c r="R173" s="29" t="str">
        <f t="shared" si="38"/>
        <v/>
      </c>
      <c r="S173" s="29" t="str">
        <f t="shared" si="39"/>
        <v/>
      </c>
      <c r="T173" s="32" t="str">
        <f t="shared" si="40"/>
        <v/>
      </c>
      <c r="U173" s="32" t="str">
        <f t="shared" si="43"/>
        <v/>
      </c>
      <c r="V173" s="32" t="str">
        <f t="shared" si="44"/>
        <v/>
      </c>
      <c r="W173" s="41">
        <f t="shared" si="41"/>
        <v>3.0337048966793589</v>
      </c>
      <c r="X173" s="6">
        <f t="shared" si="42"/>
        <v>0</v>
      </c>
      <c r="Y173" s="7">
        <f t="shared" si="45"/>
        <v>567</v>
      </c>
      <c r="AA173" s="7">
        <f t="shared" si="46"/>
        <v>0</v>
      </c>
      <c r="AB173" s="7" t="str">
        <f t="shared" si="47"/>
        <v/>
      </c>
      <c r="AC173" s="7">
        <f t="shared" si="48"/>
        <v>0</v>
      </c>
      <c r="AD173" s="7" t="str">
        <f t="shared" si="49"/>
        <v/>
      </c>
      <c r="AE173" s="6">
        <f t="shared" si="50"/>
        <v>0</v>
      </c>
      <c r="AF173" s="69">
        <f t="shared" si="51"/>
        <v>3.0337048966793589</v>
      </c>
      <c r="AG173" s="6">
        <f t="shared" si="52"/>
        <v>182.02229380076153</v>
      </c>
      <c r="AH173" s="6">
        <f t="shared" si="53"/>
        <v>219</v>
      </c>
    </row>
    <row r="174" spans="8:34" x14ac:dyDescent="0.25">
      <c r="H174" s="7">
        <v>181</v>
      </c>
      <c r="I174" s="7" t="s">
        <v>8</v>
      </c>
      <c r="J174" s="8">
        <v>38639</v>
      </c>
      <c r="K174" s="12" t="s">
        <v>19</v>
      </c>
      <c r="L174" s="9">
        <v>51</v>
      </c>
      <c r="M174" s="10">
        <v>155.73788458275871</v>
      </c>
      <c r="N174" s="7" t="s">
        <v>22</v>
      </c>
      <c r="P174" s="29" t="str">
        <f t="shared" si="36"/>
        <v/>
      </c>
      <c r="Q174" s="29" t="str">
        <f t="shared" si="37"/>
        <v/>
      </c>
      <c r="R174" s="29" t="str">
        <f t="shared" si="38"/>
        <v/>
      </c>
      <c r="S174" s="29" t="str">
        <f t="shared" si="39"/>
        <v/>
      </c>
      <c r="T174" s="32">
        <f t="shared" si="40"/>
        <v>1</v>
      </c>
      <c r="U174" s="32">
        <f t="shared" si="43"/>
        <v>1</v>
      </c>
      <c r="V174" s="32" t="str">
        <f t="shared" si="44"/>
        <v/>
      </c>
      <c r="W174" s="41">
        <f t="shared" si="41"/>
        <v>3.0536840114266415</v>
      </c>
      <c r="X174" s="6">
        <f t="shared" si="42"/>
        <v>155.73788458275871</v>
      </c>
      <c r="Y174" s="7">
        <f t="shared" si="45"/>
        <v>251</v>
      </c>
      <c r="AA174" s="7">
        <f t="shared" si="46"/>
        <v>0</v>
      </c>
      <c r="AB174" s="7" t="str">
        <f t="shared" si="47"/>
        <v/>
      </c>
      <c r="AC174" s="7">
        <f t="shared" si="48"/>
        <v>1</v>
      </c>
      <c r="AD174" s="7">
        <f t="shared" si="49"/>
        <v>51</v>
      </c>
      <c r="AE174" s="6">
        <f t="shared" si="50"/>
        <v>0</v>
      </c>
      <c r="AF174" s="69">
        <f t="shared" si="51"/>
        <v>3.0536840114266415</v>
      </c>
      <c r="AG174" s="6">
        <f t="shared" si="52"/>
        <v>0</v>
      </c>
      <c r="AH174" s="6">
        <f t="shared" si="53"/>
        <v>604</v>
      </c>
    </row>
    <row r="175" spans="8:34" x14ac:dyDescent="0.25">
      <c r="H175" s="7">
        <v>182</v>
      </c>
      <c r="I175" s="7" t="s">
        <v>9</v>
      </c>
      <c r="J175" s="8">
        <v>38111</v>
      </c>
      <c r="K175" s="12" t="s">
        <v>17</v>
      </c>
      <c r="L175" s="9">
        <v>78</v>
      </c>
      <c r="M175" s="10">
        <v>236.14223463826744</v>
      </c>
      <c r="N175" s="7" t="s">
        <v>22</v>
      </c>
      <c r="P175" s="29" t="str">
        <f t="shared" si="36"/>
        <v/>
      </c>
      <c r="Q175" s="29">
        <f t="shared" si="37"/>
        <v>1</v>
      </c>
      <c r="R175" s="29" t="str">
        <f t="shared" si="38"/>
        <v/>
      </c>
      <c r="S175" s="29" t="str">
        <f t="shared" si="39"/>
        <v/>
      </c>
      <c r="T175" s="32" t="str">
        <f t="shared" si="40"/>
        <v/>
      </c>
      <c r="U175" s="32" t="str">
        <f t="shared" si="43"/>
        <v/>
      </c>
      <c r="V175" s="32" t="str">
        <f t="shared" si="44"/>
        <v/>
      </c>
      <c r="W175" s="41">
        <f t="shared" si="41"/>
        <v>3.0274645466444543</v>
      </c>
      <c r="X175" s="6">
        <f t="shared" si="42"/>
        <v>0</v>
      </c>
      <c r="Y175" s="7">
        <f t="shared" si="45"/>
        <v>567</v>
      </c>
      <c r="AA175" s="7">
        <f t="shared" si="46"/>
        <v>0</v>
      </c>
      <c r="AB175" s="7" t="str">
        <f t="shared" si="47"/>
        <v/>
      </c>
      <c r="AC175" s="7">
        <f t="shared" si="48"/>
        <v>0</v>
      </c>
      <c r="AD175" s="7" t="str">
        <f t="shared" si="49"/>
        <v/>
      </c>
      <c r="AE175" s="6">
        <f t="shared" si="50"/>
        <v>0</v>
      </c>
      <c r="AF175" s="69">
        <f t="shared" si="51"/>
        <v>3.0274645466444543</v>
      </c>
      <c r="AG175" s="6">
        <f t="shared" si="52"/>
        <v>236.14223463826744</v>
      </c>
      <c r="AH175" s="6">
        <f t="shared" si="53"/>
        <v>103</v>
      </c>
    </row>
    <row r="176" spans="8:34" x14ac:dyDescent="0.25">
      <c r="H176" s="7">
        <v>183</v>
      </c>
      <c r="I176" s="7" t="s">
        <v>8</v>
      </c>
      <c r="J176" s="8">
        <v>38320</v>
      </c>
      <c r="K176" s="12" t="s">
        <v>18</v>
      </c>
      <c r="L176" s="9">
        <v>17</v>
      </c>
      <c r="M176" s="10">
        <v>52.469218210599529</v>
      </c>
      <c r="N176" s="7" t="s">
        <v>23</v>
      </c>
      <c r="P176" s="29" t="str">
        <f t="shared" si="36"/>
        <v/>
      </c>
      <c r="Q176" s="29" t="str">
        <f t="shared" si="37"/>
        <v/>
      </c>
      <c r="R176" s="29" t="str">
        <f t="shared" si="38"/>
        <v/>
      </c>
      <c r="S176" s="29">
        <f t="shared" si="39"/>
        <v>1</v>
      </c>
      <c r="T176" s="32" t="str">
        <f t="shared" si="40"/>
        <v/>
      </c>
      <c r="U176" s="32" t="str">
        <f t="shared" si="43"/>
        <v/>
      </c>
      <c r="V176" s="32" t="str">
        <f t="shared" si="44"/>
        <v/>
      </c>
      <c r="W176" s="41">
        <f t="shared" si="41"/>
        <v>3.0864246006235017</v>
      </c>
      <c r="X176" s="6">
        <f t="shared" si="42"/>
        <v>0</v>
      </c>
      <c r="Y176" s="7">
        <f t="shared" si="45"/>
        <v>567</v>
      </c>
      <c r="AA176" s="7">
        <f t="shared" si="46"/>
        <v>0</v>
      </c>
      <c r="AB176" s="7" t="str">
        <f t="shared" si="47"/>
        <v/>
      </c>
      <c r="AC176" s="7">
        <f t="shared" si="48"/>
        <v>0</v>
      </c>
      <c r="AD176" s="7" t="str">
        <f t="shared" si="49"/>
        <v/>
      </c>
      <c r="AE176" s="6">
        <f t="shared" si="50"/>
        <v>0</v>
      </c>
      <c r="AF176" s="69">
        <f t="shared" si="51"/>
        <v>3.0864246006235017</v>
      </c>
      <c r="AG176" s="6">
        <f t="shared" si="52"/>
        <v>52.469218210599529</v>
      </c>
      <c r="AH176" s="6">
        <f t="shared" si="53"/>
        <v>476</v>
      </c>
    </row>
    <row r="177" spans="8:34" x14ac:dyDescent="0.25">
      <c r="H177" s="7">
        <v>184</v>
      </c>
      <c r="I177" s="7" t="s">
        <v>14</v>
      </c>
      <c r="J177" s="8">
        <v>38221</v>
      </c>
      <c r="K177" s="12" t="s">
        <v>16</v>
      </c>
      <c r="L177" s="9">
        <v>13</v>
      </c>
      <c r="M177" s="10">
        <v>40.808192712139302</v>
      </c>
      <c r="N177" s="7" t="s">
        <v>22</v>
      </c>
      <c r="P177" s="29" t="str">
        <f t="shared" si="36"/>
        <v/>
      </c>
      <c r="Q177" s="29" t="str">
        <f t="shared" si="37"/>
        <v/>
      </c>
      <c r="R177" s="29">
        <f t="shared" si="38"/>
        <v>1</v>
      </c>
      <c r="S177" s="29" t="str">
        <f t="shared" si="39"/>
        <v/>
      </c>
      <c r="T177" s="32" t="str">
        <f t="shared" si="40"/>
        <v/>
      </c>
      <c r="U177" s="32" t="str">
        <f t="shared" si="43"/>
        <v/>
      </c>
      <c r="V177" s="32" t="str">
        <f t="shared" si="44"/>
        <v/>
      </c>
      <c r="W177" s="41">
        <f t="shared" si="41"/>
        <v>3.1390917470876385</v>
      </c>
      <c r="X177" s="6">
        <f t="shared" si="42"/>
        <v>0</v>
      </c>
      <c r="Y177" s="7">
        <f t="shared" si="45"/>
        <v>567</v>
      </c>
      <c r="AA177" s="7">
        <f t="shared" si="46"/>
        <v>0</v>
      </c>
      <c r="AB177" s="7" t="str">
        <f t="shared" si="47"/>
        <v/>
      </c>
      <c r="AC177" s="7">
        <f t="shared" si="48"/>
        <v>0</v>
      </c>
      <c r="AD177" s="7" t="str">
        <f t="shared" si="49"/>
        <v/>
      </c>
      <c r="AE177" s="6">
        <f t="shared" si="50"/>
        <v>0</v>
      </c>
      <c r="AF177" s="69">
        <f t="shared" si="51"/>
        <v>3.1390917470876385</v>
      </c>
      <c r="AG177" s="6">
        <f t="shared" si="52"/>
        <v>40.808192712139302</v>
      </c>
      <c r="AH177" s="6">
        <f t="shared" si="53"/>
        <v>503</v>
      </c>
    </row>
    <row r="178" spans="8:34" x14ac:dyDescent="0.25">
      <c r="H178" s="7">
        <v>185</v>
      </c>
      <c r="I178" s="7" t="s">
        <v>13</v>
      </c>
      <c r="J178" s="8">
        <v>38540</v>
      </c>
      <c r="K178" s="12" t="s">
        <v>20</v>
      </c>
      <c r="L178" s="9">
        <v>2</v>
      </c>
      <c r="M178" s="10">
        <v>8.0360535540736908</v>
      </c>
      <c r="N178" s="7" t="s">
        <v>21</v>
      </c>
      <c r="P178" s="29" t="str">
        <f t="shared" si="36"/>
        <v/>
      </c>
      <c r="Q178" s="29" t="str">
        <f t="shared" si="37"/>
        <v/>
      </c>
      <c r="R178" s="29" t="str">
        <f t="shared" si="38"/>
        <v/>
      </c>
      <c r="S178" s="29" t="str">
        <f t="shared" si="39"/>
        <v/>
      </c>
      <c r="T178" s="32" t="str">
        <f t="shared" si="40"/>
        <v/>
      </c>
      <c r="U178" s="32">
        <f t="shared" si="43"/>
        <v>1</v>
      </c>
      <c r="V178" s="32" t="str">
        <f t="shared" si="44"/>
        <v/>
      </c>
      <c r="W178" s="41">
        <f t="shared" si="41"/>
        <v>4.0180267770368454</v>
      </c>
      <c r="X178" s="6">
        <f t="shared" si="42"/>
        <v>8.0360535540736908</v>
      </c>
      <c r="Y178" s="7">
        <f t="shared" si="45"/>
        <v>546</v>
      </c>
      <c r="AA178" s="7">
        <f t="shared" si="46"/>
        <v>1</v>
      </c>
      <c r="AB178" s="7">
        <f t="shared" si="47"/>
        <v>2</v>
      </c>
      <c r="AC178" s="7">
        <f t="shared" si="48"/>
        <v>0</v>
      </c>
      <c r="AD178" s="7" t="str">
        <f t="shared" si="49"/>
        <v/>
      </c>
      <c r="AE178" s="6">
        <f t="shared" si="50"/>
        <v>0</v>
      </c>
      <c r="AF178" s="69">
        <f t="shared" si="51"/>
        <v>4.0180267770368454</v>
      </c>
      <c r="AG178" s="6">
        <f t="shared" si="52"/>
        <v>0</v>
      </c>
      <c r="AH178" s="6">
        <f t="shared" si="53"/>
        <v>604</v>
      </c>
    </row>
    <row r="179" spans="8:34" x14ac:dyDescent="0.25">
      <c r="H179" s="7">
        <v>186</v>
      </c>
      <c r="I179" s="7" t="s">
        <v>7</v>
      </c>
      <c r="J179" s="8">
        <v>39046</v>
      </c>
      <c r="K179" s="12" t="s">
        <v>20</v>
      </c>
      <c r="L179" s="9">
        <v>74</v>
      </c>
      <c r="M179" s="10">
        <v>223.87783259743091</v>
      </c>
      <c r="N179" s="7" t="s">
        <v>24</v>
      </c>
      <c r="P179" s="29" t="str">
        <f t="shared" si="36"/>
        <v/>
      </c>
      <c r="Q179" s="29" t="str">
        <f t="shared" si="37"/>
        <v/>
      </c>
      <c r="R179" s="29" t="str">
        <f t="shared" si="38"/>
        <v/>
      </c>
      <c r="S179" s="29" t="str">
        <f t="shared" si="39"/>
        <v/>
      </c>
      <c r="T179" s="32" t="str">
        <f t="shared" si="40"/>
        <v/>
      </c>
      <c r="U179" s="32" t="str">
        <f t="shared" si="43"/>
        <v/>
      </c>
      <c r="V179" s="32">
        <f t="shared" si="44"/>
        <v>1</v>
      </c>
      <c r="W179" s="41">
        <f t="shared" si="41"/>
        <v>3.0253761161814987</v>
      </c>
      <c r="X179" s="6">
        <f t="shared" si="42"/>
        <v>0</v>
      </c>
      <c r="Y179" s="7">
        <f t="shared" si="45"/>
        <v>567</v>
      </c>
      <c r="AA179" s="7">
        <f t="shared" si="46"/>
        <v>0</v>
      </c>
      <c r="AB179" s="7" t="str">
        <f t="shared" si="47"/>
        <v/>
      </c>
      <c r="AC179" s="7">
        <f t="shared" si="48"/>
        <v>0</v>
      </c>
      <c r="AD179" s="7" t="str">
        <f t="shared" si="49"/>
        <v/>
      </c>
      <c r="AE179" s="6">
        <f t="shared" si="50"/>
        <v>0</v>
      </c>
      <c r="AF179" s="69">
        <f t="shared" si="51"/>
        <v>3.0253761161814987</v>
      </c>
      <c r="AG179" s="6">
        <f t="shared" si="52"/>
        <v>0</v>
      </c>
      <c r="AH179" s="6">
        <f t="shared" si="53"/>
        <v>604</v>
      </c>
    </row>
    <row r="180" spans="8:34" x14ac:dyDescent="0.25">
      <c r="H180" s="7">
        <v>187</v>
      </c>
      <c r="I180" s="7" t="s">
        <v>11</v>
      </c>
      <c r="J180" s="8">
        <v>38793</v>
      </c>
      <c r="K180" s="12" t="s">
        <v>18</v>
      </c>
      <c r="L180" s="9">
        <v>57</v>
      </c>
      <c r="M180" s="10">
        <v>172.92421427081234</v>
      </c>
      <c r="N180" s="7" t="s">
        <v>21</v>
      </c>
      <c r="P180" s="29" t="str">
        <f t="shared" si="36"/>
        <v/>
      </c>
      <c r="Q180" s="29" t="str">
        <f t="shared" si="37"/>
        <v/>
      </c>
      <c r="R180" s="29" t="str">
        <f t="shared" si="38"/>
        <v/>
      </c>
      <c r="S180" s="29" t="str">
        <f t="shared" si="39"/>
        <v/>
      </c>
      <c r="T180" s="32" t="str">
        <f t="shared" si="40"/>
        <v/>
      </c>
      <c r="U180" s="32" t="str">
        <f t="shared" si="43"/>
        <v/>
      </c>
      <c r="V180" s="32">
        <f t="shared" si="44"/>
        <v>1</v>
      </c>
      <c r="W180" s="41">
        <f t="shared" si="41"/>
        <v>3.0337581451019711</v>
      </c>
      <c r="X180" s="6">
        <f t="shared" si="42"/>
        <v>0</v>
      </c>
      <c r="Y180" s="7">
        <f t="shared" si="45"/>
        <v>567</v>
      </c>
      <c r="AA180" s="7">
        <f t="shared" si="46"/>
        <v>0</v>
      </c>
      <c r="AB180" s="7" t="str">
        <f t="shared" si="47"/>
        <v/>
      </c>
      <c r="AC180" s="7">
        <f t="shared" si="48"/>
        <v>0</v>
      </c>
      <c r="AD180" s="7" t="str">
        <f t="shared" si="49"/>
        <v/>
      </c>
      <c r="AE180" s="6">
        <f t="shared" si="50"/>
        <v>0</v>
      </c>
      <c r="AF180" s="69">
        <f t="shared" si="51"/>
        <v>3.0337581451019711</v>
      </c>
      <c r="AG180" s="6">
        <f t="shared" si="52"/>
        <v>0</v>
      </c>
      <c r="AH180" s="6">
        <f t="shared" si="53"/>
        <v>604</v>
      </c>
    </row>
    <row r="181" spans="8:34" x14ac:dyDescent="0.25">
      <c r="H181" s="7">
        <v>188</v>
      </c>
      <c r="I181" s="7" t="s">
        <v>14</v>
      </c>
      <c r="J181" s="8">
        <v>38111</v>
      </c>
      <c r="K181" s="12" t="s">
        <v>20</v>
      </c>
      <c r="L181" s="9">
        <v>79</v>
      </c>
      <c r="M181" s="10">
        <v>239.34428625432886</v>
      </c>
      <c r="N181" s="7" t="s">
        <v>23</v>
      </c>
      <c r="P181" s="29" t="str">
        <f t="shared" si="36"/>
        <v/>
      </c>
      <c r="Q181" s="29">
        <f t="shared" si="37"/>
        <v>1</v>
      </c>
      <c r="R181" s="29" t="str">
        <f t="shared" si="38"/>
        <v/>
      </c>
      <c r="S181" s="29" t="str">
        <f t="shared" si="39"/>
        <v/>
      </c>
      <c r="T181" s="32" t="str">
        <f t="shared" si="40"/>
        <v/>
      </c>
      <c r="U181" s="32" t="str">
        <f t="shared" si="43"/>
        <v/>
      </c>
      <c r="V181" s="32" t="str">
        <f t="shared" si="44"/>
        <v/>
      </c>
      <c r="W181" s="41">
        <f t="shared" si="41"/>
        <v>3.0296745095484665</v>
      </c>
      <c r="X181" s="6">
        <f t="shared" si="42"/>
        <v>0</v>
      </c>
      <c r="Y181" s="7">
        <f t="shared" si="45"/>
        <v>567</v>
      </c>
      <c r="AA181" s="7">
        <f t="shared" si="46"/>
        <v>0</v>
      </c>
      <c r="AB181" s="7" t="str">
        <f t="shared" si="47"/>
        <v/>
      </c>
      <c r="AC181" s="7">
        <f t="shared" si="48"/>
        <v>0</v>
      </c>
      <c r="AD181" s="7" t="str">
        <f t="shared" si="49"/>
        <v/>
      </c>
      <c r="AE181" s="6">
        <f t="shared" si="50"/>
        <v>0</v>
      </c>
      <c r="AF181" s="69">
        <f t="shared" si="51"/>
        <v>3.0296745095484665</v>
      </c>
      <c r="AG181" s="6">
        <f t="shared" si="52"/>
        <v>239.34428625432886</v>
      </c>
      <c r="AH181" s="6">
        <f t="shared" si="53"/>
        <v>92</v>
      </c>
    </row>
    <row r="182" spans="8:34" x14ac:dyDescent="0.25">
      <c r="H182" s="7">
        <v>189</v>
      </c>
      <c r="I182" s="7" t="s">
        <v>11</v>
      </c>
      <c r="J182" s="8">
        <v>38518</v>
      </c>
      <c r="K182" s="12" t="s">
        <v>18</v>
      </c>
      <c r="L182" s="9">
        <v>82</v>
      </c>
      <c r="M182" s="10">
        <v>247.46177448016923</v>
      </c>
      <c r="N182" s="7" t="s">
        <v>23</v>
      </c>
      <c r="P182" s="29" t="str">
        <f t="shared" si="36"/>
        <v/>
      </c>
      <c r="Q182" s="29" t="str">
        <f t="shared" si="37"/>
        <v/>
      </c>
      <c r="R182" s="29" t="str">
        <f t="shared" si="38"/>
        <v/>
      </c>
      <c r="S182" s="29" t="str">
        <f t="shared" si="39"/>
        <v/>
      </c>
      <c r="T182" s="32" t="str">
        <f t="shared" si="40"/>
        <v/>
      </c>
      <c r="U182" s="32">
        <f t="shared" si="43"/>
        <v>1</v>
      </c>
      <c r="V182" s="32" t="str">
        <f t="shared" si="44"/>
        <v/>
      </c>
      <c r="W182" s="41">
        <f t="shared" si="41"/>
        <v>3.0178265180508443</v>
      </c>
      <c r="X182" s="6">
        <f t="shared" si="42"/>
        <v>247.46177448016923</v>
      </c>
      <c r="Y182" s="7">
        <f t="shared" si="45"/>
        <v>89</v>
      </c>
      <c r="AA182" s="7">
        <f t="shared" si="46"/>
        <v>0</v>
      </c>
      <c r="AB182" s="7" t="str">
        <f t="shared" si="47"/>
        <v/>
      </c>
      <c r="AC182" s="7">
        <f t="shared" si="48"/>
        <v>1</v>
      </c>
      <c r="AD182" s="7">
        <f t="shared" si="49"/>
        <v>82</v>
      </c>
      <c r="AE182" s="6">
        <f t="shared" si="50"/>
        <v>0</v>
      </c>
      <c r="AF182" s="69">
        <f t="shared" si="51"/>
        <v>3.0178265180508443</v>
      </c>
      <c r="AG182" s="6">
        <f t="shared" si="52"/>
        <v>0</v>
      </c>
      <c r="AH182" s="6">
        <f t="shared" si="53"/>
        <v>604</v>
      </c>
    </row>
    <row r="183" spans="8:34" x14ac:dyDescent="0.25">
      <c r="H183" s="7">
        <v>190</v>
      </c>
      <c r="I183" s="7" t="s">
        <v>15</v>
      </c>
      <c r="J183" s="8">
        <v>38991</v>
      </c>
      <c r="K183" s="12" t="s">
        <v>17</v>
      </c>
      <c r="L183" s="9">
        <v>28</v>
      </c>
      <c r="M183" s="10">
        <v>85.957225474601458</v>
      </c>
      <c r="N183" s="7" t="s">
        <v>21</v>
      </c>
      <c r="P183" s="29" t="str">
        <f t="shared" si="36"/>
        <v/>
      </c>
      <c r="Q183" s="29" t="str">
        <f t="shared" si="37"/>
        <v/>
      </c>
      <c r="R183" s="29" t="str">
        <f t="shared" si="38"/>
        <v/>
      </c>
      <c r="S183" s="29" t="str">
        <f t="shared" si="39"/>
        <v/>
      </c>
      <c r="T183" s="32" t="str">
        <f t="shared" si="40"/>
        <v/>
      </c>
      <c r="U183" s="32" t="str">
        <f t="shared" si="43"/>
        <v/>
      </c>
      <c r="V183" s="32">
        <f t="shared" si="44"/>
        <v>1</v>
      </c>
      <c r="W183" s="41">
        <f t="shared" si="41"/>
        <v>3.069900909807195</v>
      </c>
      <c r="X183" s="6">
        <f t="shared" si="42"/>
        <v>0</v>
      </c>
      <c r="Y183" s="7">
        <f t="shared" si="45"/>
        <v>567</v>
      </c>
      <c r="AA183" s="7">
        <f t="shared" si="46"/>
        <v>0</v>
      </c>
      <c r="AB183" s="7" t="str">
        <f t="shared" si="47"/>
        <v/>
      </c>
      <c r="AC183" s="7">
        <f t="shared" si="48"/>
        <v>0</v>
      </c>
      <c r="AD183" s="7" t="str">
        <f t="shared" si="49"/>
        <v/>
      </c>
      <c r="AE183" s="6">
        <f t="shared" si="50"/>
        <v>0</v>
      </c>
      <c r="AF183" s="69">
        <f t="shared" si="51"/>
        <v>3.069900909807195</v>
      </c>
      <c r="AG183" s="6">
        <f t="shared" si="52"/>
        <v>0</v>
      </c>
      <c r="AH183" s="6">
        <f t="shared" si="53"/>
        <v>604</v>
      </c>
    </row>
    <row r="184" spans="8:34" x14ac:dyDescent="0.25">
      <c r="H184" s="7">
        <v>191</v>
      </c>
      <c r="I184" s="7" t="s">
        <v>14</v>
      </c>
      <c r="J184" s="8">
        <v>38023</v>
      </c>
      <c r="K184" s="12" t="s">
        <v>20</v>
      </c>
      <c r="L184" s="9">
        <v>63</v>
      </c>
      <c r="M184" s="10">
        <v>191.0302935038041</v>
      </c>
      <c r="N184" s="7" t="s">
        <v>22</v>
      </c>
      <c r="P184" s="29">
        <f t="shared" si="36"/>
        <v>1</v>
      </c>
      <c r="Q184" s="29" t="str">
        <f t="shared" si="37"/>
        <v/>
      </c>
      <c r="R184" s="29" t="str">
        <f t="shared" si="38"/>
        <v/>
      </c>
      <c r="S184" s="29" t="str">
        <f t="shared" si="39"/>
        <v/>
      </c>
      <c r="T184" s="32" t="str">
        <f t="shared" si="40"/>
        <v/>
      </c>
      <c r="U184" s="32" t="str">
        <f t="shared" si="43"/>
        <v/>
      </c>
      <c r="V184" s="32" t="str">
        <f t="shared" si="44"/>
        <v/>
      </c>
      <c r="W184" s="41">
        <f t="shared" si="41"/>
        <v>3.0322268810127637</v>
      </c>
      <c r="X184" s="6">
        <f t="shared" si="42"/>
        <v>0</v>
      </c>
      <c r="Y184" s="7">
        <f t="shared" si="45"/>
        <v>567</v>
      </c>
      <c r="AA184" s="7">
        <f t="shared" si="46"/>
        <v>0</v>
      </c>
      <c r="AB184" s="7" t="str">
        <f t="shared" si="47"/>
        <v/>
      </c>
      <c r="AC184" s="7">
        <f t="shared" si="48"/>
        <v>0</v>
      </c>
      <c r="AD184" s="7" t="str">
        <f t="shared" si="49"/>
        <v/>
      </c>
      <c r="AE184" s="6">
        <f t="shared" si="50"/>
        <v>0</v>
      </c>
      <c r="AF184" s="69">
        <f t="shared" si="51"/>
        <v>3.0322268810127637</v>
      </c>
      <c r="AG184" s="6">
        <f t="shared" si="52"/>
        <v>191.0302935038041</v>
      </c>
      <c r="AH184" s="6">
        <f t="shared" si="53"/>
        <v>195</v>
      </c>
    </row>
    <row r="185" spans="8:34" x14ac:dyDescent="0.25">
      <c r="H185" s="7">
        <v>192</v>
      </c>
      <c r="I185" s="7" t="s">
        <v>12</v>
      </c>
      <c r="J185" s="8">
        <v>38628</v>
      </c>
      <c r="K185" s="12" t="s">
        <v>18</v>
      </c>
      <c r="L185" s="9">
        <v>72</v>
      </c>
      <c r="M185" s="10">
        <v>217.59287860664901</v>
      </c>
      <c r="N185" s="7" t="s">
        <v>23</v>
      </c>
      <c r="P185" s="29" t="str">
        <f t="shared" si="36"/>
        <v/>
      </c>
      <c r="Q185" s="29" t="str">
        <f t="shared" si="37"/>
        <v/>
      </c>
      <c r="R185" s="29" t="str">
        <f t="shared" si="38"/>
        <v/>
      </c>
      <c r="S185" s="29" t="str">
        <f t="shared" si="39"/>
        <v/>
      </c>
      <c r="T185" s="32">
        <f t="shared" si="40"/>
        <v>1</v>
      </c>
      <c r="U185" s="32">
        <f t="shared" si="43"/>
        <v>1</v>
      </c>
      <c r="V185" s="32" t="str">
        <f t="shared" si="44"/>
        <v/>
      </c>
      <c r="W185" s="41">
        <f t="shared" si="41"/>
        <v>3.0221233139812362</v>
      </c>
      <c r="X185" s="6">
        <f t="shared" si="42"/>
        <v>217.59287860664901</v>
      </c>
      <c r="Y185" s="7">
        <f t="shared" si="45"/>
        <v>145</v>
      </c>
      <c r="AA185" s="7">
        <f t="shared" si="46"/>
        <v>0</v>
      </c>
      <c r="AB185" s="7" t="str">
        <f t="shared" si="47"/>
        <v/>
      </c>
      <c r="AC185" s="7">
        <f t="shared" si="48"/>
        <v>1</v>
      </c>
      <c r="AD185" s="7">
        <f t="shared" si="49"/>
        <v>72</v>
      </c>
      <c r="AE185" s="6">
        <f t="shared" si="50"/>
        <v>0</v>
      </c>
      <c r="AF185" s="69">
        <f t="shared" si="51"/>
        <v>3.0221233139812362</v>
      </c>
      <c r="AG185" s="6">
        <f t="shared" si="52"/>
        <v>0</v>
      </c>
      <c r="AH185" s="6">
        <f t="shared" si="53"/>
        <v>604</v>
      </c>
    </row>
    <row r="186" spans="8:34" x14ac:dyDescent="0.25">
      <c r="H186" s="7">
        <v>193</v>
      </c>
      <c r="I186" s="7" t="s">
        <v>12</v>
      </c>
      <c r="J186" s="8">
        <v>38727</v>
      </c>
      <c r="K186" s="12" t="s">
        <v>19</v>
      </c>
      <c r="L186" s="9">
        <v>68</v>
      </c>
      <c r="M186" s="10">
        <v>205.93270340856287</v>
      </c>
      <c r="N186" s="7" t="s">
        <v>22</v>
      </c>
      <c r="P186" s="29" t="str">
        <f t="shared" si="36"/>
        <v/>
      </c>
      <c r="Q186" s="29" t="str">
        <f t="shared" si="37"/>
        <v/>
      </c>
      <c r="R186" s="29" t="str">
        <f t="shared" si="38"/>
        <v/>
      </c>
      <c r="S186" s="29" t="str">
        <f t="shared" si="39"/>
        <v/>
      </c>
      <c r="T186" s="32" t="str">
        <f t="shared" si="40"/>
        <v/>
      </c>
      <c r="U186" s="32" t="str">
        <f t="shared" si="43"/>
        <v/>
      </c>
      <c r="V186" s="32">
        <f t="shared" si="44"/>
        <v>1</v>
      </c>
      <c r="W186" s="41">
        <f t="shared" si="41"/>
        <v>3.0284221089494539</v>
      </c>
      <c r="X186" s="6">
        <f t="shared" si="42"/>
        <v>0</v>
      </c>
      <c r="Y186" s="7">
        <f t="shared" si="45"/>
        <v>567</v>
      </c>
      <c r="AA186" s="7">
        <f t="shared" si="46"/>
        <v>0</v>
      </c>
      <c r="AB186" s="7" t="str">
        <f t="shared" si="47"/>
        <v/>
      </c>
      <c r="AC186" s="7">
        <f t="shared" si="48"/>
        <v>0</v>
      </c>
      <c r="AD186" s="7" t="str">
        <f t="shared" si="49"/>
        <v/>
      </c>
      <c r="AE186" s="6">
        <f t="shared" si="50"/>
        <v>0</v>
      </c>
      <c r="AF186" s="69">
        <f t="shared" si="51"/>
        <v>3.0284221089494539</v>
      </c>
      <c r="AG186" s="6">
        <f t="shared" si="52"/>
        <v>0</v>
      </c>
      <c r="AH186" s="6">
        <f t="shared" si="53"/>
        <v>604</v>
      </c>
    </row>
    <row r="187" spans="8:34" x14ac:dyDescent="0.25">
      <c r="H187" s="7">
        <v>194</v>
      </c>
      <c r="I187" s="7" t="s">
        <v>13</v>
      </c>
      <c r="J187" s="8">
        <v>38738</v>
      </c>
      <c r="K187" s="12" t="s">
        <v>16</v>
      </c>
      <c r="L187" s="9">
        <v>8</v>
      </c>
      <c r="M187" s="10">
        <v>26.138739127477177</v>
      </c>
      <c r="N187" s="7" t="s">
        <v>23</v>
      </c>
      <c r="P187" s="29" t="str">
        <f t="shared" si="36"/>
        <v/>
      </c>
      <c r="Q187" s="29" t="str">
        <f t="shared" si="37"/>
        <v/>
      </c>
      <c r="R187" s="29" t="str">
        <f t="shared" si="38"/>
        <v/>
      </c>
      <c r="S187" s="29" t="str">
        <f t="shared" si="39"/>
        <v/>
      </c>
      <c r="T187" s="32" t="str">
        <f t="shared" si="40"/>
        <v/>
      </c>
      <c r="U187" s="32" t="str">
        <f t="shared" si="43"/>
        <v/>
      </c>
      <c r="V187" s="32">
        <f t="shared" si="44"/>
        <v>1</v>
      </c>
      <c r="W187" s="41">
        <f t="shared" si="41"/>
        <v>3.2673423909346471</v>
      </c>
      <c r="X187" s="6">
        <f t="shared" si="42"/>
        <v>0</v>
      </c>
      <c r="Y187" s="7">
        <f t="shared" si="45"/>
        <v>567</v>
      </c>
      <c r="AA187" s="7">
        <f t="shared" si="46"/>
        <v>0</v>
      </c>
      <c r="AB187" s="7" t="str">
        <f t="shared" si="47"/>
        <v/>
      </c>
      <c r="AC187" s="7">
        <f t="shared" si="48"/>
        <v>0</v>
      </c>
      <c r="AD187" s="7" t="str">
        <f t="shared" si="49"/>
        <v/>
      </c>
      <c r="AE187" s="6">
        <f t="shared" si="50"/>
        <v>0</v>
      </c>
      <c r="AF187" s="69">
        <f t="shared" si="51"/>
        <v>3.2673423909346471</v>
      </c>
      <c r="AG187" s="6">
        <f t="shared" si="52"/>
        <v>0</v>
      </c>
      <c r="AH187" s="6">
        <f t="shared" si="53"/>
        <v>604</v>
      </c>
    </row>
    <row r="188" spans="8:34" x14ac:dyDescent="0.25">
      <c r="H188" s="7">
        <v>195</v>
      </c>
      <c r="I188" s="7" t="s">
        <v>8</v>
      </c>
      <c r="J188" s="8">
        <v>38331</v>
      </c>
      <c r="K188" s="12" t="s">
        <v>19</v>
      </c>
      <c r="L188" s="9">
        <v>62</v>
      </c>
      <c r="M188" s="10">
        <v>188.51634230729906</v>
      </c>
      <c r="N188" s="7" t="s">
        <v>22</v>
      </c>
      <c r="P188" s="29" t="str">
        <f t="shared" si="36"/>
        <v/>
      </c>
      <c r="Q188" s="29" t="str">
        <f t="shared" si="37"/>
        <v/>
      </c>
      <c r="R188" s="29" t="str">
        <f t="shared" si="38"/>
        <v/>
      </c>
      <c r="S188" s="29">
        <f t="shared" si="39"/>
        <v>1</v>
      </c>
      <c r="T188" s="32" t="str">
        <f t="shared" si="40"/>
        <v/>
      </c>
      <c r="U188" s="32" t="str">
        <f t="shared" si="43"/>
        <v/>
      </c>
      <c r="V188" s="32" t="str">
        <f t="shared" si="44"/>
        <v/>
      </c>
      <c r="W188" s="41">
        <f t="shared" si="41"/>
        <v>3.0405861662467588</v>
      </c>
      <c r="X188" s="6">
        <f t="shared" si="42"/>
        <v>0</v>
      </c>
      <c r="Y188" s="7">
        <f t="shared" si="45"/>
        <v>567</v>
      </c>
      <c r="AA188" s="7">
        <f t="shared" si="46"/>
        <v>0</v>
      </c>
      <c r="AB188" s="7" t="str">
        <f t="shared" si="47"/>
        <v/>
      </c>
      <c r="AC188" s="7">
        <f t="shared" si="48"/>
        <v>0</v>
      </c>
      <c r="AD188" s="7" t="str">
        <f t="shared" si="49"/>
        <v/>
      </c>
      <c r="AE188" s="6">
        <f t="shared" si="50"/>
        <v>0</v>
      </c>
      <c r="AF188" s="69">
        <f t="shared" si="51"/>
        <v>3.0405861662467588</v>
      </c>
      <c r="AG188" s="6">
        <f t="shared" si="52"/>
        <v>188.51634230729906</v>
      </c>
      <c r="AH188" s="6">
        <f t="shared" si="53"/>
        <v>200</v>
      </c>
    </row>
    <row r="189" spans="8:34" x14ac:dyDescent="0.25">
      <c r="H189" s="7">
        <v>196</v>
      </c>
      <c r="I189" s="7" t="s">
        <v>14</v>
      </c>
      <c r="J189" s="8">
        <v>38430</v>
      </c>
      <c r="K189" s="12" t="s">
        <v>16</v>
      </c>
      <c r="L189" s="9">
        <v>5</v>
      </c>
      <c r="M189" s="10">
        <v>16.348427234046856</v>
      </c>
      <c r="N189" s="7" t="s">
        <v>24</v>
      </c>
      <c r="P189" s="29" t="str">
        <f t="shared" si="36"/>
        <v/>
      </c>
      <c r="Q189" s="29" t="str">
        <f t="shared" si="37"/>
        <v/>
      </c>
      <c r="R189" s="29" t="str">
        <f t="shared" si="38"/>
        <v/>
      </c>
      <c r="S189" s="29" t="str">
        <f t="shared" si="39"/>
        <v/>
      </c>
      <c r="T189" s="32" t="str">
        <f t="shared" si="40"/>
        <v/>
      </c>
      <c r="U189" s="32">
        <f t="shared" si="43"/>
        <v>1</v>
      </c>
      <c r="V189" s="32" t="str">
        <f t="shared" si="44"/>
        <v/>
      </c>
      <c r="W189" s="41">
        <f t="shared" si="41"/>
        <v>3.2696854468093712</v>
      </c>
      <c r="X189" s="6">
        <f t="shared" si="42"/>
        <v>16.348427234046856</v>
      </c>
      <c r="Y189" s="7">
        <f t="shared" si="45"/>
        <v>535</v>
      </c>
      <c r="AA189" s="7">
        <f t="shared" si="46"/>
        <v>1</v>
      </c>
      <c r="AB189" s="7">
        <f t="shared" si="47"/>
        <v>5</v>
      </c>
      <c r="AC189" s="7">
        <f t="shared" si="48"/>
        <v>0</v>
      </c>
      <c r="AD189" s="7" t="str">
        <f t="shared" si="49"/>
        <v/>
      </c>
      <c r="AE189" s="6">
        <f t="shared" si="50"/>
        <v>0</v>
      </c>
      <c r="AF189" s="69">
        <f t="shared" si="51"/>
        <v>3.2696854468093712</v>
      </c>
      <c r="AG189" s="6">
        <f t="shared" si="52"/>
        <v>0</v>
      </c>
      <c r="AH189" s="6">
        <f t="shared" si="53"/>
        <v>604</v>
      </c>
    </row>
    <row r="190" spans="8:34" x14ac:dyDescent="0.25">
      <c r="H190" s="7">
        <v>197</v>
      </c>
      <c r="I190" s="7" t="s">
        <v>11</v>
      </c>
      <c r="J190" s="8">
        <v>38023</v>
      </c>
      <c r="K190" s="12" t="s">
        <v>20</v>
      </c>
      <c r="L190" s="9">
        <v>-5</v>
      </c>
      <c r="M190" s="10">
        <v>-12.898061088841523</v>
      </c>
      <c r="N190" s="7" t="s">
        <v>24</v>
      </c>
      <c r="P190" s="29">
        <f t="shared" si="36"/>
        <v>1</v>
      </c>
      <c r="Q190" s="29" t="str">
        <f t="shared" si="37"/>
        <v/>
      </c>
      <c r="R190" s="29" t="str">
        <f t="shared" si="38"/>
        <v/>
      </c>
      <c r="S190" s="29" t="str">
        <f t="shared" si="39"/>
        <v/>
      </c>
      <c r="T190" s="32" t="str">
        <f t="shared" si="40"/>
        <v/>
      </c>
      <c r="U190" s="32" t="str">
        <f t="shared" si="43"/>
        <v/>
      </c>
      <c r="V190" s="32" t="str">
        <f t="shared" si="44"/>
        <v/>
      </c>
      <c r="W190" s="41" t="str">
        <f t="shared" si="41"/>
        <v/>
      </c>
      <c r="X190" s="6">
        <f t="shared" si="42"/>
        <v>0</v>
      </c>
      <c r="Y190" s="7">
        <f t="shared" si="45"/>
        <v>567</v>
      </c>
      <c r="AA190" s="7">
        <f t="shared" si="46"/>
        <v>0</v>
      </c>
      <c r="AB190" s="7" t="str">
        <f t="shared" si="47"/>
        <v/>
      </c>
      <c r="AC190" s="7">
        <f t="shared" si="48"/>
        <v>0</v>
      </c>
      <c r="AD190" s="7" t="str">
        <f t="shared" si="49"/>
        <v/>
      </c>
      <c r="AE190" s="6">
        <f t="shared" si="50"/>
        <v>-5</v>
      </c>
      <c r="AF190" s="69" t="str">
        <f t="shared" si="51"/>
        <v/>
      </c>
      <c r="AG190" s="6">
        <f t="shared" si="52"/>
        <v>0</v>
      </c>
      <c r="AH190" s="6">
        <f t="shared" si="53"/>
        <v>604</v>
      </c>
    </row>
    <row r="191" spans="8:34" x14ac:dyDescent="0.25">
      <c r="H191" s="7">
        <v>198</v>
      </c>
      <c r="I191" s="7" t="s">
        <v>11</v>
      </c>
      <c r="J191" s="8">
        <v>38859</v>
      </c>
      <c r="K191" s="12" t="s">
        <v>20</v>
      </c>
      <c r="L191" s="9">
        <v>-4</v>
      </c>
      <c r="M191" s="10">
        <v>-9.998213253386103</v>
      </c>
      <c r="N191" s="7" t="s">
        <v>23</v>
      </c>
      <c r="P191" s="29" t="str">
        <f t="shared" si="36"/>
        <v/>
      </c>
      <c r="Q191" s="29" t="str">
        <f t="shared" si="37"/>
        <v/>
      </c>
      <c r="R191" s="29" t="str">
        <f t="shared" si="38"/>
        <v/>
      </c>
      <c r="S191" s="29" t="str">
        <f t="shared" si="39"/>
        <v/>
      </c>
      <c r="T191" s="32" t="str">
        <f t="shared" si="40"/>
        <v/>
      </c>
      <c r="U191" s="32" t="str">
        <f t="shared" si="43"/>
        <v/>
      </c>
      <c r="V191" s="32">
        <f t="shared" si="44"/>
        <v>1</v>
      </c>
      <c r="W191" s="41" t="str">
        <f t="shared" si="41"/>
        <v/>
      </c>
      <c r="X191" s="6">
        <f t="shared" si="42"/>
        <v>0</v>
      </c>
      <c r="Y191" s="7">
        <f t="shared" si="45"/>
        <v>567</v>
      </c>
      <c r="AA191" s="7">
        <f t="shared" si="46"/>
        <v>0</v>
      </c>
      <c r="AB191" s="7" t="str">
        <f t="shared" si="47"/>
        <v/>
      </c>
      <c r="AC191" s="7">
        <f t="shared" si="48"/>
        <v>0</v>
      </c>
      <c r="AD191" s="7" t="str">
        <f t="shared" si="49"/>
        <v/>
      </c>
      <c r="AE191" s="6">
        <f t="shared" si="50"/>
        <v>-4</v>
      </c>
      <c r="AF191" s="69" t="str">
        <f t="shared" si="51"/>
        <v/>
      </c>
      <c r="AG191" s="6">
        <f t="shared" si="52"/>
        <v>0</v>
      </c>
      <c r="AH191" s="6">
        <f t="shared" si="53"/>
        <v>604</v>
      </c>
    </row>
    <row r="192" spans="8:34" x14ac:dyDescent="0.25">
      <c r="H192" s="7">
        <v>199</v>
      </c>
      <c r="I192" s="7" t="s">
        <v>12</v>
      </c>
      <c r="J192" s="8">
        <v>39046</v>
      </c>
      <c r="K192" s="12" t="s">
        <v>20</v>
      </c>
      <c r="L192" s="9">
        <v>81</v>
      </c>
      <c r="M192" s="10">
        <v>244.68104192003952</v>
      </c>
      <c r="N192" s="7" t="s">
        <v>23</v>
      </c>
      <c r="P192" s="29" t="str">
        <f t="shared" si="36"/>
        <v/>
      </c>
      <c r="Q192" s="29" t="str">
        <f t="shared" si="37"/>
        <v/>
      </c>
      <c r="R192" s="29" t="str">
        <f t="shared" si="38"/>
        <v/>
      </c>
      <c r="S192" s="29" t="str">
        <f t="shared" si="39"/>
        <v/>
      </c>
      <c r="T192" s="32" t="str">
        <f t="shared" si="40"/>
        <v/>
      </c>
      <c r="U192" s="32" t="str">
        <f t="shared" si="43"/>
        <v/>
      </c>
      <c r="V192" s="32">
        <f t="shared" si="44"/>
        <v>1</v>
      </c>
      <c r="W192" s="41">
        <f t="shared" si="41"/>
        <v>3.0207536039511051</v>
      </c>
      <c r="X192" s="6">
        <f t="shared" si="42"/>
        <v>0</v>
      </c>
      <c r="Y192" s="7">
        <f t="shared" si="45"/>
        <v>567</v>
      </c>
      <c r="AA192" s="7">
        <f t="shared" si="46"/>
        <v>0</v>
      </c>
      <c r="AB192" s="7" t="str">
        <f t="shared" si="47"/>
        <v/>
      </c>
      <c r="AC192" s="7">
        <f t="shared" si="48"/>
        <v>0</v>
      </c>
      <c r="AD192" s="7" t="str">
        <f t="shared" si="49"/>
        <v/>
      </c>
      <c r="AE192" s="6">
        <f t="shared" si="50"/>
        <v>0</v>
      </c>
      <c r="AF192" s="69">
        <f t="shared" si="51"/>
        <v>3.0207536039511051</v>
      </c>
      <c r="AG192" s="6">
        <f t="shared" si="52"/>
        <v>0</v>
      </c>
      <c r="AH192" s="6">
        <f t="shared" si="53"/>
        <v>604</v>
      </c>
    </row>
    <row r="193" spans="8:34" x14ac:dyDescent="0.25">
      <c r="H193" s="7">
        <v>200</v>
      </c>
      <c r="I193" s="7" t="s">
        <v>12</v>
      </c>
      <c r="J193" s="8">
        <v>38793</v>
      </c>
      <c r="K193" s="12" t="s">
        <v>16</v>
      </c>
      <c r="L193" s="9">
        <v>21</v>
      </c>
      <c r="M193" s="10">
        <v>64.744003374094902</v>
      </c>
      <c r="N193" s="7" t="s">
        <v>21</v>
      </c>
      <c r="P193" s="29" t="str">
        <f t="shared" si="36"/>
        <v/>
      </c>
      <c r="Q193" s="29" t="str">
        <f t="shared" si="37"/>
        <v/>
      </c>
      <c r="R193" s="29" t="str">
        <f t="shared" si="38"/>
        <v/>
      </c>
      <c r="S193" s="29" t="str">
        <f t="shared" si="39"/>
        <v/>
      </c>
      <c r="T193" s="32" t="str">
        <f t="shared" si="40"/>
        <v/>
      </c>
      <c r="U193" s="32" t="str">
        <f t="shared" si="43"/>
        <v/>
      </c>
      <c r="V193" s="32">
        <f t="shared" si="44"/>
        <v>1</v>
      </c>
      <c r="W193" s="41">
        <f t="shared" si="41"/>
        <v>3.0830477797188047</v>
      </c>
      <c r="X193" s="6">
        <f t="shared" si="42"/>
        <v>0</v>
      </c>
      <c r="Y193" s="7">
        <f t="shared" si="45"/>
        <v>567</v>
      </c>
      <c r="AA193" s="7">
        <f t="shared" si="46"/>
        <v>0</v>
      </c>
      <c r="AB193" s="7" t="str">
        <f t="shared" si="47"/>
        <v/>
      </c>
      <c r="AC193" s="7">
        <f t="shared" si="48"/>
        <v>0</v>
      </c>
      <c r="AD193" s="7" t="str">
        <f t="shared" si="49"/>
        <v/>
      </c>
      <c r="AE193" s="6">
        <f t="shared" si="50"/>
        <v>0</v>
      </c>
      <c r="AF193" s="69">
        <f t="shared" si="51"/>
        <v>3.0830477797188047</v>
      </c>
      <c r="AG193" s="6">
        <f t="shared" si="52"/>
        <v>0</v>
      </c>
      <c r="AH193" s="6">
        <f t="shared" si="53"/>
        <v>604</v>
      </c>
    </row>
    <row r="194" spans="8:34" x14ac:dyDescent="0.25">
      <c r="H194" s="7">
        <v>201</v>
      </c>
      <c r="I194" s="7" t="s">
        <v>15</v>
      </c>
      <c r="J194" s="8">
        <v>38529</v>
      </c>
      <c r="K194" s="12" t="s">
        <v>16</v>
      </c>
      <c r="L194" s="9">
        <v>21</v>
      </c>
      <c r="M194" s="10">
        <v>64.863192319117914</v>
      </c>
      <c r="N194" s="7" t="s">
        <v>24</v>
      </c>
      <c r="P194" s="29" t="str">
        <f t="shared" si="36"/>
        <v/>
      </c>
      <c r="Q194" s="29" t="str">
        <f t="shared" si="37"/>
        <v/>
      </c>
      <c r="R194" s="29" t="str">
        <f t="shared" si="38"/>
        <v/>
      </c>
      <c r="S194" s="29" t="str">
        <f t="shared" si="39"/>
        <v/>
      </c>
      <c r="T194" s="32" t="str">
        <f t="shared" si="40"/>
        <v/>
      </c>
      <c r="U194" s="32">
        <f t="shared" si="43"/>
        <v>1</v>
      </c>
      <c r="V194" s="32" t="str">
        <f t="shared" si="44"/>
        <v/>
      </c>
      <c r="W194" s="41">
        <f t="shared" si="41"/>
        <v>3.0887234437675195</v>
      </c>
      <c r="X194" s="6">
        <f t="shared" si="42"/>
        <v>64.863192319117914</v>
      </c>
      <c r="Y194" s="7">
        <f t="shared" si="45"/>
        <v>436</v>
      </c>
      <c r="AA194" s="7">
        <f t="shared" si="46"/>
        <v>0</v>
      </c>
      <c r="AB194" s="7" t="str">
        <f t="shared" si="47"/>
        <v/>
      </c>
      <c r="AC194" s="7">
        <f t="shared" si="48"/>
        <v>1</v>
      </c>
      <c r="AD194" s="7">
        <f t="shared" si="49"/>
        <v>21</v>
      </c>
      <c r="AE194" s="6">
        <f t="shared" si="50"/>
        <v>0</v>
      </c>
      <c r="AF194" s="69">
        <f t="shared" si="51"/>
        <v>3.0887234437675195</v>
      </c>
      <c r="AG194" s="6">
        <f t="shared" si="52"/>
        <v>0</v>
      </c>
      <c r="AH194" s="6">
        <f t="shared" si="53"/>
        <v>604</v>
      </c>
    </row>
    <row r="195" spans="8:34" x14ac:dyDescent="0.25">
      <c r="H195" s="7">
        <v>202</v>
      </c>
      <c r="I195" s="7" t="s">
        <v>8</v>
      </c>
      <c r="J195" s="8">
        <v>38716</v>
      </c>
      <c r="K195" s="12" t="s">
        <v>18</v>
      </c>
      <c r="L195" s="9">
        <v>-3</v>
      </c>
      <c r="M195" s="10">
        <v>-7.154085897104931</v>
      </c>
      <c r="N195" s="7" t="s">
        <v>21</v>
      </c>
      <c r="P195" s="29" t="str">
        <f t="shared" ref="P195:P258" si="54">IF(AND((MONTH(J195))&lt;4,YEAR(J195)=2004),1,"")</f>
        <v/>
      </c>
      <c r="Q195" s="29" t="str">
        <f t="shared" ref="Q195:Q258" si="55">IF(AND(3&lt;(MONTH(J195)),(MONTH(J195)&lt;7),YEAR(J195)=2004),1,"")</f>
        <v/>
      </c>
      <c r="R195" s="29" t="str">
        <f t="shared" ref="R195:R258" si="56">IF(AND(6&lt;(MONTH(J195)),(MONTH(J195)&lt;10),YEAR(J195)=2004),1,"")</f>
        <v/>
      </c>
      <c r="S195" s="29" t="str">
        <f t="shared" ref="S195:S258" si="57">IF(AND(9&lt;(MONTH(J195)),(MONTH(J195)&lt;13),YEAR(J195)=2004),1,"")</f>
        <v/>
      </c>
      <c r="T195" s="32">
        <f t="shared" ref="T195:T258" si="58">IF(AND((9&lt;MONTH(J195)),YEAR(J195)=2005),1,"")</f>
        <v>1</v>
      </c>
      <c r="U195" s="32">
        <f t="shared" si="43"/>
        <v>1</v>
      </c>
      <c r="V195" s="32" t="str">
        <f t="shared" si="44"/>
        <v/>
      </c>
      <c r="W195" s="41" t="str">
        <f t="shared" ref="W195:W258" si="59">IF(L195&gt;0,M195/L195,"")</f>
        <v/>
      </c>
      <c r="X195" s="6">
        <f t="shared" ref="X195:X258" si="60">IF(U195=1,M195,0)</f>
        <v>-7.154085897104931</v>
      </c>
      <c r="Y195" s="7">
        <f t="shared" si="45"/>
        <v>1855</v>
      </c>
      <c r="AA195" s="7">
        <f t="shared" si="46"/>
        <v>0</v>
      </c>
      <c r="AB195" s="7" t="str">
        <f t="shared" si="47"/>
        <v/>
      </c>
      <c r="AC195" s="7">
        <f t="shared" si="48"/>
        <v>1</v>
      </c>
      <c r="AD195" s="7">
        <f t="shared" si="49"/>
        <v>-3</v>
      </c>
      <c r="AE195" s="6">
        <f t="shared" si="50"/>
        <v>-3</v>
      </c>
      <c r="AF195" s="69" t="str">
        <f t="shared" si="51"/>
        <v/>
      </c>
      <c r="AG195" s="6">
        <f t="shared" si="52"/>
        <v>0</v>
      </c>
      <c r="AH195" s="6">
        <f t="shared" si="53"/>
        <v>604</v>
      </c>
    </row>
    <row r="196" spans="8:34" x14ac:dyDescent="0.25">
      <c r="H196" s="7">
        <v>203</v>
      </c>
      <c r="I196" s="7" t="s">
        <v>15</v>
      </c>
      <c r="J196" s="8">
        <v>39079</v>
      </c>
      <c r="K196" s="12" t="s">
        <v>17</v>
      </c>
      <c r="L196" s="9">
        <v>57</v>
      </c>
      <c r="M196" s="10">
        <v>173.64445114790863</v>
      </c>
      <c r="N196" s="7" t="s">
        <v>23</v>
      </c>
      <c r="P196" s="29" t="str">
        <f t="shared" si="54"/>
        <v/>
      </c>
      <c r="Q196" s="29" t="str">
        <f t="shared" si="55"/>
        <v/>
      </c>
      <c r="R196" s="29" t="str">
        <f t="shared" si="56"/>
        <v/>
      </c>
      <c r="S196" s="29" t="str">
        <f t="shared" si="57"/>
        <v/>
      </c>
      <c r="T196" s="32" t="str">
        <f t="shared" si="58"/>
        <v/>
      </c>
      <c r="U196" s="32" t="str">
        <f t="shared" ref="U196:U259" si="61">IF(YEAR(J196)=2005,1,"")</f>
        <v/>
      </c>
      <c r="V196" s="32">
        <f t="shared" ref="V196:V259" si="62">IF(YEAR(J196)=2006,1,"")</f>
        <v>1</v>
      </c>
      <c r="W196" s="41">
        <f t="shared" si="59"/>
        <v>3.0463938797878707</v>
      </c>
      <c r="X196" s="6">
        <f t="shared" si="60"/>
        <v>0</v>
      </c>
      <c r="Y196" s="7">
        <f t="shared" ref="Y196:Y259" si="63">RANK(X196,$X$3:$X$1893)</f>
        <v>567</v>
      </c>
      <c r="AA196" s="7">
        <f t="shared" ref="AA196:AA259" si="64">IF(AND(OR((MONTH(J196))=1,(MONTH(J196))=2,(MONTH(J196))=3,(MONTH(J196))=7,(MONTH(J196))=8,(MONTH(J196))=9),YEAR(J196)=2005),1,0)</f>
        <v>0</v>
      </c>
      <c r="AB196" s="7" t="str">
        <f t="shared" ref="AB196:AB259" si="65">IF(AA196=1,L196,"")</f>
        <v/>
      </c>
      <c r="AC196" s="7">
        <f t="shared" ref="AC196:AC259" si="66">IF(AND(OR((MONTH(J196))=4,(MONTH(J196))=5,(MONTH(J196))=6,(MONTH(J196))=10,(MONTH(J196))=11,(MONTH(J196))=12),YEAR(J196)=2005),1,0)</f>
        <v>0</v>
      </c>
      <c r="AD196" s="7" t="str">
        <f t="shared" ref="AD196:AD259" si="67">IF(AC196=1,L196,"")</f>
        <v/>
      </c>
      <c r="AE196" s="6">
        <f t="shared" ref="AE196:AE259" si="68">IF(L196&lt;0,L196,0)</f>
        <v>0</v>
      </c>
      <c r="AF196" s="69">
        <f t="shared" ref="AF196:AF259" si="69">IF(L196&gt;0,W196,"")</f>
        <v>3.0463938797878707</v>
      </c>
      <c r="AG196" s="6">
        <f t="shared" ref="AG196:AG259" si="70">IF(AND((M196&gt;0),(YEAR(J196)=2004)),M196,0)</f>
        <v>0</v>
      </c>
      <c r="AH196" s="6">
        <f t="shared" ref="AH196:AH259" si="71">RANK(AG196,$AG$3:$AG$1893)</f>
        <v>604</v>
      </c>
    </row>
    <row r="197" spans="8:34" x14ac:dyDescent="0.25">
      <c r="H197" s="7">
        <v>204</v>
      </c>
      <c r="I197" s="7" t="s">
        <v>15</v>
      </c>
      <c r="J197" s="8">
        <v>38947</v>
      </c>
      <c r="K197" s="12" t="s">
        <v>17</v>
      </c>
      <c r="L197" s="9">
        <v>86</v>
      </c>
      <c r="M197" s="10">
        <v>259.30970727563493</v>
      </c>
      <c r="N197" s="7" t="s">
        <v>23</v>
      </c>
      <c r="P197" s="29" t="str">
        <f t="shared" si="54"/>
        <v/>
      </c>
      <c r="Q197" s="29" t="str">
        <f t="shared" si="55"/>
        <v/>
      </c>
      <c r="R197" s="29" t="str">
        <f t="shared" si="56"/>
        <v/>
      </c>
      <c r="S197" s="29" t="str">
        <f t="shared" si="57"/>
        <v/>
      </c>
      <c r="T197" s="32" t="str">
        <f t="shared" si="58"/>
        <v/>
      </c>
      <c r="U197" s="32" t="str">
        <f t="shared" si="61"/>
        <v/>
      </c>
      <c r="V197" s="32">
        <f t="shared" si="62"/>
        <v>1</v>
      </c>
      <c r="W197" s="41">
        <f t="shared" si="59"/>
        <v>3.015229154367848</v>
      </c>
      <c r="X197" s="6">
        <f t="shared" si="60"/>
        <v>0</v>
      </c>
      <c r="Y197" s="7">
        <f t="shared" si="63"/>
        <v>567</v>
      </c>
      <c r="AA197" s="7">
        <f t="shared" si="64"/>
        <v>0</v>
      </c>
      <c r="AB197" s="7" t="str">
        <f t="shared" si="65"/>
        <v/>
      </c>
      <c r="AC197" s="7">
        <f t="shared" si="66"/>
        <v>0</v>
      </c>
      <c r="AD197" s="7" t="str">
        <f t="shared" si="67"/>
        <v/>
      </c>
      <c r="AE197" s="6">
        <f t="shared" si="68"/>
        <v>0</v>
      </c>
      <c r="AF197" s="69">
        <f t="shared" si="69"/>
        <v>3.015229154367848</v>
      </c>
      <c r="AG197" s="6">
        <f t="shared" si="70"/>
        <v>0</v>
      </c>
      <c r="AH197" s="6">
        <f t="shared" si="71"/>
        <v>604</v>
      </c>
    </row>
    <row r="198" spans="8:34" x14ac:dyDescent="0.25">
      <c r="H198" s="7">
        <v>205</v>
      </c>
      <c r="I198" s="7" t="s">
        <v>14</v>
      </c>
      <c r="J198" s="8">
        <v>38826</v>
      </c>
      <c r="K198" s="12" t="s">
        <v>18</v>
      </c>
      <c r="L198" s="9">
        <v>14</v>
      </c>
      <c r="M198" s="10">
        <v>44.139016120906668</v>
      </c>
      <c r="N198" s="7" t="s">
        <v>23</v>
      </c>
      <c r="P198" s="29" t="str">
        <f t="shared" si="54"/>
        <v/>
      </c>
      <c r="Q198" s="29" t="str">
        <f t="shared" si="55"/>
        <v/>
      </c>
      <c r="R198" s="29" t="str">
        <f t="shared" si="56"/>
        <v/>
      </c>
      <c r="S198" s="29" t="str">
        <f t="shared" si="57"/>
        <v/>
      </c>
      <c r="T198" s="32" t="str">
        <f t="shared" si="58"/>
        <v/>
      </c>
      <c r="U198" s="32" t="str">
        <f t="shared" si="61"/>
        <v/>
      </c>
      <c r="V198" s="32">
        <f t="shared" si="62"/>
        <v>1</v>
      </c>
      <c r="W198" s="41">
        <f t="shared" si="59"/>
        <v>3.1527868657790479</v>
      </c>
      <c r="X198" s="6">
        <f t="shared" si="60"/>
        <v>0</v>
      </c>
      <c r="Y198" s="7">
        <f t="shared" si="63"/>
        <v>567</v>
      </c>
      <c r="AA198" s="7">
        <f t="shared" si="64"/>
        <v>0</v>
      </c>
      <c r="AB198" s="7" t="str">
        <f t="shared" si="65"/>
        <v/>
      </c>
      <c r="AC198" s="7">
        <f t="shared" si="66"/>
        <v>0</v>
      </c>
      <c r="AD198" s="7" t="str">
        <f t="shared" si="67"/>
        <v/>
      </c>
      <c r="AE198" s="6">
        <f t="shared" si="68"/>
        <v>0</v>
      </c>
      <c r="AF198" s="69">
        <f t="shared" si="69"/>
        <v>3.1527868657790479</v>
      </c>
      <c r="AG198" s="6">
        <f t="shared" si="70"/>
        <v>0</v>
      </c>
      <c r="AH198" s="6">
        <f t="shared" si="71"/>
        <v>604</v>
      </c>
    </row>
    <row r="199" spans="8:34" x14ac:dyDescent="0.25">
      <c r="H199" s="7">
        <v>206</v>
      </c>
      <c r="I199" s="7" t="s">
        <v>8</v>
      </c>
      <c r="J199" s="8">
        <v>39057</v>
      </c>
      <c r="K199" s="12" t="s">
        <v>19</v>
      </c>
      <c r="L199" s="9">
        <v>20</v>
      </c>
      <c r="M199" s="10">
        <v>61.955881135465603</v>
      </c>
      <c r="N199" s="7" t="s">
        <v>22</v>
      </c>
      <c r="P199" s="29" t="str">
        <f t="shared" si="54"/>
        <v/>
      </c>
      <c r="Q199" s="29" t="str">
        <f t="shared" si="55"/>
        <v/>
      </c>
      <c r="R199" s="29" t="str">
        <f t="shared" si="56"/>
        <v/>
      </c>
      <c r="S199" s="29" t="str">
        <f t="shared" si="57"/>
        <v/>
      </c>
      <c r="T199" s="32" t="str">
        <f t="shared" si="58"/>
        <v/>
      </c>
      <c r="U199" s="32" t="str">
        <f t="shared" si="61"/>
        <v/>
      </c>
      <c r="V199" s="32">
        <f t="shared" si="62"/>
        <v>1</v>
      </c>
      <c r="W199" s="41">
        <f t="shared" si="59"/>
        <v>3.0977940567732802</v>
      </c>
      <c r="X199" s="6">
        <f t="shared" si="60"/>
        <v>0</v>
      </c>
      <c r="Y199" s="7">
        <f t="shared" si="63"/>
        <v>567</v>
      </c>
      <c r="AA199" s="7">
        <f t="shared" si="64"/>
        <v>0</v>
      </c>
      <c r="AB199" s="7" t="str">
        <f t="shared" si="65"/>
        <v/>
      </c>
      <c r="AC199" s="7">
        <f t="shared" si="66"/>
        <v>0</v>
      </c>
      <c r="AD199" s="7" t="str">
        <f t="shared" si="67"/>
        <v/>
      </c>
      <c r="AE199" s="6">
        <f t="shared" si="68"/>
        <v>0</v>
      </c>
      <c r="AF199" s="69">
        <f t="shared" si="69"/>
        <v>3.0977940567732802</v>
      </c>
      <c r="AG199" s="6">
        <f t="shared" si="70"/>
        <v>0</v>
      </c>
      <c r="AH199" s="6">
        <f t="shared" si="71"/>
        <v>604</v>
      </c>
    </row>
    <row r="200" spans="8:34" x14ac:dyDescent="0.25">
      <c r="H200" s="7">
        <v>207</v>
      </c>
      <c r="I200" s="7" t="s">
        <v>11</v>
      </c>
      <c r="J200" s="8">
        <v>38023</v>
      </c>
      <c r="K200" s="12" t="s">
        <v>20</v>
      </c>
      <c r="L200" s="9">
        <v>60</v>
      </c>
      <c r="M200" s="10">
        <v>181.93942640636905</v>
      </c>
      <c r="N200" s="7" t="s">
        <v>24</v>
      </c>
      <c r="P200" s="29">
        <f t="shared" si="54"/>
        <v>1</v>
      </c>
      <c r="Q200" s="29" t="str">
        <f t="shared" si="55"/>
        <v/>
      </c>
      <c r="R200" s="29" t="str">
        <f t="shared" si="56"/>
        <v/>
      </c>
      <c r="S200" s="29" t="str">
        <f t="shared" si="57"/>
        <v/>
      </c>
      <c r="T200" s="32" t="str">
        <f t="shared" si="58"/>
        <v/>
      </c>
      <c r="U200" s="32" t="str">
        <f t="shared" si="61"/>
        <v/>
      </c>
      <c r="V200" s="32" t="str">
        <f t="shared" si="62"/>
        <v/>
      </c>
      <c r="W200" s="41">
        <f t="shared" si="59"/>
        <v>3.0323237734394843</v>
      </c>
      <c r="X200" s="6">
        <f t="shared" si="60"/>
        <v>0</v>
      </c>
      <c r="Y200" s="7">
        <f t="shared" si="63"/>
        <v>567</v>
      </c>
      <c r="AA200" s="7">
        <f t="shared" si="64"/>
        <v>0</v>
      </c>
      <c r="AB200" s="7" t="str">
        <f t="shared" si="65"/>
        <v/>
      </c>
      <c r="AC200" s="7">
        <f t="shared" si="66"/>
        <v>0</v>
      </c>
      <c r="AD200" s="7" t="str">
        <f t="shared" si="67"/>
        <v/>
      </c>
      <c r="AE200" s="6">
        <f t="shared" si="68"/>
        <v>0</v>
      </c>
      <c r="AF200" s="69">
        <f t="shared" si="69"/>
        <v>3.0323237734394843</v>
      </c>
      <c r="AG200" s="6">
        <f t="shared" si="70"/>
        <v>181.93942640636905</v>
      </c>
      <c r="AH200" s="6">
        <f t="shared" si="71"/>
        <v>220</v>
      </c>
    </row>
    <row r="201" spans="8:34" x14ac:dyDescent="0.25">
      <c r="H201" s="7">
        <v>208</v>
      </c>
      <c r="I201" s="7" t="s">
        <v>14</v>
      </c>
      <c r="J201" s="8">
        <v>38903</v>
      </c>
      <c r="K201" s="12" t="s">
        <v>16</v>
      </c>
      <c r="L201" s="9">
        <v>45</v>
      </c>
      <c r="M201" s="10">
        <v>137.15507832075065</v>
      </c>
      <c r="N201" s="7" t="s">
        <v>23</v>
      </c>
      <c r="P201" s="29" t="str">
        <f t="shared" si="54"/>
        <v/>
      </c>
      <c r="Q201" s="29" t="str">
        <f t="shared" si="55"/>
        <v/>
      </c>
      <c r="R201" s="29" t="str">
        <f t="shared" si="56"/>
        <v/>
      </c>
      <c r="S201" s="29" t="str">
        <f t="shared" si="57"/>
        <v/>
      </c>
      <c r="T201" s="32" t="str">
        <f t="shared" si="58"/>
        <v/>
      </c>
      <c r="U201" s="32" t="str">
        <f t="shared" si="61"/>
        <v/>
      </c>
      <c r="V201" s="32">
        <f t="shared" si="62"/>
        <v>1</v>
      </c>
      <c r="W201" s="41">
        <f t="shared" si="59"/>
        <v>3.0478906293500145</v>
      </c>
      <c r="X201" s="6">
        <f t="shared" si="60"/>
        <v>0</v>
      </c>
      <c r="Y201" s="7">
        <f t="shared" si="63"/>
        <v>567</v>
      </c>
      <c r="AA201" s="7">
        <f t="shared" si="64"/>
        <v>0</v>
      </c>
      <c r="AB201" s="7" t="str">
        <f t="shared" si="65"/>
        <v/>
      </c>
      <c r="AC201" s="7">
        <f t="shared" si="66"/>
        <v>0</v>
      </c>
      <c r="AD201" s="7" t="str">
        <f t="shared" si="67"/>
        <v/>
      </c>
      <c r="AE201" s="6">
        <f t="shared" si="68"/>
        <v>0</v>
      </c>
      <c r="AF201" s="69">
        <f t="shared" si="69"/>
        <v>3.0478906293500145</v>
      </c>
      <c r="AG201" s="6">
        <f t="shared" si="70"/>
        <v>0</v>
      </c>
      <c r="AH201" s="6">
        <f t="shared" si="71"/>
        <v>604</v>
      </c>
    </row>
    <row r="202" spans="8:34" x14ac:dyDescent="0.25">
      <c r="H202" s="7">
        <v>209</v>
      </c>
      <c r="I202" s="7" t="s">
        <v>14</v>
      </c>
      <c r="J202" s="8">
        <v>38078</v>
      </c>
      <c r="K202" s="12" t="s">
        <v>16</v>
      </c>
      <c r="L202" s="9">
        <v>7</v>
      </c>
      <c r="M202" s="10">
        <v>22.99759982335349</v>
      </c>
      <c r="N202" s="7" t="s">
        <v>22</v>
      </c>
      <c r="P202" s="29" t="str">
        <f t="shared" si="54"/>
        <v/>
      </c>
      <c r="Q202" s="29">
        <f t="shared" si="55"/>
        <v>1</v>
      </c>
      <c r="R202" s="29" t="str">
        <f t="shared" si="56"/>
        <v/>
      </c>
      <c r="S202" s="29" t="str">
        <f t="shared" si="57"/>
        <v/>
      </c>
      <c r="T202" s="32" t="str">
        <f t="shared" si="58"/>
        <v/>
      </c>
      <c r="U202" s="32" t="str">
        <f t="shared" si="61"/>
        <v/>
      </c>
      <c r="V202" s="32" t="str">
        <f t="shared" si="62"/>
        <v/>
      </c>
      <c r="W202" s="41">
        <f t="shared" si="59"/>
        <v>3.2853714033362129</v>
      </c>
      <c r="X202" s="6">
        <f t="shared" si="60"/>
        <v>0</v>
      </c>
      <c r="Y202" s="7">
        <f t="shared" si="63"/>
        <v>567</v>
      </c>
      <c r="AA202" s="7">
        <f t="shared" si="64"/>
        <v>0</v>
      </c>
      <c r="AB202" s="7" t="str">
        <f t="shared" si="65"/>
        <v/>
      </c>
      <c r="AC202" s="7">
        <f t="shared" si="66"/>
        <v>0</v>
      </c>
      <c r="AD202" s="7" t="str">
        <f t="shared" si="67"/>
        <v/>
      </c>
      <c r="AE202" s="6">
        <f t="shared" si="68"/>
        <v>0</v>
      </c>
      <c r="AF202" s="69">
        <f t="shared" si="69"/>
        <v>3.2853714033362129</v>
      </c>
      <c r="AG202" s="6">
        <f t="shared" si="70"/>
        <v>22.99759982335349</v>
      </c>
      <c r="AH202" s="6">
        <f t="shared" si="71"/>
        <v>551</v>
      </c>
    </row>
    <row r="203" spans="8:34" x14ac:dyDescent="0.25">
      <c r="H203" s="7">
        <v>210</v>
      </c>
      <c r="I203" s="7" t="s">
        <v>7</v>
      </c>
      <c r="J203" s="8">
        <v>38782</v>
      </c>
      <c r="K203" s="12" t="s">
        <v>17</v>
      </c>
      <c r="L203" s="9">
        <v>-6</v>
      </c>
      <c r="M203" s="10">
        <v>-16.334472666280842</v>
      </c>
      <c r="N203" s="7" t="s">
        <v>22</v>
      </c>
      <c r="P203" s="29" t="str">
        <f t="shared" si="54"/>
        <v/>
      </c>
      <c r="Q203" s="29" t="str">
        <f t="shared" si="55"/>
        <v/>
      </c>
      <c r="R203" s="29" t="str">
        <f t="shared" si="56"/>
        <v/>
      </c>
      <c r="S203" s="29" t="str">
        <f t="shared" si="57"/>
        <v/>
      </c>
      <c r="T203" s="32" t="str">
        <f t="shared" si="58"/>
        <v/>
      </c>
      <c r="U203" s="32" t="str">
        <f t="shared" si="61"/>
        <v/>
      </c>
      <c r="V203" s="32">
        <f t="shared" si="62"/>
        <v>1</v>
      </c>
      <c r="W203" s="41" t="str">
        <f t="shared" si="59"/>
        <v/>
      </c>
      <c r="X203" s="6">
        <f t="shared" si="60"/>
        <v>0</v>
      </c>
      <c r="Y203" s="7">
        <f t="shared" si="63"/>
        <v>567</v>
      </c>
      <c r="AA203" s="7">
        <f t="shared" si="64"/>
        <v>0</v>
      </c>
      <c r="AB203" s="7" t="str">
        <f t="shared" si="65"/>
        <v/>
      </c>
      <c r="AC203" s="7">
        <f t="shared" si="66"/>
        <v>0</v>
      </c>
      <c r="AD203" s="7" t="str">
        <f t="shared" si="67"/>
        <v/>
      </c>
      <c r="AE203" s="6">
        <f t="shared" si="68"/>
        <v>-6</v>
      </c>
      <c r="AF203" s="69" t="str">
        <f t="shared" si="69"/>
        <v/>
      </c>
      <c r="AG203" s="6">
        <f t="shared" si="70"/>
        <v>0</v>
      </c>
      <c r="AH203" s="6">
        <f t="shared" si="71"/>
        <v>604</v>
      </c>
    </row>
    <row r="204" spans="8:34" x14ac:dyDescent="0.25">
      <c r="H204" s="7">
        <v>211</v>
      </c>
      <c r="I204" s="7" t="s">
        <v>14</v>
      </c>
      <c r="J204" s="8">
        <v>38837</v>
      </c>
      <c r="K204" s="12" t="s">
        <v>17</v>
      </c>
      <c r="L204" s="9">
        <v>35</v>
      </c>
      <c r="M204" s="10">
        <v>106.89982221762149</v>
      </c>
      <c r="N204" s="7" t="s">
        <v>21</v>
      </c>
      <c r="P204" s="29" t="str">
        <f t="shared" si="54"/>
        <v/>
      </c>
      <c r="Q204" s="29" t="str">
        <f t="shared" si="55"/>
        <v/>
      </c>
      <c r="R204" s="29" t="str">
        <f t="shared" si="56"/>
        <v/>
      </c>
      <c r="S204" s="29" t="str">
        <f t="shared" si="57"/>
        <v/>
      </c>
      <c r="T204" s="32" t="str">
        <f t="shared" si="58"/>
        <v/>
      </c>
      <c r="U204" s="32" t="str">
        <f t="shared" si="61"/>
        <v/>
      </c>
      <c r="V204" s="32">
        <f t="shared" si="62"/>
        <v>1</v>
      </c>
      <c r="W204" s="41">
        <f t="shared" si="59"/>
        <v>3.0542806347891855</v>
      </c>
      <c r="X204" s="6">
        <f t="shared" si="60"/>
        <v>0</v>
      </c>
      <c r="Y204" s="7">
        <f t="shared" si="63"/>
        <v>567</v>
      </c>
      <c r="AA204" s="7">
        <f t="shared" si="64"/>
        <v>0</v>
      </c>
      <c r="AB204" s="7" t="str">
        <f t="shared" si="65"/>
        <v/>
      </c>
      <c r="AC204" s="7">
        <f t="shared" si="66"/>
        <v>0</v>
      </c>
      <c r="AD204" s="7" t="str">
        <f t="shared" si="67"/>
        <v/>
      </c>
      <c r="AE204" s="6">
        <f t="shared" si="68"/>
        <v>0</v>
      </c>
      <c r="AF204" s="69">
        <f t="shared" si="69"/>
        <v>3.0542806347891855</v>
      </c>
      <c r="AG204" s="6">
        <f t="shared" si="70"/>
        <v>0</v>
      </c>
      <c r="AH204" s="6">
        <f t="shared" si="71"/>
        <v>604</v>
      </c>
    </row>
    <row r="205" spans="8:34" x14ac:dyDescent="0.25">
      <c r="H205" s="7">
        <v>212</v>
      </c>
      <c r="I205" s="7" t="s">
        <v>11</v>
      </c>
      <c r="J205" s="8">
        <v>38848</v>
      </c>
      <c r="K205" s="12" t="s">
        <v>18</v>
      </c>
      <c r="L205" s="9">
        <v>31</v>
      </c>
      <c r="M205" s="10">
        <v>95.13200096066403</v>
      </c>
      <c r="N205" s="7" t="s">
        <v>24</v>
      </c>
      <c r="P205" s="29" t="str">
        <f t="shared" si="54"/>
        <v/>
      </c>
      <c r="Q205" s="29" t="str">
        <f t="shared" si="55"/>
        <v/>
      </c>
      <c r="R205" s="29" t="str">
        <f t="shared" si="56"/>
        <v/>
      </c>
      <c r="S205" s="29" t="str">
        <f t="shared" si="57"/>
        <v/>
      </c>
      <c r="T205" s="32" t="str">
        <f t="shared" si="58"/>
        <v/>
      </c>
      <c r="U205" s="32" t="str">
        <f t="shared" si="61"/>
        <v/>
      </c>
      <c r="V205" s="32">
        <f t="shared" si="62"/>
        <v>1</v>
      </c>
      <c r="W205" s="41">
        <f t="shared" si="59"/>
        <v>3.0687742245375493</v>
      </c>
      <c r="X205" s="6">
        <f t="shared" si="60"/>
        <v>0</v>
      </c>
      <c r="Y205" s="7">
        <f t="shared" si="63"/>
        <v>567</v>
      </c>
      <c r="AA205" s="7">
        <f t="shared" si="64"/>
        <v>0</v>
      </c>
      <c r="AB205" s="7" t="str">
        <f t="shared" si="65"/>
        <v/>
      </c>
      <c r="AC205" s="7">
        <f t="shared" si="66"/>
        <v>0</v>
      </c>
      <c r="AD205" s="7" t="str">
        <f t="shared" si="67"/>
        <v/>
      </c>
      <c r="AE205" s="6">
        <f t="shared" si="68"/>
        <v>0</v>
      </c>
      <c r="AF205" s="69">
        <f t="shared" si="69"/>
        <v>3.0687742245375493</v>
      </c>
      <c r="AG205" s="6">
        <f t="shared" si="70"/>
        <v>0</v>
      </c>
      <c r="AH205" s="6">
        <f t="shared" si="71"/>
        <v>604</v>
      </c>
    </row>
    <row r="206" spans="8:34" x14ac:dyDescent="0.25">
      <c r="H206" s="7">
        <v>213</v>
      </c>
      <c r="I206" s="7" t="s">
        <v>14</v>
      </c>
      <c r="J206" s="8">
        <v>38672</v>
      </c>
      <c r="K206" s="12" t="s">
        <v>17</v>
      </c>
      <c r="L206" s="9">
        <v>19</v>
      </c>
      <c r="M206" s="10">
        <v>59.075740928551383</v>
      </c>
      <c r="N206" s="7" t="s">
        <v>23</v>
      </c>
      <c r="P206" s="29" t="str">
        <f t="shared" si="54"/>
        <v/>
      </c>
      <c r="Q206" s="29" t="str">
        <f t="shared" si="55"/>
        <v/>
      </c>
      <c r="R206" s="29" t="str">
        <f t="shared" si="56"/>
        <v/>
      </c>
      <c r="S206" s="29" t="str">
        <f t="shared" si="57"/>
        <v/>
      </c>
      <c r="T206" s="32">
        <f t="shared" si="58"/>
        <v>1</v>
      </c>
      <c r="U206" s="32">
        <f t="shared" si="61"/>
        <v>1</v>
      </c>
      <c r="V206" s="32" t="str">
        <f t="shared" si="62"/>
        <v/>
      </c>
      <c r="W206" s="41">
        <f t="shared" si="59"/>
        <v>3.109249522555336</v>
      </c>
      <c r="X206" s="6">
        <f t="shared" si="60"/>
        <v>59.075740928551383</v>
      </c>
      <c r="Y206" s="7">
        <f t="shared" si="63"/>
        <v>444</v>
      </c>
      <c r="AA206" s="7">
        <f t="shared" si="64"/>
        <v>0</v>
      </c>
      <c r="AB206" s="7" t="str">
        <f t="shared" si="65"/>
        <v/>
      </c>
      <c r="AC206" s="7">
        <f t="shared" si="66"/>
        <v>1</v>
      </c>
      <c r="AD206" s="7">
        <f t="shared" si="67"/>
        <v>19</v>
      </c>
      <c r="AE206" s="6">
        <f t="shared" si="68"/>
        <v>0</v>
      </c>
      <c r="AF206" s="69">
        <f t="shared" si="69"/>
        <v>3.109249522555336</v>
      </c>
      <c r="AG206" s="6">
        <f t="shared" si="70"/>
        <v>0</v>
      </c>
      <c r="AH206" s="6">
        <f t="shared" si="71"/>
        <v>604</v>
      </c>
    </row>
    <row r="207" spans="8:34" x14ac:dyDescent="0.25">
      <c r="H207" s="7">
        <v>214</v>
      </c>
      <c r="I207" s="7" t="s">
        <v>10</v>
      </c>
      <c r="J207" s="8">
        <v>38760</v>
      </c>
      <c r="K207" s="12" t="s">
        <v>16</v>
      </c>
      <c r="L207" s="9">
        <v>35</v>
      </c>
      <c r="M207" s="10">
        <v>106.64339916643026</v>
      </c>
      <c r="N207" s="7" t="s">
        <v>23</v>
      </c>
      <c r="P207" s="29" t="str">
        <f t="shared" si="54"/>
        <v/>
      </c>
      <c r="Q207" s="29" t="str">
        <f t="shared" si="55"/>
        <v/>
      </c>
      <c r="R207" s="29" t="str">
        <f t="shared" si="56"/>
        <v/>
      </c>
      <c r="S207" s="29" t="str">
        <f t="shared" si="57"/>
        <v/>
      </c>
      <c r="T207" s="32" t="str">
        <f t="shared" si="58"/>
        <v/>
      </c>
      <c r="U207" s="32" t="str">
        <f t="shared" si="61"/>
        <v/>
      </c>
      <c r="V207" s="32">
        <f t="shared" si="62"/>
        <v>1</v>
      </c>
      <c r="W207" s="41">
        <f t="shared" si="59"/>
        <v>3.0469542618980072</v>
      </c>
      <c r="X207" s="6">
        <f t="shared" si="60"/>
        <v>0</v>
      </c>
      <c r="Y207" s="7">
        <f t="shared" si="63"/>
        <v>567</v>
      </c>
      <c r="AA207" s="7">
        <f t="shared" si="64"/>
        <v>0</v>
      </c>
      <c r="AB207" s="7" t="str">
        <f t="shared" si="65"/>
        <v/>
      </c>
      <c r="AC207" s="7">
        <f t="shared" si="66"/>
        <v>0</v>
      </c>
      <c r="AD207" s="7" t="str">
        <f t="shared" si="67"/>
        <v/>
      </c>
      <c r="AE207" s="6">
        <f t="shared" si="68"/>
        <v>0</v>
      </c>
      <c r="AF207" s="69">
        <f t="shared" si="69"/>
        <v>3.0469542618980072</v>
      </c>
      <c r="AG207" s="6">
        <f t="shared" si="70"/>
        <v>0</v>
      </c>
      <c r="AH207" s="6">
        <f t="shared" si="71"/>
        <v>604</v>
      </c>
    </row>
    <row r="208" spans="8:34" x14ac:dyDescent="0.25">
      <c r="H208" s="7">
        <v>215</v>
      </c>
      <c r="I208" s="7" t="s">
        <v>7</v>
      </c>
      <c r="J208" s="8">
        <v>38353</v>
      </c>
      <c r="K208" s="12" t="s">
        <v>19</v>
      </c>
      <c r="L208" s="9">
        <v>51</v>
      </c>
      <c r="M208" s="10">
        <v>154.59771582934854</v>
      </c>
      <c r="N208" s="7" t="s">
        <v>24</v>
      </c>
      <c r="P208" s="29" t="str">
        <f t="shared" si="54"/>
        <v/>
      </c>
      <c r="Q208" s="29" t="str">
        <f t="shared" si="55"/>
        <v/>
      </c>
      <c r="R208" s="29" t="str">
        <f t="shared" si="56"/>
        <v/>
      </c>
      <c r="S208" s="29" t="str">
        <f t="shared" si="57"/>
        <v/>
      </c>
      <c r="T208" s="32" t="str">
        <f t="shared" si="58"/>
        <v/>
      </c>
      <c r="U208" s="32">
        <f t="shared" si="61"/>
        <v>1</v>
      </c>
      <c r="V208" s="32" t="str">
        <f t="shared" si="62"/>
        <v/>
      </c>
      <c r="W208" s="41">
        <f t="shared" si="59"/>
        <v>3.0313277613597753</v>
      </c>
      <c r="X208" s="6">
        <f t="shared" si="60"/>
        <v>154.59771582934854</v>
      </c>
      <c r="Y208" s="7">
        <f t="shared" si="63"/>
        <v>260</v>
      </c>
      <c r="AA208" s="7">
        <f t="shared" si="64"/>
        <v>1</v>
      </c>
      <c r="AB208" s="7">
        <f t="shared" si="65"/>
        <v>51</v>
      </c>
      <c r="AC208" s="7">
        <f t="shared" si="66"/>
        <v>0</v>
      </c>
      <c r="AD208" s="7" t="str">
        <f t="shared" si="67"/>
        <v/>
      </c>
      <c r="AE208" s="6">
        <f t="shared" si="68"/>
        <v>0</v>
      </c>
      <c r="AF208" s="69">
        <f t="shared" si="69"/>
        <v>3.0313277613597753</v>
      </c>
      <c r="AG208" s="6">
        <f t="shared" si="70"/>
        <v>0</v>
      </c>
      <c r="AH208" s="6">
        <f t="shared" si="71"/>
        <v>604</v>
      </c>
    </row>
    <row r="209" spans="8:34" x14ac:dyDescent="0.25">
      <c r="H209" s="7">
        <v>216</v>
      </c>
      <c r="I209" s="7" t="s">
        <v>8</v>
      </c>
      <c r="J209" s="8">
        <v>38771</v>
      </c>
      <c r="K209" s="12" t="s">
        <v>20</v>
      </c>
      <c r="L209" s="9">
        <v>1</v>
      </c>
      <c r="M209" s="10">
        <v>5.3867139626812968</v>
      </c>
      <c r="N209" s="7" t="s">
        <v>24</v>
      </c>
      <c r="P209" s="29" t="str">
        <f t="shared" si="54"/>
        <v/>
      </c>
      <c r="Q209" s="29" t="str">
        <f t="shared" si="55"/>
        <v/>
      </c>
      <c r="R209" s="29" t="str">
        <f t="shared" si="56"/>
        <v/>
      </c>
      <c r="S209" s="29" t="str">
        <f t="shared" si="57"/>
        <v/>
      </c>
      <c r="T209" s="32" t="str">
        <f t="shared" si="58"/>
        <v/>
      </c>
      <c r="U209" s="32" t="str">
        <f t="shared" si="61"/>
        <v/>
      </c>
      <c r="V209" s="32">
        <f t="shared" si="62"/>
        <v>1</v>
      </c>
      <c r="W209" s="41">
        <f t="shared" si="59"/>
        <v>5.3867139626812968</v>
      </c>
      <c r="X209" s="6">
        <f t="shared" si="60"/>
        <v>0</v>
      </c>
      <c r="Y209" s="7">
        <f t="shared" si="63"/>
        <v>567</v>
      </c>
      <c r="AA209" s="7">
        <f t="shared" si="64"/>
        <v>0</v>
      </c>
      <c r="AB209" s="7" t="str">
        <f t="shared" si="65"/>
        <v/>
      </c>
      <c r="AC209" s="7">
        <f t="shared" si="66"/>
        <v>0</v>
      </c>
      <c r="AD209" s="7" t="str">
        <f t="shared" si="67"/>
        <v/>
      </c>
      <c r="AE209" s="6">
        <f t="shared" si="68"/>
        <v>0</v>
      </c>
      <c r="AF209" s="69">
        <f t="shared" si="69"/>
        <v>5.3867139626812968</v>
      </c>
      <c r="AG209" s="6">
        <f t="shared" si="70"/>
        <v>0</v>
      </c>
      <c r="AH209" s="6">
        <f t="shared" si="71"/>
        <v>604</v>
      </c>
    </row>
    <row r="210" spans="8:34" x14ac:dyDescent="0.25">
      <c r="H210" s="7">
        <v>217</v>
      </c>
      <c r="I210" s="7" t="s">
        <v>15</v>
      </c>
      <c r="J210" s="8">
        <v>38254</v>
      </c>
      <c r="K210" s="12" t="s">
        <v>18</v>
      </c>
      <c r="L210" s="9">
        <v>67</v>
      </c>
      <c r="M210" s="10">
        <v>203.35912709646638</v>
      </c>
      <c r="N210" s="7" t="s">
        <v>22</v>
      </c>
      <c r="P210" s="29" t="str">
        <f t="shared" si="54"/>
        <v/>
      </c>
      <c r="Q210" s="29" t="str">
        <f t="shared" si="55"/>
        <v/>
      </c>
      <c r="R210" s="29">
        <f t="shared" si="56"/>
        <v>1</v>
      </c>
      <c r="S210" s="29" t="str">
        <f t="shared" si="57"/>
        <v/>
      </c>
      <c r="T210" s="32" t="str">
        <f t="shared" si="58"/>
        <v/>
      </c>
      <c r="U210" s="32" t="str">
        <f t="shared" si="61"/>
        <v/>
      </c>
      <c r="V210" s="32" t="str">
        <f t="shared" si="62"/>
        <v/>
      </c>
      <c r="W210" s="41">
        <f t="shared" si="59"/>
        <v>3.0352108521860655</v>
      </c>
      <c r="X210" s="6">
        <f t="shared" si="60"/>
        <v>0</v>
      </c>
      <c r="Y210" s="7">
        <f t="shared" si="63"/>
        <v>567</v>
      </c>
      <c r="AA210" s="7">
        <f t="shared" si="64"/>
        <v>0</v>
      </c>
      <c r="AB210" s="7" t="str">
        <f t="shared" si="65"/>
        <v/>
      </c>
      <c r="AC210" s="7">
        <f t="shared" si="66"/>
        <v>0</v>
      </c>
      <c r="AD210" s="7" t="str">
        <f t="shared" si="67"/>
        <v/>
      </c>
      <c r="AE210" s="6">
        <f t="shared" si="68"/>
        <v>0</v>
      </c>
      <c r="AF210" s="69">
        <f t="shared" si="69"/>
        <v>3.0352108521860655</v>
      </c>
      <c r="AG210" s="6">
        <f t="shared" si="70"/>
        <v>203.35912709646638</v>
      </c>
      <c r="AH210" s="6">
        <f t="shared" si="71"/>
        <v>166</v>
      </c>
    </row>
    <row r="211" spans="8:34" x14ac:dyDescent="0.25">
      <c r="H211" s="7">
        <v>218</v>
      </c>
      <c r="I211" s="7" t="s">
        <v>15</v>
      </c>
      <c r="J211" s="8">
        <v>38441</v>
      </c>
      <c r="K211" s="12" t="s">
        <v>20</v>
      </c>
      <c r="L211" s="9">
        <v>23</v>
      </c>
      <c r="M211" s="10">
        <v>71.412597536524615</v>
      </c>
      <c r="N211" s="7" t="s">
        <v>22</v>
      </c>
      <c r="P211" s="29" t="str">
        <f t="shared" si="54"/>
        <v/>
      </c>
      <c r="Q211" s="29" t="str">
        <f t="shared" si="55"/>
        <v/>
      </c>
      <c r="R211" s="29" t="str">
        <f t="shared" si="56"/>
        <v/>
      </c>
      <c r="S211" s="29" t="str">
        <f t="shared" si="57"/>
        <v/>
      </c>
      <c r="T211" s="32" t="str">
        <f t="shared" si="58"/>
        <v/>
      </c>
      <c r="U211" s="32">
        <f t="shared" si="61"/>
        <v>1</v>
      </c>
      <c r="V211" s="32" t="str">
        <f t="shared" si="62"/>
        <v/>
      </c>
      <c r="W211" s="41">
        <f t="shared" si="59"/>
        <v>3.1048955450662876</v>
      </c>
      <c r="X211" s="6">
        <f t="shared" si="60"/>
        <v>71.412597536524615</v>
      </c>
      <c r="Y211" s="7">
        <f t="shared" si="63"/>
        <v>423</v>
      </c>
      <c r="AA211" s="7">
        <f t="shared" si="64"/>
        <v>1</v>
      </c>
      <c r="AB211" s="7">
        <f t="shared" si="65"/>
        <v>23</v>
      </c>
      <c r="AC211" s="7">
        <f t="shared" si="66"/>
        <v>0</v>
      </c>
      <c r="AD211" s="7" t="str">
        <f t="shared" si="67"/>
        <v/>
      </c>
      <c r="AE211" s="6">
        <f t="shared" si="68"/>
        <v>0</v>
      </c>
      <c r="AF211" s="69">
        <f t="shared" si="69"/>
        <v>3.1048955450662876</v>
      </c>
      <c r="AG211" s="6">
        <f t="shared" si="70"/>
        <v>0</v>
      </c>
      <c r="AH211" s="6">
        <f t="shared" si="71"/>
        <v>604</v>
      </c>
    </row>
    <row r="212" spans="8:34" x14ac:dyDescent="0.25">
      <c r="H212" s="7">
        <v>219</v>
      </c>
      <c r="I212" s="7" t="s">
        <v>11</v>
      </c>
      <c r="J212" s="8">
        <v>38386</v>
      </c>
      <c r="K212" s="12" t="s">
        <v>18</v>
      </c>
      <c r="L212" s="9">
        <v>41</v>
      </c>
      <c r="M212" s="10">
        <v>125.23475441561757</v>
      </c>
      <c r="N212" s="7" t="s">
        <v>24</v>
      </c>
      <c r="P212" s="29" t="str">
        <f t="shared" si="54"/>
        <v/>
      </c>
      <c r="Q212" s="29" t="str">
        <f t="shared" si="55"/>
        <v/>
      </c>
      <c r="R212" s="29" t="str">
        <f t="shared" si="56"/>
        <v/>
      </c>
      <c r="S212" s="29" t="str">
        <f t="shared" si="57"/>
        <v/>
      </c>
      <c r="T212" s="32" t="str">
        <f t="shared" si="58"/>
        <v/>
      </c>
      <c r="U212" s="32">
        <f t="shared" si="61"/>
        <v>1</v>
      </c>
      <c r="V212" s="32" t="str">
        <f t="shared" si="62"/>
        <v/>
      </c>
      <c r="W212" s="41">
        <f t="shared" si="59"/>
        <v>3.0545062052589653</v>
      </c>
      <c r="X212" s="6">
        <f t="shared" si="60"/>
        <v>125.23475441561757</v>
      </c>
      <c r="Y212" s="7">
        <f t="shared" si="63"/>
        <v>309</v>
      </c>
      <c r="AA212" s="7">
        <f t="shared" si="64"/>
        <v>1</v>
      </c>
      <c r="AB212" s="7">
        <f t="shared" si="65"/>
        <v>41</v>
      </c>
      <c r="AC212" s="7">
        <f t="shared" si="66"/>
        <v>0</v>
      </c>
      <c r="AD212" s="7" t="str">
        <f t="shared" si="67"/>
        <v/>
      </c>
      <c r="AE212" s="6">
        <f t="shared" si="68"/>
        <v>0</v>
      </c>
      <c r="AF212" s="69">
        <f t="shared" si="69"/>
        <v>3.0545062052589653</v>
      </c>
      <c r="AG212" s="6">
        <f t="shared" si="70"/>
        <v>0</v>
      </c>
      <c r="AH212" s="6">
        <f t="shared" si="71"/>
        <v>604</v>
      </c>
    </row>
    <row r="213" spans="8:34" x14ac:dyDescent="0.25">
      <c r="H213" s="7">
        <v>220</v>
      </c>
      <c r="I213" s="7" t="s">
        <v>9</v>
      </c>
      <c r="J213" s="8">
        <v>38001</v>
      </c>
      <c r="K213" s="12" t="s">
        <v>20</v>
      </c>
      <c r="L213" s="9">
        <v>27</v>
      </c>
      <c r="M213" s="10">
        <v>83.195110350521588</v>
      </c>
      <c r="N213" s="7" t="s">
        <v>23</v>
      </c>
      <c r="P213" s="29">
        <f t="shared" si="54"/>
        <v>1</v>
      </c>
      <c r="Q213" s="29" t="str">
        <f t="shared" si="55"/>
        <v/>
      </c>
      <c r="R213" s="29" t="str">
        <f t="shared" si="56"/>
        <v/>
      </c>
      <c r="S213" s="29" t="str">
        <f t="shared" si="57"/>
        <v/>
      </c>
      <c r="T213" s="32" t="str">
        <f t="shared" si="58"/>
        <v/>
      </c>
      <c r="U213" s="32" t="str">
        <f t="shared" si="61"/>
        <v/>
      </c>
      <c r="V213" s="32" t="str">
        <f t="shared" si="62"/>
        <v/>
      </c>
      <c r="W213" s="41">
        <f t="shared" si="59"/>
        <v>3.0813003833526516</v>
      </c>
      <c r="X213" s="6">
        <f t="shared" si="60"/>
        <v>0</v>
      </c>
      <c r="Y213" s="7">
        <f t="shared" si="63"/>
        <v>567</v>
      </c>
      <c r="AA213" s="7">
        <f t="shared" si="64"/>
        <v>0</v>
      </c>
      <c r="AB213" s="7" t="str">
        <f t="shared" si="65"/>
        <v/>
      </c>
      <c r="AC213" s="7">
        <f t="shared" si="66"/>
        <v>0</v>
      </c>
      <c r="AD213" s="7" t="str">
        <f t="shared" si="67"/>
        <v/>
      </c>
      <c r="AE213" s="6">
        <f t="shared" si="68"/>
        <v>0</v>
      </c>
      <c r="AF213" s="69">
        <f t="shared" si="69"/>
        <v>3.0813003833526516</v>
      </c>
      <c r="AG213" s="6">
        <f t="shared" si="70"/>
        <v>83.195110350521588</v>
      </c>
      <c r="AH213" s="6">
        <f t="shared" si="71"/>
        <v>416</v>
      </c>
    </row>
    <row r="214" spans="8:34" x14ac:dyDescent="0.25">
      <c r="H214" s="7">
        <v>221</v>
      </c>
      <c r="I214" s="7" t="s">
        <v>12</v>
      </c>
      <c r="J214" s="8">
        <v>38980</v>
      </c>
      <c r="K214" s="12" t="s">
        <v>18</v>
      </c>
      <c r="L214" s="9">
        <v>56</v>
      </c>
      <c r="M214" s="10">
        <v>170.17512557022724</v>
      </c>
      <c r="N214" s="7" t="s">
        <v>22</v>
      </c>
      <c r="P214" s="29" t="str">
        <f t="shared" si="54"/>
        <v/>
      </c>
      <c r="Q214" s="29" t="str">
        <f t="shared" si="55"/>
        <v/>
      </c>
      <c r="R214" s="29" t="str">
        <f t="shared" si="56"/>
        <v/>
      </c>
      <c r="S214" s="29" t="str">
        <f t="shared" si="57"/>
        <v/>
      </c>
      <c r="T214" s="32" t="str">
        <f t="shared" si="58"/>
        <v/>
      </c>
      <c r="U214" s="32" t="str">
        <f t="shared" si="61"/>
        <v/>
      </c>
      <c r="V214" s="32">
        <f t="shared" si="62"/>
        <v>1</v>
      </c>
      <c r="W214" s="41">
        <f t="shared" si="59"/>
        <v>3.038841528039772</v>
      </c>
      <c r="X214" s="6">
        <f t="shared" si="60"/>
        <v>0</v>
      </c>
      <c r="Y214" s="7">
        <f t="shared" si="63"/>
        <v>567</v>
      </c>
      <c r="AA214" s="7">
        <f t="shared" si="64"/>
        <v>0</v>
      </c>
      <c r="AB214" s="7" t="str">
        <f t="shared" si="65"/>
        <v/>
      </c>
      <c r="AC214" s="7">
        <f t="shared" si="66"/>
        <v>0</v>
      </c>
      <c r="AD214" s="7" t="str">
        <f t="shared" si="67"/>
        <v/>
      </c>
      <c r="AE214" s="6">
        <f t="shared" si="68"/>
        <v>0</v>
      </c>
      <c r="AF214" s="69">
        <f t="shared" si="69"/>
        <v>3.038841528039772</v>
      </c>
      <c r="AG214" s="6">
        <f t="shared" si="70"/>
        <v>0</v>
      </c>
      <c r="AH214" s="6">
        <f t="shared" si="71"/>
        <v>604</v>
      </c>
    </row>
    <row r="215" spans="8:34" x14ac:dyDescent="0.25">
      <c r="H215" s="7">
        <v>222</v>
      </c>
      <c r="I215" s="7" t="s">
        <v>9</v>
      </c>
      <c r="J215" s="8">
        <v>38188</v>
      </c>
      <c r="K215" s="12" t="s">
        <v>20</v>
      </c>
      <c r="L215" s="9">
        <v>67</v>
      </c>
      <c r="M215" s="10">
        <v>203.35311949602652</v>
      </c>
      <c r="N215" s="7" t="s">
        <v>23</v>
      </c>
      <c r="P215" s="29" t="str">
        <f t="shared" si="54"/>
        <v/>
      </c>
      <c r="Q215" s="29" t="str">
        <f t="shared" si="55"/>
        <v/>
      </c>
      <c r="R215" s="29">
        <f t="shared" si="56"/>
        <v>1</v>
      </c>
      <c r="S215" s="29" t="str">
        <f t="shared" si="57"/>
        <v/>
      </c>
      <c r="T215" s="32" t="str">
        <f t="shared" si="58"/>
        <v/>
      </c>
      <c r="U215" s="32" t="str">
        <f t="shared" si="61"/>
        <v/>
      </c>
      <c r="V215" s="32" t="str">
        <f t="shared" si="62"/>
        <v/>
      </c>
      <c r="W215" s="41">
        <f t="shared" si="59"/>
        <v>3.0351211865078587</v>
      </c>
      <c r="X215" s="6">
        <f t="shared" si="60"/>
        <v>0</v>
      </c>
      <c r="Y215" s="7">
        <f t="shared" si="63"/>
        <v>567</v>
      </c>
      <c r="AA215" s="7">
        <f t="shared" si="64"/>
        <v>0</v>
      </c>
      <c r="AB215" s="7" t="str">
        <f t="shared" si="65"/>
        <v/>
      </c>
      <c r="AC215" s="7">
        <f t="shared" si="66"/>
        <v>0</v>
      </c>
      <c r="AD215" s="7" t="str">
        <f t="shared" si="67"/>
        <v/>
      </c>
      <c r="AE215" s="6">
        <f t="shared" si="68"/>
        <v>0</v>
      </c>
      <c r="AF215" s="69">
        <f t="shared" si="69"/>
        <v>3.0351211865078587</v>
      </c>
      <c r="AG215" s="6">
        <f t="shared" si="70"/>
        <v>203.35311949602652</v>
      </c>
      <c r="AH215" s="6">
        <f t="shared" si="71"/>
        <v>167</v>
      </c>
    </row>
    <row r="216" spans="8:34" x14ac:dyDescent="0.25">
      <c r="H216" s="7">
        <v>223</v>
      </c>
      <c r="I216" s="7" t="s">
        <v>7</v>
      </c>
      <c r="J216" s="8">
        <v>38243</v>
      </c>
      <c r="K216" s="12" t="s">
        <v>18</v>
      </c>
      <c r="L216" s="9">
        <v>94</v>
      </c>
      <c r="M216" s="10">
        <v>283.74141758000144</v>
      </c>
      <c r="N216" s="7" t="s">
        <v>23</v>
      </c>
      <c r="P216" s="29" t="str">
        <f t="shared" si="54"/>
        <v/>
      </c>
      <c r="Q216" s="29" t="str">
        <f t="shared" si="55"/>
        <v/>
      </c>
      <c r="R216" s="29">
        <f t="shared" si="56"/>
        <v>1</v>
      </c>
      <c r="S216" s="29" t="str">
        <f t="shared" si="57"/>
        <v/>
      </c>
      <c r="T216" s="32" t="str">
        <f t="shared" si="58"/>
        <v/>
      </c>
      <c r="U216" s="32" t="str">
        <f t="shared" si="61"/>
        <v/>
      </c>
      <c r="V216" s="32" t="str">
        <f t="shared" si="62"/>
        <v/>
      </c>
      <c r="W216" s="41">
        <f t="shared" si="59"/>
        <v>3.0185257189361856</v>
      </c>
      <c r="X216" s="6">
        <f t="shared" si="60"/>
        <v>0</v>
      </c>
      <c r="Y216" s="7">
        <f t="shared" si="63"/>
        <v>567</v>
      </c>
      <c r="AA216" s="7">
        <f t="shared" si="64"/>
        <v>0</v>
      </c>
      <c r="AB216" s="7" t="str">
        <f t="shared" si="65"/>
        <v/>
      </c>
      <c r="AC216" s="7">
        <f t="shared" si="66"/>
        <v>0</v>
      </c>
      <c r="AD216" s="7" t="str">
        <f t="shared" si="67"/>
        <v/>
      </c>
      <c r="AE216" s="6">
        <f t="shared" si="68"/>
        <v>0</v>
      </c>
      <c r="AF216" s="69">
        <f t="shared" si="69"/>
        <v>3.0185257189361856</v>
      </c>
      <c r="AG216" s="6">
        <f t="shared" si="70"/>
        <v>283.74141758000144</v>
      </c>
      <c r="AH216" s="6">
        <f t="shared" si="71"/>
        <v>12</v>
      </c>
    </row>
    <row r="217" spans="8:34" x14ac:dyDescent="0.25">
      <c r="H217" s="7">
        <v>224</v>
      </c>
      <c r="I217" s="7" t="s">
        <v>12</v>
      </c>
      <c r="J217" s="8">
        <v>38265</v>
      </c>
      <c r="K217" s="12" t="s">
        <v>16</v>
      </c>
      <c r="L217" s="9">
        <v>52</v>
      </c>
      <c r="M217" s="10">
        <v>158.2973319694853</v>
      </c>
      <c r="N217" s="7" t="s">
        <v>23</v>
      </c>
      <c r="P217" s="29" t="str">
        <f t="shared" si="54"/>
        <v/>
      </c>
      <c r="Q217" s="29" t="str">
        <f t="shared" si="55"/>
        <v/>
      </c>
      <c r="R217" s="29" t="str">
        <f t="shared" si="56"/>
        <v/>
      </c>
      <c r="S217" s="29">
        <f t="shared" si="57"/>
        <v>1</v>
      </c>
      <c r="T217" s="32" t="str">
        <f t="shared" si="58"/>
        <v/>
      </c>
      <c r="U217" s="32" t="str">
        <f t="shared" si="61"/>
        <v/>
      </c>
      <c r="V217" s="32" t="str">
        <f t="shared" si="62"/>
        <v/>
      </c>
      <c r="W217" s="41">
        <f t="shared" si="59"/>
        <v>3.0441794609516402</v>
      </c>
      <c r="X217" s="6">
        <f t="shared" si="60"/>
        <v>0</v>
      </c>
      <c r="Y217" s="7">
        <f t="shared" si="63"/>
        <v>567</v>
      </c>
      <c r="AA217" s="7">
        <f t="shared" si="64"/>
        <v>0</v>
      </c>
      <c r="AB217" s="7" t="str">
        <f t="shared" si="65"/>
        <v/>
      </c>
      <c r="AC217" s="7">
        <f t="shared" si="66"/>
        <v>0</v>
      </c>
      <c r="AD217" s="7" t="str">
        <f t="shared" si="67"/>
        <v/>
      </c>
      <c r="AE217" s="6">
        <f t="shared" si="68"/>
        <v>0</v>
      </c>
      <c r="AF217" s="69">
        <f t="shared" si="69"/>
        <v>3.0441794609516402</v>
      </c>
      <c r="AG217" s="6">
        <f t="shared" si="70"/>
        <v>158.2973319694853</v>
      </c>
      <c r="AH217" s="6">
        <f t="shared" si="71"/>
        <v>261</v>
      </c>
    </row>
    <row r="218" spans="8:34" x14ac:dyDescent="0.25">
      <c r="H218" s="7">
        <v>225</v>
      </c>
      <c r="I218" s="7" t="s">
        <v>10</v>
      </c>
      <c r="J218" s="8">
        <v>38023</v>
      </c>
      <c r="K218" s="12" t="s">
        <v>19</v>
      </c>
      <c r="L218" s="9">
        <v>24</v>
      </c>
      <c r="M218" s="10">
        <v>74.243899422562194</v>
      </c>
      <c r="N218" s="7" t="s">
        <v>23</v>
      </c>
      <c r="P218" s="29">
        <f t="shared" si="54"/>
        <v>1</v>
      </c>
      <c r="Q218" s="29" t="str">
        <f t="shared" si="55"/>
        <v/>
      </c>
      <c r="R218" s="29" t="str">
        <f t="shared" si="56"/>
        <v/>
      </c>
      <c r="S218" s="29" t="str">
        <f t="shared" si="57"/>
        <v/>
      </c>
      <c r="T218" s="32" t="str">
        <f t="shared" si="58"/>
        <v/>
      </c>
      <c r="U218" s="32" t="str">
        <f t="shared" si="61"/>
        <v/>
      </c>
      <c r="V218" s="32" t="str">
        <f t="shared" si="62"/>
        <v/>
      </c>
      <c r="W218" s="41">
        <f t="shared" si="59"/>
        <v>3.0934958092734246</v>
      </c>
      <c r="X218" s="6">
        <f t="shared" si="60"/>
        <v>0</v>
      </c>
      <c r="Y218" s="7">
        <f t="shared" si="63"/>
        <v>567</v>
      </c>
      <c r="AA218" s="7">
        <f t="shared" si="64"/>
        <v>0</v>
      </c>
      <c r="AB218" s="7" t="str">
        <f t="shared" si="65"/>
        <v/>
      </c>
      <c r="AC218" s="7">
        <f t="shared" si="66"/>
        <v>0</v>
      </c>
      <c r="AD218" s="7" t="str">
        <f t="shared" si="67"/>
        <v/>
      </c>
      <c r="AE218" s="6">
        <f t="shared" si="68"/>
        <v>0</v>
      </c>
      <c r="AF218" s="69">
        <f t="shared" si="69"/>
        <v>3.0934958092734246</v>
      </c>
      <c r="AG218" s="6">
        <f t="shared" si="70"/>
        <v>74.243899422562194</v>
      </c>
      <c r="AH218" s="6">
        <f t="shared" si="71"/>
        <v>438</v>
      </c>
    </row>
    <row r="219" spans="8:34" x14ac:dyDescent="0.25">
      <c r="H219" s="7">
        <v>226</v>
      </c>
      <c r="I219" s="7" t="s">
        <v>14</v>
      </c>
      <c r="J219" s="8">
        <v>38144</v>
      </c>
      <c r="K219" s="12" t="s">
        <v>17</v>
      </c>
      <c r="L219" s="9">
        <v>-1</v>
      </c>
      <c r="M219" s="10">
        <v>-0.91770776800017373</v>
      </c>
      <c r="N219" s="7" t="s">
        <v>21</v>
      </c>
      <c r="P219" s="29" t="str">
        <f t="shared" si="54"/>
        <v/>
      </c>
      <c r="Q219" s="29">
        <f t="shared" si="55"/>
        <v>1</v>
      </c>
      <c r="R219" s="29" t="str">
        <f t="shared" si="56"/>
        <v/>
      </c>
      <c r="S219" s="29" t="str">
        <f t="shared" si="57"/>
        <v/>
      </c>
      <c r="T219" s="32" t="str">
        <f t="shared" si="58"/>
        <v/>
      </c>
      <c r="U219" s="32" t="str">
        <f t="shared" si="61"/>
        <v/>
      </c>
      <c r="V219" s="32" t="str">
        <f t="shared" si="62"/>
        <v/>
      </c>
      <c r="W219" s="41" t="str">
        <f t="shared" si="59"/>
        <v/>
      </c>
      <c r="X219" s="6">
        <f t="shared" si="60"/>
        <v>0</v>
      </c>
      <c r="Y219" s="7">
        <f t="shared" si="63"/>
        <v>567</v>
      </c>
      <c r="AA219" s="7">
        <f t="shared" si="64"/>
        <v>0</v>
      </c>
      <c r="AB219" s="7" t="str">
        <f t="shared" si="65"/>
        <v/>
      </c>
      <c r="AC219" s="7">
        <f t="shared" si="66"/>
        <v>0</v>
      </c>
      <c r="AD219" s="7" t="str">
        <f t="shared" si="67"/>
        <v/>
      </c>
      <c r="AE219" s="6">
        <f t="shared" si="68"/>
        <v>-1</v>
      </c>
      <c r="AF219" s="69" t="str">
        <f t="shared" si="69"/>
        <v/>
      </c>
      <c r="AG219" s="6">
        <f t="shared" si="70"/>
        <v>0</v>
      </c>
      <c r="AH219" s="6">
        <f t="shared" si="71"/>
        <v>604</v>
      </c>
    </row>
    <row r="220" spans="8:34" x14ac:dyDescent="0.25">
      <c r="H220" s="7">
        <v>227</v>
      </c>
      <c r="I220" s="7" t="s">
        <v>8</v>
      </c>
      <c r="J220" s="8">
        <v>38738</v>
      </c>
      <c r="K220" s="12" t="s">
        <v>16</v>
      </c>
      <c r="L220" s="9">
        <v>37</v>
      </c>
      <c r="M220" s="10">
        <v>112.52158206006119</v>
      </c>
      <c r="N220" s="7" t="s">
        <v>21</v>
      </c>
      <c r="P220" s="29" t="str">
        <f t="shared" si="54"/>
        <v/>
      </c>
      <c r="Q220" s="29" t="str">
        <f t="shared" si="55"/>
        <v/>
      </c>
      <c r="R220" s="29" t="str">
        <f t="shared" si="56"/>
        <v/>
      </c>
      <c r="S220" s="29" t="str">
        <f t="shared" si="57"/>
        <v/>
      </c>
      <c r="T220" s="32" t="str">
        <f t="shared" si="58"/>
        <v/>
      </c>
      <c r="U220" s="32" t="str">
        <f t="shared" si="61"/>
        <v/>
      </c>
      <c r="V220" s="32">
        <f t="shared" si="62"/>
        <v>1</v>
      </c>
      <c r="W220" s="41">
        <f t="shared" si="59"/>
        <v>3.0411238394611133</v>
      </c>
      <c r="X220" s="6">
        <f t="shared" si="60"/>
        <v>0</v>
      </c>
      <c r="Y220" s="7">
        <f t="shared" si="63"/>
        <v>567</v>
      </c>
      <c r="AA220" s="7">
        <f t="shared" si="64"/>
        <v>0</v>
      </c>
      <c r="AB220" s="7" t="str">
        <f t="shared" si="65"/>
        <v/>
      </c>
      <c r="AC220" s="7">
        <f t="shared" si="66"/>
        <v>0</v>
      </c>
      <c r="AD220" s="7" t="str">
        <f t="shared" si="67"/>
        <v/>
      </c>
      <c r="AE220" s="6">
        <f t="shared" si="68"/>
        <v>0</v>
      </c>
      <c r="AF220" s="69">
        <f t="shared" si="69"/>
        <v>3.0411238394611133</v>
      </c>
      <c r="AG220" s="6">
        <f t="shared" si="70"/>
        <v>0</v>
      </c>
      <c r="AH220" s="6">
        <f t="shared" si="71"/>
        <v>604</v>
      </c>
    </row>
    <row r="221" spans="8:34" x14ac:dyDescent="0.25">
      <c r="H221" s="7">
        <v>228</v>
      </c>
      <c r="I221" s="7" t="s">
        <v>7</v>
      </c>
      <c r="J221" s="8">
        <v>38771</v>
      </c>
      <c r="K221" s="12" t="s">
        <v>18</v>
      </c>
      <c r="L221" s="9">
        <v>63</v>
      </c>
      <c r="M221" s="10">
        <v>191.4542393048981</v>
      </c>
      <c r="N221" s="7" t="s">
        <v>21</v>
      </c>
      <c r="P221" s="29" t="str">
        <f t="shared" si="54"/>
        <v/>
      </c>
      <c r="Q221" s="29" t="str">
        <f t="shared" si="55"/>
        <v/>
      </c>
      <c r="R221" s="29" t="str">
        <f t="shared" si="56"/>
        <v/>
      </c>
      <c r="S221" s="29" t="str">
        <f t="shared" si="57"/>
        <v/>
      </c>
      <c r="T221" s="32" t="str">
        <f t="shared" si="58"/>
        <v/>
      </c>
      <c r="U221" s="32" t="str">
        <f t="shared" si="61"/>
        <v/>
      </c>
      <c r="V221" s="32">
        <f t="shared" si="62"/>
        <v>1</v>
      </c>
      <c r="W221" s="41">
        <f t="shared" si="59"/>
        <v>3.038956179442827</v>
      </c>
      <c r="X221" s="6">
        <f t="shared" si="60"/>
        <v>0</v>
      </c>
      <c r="Y221" s="7">
        <f t="shared" si="63"/>
        <v>567</v>
      </c>
      <c r="AA221" s="7">
        <f t="shared" si="64"/>
        <v>0</v>
      </c>
      <c r="AB221" s="7" t="str">
        <f t="shared" si="65"/>
        <v/>
      </c>
      <c r="AC221" s="7">
        <f t="shared" si="66"/>
        <v>0</v>
      </c>
      <c r="AD221" s="7" t="str">
        <f t="shared" si="67"/>
        <v/>
      </c>
      <c r="AE221" s="6">
        <f t="shared" si="68"/>
        <v>0</v>
      </c>
      <c r="AF221" s="69">
        <f t="shared" si="69"/>
        <v>3.038956179442827</v>
      </c>
      <c r="AG221" s="6">
        <f t="shared" si="70"/>
        <v>0</v>
      </c>
      <c r="AH221" s="6">
        <f t="shared" si="71"/>
        <v>604</v>
      </c>
    </row>
    <row r="222" spans="8:34" x14ac:dyDescent="0.25">
      <c r="H222" s="7">
        <v>229</v>
      </c>
      <c r="I222" s="7" t="s">
        <v>15</v>
      </c>
      <c r="J222" s="8">
        <v>38089</v>
      </c>
      <c r="K222" s="12" t="s">
        <v>17</v>
      </c>
      <c r="L222" s="9">
        <v>13</v>
      </c>
      <c r="M222" s="10">
        <v>41.010346846521706</v>
      </c>
      <c r="N222" s="7" t="s">
        <v>23</v>
      </c>
      <c r="P222" s="29" t="str">
        <f t="shared" si="54"/>
        <v/>
      </c>
      <c r="Q222" s="29">
        <f t="shared" si="55"/>
        <v>1</v>
      </c>
      <c r="R222" s="29" t="str">
        <f t="shared" si="56"/>
        <v/>
      </c>
      <c r="S222" s="29" t="str">
        <f t="shared" si="57"/>
        <v/>
      </c>
      <c r="T222" s="32" t="str">
        <f t="shared" si="58"/>
        <v/>
      </c>
      <c r="U222" s="32" t="str">
        <f t="shared" si="61"/>
        <v/>
      </c>
      <c r="V222" s="32" t="str">
        <f t="shared" si="62"/>
        <v/>
      </c>
      <c r="W222" s="41">
        <f t="shared" si="59"/>
        <v>3.1546420651170544</v>
      </c>
      <c r="X222" s="6">
        <f t="shared" si="60"/>
        <v>0</v>
      </c>
      <c r="Y222" s="7">
        <f t="shared" si="63"/>
        <v>567</v>
      </c>
      <c r="AA222" s="7">
        <f t="shared" si="64"/>
        <v>0</v>
      </c>
      <c r="AB222" s="7" t="str">
        <f t="shared" si="65"/>
        <v/>
      </c>
      <c r="AC222" s="7">
        <f t="shared" si="66"/>
        <v>0</v>
      </c>
      <c r="AD222" s="7" t="str">
        <f t="shared" si="67"/>
        <v/>
      </c>
      <c r="AE222" s="6">
        <f t="shared" si="68"/>
        <v>0</v>
      </c>
      <c r="AF222" s="69">
        <f t="shared" si="69"/>
        <v>3.1546420651170544</v>
      </c>
      <c r="AG222" s="6">
        <f t="shared" si="70"/>
        <v>41.010346846521706</v>
      </c>
      <c r="AH222" s="6">
        <f t="shared" si="71"/>
        <v>499</v>
      </c>
    </row>
    <row r="223" spans="8:34" x14ac:dyDescent="0.25">
      <c r="H223" s="7">
        <v>230</v>
      </c>
      <c r="I223" s="7" t="s">
        <v>8</v>
      </c>
      <c r="J223" s="8">
        <v>39046</v>
      </c>
      <c r="K223" s="12" t="s">
        <v>17</v>
      </c>
      <c r="L223" s="9">
        <v>7</v>
      </c>
      <c r="M223" s="10">
        <v>22.334877359058812</v>
      </c>
      <c r="N223" s="7" t="s">
        <v>23</v>
      </c>
      <c r="P223" s="29" t="str">
        <f t="shared" si="54"/>
        <v/>
      </c>
      <c r="Q223" s="29" t="str">
        <f t="shared" si="55"/>
        <v/>
      </c>
      <c r="R223" s="29" t="str">
        <f t="shared" si="56"/>
        <v/>
      </c>
      <c r="S223" s="29" t="str">
        <f t="shared" si="57"/>
        <v/>
      </c>
      <c r="T223" s="32" t="str">
        <f t="shared" si="58"/>
        <v/>
      </c>
      <c r="U223" s="32" t="str">
        <f t="shared" si="61"/>
        <v/>
      </c>
      <c r="V223" s="32">
        <f t="shared" si="62"/>
        <v>1</v>
      </c>
      <c r="W223" s="41">
        <f t="shared" si="59"/>
        <v>3.1906967655798302</v>
      </c>
      <c r="X223" s="6">
        <f t="shared" si="60"/>
        <v>0</v>
      </c>
      <c r="Y223" s="7">
        <f t="shared" si="63"/>
        <v>567</v>
      </c>
      <c r="AA223" s="7">
        <f t="shared" si="64"/>
        <v>0</v>
      </c>
      <c r="AB223" s="7" t="str">
        <f t="shared" si="65"/>
        <v/>
      </c>
      <c r="AC223" s="7">
        <f t="shared" si="66"/>
        <v>0</v>
      </c>
      <c r="AD223" s="7" t="str">
        <f t="shared" si="67"/>
        <v/>
      </c>
      <c r="AE223" s="6">
        <f t="shared" si="68"/>
        <v>0</v>
      </c>
      <c r="AF223" s="69">
        <f t="shared" si="69"/>
        <v>3.1906967655798302</v>
      </c>
      <c r="AG223" s="6">
        <f t="shared" si="70"/>
        <v>0</v>
      </c>
      <c r="AH223" s="6">
        <f t="shared" si="71"/>
        <v>604</v>
      </c>
    </row>
    <row r="224" spans="8:34" x14ac:dyDescent="0.25">
      <c r="H224" s="7">
        <v>231</v>
      </c>
      <c r="I224" s="7" t="s">
        <v>10</v>
      </c>
      <c r="J224" s="8">
        <v>38067</v>
      </c>
      <c r="K224" s="12" t="s">
        <v>17</v>
      </c>
      <c r="L224" s="9">
        <v>64</v>
      </c>
      <c r="M224" s="10">
        <v>193.83879299726061</v>
      </c>
      <c r="N224" s="7" t="s">
        <v>23</v>
      </c>
      <c r="P224" s="29">
        <f t="shared" si="54"/>
        <v>1</v>
      </c>
      <c r="Q224" s="29" t="str">
        <f t="shared" si="55"/>
        <v/>
      </c>
      <c r="R224" s="29" t="str">
        <f t="shared" si="56"/>
        <v/>
      </c>
      <c r="S224" s="29" t="str">
        <f t="shared" si="57"/>
        <v/>
      </c>
      <c r="T224" s="32" t="str">
        <f t="shared" si="58"/>
        <v/>
      </c>
      <c r="U224" s="32" t="str">
        <f t="shared" si="61"/>
        <v/>
      </c>
      <c r="V224" s="32" t="str">
        <f t="shared" si="62"/>
        <v/>
      </c>
      <c r="W224" s="41">
        <f t="shared" si="59"/>
        <v>3.0287311405821971</v>
      </c>
      <c r="X224" s="6">
        <f t="shared" si="60"/>
        <v>0</v>
      </c>
      <c r="Y224" s="7">
        <f t="shared" si="63"/>
        <v>567</v>
      </c>
      <c r="AA224" s="7">
        <f t="shared" si="64"/>
        <v>0</v>
      </c>
      <c r="AB224" s="7" t="str">
        <f t="shared" si="65"/>
        <v/>
      </c>
      <c r="AC224" s="7">
        <f t="shared" si="66"/>
        <v>0</v>
      </c>
      <c r="AD224" s="7" t="str">
        <f t="shared" si="67"/>
        <v/>
      </c>
      <c r="AE224" s="6">
        <f t="shared" si="68"/>
        <v>0</v>
      </c>
      <c r="AF224" s="69">
        <f t="shared" si="69"/>
        <v>3.0287311405821971</v>
      </c>
      <c r="AG224" s="6">
        <f t="shared" si="70"/>
        <v>193.83879299726061</v>
      </c>
      <c r="AH224" s="6">
        <f t="shared" si="71"/>
        <v>185</v>
      </c>
    </row>
    <row r="225" spans="8:34" x14ac:dyDescent="0.25">
      <c r="H225" s="7">
        <v>232</v>
      </c>
      <c r="I225" s="7" t="s">
        <v>9</v>
      </c>
      <c r="J225" s="8">
        <v>38144</v>
      </c>
      <c r="K225" s="12" t="s">
        <v>17</v>
      </c>
      <c r="L225" s="9">
        <v>63</v>
      </c>
      <c r="M225" s="10">
        <v>190.90668689411601</v>
      </c>
      <c r="N225" s="7" t="s">
        <v>22</v>
      </c>
      <c r="P225" s="29" t="str">
        <f t="shared" si="54"/>
        <v/>
      </c>
      <c r="Q225" s="29">
        <f t="shared" si="55"/>
        <v>1</v>
      </c>
      <c r="R225" s="29" t="str">
        <f t="shared" si="56"/>
        <v/>
      </c>
      <c r="S225" s="29" t="str">
        <f t="shared" si="57"/>
        <v/>
      </c>
      <c r="T225" s="32" t="str">
        <f t="shared" si="58"/>
        <v/>
      </c>
      <c r="U225" s="32" t="str">
        <f t="shared" si="61"/>
        <v/>
      </c>
      <c r="V225" s="32" t="str">
        <f t="shared" si="62"/>
        <v/>
      </c>
      <c r="W225" s="41">
        <f t="shared" si="59"/>
        <v>3.0302648713351745</v>
      </c>
      <c r="X225" s="6">
        <f t="shared" si="60"/>
        <v>0</v>
      </c>
      <c r="Y225" s="7">
        <f t="shared" si="63"/>
        <v>567</v>
      </c>
      <c r="AA225" s="7">
        <f t="shared" si="64"/>
        <v>0</v>
      </c>
      <c r="AB225" s="7" t="str">
        <f t="shared" si="65"/>
        <v/>
      </c>
      <c r="AC225" s="7">
        <f t="shared" si="66"/>
        <v>0</v>
      </c>
      <c r="AD225" s="7" t="str">
        <f t="shared" si="67"/>
        <v/>
      </c>
      <c r="AE225" s="6">
        <f t="shared" si="68"/>
        <v>0</v>
      </c>
      <c r="AF225" s="69">
        <f t="shared" si="69"/>
        <v>3.0302648713351745</v>
      </c>
      <c r="AG225" s="6">
        <f t="shared" si="70"/>
        <v>190.90668689411601</v>
      </c>
      <c r="AH225" s="6">
        <f t="shared" si="71"/>
        <v>196</v>
      </c>
    </row>
    <row r="226" spans="8:34" x14ac:dyDescent="0.25">
      <c r="H226" s="7">
        <v>233</v>
      </c>
      <c r="I226" s="7" t="s">
        <v>13</v>
      </c>
      <c r="J226" s="8">
        <v>38210</v>
      </c>
      <c r="K226" s="12" t="s">
        <v>20</v>
      </c>
      <c r="L226" s="9">
        <v>57</v>
      </c>
      <c r="M226" s="10">
        <v>173.59022125804509</v>
      </c>
      <c r="N226" s="7" t="s">
        <v>22</v>
      </c>
      <c r="P226" s="29" t="str">
        <f t="shared" si="54"/>
        <v/>
      </c>
      <c r="Q226" s="29" t="str">
        <f t="shared" si="55"/>
        <v/>
      </c>
      <c r="R226" s="29">
        <f t="shared" si="56"/>
        <v>1</v>
      </c>
      <c r="S226" s="29" t="str">
        <f t="shared" si="57"/>
        <v/>
      </c>
      <c r="T226" s="32" t="str">
        <f t="shared" si="58"/>
        <v/>
      </c>
      <c r="U226" s="32" t="str">
        <f t="shared" si="61"/>
        <v/>
      </c>
      <c r="V226" s="32" t="str">
        <f t="shared" si="62"/>
        <v/>
      </c>
      <c r="W226" s="41">
        <f t="shared" si="59"/>
        <v>3.0454424782113172</v>
      </c>
      <c r="X226" s="6">
        <f t="shared" si="60"/>
        <v>0</v>
      </c>
      <c r="Y226" s="7">
        <f t="shared" si="63"/>
        <v>567</v>
      </c>
      <c r="AA226" s="7">
        <f t="shared" si="64"/>
        <v>0</v>
      </c>
      <c r="AB226" s="7" t="str">
        <f t="shared" si="65"/>
        <v/>
      </c>
      <c r="AC226" s="7">
        <f t="shared" si="66"/>
        <v>0</v>
      </c>
      <c r="AD226" s="7" t="str">
        <f t="shared" si="67"/>
        <v/>
      </c>
      <c r="AE226" s="6">
        <f t="shared" si="68"/>
        <v>0</v>
      </c>
      <c r="AF226" s="69">
        <f t="shared" si="69"/>
        <v>3.0454424782113172</v>
      </c>
      <c r="AG226" s="6">
        <f t="shared" si="70"/>
        <v>173.59022125804509</v>
      </c>
      <c r="AH226" s="6">
        <f t="shared" si="71"/>
        <v>229</v>
      </c>
    </row>
    <row r="227" spans="8:34" x14ac:dyDescent="0.25">
      <c r="H227" s="7">
        <v>234</v>
      </c>
      <c r="I227" s="7" t="s">
        <v>13</v>
      </c>
      <c r="J227" s="8">
        <v>38298</v>
      </c>
      <c r="K227" s="12" t="s">
        <v>20</v>
      </c>
      <c r="L227" s="9">
        <v>59</v>
      </c>
      <c r="M227" s="10">
        <v>178.9266502635322</v>
      </c>
      <c r="N227" s="7" t="s">
        <v>24</v>
      </c>
      <c r="P227" s="29" t="str">
        <f t="shared" si="54"/>
        <v/>
      </c>
      <c r="Q227" s="29" t="str">
        <f t="shared" si="55"/>
        <v/>
      </c>
      <c r="R227" s="29" t="str">
        <f t="shared" si="56"/>
        <v/>
      </c>
      <c r="S227" s="29">
        <f t="shared" si="57"/>
        <v>1</v>
      </c>
      <c r="T227" s="32" t="str">
        <f t="shared" si="58"/>
        <v/>
      </c>
      <c r="U227" s="32" t="str">
        <f t="shared" si="61"/>
        <v/>
      </c>
      <c r="V227" s="32" t="str">
        <f t="shared" si="62"/>
        <v/>
      </c>
      <c r="W227" s="41">
        <f t="shared" si="59"/>
        <v>3.03265508921241</v>
      </c>
      <c r="X227" s="6">
        <f t="shared" si="60"/>
        <v>0</v>
      </c>
      <c r="Y227" s="7">
        <f t="shared" si="63"/>
        <v>567</v>
      </c>
      <c r="AA227" s="7">
        <f t="shared" si="64"/>
        <v>0</v>
      </c>
      <c r="AB227" s="7" t="str">
        <f t="shared" si="65"/>
        <v/>
      </c>
      <c r="AC227" s="7">
        <f t="shared" si="66"/>
        <v>0</v>
      </c>
      <c r="AD227" s="7" t="str">
        <f t="shared" si="67"/>
        <v/>
      </c>
      <c r="AE227" s="6">
        <f t="shared" si="68"/>
        <v>0</v>
      </c>
      <c r="AF227" s="69">
        <f t="shared" si="69"/>
        <v>3.03265508921241</v>
      </c>
      <c r="AG227" s="6">
        <f t="shared" si="70"/>
        <v>178.9266502635322</v>
      </c>
      <c r="AH227" s="6">
        <f t="shared" si="71"/>
        <v>224</v>
      </c>
    </row>
    <row r="228" spans="8:34" x14ac:dyDescent="0.25">
      <c r="H228" s="7">
        <v>235</v>
      </c>
      <c r="I228" s="7" t="s">
        <v>14</v>
      </c>
      <c r="J228" s="8">
        <v>38342</v>
      </c>
      <c r="K228" s="12" t="s">
        <v>18</v>
      </c>
      <c r="L228" s="9">
        <v>-3</v>
      </c>
      <c r="M228" s="10">
        <v>-7.2637597489178187</v>
      </c>
      <c r="N228" s="7" t="s">
        <v>22</v>
      </c>
      <c r="P228" s="29" t="str">
        <f t="shared" si="54"/>
        <v/>
      </c>
      <c r="Q228" s="29" t="str">
        <f t="shared" si="55"/>
        <v/>
      </c>
      <c r="R228" s="29" t="str">
        <f t="shared" si="56"/>
        <v/>
      </c>
      <c r="S228" s="29">
        <f t="shared" si="57"/>
        <v>1</v>
      </c>
      <c r="T228" s="32" t="str">
        <f t="shared" si="58"/>
        <v/>
      </c>
      <c r="U228" s="32" t="str">
        <f t="shared" si="61"/>
        <v/>
      </c>
      <c r="V228" s="32" t="str">
        <f t="shared" si="62"/>
        <v/>
      </c>
      <c r="W228" s="41" t="str">
        <f t="shared" si="59"/>
        <v/>
      </c>
      <c r="X228" s="6">
        <f t="shared" si="60"/>
        <v>0</v>
      </c>
      <c r="Y228" s="7">
        <f t="shared" si="63"/>
        <v>567</v>
      </c>
      <c r="AA228" s="7">
        <f t="shared" si="64"/>
        <v>0</v>
      </c>
      <c r="AB228" s="7" t="str">
        <f t="shared" si="65"/>
        <v/>
      </c>
      <c r="AC228" s="7">
        <f t="shared" si="66"/>
        <v>0</v>
      </c>
      <c r="AD228" s="7" t="str">
        <f t="shared" si="67"/>
        <v/>
      </c>
      <c r="AE228" s="6">
        <f t="shared" si="68"/>
        <v>-3</v>
      </c>
      <c r="AF228" s="69" t="str">
        <f t="shared" si="69"/>
        <v/>
      </c>
      <c r="AG228" s="6">
        <f t="shared" si="70"/>
        <v>0</v>
      </c>
      <c r="AH228" s="6">
        <f t="shared" si="71"/>
        <v>604</v>
      </c>
    </row>
    <row r="229" spans="8:34" x14ac:dyDescent="0.25">
      <c r="H229" s="7">
        <v>236</v>
      </c>
      <c r="I229" s="7" t="s">
        <v>15</v>
      </c>
      <c r="J229" s="8">
        <v>38991</v>
      </c>
      <c r="K229" s="12" t="s">
        <v>17</v>
      </c>
      <c r="L229" s="9">
        <v>86</v>
      </c>
      <c r="M229" s="10">
        <v>260.32907018535167</v>
      </c>
      <c r="N229" s="7" t="s">
        <v>21</v>
      </c>
      <c r="P229" s="29" t="str">
        <f t="shared" si="54"/>
        <v/>
      </c>
      <c r="Q229" s="29" t="str">
        <f t="shared" si="55"/>
        <v/>
      </c>
      <c r="R229" s="29" t="str">
        <f t="shared" si="56"/>
        <v/>
      </c>
      <c r="S229" s="29" t="str">
        <f t="shared" si="57"/>
        <v/>
      </c>
      <c r="T229" s="32" t="str">
        <f t="shared" si="58"/>
        <v/>
      </c>
      <c r="U229" s="32" t="str">
        <f t="shared" si="61"/>
        <v/>
      </c>
      <c r="V229" s="32">
        <f t="shared" si="62"/>
        <v>1</v>
      </c>
      <c r="W229" s="41">
        <f t="shared" si="59"/>
        <v>3.0270822114575777</v>
      </c>
      <c r="X229" s="6">
        <f t="shared" si="60"/>
        <v>0</v>
      </c>
      <c r="Y229" s="7">
        <f t="shared" si="63"/>
        <v>567</v>
      </c>
      <c r="AA229" s="7">
        <f t="shared" si="64"/>
        <v>0</v>
      </c>
      <c r="AB229" s="7" t="str">
        <f t="shared" si="65"/>
        <v/>
      </c>
      <c r="AC229" s="7">
        <f t="shared" si="66"/>
        <v>0</v>
      </c>
      <c r="AD229" s="7" t="str">
        <f t="shared" si="67"/>
        <v/>
      </c>
      <c r="AE229" s="6">
        <f t="shared" si="68"/>
        <v>0</v>
      </c>
      <c r="AF229" s="69">
        <f t="shared" si="69"/>
        <v>3.0270822114575777</v>
      </c>
      <c r="AG229" s="6">
        <f t="shared" si="70"/>
        <v>0</v>
      </c>
      <c r="AH229" s="6">
        <f t="shared" si="71"/>
        <v>604</v>
      </c>
    </row>
    <row r="230" spans="8:34" x14ac:dyDescent="0.25">
      <c r="H230" s="7">
        <v>237</v>
      </c>
      <c r="I230" s="7" t="s">
        <v>12</v>
      </c>
      <c r="J230" s="8">
        <v>38254</v>
      </c>
      <c r="K230" s="12" t="s">
        <v>16</v>
      </c>
      <c r="L230" s="9">
        <v>-4</v>
      </c>
      <c r="M230" s="10">
        <v>-9.9939520680829617</v>
      </c>
      <c r="N230" s="7" t="s">
        <v>24</v>
      </c>
      <c r="P230" s="29" t="str">
        <f t="shared" si="54"/>
        <v/>
      </c>
      <c r="Q230" s="29" t="str">
        <f t="shared" si="55"/>
        <v/>
      </c>
      <c r="R230" s="29">
        <f t="shared" si="56"/>
        <v>1</v>
      </c>
      <c r="S230" s="29" t="str">
        <f t="shared" si="57"/>
        <v/>
      </c>
      <c r="T230" s="32" t="str">
        <f t="shared" si="58"/>
        <v/>
      </c>
      <c r="U230" s="32" t="str">
        <f t="shared" si="61"/>
        <v/>
      </c>
      <c r="V230" s="32" t="str">
        <f t="shared" si="62"/>
        <v/>
      </c>
      <c r="W230" s="41" t="str">
        <f t="shared" si="59"/>
        <v/>
      </c>
      <c r="X230" s="6">
        <f t="shared" si="60"/>
        <v>0</v>
      </c>
      <c r="Y230" s="7">
        <f t="shared" si="63"/>
        <v>567</v>
      </c>
      <c r="AA230" s="7">
        <f t="shared" si="64"/>
        <v>0</v>
      </c>
      <c r="AB230" s="7" t="str">
        <f t="shared" si="65"/>
        <v/>
      </c>
      <c r="AC230" s="7">
        <f t="shared" si="66"/>
        <v>0</v>
      </c>
      <c r="AD230" s="7" t="str">
        <f t="shared" si="67"/>
        <v/>
      </c>
      <c r="AE230" s="6">
        <f t="shared" si="68"/>
        <v>-4</v>
      </c>
      <c r="AF230" s="69" t="str">
        <f t="shared" si="69"/>
        <v/>
      </c>
      <c r="AG230" s="6">
        <f t="shared" si="70"/>
        <v>0</v>
      </c>
      <c r="AH230" s="6">
        <f t="shared" si="71"/>
        <v>604</v>
      </c>
    </row>
    <row r="231" spans="8:34" x14ac:dyDescent="0.25">
      <c r="H231" s="7">
        <v>238</v>
      </c>
      <c r="I231" s="7" t="s">
        <v>9</v>
      </c>
      <c r="J231" s="8">
        <v>38353</v>
      </c>
      <c r="K231" s="12" t="s">
        <v>17</v>
      </c>
      <c r="L231" s="9">
        <v>7</v>
      </c>
      <c r="M231" s="10">
        <v>23.654332569914828</v>
      </c>
      <c r="N231" s="7" t="s">
        <v>23</v>
      </c>
      <c r="P231" s="29" t="str">
        <f t="shared" si="54"/>
        <v/>
      </c>
      <c r="Q231" s="29" t="str">
        <f t="shared" si="55"/>
        <v/>
      </c>
      <c r="R231" s="29" t="str">
        <f t="shared" si="56"/>
        <v/>
      </c>
      <c r="S231" s="29" t="str">
        <f t="shared" si="57"/>
        <v/>
      </c>
      <c r="T231" s="32" t="str">
        <f t="shared" si="58"/>
        <v/>
      </c>
      <c r="U231" s="32">
        <f t="shared" si="61"/>
        <v>1</v>
      </c>
      <c r="V231" s="32" t="str">
        <f t="shared" si="62"/>
        <v/>
      </c>
      <c r="W231" s="41">
        <f t="shared" si="59"/>
        <v>3.3791903671306898</v>
      </c>
      <c r="X231" s="6">
        <f t="shared" si="60"/>
        <v>23.654332569914828</v>
      </c>
      <c r="Y231" s="7">
        <f t="shared" si="63"/>
        <v>516</v>
      </c>
      <c r="AA231" s="7">
        <f t="shared" si="64"/>
        <v>1</v>
      </c>
      <c r="AB231" s="7">
        <f t="shared" si="65"/>
        <v>7</v>
      </c>
      <c r="AC231" s="7">
        <f t="shared" si="66"/>
        <v>0</v>
      </c>
      <c r="AD231" s="7" t="str">
        <f t="shared" si="67"/>
        <v/>
      </c>
      <c r="AE231" s="6">
        <f t="shared" si="68"/>
        <v>0</v>
      </c>
      <c r="AF231" s="69">
        <f t="shared" si="69"/>
        <v>3.3791903671306898</v>
      </c>
      <c r="AG231" s="6">
        <f t="shared" si="70"/>
        <v>0</v>
      </c>
      <c r="AH231" s="6">
        <f t="shared" si="71"/>
        <v>604</v>
      </c>
    </row>
    <row r="232" spans="8:34" x14ac:dyDescent="0.25">
      <c r="H232" s="7">
        <v>239</v>
      </c>
      <c r="I232" s="7" t="s">
        <v>15</v>
      </c>
      <c r="J232" s="8">
        <v>38991</v>
      </c>
      <c r="K232" s="12" t="s">
        <v>17</v>
      </c>
      <c r="L232" s="9">
        <v>43</v>
      </c>
      <c r="M232" s="10">
        <v>131.67769291502447</v>
      </c>
      <c r="N232" s="7" t="s">
        <v>24</v>
      </c>
      <c r="P232" s="29" t="str">
        <f t="shared" si="54"/>
        <v/>
      </c>
      <c r="Q232" s="29" t="str">
        <f t="shared" si="55"/>
        <v/>
      </c>
      <c r="R232" s="29" t="str">
        <f t="shared" si="56"/>
        <v/>
      </c>
      <c r="S232" s="29" t="str">
        <f t="shared" si="57"/>
        <v/>
      </c>
      <c r="T232" s="32" t="str">
        <f t="shared" si="58"/>
        <v/>
      </c>
      <c r="U232" s="32" t="str">
        <f t="shared" si="61"/>
        <v/>
      </c>
      <c r="V232" s="32">
        <f t="shared" si="62"/>
        <v>1</v>
      </c>
      <c r="W232" s="41">
        <f t="shared" si="59"/>
        <v>3.0622719282563828</v>
      </c>
      <c r="X232" s="6">
        <f t="shared" si="60"/>
        <v>0</v>
      </c>
      <c r="Y232" s="7">
        <f t="shared" si="63"/>
        <v>567</v>
      </c>
      <c r="AA232" s="7">
        <f t="shared" si="64"/>
        <v>0</v>
      </c>
      <c r="AB232" s="7" t="str">
        <f t="shared" si="65"/>
        <v/>
      </c>
      <c r="AC232" s="7">
        <f t="shared" si="66"/>
        <v>0</v>
      </c>
      <c r="AD232" s="7" t="str">
        <f t="shared" si="67"/>
        <v/>
      </c>
      <c r="AE232" s="6">
        <f t="shared" si="68"/>
        <v>0</v>
      </c>
      <c r="AF232" s="69">
        <f t="shared" si="69"/>
        <v>3.0622719282563828</v>
      </c>
      <c r="AG232" s="6">
        <f t="shared" si="70"/>
        <v>0</v>
      </c>
      <c r="AH232" s="6">
        <f t="shared" si="71"/>
        <v>604</v>
      </c>
    </row>
    <row r="233" spans="8:34" x14ac:dyDescent="0.25">
      <c r="H233" s="7">
        <v>240</v>
      </c>
      <c r="I233" s="7" t="s">
        <v>13</v>
      </c>
      <c r="J233" s="8">
        <v>38661</v>
      </c>
      <c r="K233" s="12" t="s">
        <v>17</v>
      </c>
      <c r="L233" s="9">
        <v>2</v>
      </c>
      <c r="M233" s="10">
        <v>7.6348447793459382</v>
      </c>
      <c r="N233" s="7" t="s">
        <v>21</v>
      </c>
      <c r="P233" s="29" t="str">
        <f t="shared" si="54"/>
        <v/>
      </c>
      <c r="Q233" s="29" t="str">
        <f t="shared" si="55"/>
        <v/>
      </c>
      <c r="R233" s="29" t="str">
        <f t="shared" si="56"/>
        <v/>
      </c>
      <c r="S233" s="29" t="str">
        <f t="shared" si="57"/>
        <v/>
      </c>
      <c r="T233" s="32">
        <f t="shared" si="58"/>
        <v>1</v>
      </c>
      <c r="U233" s="32">
        <f t="shared" si="61"/>
        <v>1</v>
      </c>
      <c r="V233" s="32" t="str">
        <f t="shared" si="62"/>
        <v/>
      </c>
      <c r="W233" s="41">
        <f t="shared" si="59"/>
        <v>3.8174223896729691</v>
      </c>
      <c r="X233" s="6">
        <f t="shared" si="60"/>
        <v>7.6348447793459382</v>
      </c>
      <c r="Y233" s="7">
        <f t="shared" si="63"/>
        <v>553</v>
      </c>
      <c r="AA233" s="7">
        <f t="shared" si="64"/>
        <v>0</v>
      </c>
      <c r="AB233" s="7" t="str">
        <f t="shared" si="65"/>
        <v/>
      </c>
      <c r="AC233" s="7">
        <f t="shared" si="66"/>
        <v>1</v>
      </c>
      <c r="AD233" s="7">
        <f t="shared" si="67"/>
        <v>2</v>
      </c>
      <c r="AE233" s="6">
        <f t="shared" si="68"/>
        <v>0</v>
      </c>
      <c r="AF233" s="69">
        <f t="shared" si="69"/>
        <v>3.8174223896729691</v>
      </c>
      <c r="AG233" s="6">
        <f t="shared" si="70"/>
        <v>0</v>
      </c>
      <c r="AH233" s="6">
        <f t="shared" si="71"/>
        <v>604</v>
      </c>
    </row>
    <row r="234" spans="8:34" x14ac:dyDescent="0.25">
      <c r="H234" s="7">
        <v>241</v>
      </c>
      <c r="I234" s="7" t="s">
        <v>13</v>
      </c>
      <c r="J234" s="8">
        <v>38474</v>
      </c>
      <c r="K234" s="12" t="s">
        <v>20</v>
      </c>
      <c r="L234" s="9">
        <v>85</v>
      </c>
      <c r="M234" s="10">
        <v>256.87957020946436</v>
      </c>
      <c r="N234" s="7" t="s">
        <v>22</v>
      </c>
      <c r="P234" s="29" t="str">
        <f t="shared" si="54"/>
        <v/>
      </c>
      <c r="Q234" s="29" t="str">
        <f t="shared" si="55"/>
        <v/>
      </c>
      <c r="R234" s="29" t="str">
        <f t="shared" si="56"/>
        <v/>
      </c>
      <c r="S234" s="29" t="str">
        <f t="shared" si="57"/>
        <v/>
      </c>
      <c r="T234" s="32" t="str">
        <f t="shared" si="58"/>
        <v/>
      </c>
      <c r="U234" s="32">
        <f t="shared" si="61"/>
        <v>1</v>
      </c>
      <c r="V234" s="32" t="str">
        <f t="shared" si="62"/>
        <v/>
      </c>
      <c r="W234" s="41">
        <f t="shared" si="59"/>
        <v>3.0221125906995807</v>
      </c>
      <c r="X234" s="6">
        <f t="shared" si="60"/>
        <v>256.87957020946436</v>
      </c>
      <c r="Y234" s="7">
        <f t="shared" si="63"/>
        <v>68</v>
      </c>
      <c r="AA234" s="7">
        <f t="shared" si="64"/>
        <v>0</v>
      </c>
      <c r="AB234" s="7" t="str">
        <f t="shared" si="65"/>
        <v/>
      </c>
      <c r="AC234" s="7">
        <f t="shared" si="66"/>
        <v>1</v>
      </c>
      <c r="AD234" s="7">
        <f t="shared" si="67"/>
        <v>85</v>
      </c>
      <c r="AE234" s="6">
        <f t="shared" si="68"/>
        <v>0</v>
      </c>
      <c r="AF234" s="69">
        <f t="shared" si="69"/>
        <v>3.0221125906995807</v>
      </c>
      <c r="AG234" s="6">
        <f t="shared" si="70"/>
        <v>0</v>
      </c>
      <c r="AH234" s="6">
        <f t="shared" si="71"/>
        <v>604</v>
      </c>
    </row>
    <row r="235" spans="8:34" x14ac:dyDescent="0.25">
      <c r="H235" s="7">
        <v>242</v>
      </c>
      <c r="I235" s="7" t="s">
        <v>13</v>
      </c>
      <c r="J235" s="8">
        <v>38463</v>
      </c>
      <c r="K235" s="12" t="s">
        <v>16</v>
      </c>
      <c r="L235" s="9">
        <v>52</v>
      </c>
      <c r="M235" s="10">
        <v>158.18704198984506</v>
      </c>
      <c r="N235" s="7" t="s">
        <v>22</v>
      </c>
      <c r="P235" s="29" t="str">
        <f t="shared" si="54"/>
        <v/>
      </c>
      <c r="Q235" s="29" t="str">
        <f t="shared" si="55"/>
        <v/>
      </c>
      <c r="R235" s="29" t="str">
        <f t="shared" si="56"/>
        <v/>
      </c>
      <c r="S235" s="29" t="str">
        <f t="shared" si="57"/>
        <v/>
      </c>
      <c r="T235" s="32" t="str">
        <f t="shared" si="58"/>
        <v/>
      </c>
      <c r="U235" s="32">
        <f t="shared" si="61"/>
        <v>1</v>
      </c>
      <c r="V235" s="32" t="str">
        <f t="shared" si="62"/>
        <v/>
      </c>
      <c r="W235" s="41">
        <f t="shared" si="59"/>
        <v>3.0420584998047127</v>
      </c>
      <c r="X235" s="6">
        <f t="shared" si="60"/>
        <v>158.18704198984506</v>
      </c>
      <c r="Y235" s="7">
        <f t="shared" si="63"/>
        <v>245</v>
      </c>
      <c r="AA235" s="7">
        <f t="shared" si="64"/>
        <v>0</v>
      </c>
      <c r="AB235" s="7" t="str">
        <f t="shared" si="65"/>
        <v/>
      </c>
      <c r="AC235" s="7">
        <f t="shared" si="66"/>
        <v>1</v>
      </c>
      <c r="AD235" s="7">
        <f t="shared" si="67"/>
        <v>52</v>
      </c>
      <c r="AE235" s="6">
        <f t="shared" si="68"/>
        <v>0</v>
      </c>
      <c r="AF235" s="69">
        <f t="shared" si="69"/>
        <v>3.0420584998047127</v>
      </c>
      <c r="AG235" s="6">
        <f t="shared" si="70"/>
        <v>0</v>
      </c>
      <c r="AH235" s="6">
        <f t="shared" si="71"/>
        <v>604</v>
      </c>
    </row>
    <row r="236" spans="8:34" x14ac:dyDescent="0.25">
      <c r="H236" s="7">
        <v>243</v>
      </c>
      <c r="I236" s="7" t="s">
        <v>11</v>
      </c>
      <c r="J236" s="8">
        <v>38177</v>
      </c>
      <c r="K236" s="12" t="s">
        <v>19</v>
      </c>
      <c r="L236" s="9">
        <v>-3</v>
      </c>
      <c r="M236" s="10">
        <v>-7.3950210500886264</v>
      </c>
      <c r="N236" s="7" t="s">
        <v>21</v>
      </c>
      <c r="P236" s="29" t="str">
        <f t="shared" si="54"/>
        <v/>
      </c>
      <c r="Q236" s="29" t="str">
        <f t="shared" si="55"/>
        <v/>
      </c>
      <c r="R236" s="29">
        <f t="shared" si="56"/>
        <v>1</v>
      </c>
      <c r="S236" s="29" t="str">
        <f t="shared" si="57"/>
        <v/>
      </c>
      <c r="T236" s="32" t="str">
        <f t="shared" si="58"/>
        <v/>
      </c>
      <c r="U236" s="32" t="str">
        <f t="shared" si="61"/>
        <v/>
      </c>
      <c r="V236" s="32" t="str">
        <f t="shared" si="62"/>
        <v/>
      </c>
      <c r="W236" s="41" t="str">
        <f t="shared" si="59"/>
        <v/>
      </c>
      <c r="X236" s="6">
        <f t="shared" si="60"/>
        <v>0</v>
      </c>
      <c r="Y236" s="7">
        <f t="shared" si="63"/>
        <v>567</v>
      </c>
      <c r="AA236" s="7">
        <f t="shared" si="64"/>
        <v>0</v>
      </c>
      <c r="AB236" s="7" t="str">
        <f t="shared" si="65"/>
        <v/>
      </c>
      <c r="AC236" s="7">
        <f t="shared" si="66"/>
        <v>0</v>
      </c>
      <c r="AD236" s="7" t="str">
        <f t="shared" si="67"/>
        <v/>
      </c>
      <c r="AE236" s="6">
        <f t="shared" si="68"/>
        <v>-3</v>
      </c>
      <c r="AF236" s="69" t="str">
        <f t="shared" si="69"/>
        <v/>
      </c>
      <c r="AG236" s="6">
        <f t="shared" si="70"/>
        <v>0</v>
      </c>
      <c r="AH236" s="6">
        <f t="shared" si="71"/>
        <v>604</v>
      </c>
    </row>
    <row r="237" spans="8:34" x14ac:dyDescent="0.25">
      <c r="H237" s="7">
        <v>244</v>
      </c>
      <c r="I237" s="7" t="s">
        <v>12</v>
      </c>
      <c r="J237" s="8">
        <v>38408</v>
      </c>
      <c r="K237" s="12" t="s">
        <v>16</v>
      </c>
      <c r="L237" s="9">
        <v>8</v>
      </c>
      <c r="M237" s="10">
        <v>25.546689047987762</v>
      </c>
      <c r="N237" s="7" t="s">
        <v>24</v>
      </c>
      <c r="P237" s="29" t="str">
        <f t="shared" si="54"/>
        <v/>
      </c>
      <c r="Q237" s="29" t="str">
        <f t="shared" si="55"/>
        <v/>
      </c>
      <c r="R237" s="29" t="str">
        <f t="shared" si="56"/>
        <v/>
      </c>
      <c r="S237" s="29" t="str">
        <f t="shared" si="57"/>
        <v/>
      </c>
      <c r="T237" s="32" t="str">
        <f t="shared" si="58"/>
        <v/>
      </c>
      <c r="U237" s="32">
        <f t="shared" si="61"/>
        <v>1</v>
      </c>
      <c r="V237" s="32" t="str">
        <f t="shared" si="62"/>
        <v/>
      </c>
      <c r="W237" s="41">
        <f t="shared" si="59"/>
        <v>3.1933361309984702</v>
      </c>
      <c r="X237" s="6">
        <f t="shared" si="60"/>
        <v>25.546689047987762</v>
      </c>
      <c r="Y237" s="7">
        <f t="shared" si="63"/>
        <v>514</v>
      </c>
      <c r="AA237" s="7">
        <f t="shared" si="64"/>
        <v>1</v>
      </c>
      <c r="AB237" s="7">
        <f t="shared" si="65"/>
        <v>8</v>
      </c>
      <c r="AC237" s="7">
        <f t="shared" si="66"/>
        <v>0</v>
      </c>
      <c r="AD237" s="7" t="str">
        <f t="shared" si="67"/>
        <v/>
      </c>
      <c r="AE237" s="6">
        <f t="shared" si="68"/>
        <v>0</v>
      </c>
      <c r="AF237" s="69">
        <f t="shared" si="69"/>
        <v>3.1933361309984702</v>
      </c>
      <c r="AG237" s="6">
        <f t="shared" si="70"/>
        <v>0</v>
      </c>
      <c r="AH237" s="6">
        <f t="shared" si="71"/>
        <v>604</v>
      </c>
    </row>
    <row r="238" spans="8:34" x14ac:dyDescent="0.25">
      <c r="H238" s="7">
        <v>245</v>
      </c>
      <c r="I238" s="7" t="s">
        <v>15</v>
      </c>
      <c r="J238" s="8">
        <v>38177</v>
      </c>
      <c r="K238" s="12" t="s">
        <v>20</v>
      </c>
      <c r="L238" s="9">
        <v>5</v>
      </c>
      <c r="M238" s="10">
        <v>17.198905576452098</v>
      </c>
      <c r="N238" s="7" t="s">
        <v>24</v>
      </c>
      <c r="P238" s="29" t="str">
        <f t="shared" si="54"/>
        <v/>
      </c>
      <c r="Q238" s="29" t="str">
        <f t="shared" si="55"/>
        <v/>
      </c>
      <c r="R238" s="29">
        <f t="shared" si="56"/>
        <v>1</v>
      </c>
      <c r="S238" s="29" t="str">
        <f t="shared" si="57"/>
        <v/>
      </c>
      <c r="T238" s="32" t="str">
        <f t="shared" si="58"/>
        <v/>
      </c>
      <c r="U238" s="32" t="str">
        <f t="shared" si="61"/>
        <v/>
      </c>
      <c r="V238" s="32" t="str">
        <f t="shared" si="62"/>
        <v/>
      </c>
      <c r="W238" s="41">
        <f t="shared" si="59"/>
        <v>3.4397811152904199</v>
      </c>
      <c r="X238" s="6">
        <f t="shared" si="60"/>
        <v>0</v>
      </c>
      <c r="Y238" s="7">
        <f t="shared" si="63"/>
        <v>567</v>
      </c>
      <c r="AA238" s="7">
        <f t="shared" si="64"/>
        <v>0</v>
      </c>
      <c r="AB238" s="7" t="str">
        <f t="shared" si="65"/>
        <v/>
      </c>
      <c r="AC238" s="7">
        <f t="shared" si="66"/>
        <v>0</v>
      </c>
      <c r="AD238" s="7" t="str">
        <f t="shared" si="67"/>
        <v/>
      </c>
      <c r="AE238" s="6">
        <f t="shared" si="68"/>
        <v>0</v>
      </c>
      <c r="AF238" s="69">
        <f t="shared" si="69"/>
        <v>3.4397811152904199</v>
      </c>
      <c r="AG238" s="6">
        <f t="shared" si="70"/>
        <v>17.198905576452098</v>
      </c>
      <c r="AH238" s="6">
        <f t="shared" si="71"/>
        <v>568</v>
      </c>
    </row>
    <row r="239" spans="8:34" x14ac:dyDescent="0.25">
      <c r="H239" s="7">
        <v>246</v>
      </c>
      <c r="I239" s="7" t="s">
        <v>8</v>
      </c>
      <c r="J239" s="8">
        <v>38958</v>
      </c>
      <c r="K239" s="12" t="s">
        <v>20</v>
      </c>
      <c r="L239" s="9">
        <v>90</v>
      </c>
      <c r="M239" s="10">
        <v>272.09870438545738</v>
      </c>
      <c r="N239" s="7" t="s">
        <v>21</v>
      </c>
      <c r="P239" s="29" t="str">
        <f t="shared" si="54"/>
        <v/>
      </c>
      <c r="Q239" s="29" t="str">
        <f t="shared" si="55"/>
        <v/>
      </c>
      <c r="R239" s="29" t="str">
        <f t="shared" si="56"/>
        <v/>
      </c>
      <c r="S239" s="29" t="str">
        <f t="shared" si="57"/>
        <v/>
      </c>
      <c r="T239" s="32" t="str">
        <f t="shared" si="58"/>
        <v/>
      </c>
      <c r="U239" s="32" t="str">
        <f t="shared" si="61"/>
        <v/>
      </c>
      <c r="V239" s="32">
        <f t="shared" si="62"/>
        <v>1</v>
      </c>
      <c r="W239" s="41">
        <f t="shared" si="59"/>
        <v>3.0233189376161933</v>
      </c>
      <c r="X239" s="6">
        <f t="shared" si="60"/>
        <v>0</v>
      </c>
      <c r="Y239" s="7">
        <f t="shared" si="63"/>
        <v>567</v>
      </c>
      <c r="AA239" s="7">
        <f t="shared" si="64"/>
        <v>0</v>
      </c>
      <c r="AB239" s="7" t="str">
        <f t="shared" si="65"/>
        <v/>
      </c>
      <c r="AC239" s="7">
        <f t="shared" si="66"/>
        <v>0</v>
      </c>
      <c r="AD239" s="7" t="str">
        <f t="shared" si="67"/>
        <v/>
      </c>
      <c r="AE239" s="6">
        <f t="shared" si="68"/>
        <v>0</v>
      </c>
      <c r="AF239" s="69">
        <f t="shared" si="69"/>
        <v>3.0233189376161933</v>
      </c>
      <c r="AG239" s="6">
        <f t="shared" si="70"/>
        <v>0</v>
      </c>
      <c r="AH239" s="6">
        <f t="shared" si="71"/>
        <v>604</v>
      </c>
    </row>
    <row r="240" spans="8:34" x14ac:dyDescent="0.25">
      <c r="H240" s="7">
        <v>247</v>
      </c>
      <c r="I240" s="7" t="s">
        <v>7</v>
      </c>
      <c r="J240" s="8">
        <v>39035</v>
      </c>
      <c r="K240" s="12" t="s">
        <v>20</v>
      </c>
      <c r="L240" s="9">
        <v>36</v>
      </c>
      <c r="M240" s="10">
        <v>110.33744975059108</v>
      </c>
      <c r="N240" s="7" t="s">
        <v>24</v>
      </c>
      <c r="P240" s="29" t="str">
        <f t="shared" si="54"/>
        <v/>
      </c>
      <c r="Q240" s="29" t="str">
        <f t="shared" si="55"/>
        <v/>
      </c>
      <c r="R240" s="29" t="str">
        <f t="shared" si="56"/>
        <v/>
      </c>
      <c r="S240" s="29" t="str">
        <f t="shared" si="57"/>
        <v/>
      </c>
      <c r="T240" s="32" t="str">
        <f t="shared" si="58"/>
        <v/>
      </c>
      <c r="U240" s="32" t="str">
        <f t="shared" si="61"/>
        <v/>
      </c>
      <c r="V240" s="32">
        <f t="shared" si="62"/>
        <v>1</v>
      </c>
      <c r="W240" s="41">
        <f t="shared" si="59"/>
        <v>3.0649291597386412</v>
      </c>
      <c r="X240" s="6">
        <f t="shared" si="60"/>
        <v>0</v>
      </c>
      <c r="Y240" s="7">
        <f t="shared" si="63"/>
        <v>567</v>
      </c>
      <c r="AA240" s="7">
        <f t="shared" si="64"/>
        <v>0</v>
      </c>
      <c r="AB240" s="7" t="str">
        <f t="shared" si="65"/>
        <v/>
      </c>
      <c r="AC240" s="7">
        <f t="shared" si="66"/>
        <v>0</v>
      </c>
      <c r="AD240" s="7" t="str">
        <f t="shared" si="67"/>
        <v/>
      </c>
      <c r="AE240" s="6">
        <f t="shared" si="68"/>
        <v>0</v>
      </c>
      <c r="AF240" s="69">
        <f t="shared" si="69"/>
        <v>3.0649291597386412</v>
      </c>
      <c r="AG240" s="6">
        <f t="shared" si="70"/>
        <v>0</v>
      </c>
      <c r="AH240" s="6">
        <f t="shared" si="71"/>
        <v>604</v>
      </c>
    </row>
    <row r="241" spans="8:34" x14ac:dyDescent="0.25">
      <c r="H241" s="7">
        <v>248</v>
      </c>
      <c r="I241" s="7" t="s">
        <v>10</v>
      </c>
      <c r="J241" s="8">
        <v>38584</v>
      </c>
      <c r="K241" s="12" t="s">
        <v>20</v>
      </c>
      <c r="L241" s="9">
        <v>25</v>
      </c>
      <c r="M241" s="10">
        <v>77.014900645073141</v>
      </c>
      <c r="N241" s="7" t="s">
        <v>23</v>
      </c>
      <c r="P241" s="29" t="str">
        <f t="shared" si="54"/>
        <v/>
      </c>
      <c r="Q241" s="29" t="str">
        <f t="shared" si="55"/>
        <v/>
      </c>
      <c r="R241" s="29" t="str">
        <f t="shared" si="56"/>
        <v/>
      </c>
      <c r="S241" s="29" t="str">
        <f t="shared" si="57"/>
        <v/>
      </c>
      <c r="T241" s="32" t="str">
        <f t="shared" si="58"/>
        <v/>
      </c>
      <c r="U241" s="32">
        <f t="shared" si="61"/>
        <v>1</v>
      </c>
      <c r="V241" s="32" t="str">
        <f t="shared" si="62"/>
        <v/>
      </c>
      <c r="W241" s="41">
        <f t="shared" si="59"/>
        <v>3.0805960258029255</v>
      </c>
      <c r="X241" s="6">
        <f t="shared" si="60"/>
        <v>77.014900645073141</v>
      </c>
      <c r="Y241" s="7">
        <f t="shared" si="63"/>
        <v>410</v>
      </c>
      <c r="AA241" s="7">
        <f t="shared" si="64"/>
        <v>1</v>
      </c>
      <c r="AB241" s="7">
        <f t="shared" si="65"/>
        <v>25</v>
      </c>
      <c r="AC241" s="7">
        <f t="shared" si="66"/>
        <v>0</v>
      </c>
      <c r="AD241" s="7" t="str">
        <f t="shared" si="67"/>
        <v/>
      </c>
      <c r="AE241" s="6">
        <f t="shared" si="68"/>
        <v>0</v>
      </c>
      <c r="AF241" s="69">
        <f t="shared" si="69"/>
        <v>3.0805960258029255</v>
      </c>
      <c r="AG241" s="6">
        <f t="shared" si="70"/>
        <v>0</v>
      </c>
      <c r="AH241" s="6">
        <f t="shared" si="71"/>
        <v>604</v>
      </c>
    </row>
    <row r="242" spans="8:34" x14ac:dyDescent="0.25">
      <c r="H242" s="7">
        <v>249</v>
      </c>
      <c r="I242" s="7" t="s">
        <v>7</v>
      </c>
      <c r="J242" s="8">
        <v>38430</v>
      </c>
      <c r="K242" s="12" t="s">
        <v>20</v>
      </c>
      <c r="L242" s="9">
        <v>7</v>
      </c>
      <c r="M242" s="10">
        <v>23.133204884254319</v>
      </c>
      <c r="N242" s="7" t="s">
        <v>24</v>
      </c>
      <c r="P242" s="29" t="str">
        <f t="shared" si="54"/>
        <v/>
      </c>
      <c r="Q242" s="29" t="str">
        <f t="shared" si="55"/>
        <v/>
      </c>
      <c r="R242" s="29" t="str">
        <f t="shared" si="56"/>
        <v/>
      </c>
      <c r="S242" s="29" t="str">
        <f t="shared" si="57"/>
        <v/>
      </c>
      <c r="T242" s="32" t="str">
        <f t="shared" si="58"/>
        <v/>
      </c>
      <c r="U242" s="32">
        <f t="shared" si="61"/>
        <v>1</v>
      </c>
      <c r="V242" s="32" t="str">
        <f t="shared" si="62"/>
        <v/>
      </c>
      <c r="W242" s="41">
        <f t="shared" si="59"/>
        <v>3.304743554893474</v>
      </c>
      <c r="X242" s="6">
        <f t="shared" si="60"/>
        <v>23.133204884254319</v>
      </c>
      <c r="Y242" s="7">
        <f t="shared" si="63"/>
        <v>518</v>
      </c>
      <c r="AA242" s="7">
        <f t="shared" si="64"/>
        <v>1</v>
      </c>
      <c r="AB242" s="7">
        <f t="shared" si="65"/>
        <v>7</v>
      </c>
      <c r="AC242" s="7">
        <f t="shared" si="66"/>
        <v>0</v>
      </c>
      <c r="AD242" s="7" t="str">
        <f t="shared" si="67"/>
        <v/>
      </c>
      <c r="AE242" s="6">
        <f t="shared" si="68"/>
        <v>0</v>
      </c>
      <c r="AF242" s="69">
        <f t="shared" si="69"/>
        <v>3.304743554893474</v>
      </c>
      <c r="AG242" s="6">
        <f t="shared" si="70"/>
        <v>0</v>
      </c>
      <c r="AH242" s="6">
        <f t="shared" si="71"/>
        <v>604</v>
      </c>
    </row>
    <row r="243" spans="8:34" x14ac:dyDescent="0.25">
      <c r="H243" s="7">
        <v>250</v>
      </c>
      <c r="I243" s="7" t="s">
        <v>11</v>
      </c>
      <c r="J243" s="8">
        <v>39024</v>
      </c>
      <c r="K243" s="12" t="s">
        <v>20</v>
      </c>
      <c r="L243" s="9">
        <v>64</v>
      </c>
      <c r="M243" s="10">
        <v>194.25372471684716</v>
      </c>
      <c r="N243" s="7" t="s">
        <v>24</v>
      </c>
      <c r="P243" s="29" t="str">
        <f t="shared" si="54"/>
        <v/>
      </c>
      <c r="Q243" s="29" t="str">
        <f t="shared" si="55"/>
        <v/>
      </c>
      <c r="R243" s="29" t="str">
        <f t="shared" si="56"/>
        <v/>
      </c>
      <c r="S243" s="29" t="str">
        <f t="shared" si="57"/>
        <v/>
      </c>
      <c r="T243" s="32" t="str">
        <f t="shared" si="58"/>
        <v/>
      </c>
      <c r="U243" s="32" t="str">
        <f t="shared" si="61"/>
        <v/>
      </c>
      <c r="V243" s="32">
        <f t="shared" si="62"/>
        <v>1</v>
      </c>
      <c r="W243" s="41">
        <f t="shared" si="59"/>
        <v>3.0352144487007369</v>
      </c>
      <c r="X243" s="6">
        <f t="shared" si="60"/>
        <v>0</v>
      </c>
      <c r="Y243" s="7">
        <f t="shared" si="63"/>
        <v>567</v>
      </c>
      <c r="AA243" s="7">
        <f t="shared" si="64"/>
        <v>0</v>
      </c>
      <c r="AB243" s="7" t="str">
        <f t="shared" si="65"/>
        <v/>
      </c>
      <c r="AC243" s="7">
        <f t="shared" si="66"/>
        <v>0</v>
      </c>
      <c r="AD243" s="7" t="str">
        <f t="shared" si="67"/>
        <v/>
      </c>
      <c r="AE243" s="6">
        <f t="shared" si="68"/>
        <v>0</v>
      </c>
      <c r="AF243" s="69">
        <f t="shared" si="69"/>
        <v>3.0352144487007369</v>
      </c>
      <c r="AG243" s="6">
        <f t="shared" si="70"/>
        <v>0</v>
      </c>
      <c r="AH243" s="6">
        <f t="shared" si="71"/>
        <v>604</v>
      </c>
    </row>
    <row r="244" spans="8:34" x14ac:dyDescent="0.25">
      <c r="H244" s="7">
        <v>251</v>
      </c>
      <c r="I244" s="7" t="s">
        <v>11</v>
      </c>
      <c r="J244" s="8">
        <v>38111</v>
      </c>
      <c r="K244" s="12" t="s">
        <v>20</v>
      </c>
      <c r="L244" s="9">
        <v>71</v>
      </c>
      <c r="M244" s="10">
        <v>215.49309366005642</v>
      </c>
      <c r="N244" s="7" t="s">
        <v>23</v>
      </c>
      <c r="P244" s="29" t="str">
        <f t="shared" si="54"/>
        <v/>
      </c>
      <c r="Q244" s="29">
        <f t="shared" si="55"/>
        <v>1</v>
      </c>
      <c r="R244" s="29" t="str">
        <f t="shared" si="56"/>
        <v/>
      </c>
      <c r="S244" s="29" t="str">
        <f t="shared" si="57"/>
        <v/>
      </c>
      <c r="T244" s="32" t="str">
        <f t="shared" si="58"/>
        <v/>
      </c>
      <c r="U244" s="32" t="str">
        <f t="shared" si="61"/>
        <v/>
      </c>
      <c r="V244" s="32" t="str">
        <f t="shared" si="62"/>
        <v/>
      </c>
      <c r="W244" s="41">
        <f t="shared" si="59"/>
        <v>3.035113995212062</v>
      </c>
      <c r="X244" s="6">
        <f t="shared" si="60"/>
        <v>0</v>
      </c>
      <c r="Y244" s="7">
        <f t="shared" si="63"/>
        <v>567</v>
      </c>
      <c r="AA244" s="7">
        <f t="shared" si="64"/>
        <v>0</v>
      </c>
      <c r="AB244" s="7" t="str">
        <f t="shared" si="65"/>
        <v/>
      </c>
      <c r="AC244" s="7">
        <f t="shared" si="66"/>
        <v>0</v>
      </c>
      <c r="AD244" s="7" t="str">
        <f t="shared" si="67"/>
        <v/>
      </c>
      <c r="AE244" s="6">
        <f t="shared" si="68"/>
        <v>0</v>
      </c>
      <c r="AF244" s="69">
        <f t="shared" si="69"/>
        <v>3.035113995212062</v>
      </c>
      <c r="AG244" s="6">
        <f t="shared" si="70"/>
        <v>215.49309366005642</v>
      </c>
      <c r="AH244" s="6">
        <f t="shared" si="71"/>
        <v>143</v>
      </c>
    </row>
    <row r="245" spans="8:34" x14ac:dyDescent="0.25">
      <c r="H245" s="7">
        <v>252</v>
      </c>
      <c r="I245" s="7" t="s">
        <v>9</v>
      </c>
      <c r="J245" s="8">
        <v>38452</v>
      </c>
      <c r="K245" s="12" t="s">
        <v>16</v>
      </c>
      <c r="L245" s="9">
        <v>41</v>
      </c>
      <c r="M245" s="10">
        <v>124.81042324173134</v>
      </c>
      <c r="N245" s="7" t="s">
        <v>24</v>
      </c>
      <c r="P245" s="29" t="str">
        <f t="shared" si="54"/>
        <v/>
      </c>
      <c r="Q245" s="29" t="str">
        <f t="shared" si="55"/>
        <v/>
      </c>
      <c r="R245" s="29" t="str">
        <f t="shared" si="56"/>
        <v/>
      </c>
      <c r="S245" s="29" t="str">
        <f t="shared" si="57"/>
        <v/>
      </c>
      <c r="T245" s="32" t="str">
        <f t="shared" si="58"/>
        <v/>
      </c>
      <c r="U245" s="32">
        <f t="shared" si="61"/>
        <v>1</v>
      </c>
      <c r="V245" s="32" t="str">
        <f t="shared" si="62"/>
        <v/>
      </c>
      <c r="W245" s="41">
        <f t="shared" si="59"/>
        <v>3.0441566644324718</v>
      </c>
      <c r="X245" s="6">
        <f t="shared" si="60"/>
        <v>124.81042324173134</v>
      </c>
      <c r="Y245" s="7">
        <f t="shared" si="63"/>
        <v>311</v>
      </c>
      <c r="AA245" s="7">
        <f t="shared" si="64"/>
        <v>0</v>
      </c>
      <c r="AB245" s="7" t="str">
        <f t="shared" si="65"/>
        <v/>
      </c>
      <c r="AC245" s="7">
        <f t="shared" si="66"/>
        <v>1</v>
      </c>
      <c r="AD245" s="7">
        <f t="shared" si="67"/>
        <v>41</v>
      </c>
      <c r="AE245" s="6">
        <f t="shared" si="68"/>
        <v>0</v>
      </c>
      <c r="AF245" s="69">
        <f t="shared" si="69"/>
        <v>3.0441566644324718</v>
      </c>
      <c r="AG245" s="6">
        <f t="shared" si="70"/>
        <v>0</v>
      </c>
      <c r="AH245" s="6">
        <f t="shared" si="71"/>
        <v>604</v>
      </c>
    </row>
    <row r="246" spans="8:34" x14ac:dyDescent="0.25">
      <c r="H246" s="7">
        <v>253</v>
      </c>
      <c r="I246" s="7" t="s">
        <v>9</v>
      </c>
      <c r="J246" s="8">
        <v>38254</v>
      </c>
      <c r="K246" s="12" t="s">
        <v>18</v>
      </c>
      <c r="L246" s="9">
        <v>84</v>
      </c>
      <c r="M246" s="10">
        <v>253.28617965312779</v>
      </c>
      <c r="N246" s="7" t="s">
        <v>24</v>
      </c>
      <c r="P246" s="29" t="str">
        <f t="shared" si="54"/>
        <v/>
      </c>
      <c r="Q246" s="29" t="str">
        <f t="shared" si="55"/>
        <v/>
      </c>
      <c r="R246" s="29">
        <f t="shared" si="56"/>
        <v>1</v>
      </c>
      <c r="S246" s="29" t="str">
        <f t="shared" si="57"/>
        <v/>
      </c>
      <c r="T246" s="32" t="str">
        <f t="shared" si="58"/>
        <v/>
      </c>
      <c r="U246" s="32" t="str">
        <f t="shared" si="61"/>
        <v/>
      </c>
      <c r="V246" s="32" t="str">
        <f t="shared" si="62"/>
        <v/>
      </c>
      <c r="W246" s="41">
        <f t="shared" si="59"/>
        <v>3.0153116625372354</v>
      </c>
      <c r="X246" s="6">
        <f t="shared" si="60"/>
        <v>0</v>
      </c>
      <c r="Y246" s="7">
        <f t="shared" si="63"/>
        <v>567</v>
      </c>
      <c r="AA246" s="7">
        <f t="shared" si="64"/>
        <v>0</v>
      </c>
      <c r="AB246" s="7" t="str">
        <f t="shared" si="65"/>
        <v/>
      </c>
      <c r="AC246" s="7">
        <f t="shared" si="66"/>
        <v>0</v>
      </c>
      <c r="AD246" s="7" t="str">
        <f t="shared" si="67"/>
        <v/>
      </c>
      <c r="AE246" s="6">
        <f t="shared" si="68"/>
        <v>0</v>
      </c>
      <c r="AF246" s="69">
        <f t="shared" si="69"/>
        <v>3.0153116625372354</v>
      </c>
      <c r="AG246" s="6">
        <f t="shared" si="70"/>
        <v>253.28617965312779</v>
      </c>
      <c r="AH246" s="6">
        <f t="shared" si="71"/>
        <v>62</v>
      </c>
    </row>
    <row r="247" spans="8:34" x14ac:dyDescent="0.25">
      <c r="H247" s="7">
        <v>254</v>
      </c>
      <c r="I247" s="7" t="s">
        <v>13</v>
      </c>
      <c r="J247" s="8">
        <v>38441</v>
      </c>
      <c r="K247" s="12" t="s">
        <v>16</v>
      </c>
      <c r="L247" s="9">
        <v>3</v>
      </c>
      <c r="M247" s="10">
        <v>10.703015398687583</v>
      </c>
      <c r="N247" s="7" t="s">
        <v>24</v>
      </c>
      <c r="P247" s="29" t="str">
        <f t="shared" si="54"/>
        <v/>
      </c>
      <c r="Q247" s="29" t="str">
        <f t="shared" si="55"/>
        <v/>
      </c>
      <c r="R247" s="29" t="str">
        <f t="shared" si="56"/>
        <v/>
      </c>
      <c r="S247" s="29" t="str">
        <f t="shared" si="57"/>
        <v/>
      </c>
      <c r="T247" s="32" t="str">
        <f t="shared" si="58"/>
        <v/>
      </c>
      <c r="U247" s="32">
        <f t="shared" si="61"/>
        <v>1</v>
      </c>
      <c r="V247" s="32" t="str">
        <f t="shared" si="62"/>
        <v/>
      </c>
      <c r="W247" s="41">
        <f t="shared" si="59"/>
        <v>3.5676717995625276</v>
      </c>
      <c r="X247" s="6">
        <f t="shared" si="60"/>
        <v>10.703015398687583</v>
      </c>
      <c r="Y247" s="7">
        <f t="shared" si="63"/>
        <v>543</v>
      </c>
      <c r="AA247" s="7">
        <f t="shared" si="64"/>
        <v>1</v>
      </c>
      <c r="AB247" s="7">
        <f t="shared" si="65"/>
        <v>3</v>
      </c>
      <c r="AC247" s="7">
        <f t="shared" si="66"/>
        <v>0</v>
      </c>
      <c r="AD247" s="7" t="str">
        <f t="shared" si="67"/>
        <v/>
      </c>
      <c r="AE247" s="6">
        <f t="shared" si="68"/>
        <v>0</v>
      </c>
      <c r="AF247" s="69">
        <f t="shared" si="69"/>
        <v>3.5676717995625276</v>
      </c>
      <c r="AG247" s="6">
        <f t="shared" si="70"/>
        <v>0</v>
      </c>
      <c r="AH247" s="6">
        <f t="shared" si="71"/>
        <v>604</v>
      </c>
    </row>
    <row r="248" spans="8:34" x14ac:dyDescent="0.25">
      <c r="H248" s="7">
        <v>255</v>
      </c>
      <c r="I248" s="7" t="s">
        <v>9</v>
      </c>
      <c r="J248" s="8">
        <v>38078</v>
      </c>
      <c r="K248" s="12" t="s">
        <v>18</v>
      </c>
      <c r="L248" s="9">
        <v>15</v>
      </c>
      <c r="M248" s="10">
        <v>46.761676481443232</v>
      </c>
      <c r="N248" s="7" t="s">
        <v>23</v>
      </c>
      <c r="P248" s="29" t="str">
        <f t="shared" si="54"/>
        <v/>
      </c>
      <c r="Q248" s="29">
        <f t="shared" si="55"/>
        <v>1</v>
      </c>
      <c r="R248" s="29" t="str">
        <f t="shared" si="56"/>
        <v/>
      </c>
      <c r="S248" s="29" t="str">
        <f t="shared" si="57"/>
        <v/>
      </c>
      <c r="T248" s="32" t="str">
        <f t="shared" si="58"/>
        <v/>
      </c>
      <c r="U248" s="32" t="str">
        <f t="shared" si="61"/>
        <v/>
      </c>
      <c r="V248" s="32" t="str">
        <f t="shared" si="62"/>
        <v/>
      </c>
      <c r="W248" s="41">
        <f t="shared" si="59"/>
        <v>3.1174450987628819</v>
      </c>
      <c r="X248" s="6">
        <f t="shared" si="60"/>
        <v>0</v>
      </c>
      <c r="Y248" s="7">
        <f t="shared" si="63"/>
        <v>567</v>
      </c>
      <c r="AA248" s="7">
        <f t="shared" si="64"/>
        <v>0</v>
      </c>
      <c r="AB248" s="7" t="str">
        <f t="shared" si="65"/>
        <v/>
      </c>
      <c r="AC248" s="7">
        <f t="shared" si="66"/>
        <v>0</v>
      </c>
      <c r="AD248" s="7" t="str">
        <f t="shared" si="67"/>
        <v/>
      </c>
      <c r="AE248" s="6">
        <f t="shared" si="68"/>
        <v>0</v>
      </c>
      <c r="AF248" s="69">
        <f t="shared" si="69"/>
        <v>3.1174450987628819</v>
      </c>
      <c r="AG248" s="6">
        <f t="shared" si="70"/>
        <v>46.761676481443232</v>
      </c>
      <c r="AH248" s="6">
        <f t="shared" si="71"/>
        <v>489</v>
      </c>
    </row>
    <row r="249" spans="8:34" x14ac:dyDescent="0.25">
      <c r="H249" s="7">
        <v>256</v>
      </c>
      <c r="I249" s="7" t="s">
        <v>8</v>
      </c>
      <c r="J249" s="8">
        <v>38023</v>
      </c>
      <c r="K249" s="12" t="s">
        <v>16</v>
      </c>
      <c r="L249" s="9">
        <v>1</v>
      </c>
      <c r="M249" s="10">
        <v>4.8820462029427096</v>
      </c>
      <c r="N249" s="7" t="s">
        <v>21</v>
      </c>
      <c r="P249" s="29">
        <f t="shared" si="54"/>
        <v>1</v>
      </c>
      <c r="Q249" s="29" t="str">
        <f t="shared" si="55"/>
        <v/>
      </c>
      <c r="R249" s="29" t="str">
        <f t="shared" si="56"/>
        <v/>
      </c>
      <c r="S249" s="29" t="str">
        <f t="shared" si="57"/>
        <v/>
      </c>
      <c r="T249" s="32" t="str">
        <f t="shared" si="58"/>
        <v/>
      </c>
      <c r="U249" s="32" t="str">
        <f t="shared" si="61"/>
        <v/>
      </c>
      <c r="V249" s="32" t="str">
        <f t="shared" si="62"/>
        <v/>
      </c>
      <c r="W249" s="41">
        <f t="shared" si="59"/>
        <v>4.8820462029427096</v>
      </c>
      <c r="X249" s="6">
        <f t="shared" si="60"/>
        <v>0</v>
      </c>
      <c r="Y249" s="7">
        <f t="shared" si="63"/>
        <v>567</v>
      </c>
      <c r="AA249" s="7">
        <f t="shared" si="64"/>
        <v>0</v>
      </c>
      <c r="AB249" s="7" t="str">
        <f t="shared" si="65"/>
        <v/>
      </c>
      <c r="AC249" s="7">
        <f t="shared" si="66"/>
        <v>0</v>
      </c>
      <c r="AD249" s="7" t="str">
        <f t="shared" si="67"/>
        <v/>
      </c>
      <c r="AE249" s="6">
        <f t="shared" si="68"/>
        <v>0</v>
      </c>
      <c r="AF249" s="69">
        <f t="shared" si="69"/>
        <v>4.8820462029427096</v>
      </c>
      <c r="AG249" s="6">
        <f t="shared" si="70"/>
        <v>4.8820462029427096</v>
      </c>
      <c r="AH249" s="6">
        <f t="shared" si="71"/>
        <v>593</v>
      </c>
    </row>
    <row r="250" spans="8:34" x14ac:dyDescent="0.25">
      <c r="H250" s="7">
        <v>257</v>
      </c>
      <c r="I250" s="7" t="s">
        <v>8</v>
      </c>
      <c r="J250" s="8">
        <v>38540</v>
      </c>
      <c r="K250" s="12" t="s">
        <v>20</v>
      </c>
      <c r="L250" s="9">
        <v>10</v>
      </c>
      <c r="M250" s="10">
        <v>32.468400196905996</v>
      </c>
      <c r="N250" s="7" t="s">
        <v>24</v>
      </c>
      <c r="P250" s="29" t="str">
        <f t="shared" si="54"/>
        <v/>
      </c>
      <c r="Q250" s="29" t="str">
        <f t="shared" si="55"/>
        <v/>
      </c>
      <c r="R250" s="29" t="str">
        <f t="shared" si="56"/>
        <v/>
      </c>
      <c r="S250" s="29" t="str">
        <f t="shared" si="57"/>
        <v/>
      </c>
      <c r="T250" s="32" t="str">
        <f t="shared" si="58"/>
        <v/>
      </c>
      <c r="U250" s="32">
        <f t="shared" si="61"/>
        <v>1</v>
      </c>
      <c r="V250" s="32" t="str">
        <f t="shared" si="62"/>
        <v/>
      </c>
      <c r="W250" s="41">
        <f t="shared" si="59"/>
        <v>3.2468400196905995</v>
      </c>
      <c r="X250" s="6">
        <f t="shared" si="60"/>
        <v>32.468400196905996</v>
      </c>
      <c r="Y250" s="7">
        <f t="shared" si="63"/>
        <v>495</v>
      </c>
      <c r="AA250" s="7">
        <f t="shared" si="64"/>
        <v>1</v>
      </c>
      <c r="AB250" s="7">
        <f t="shared" si="65"/>
        <v>10</v>
      </c>
      <c r="AC250" s="7">
        <f t="shared" si="66"/>
        <v>0</v>
      </c>
      <c r="AD250" s="7" t="str">
        <f t="shared" si="67"/>
        <v/>
      </c>
      <c r="AE250" s="6">
        <f t="shared" si="68"/>
        <v>0</v>
      </c>
      <c r="AF250" s="69">
        <f t="shared" si="69"/>
        <v>3.2468400196905995</v>
      </c>
      <c r="AG250" s="6">
        <f t="shared" si="70"/>
        <v>0</v>
      </c>
      <c r="AH250" s="6">
        <f t="shared" si="71"/>
        <v>604</v>
      </c>
    </row>
    <row r="251" spans="8:34" x14ac:dyDescent="0.25">
      <c r="H251" s="7">
        <v>258</v>
      </c>
      <c r="I251" s="7" t="s">
        <v>13</v>
      </c>
      <c r="J251" s="8">
        <v>38364</v>
      </c>
      <c r="K251" s="12" t="s">
        <v>16</v>
      </c>
      <c r="L251" s="9">
        <v>77</v>
      </c>
      <c r="M251" s="10">
        <v>233.3993347830984</v>
      </c>
      <c r="N251" s="7" t="s">
        <v>23</v>
      </c>
      <c r="P251" s="29" t="str">
        <f t="shared" si="54"/>
        <v/>
      </c>
      <c r="Q251" s="29" t="str">
        <f t="shared" si="55"/>
        <v/>
      </c>
      <c r="R251" s="29" t="str">
        <f t="shared" si="56"/>
        <v/>
      </c>
      <c r="S251" s="29" t="str">
        <f t="shared" si="57"/>
        <v/>
      </c>
      <c r="T251" s="32" t="str">
        <f t="shared" si="58"/>
        <v/>
      </c>
      <c r="U251" s="32">
        <f t="shared" si="61"/>
        <v>1</v>
      </c>
      <c r="V251" s="32" t="str">
        <f t="shared" si="62"/>
        <v/>
      </c>
      <c r="W251" s="41">
        <f t="shared" si="59"/>
        <v>3.0311601919882909</v>
      </c>
      <c r="X251" s="6">
        <f t="shared" si="60"/>
        <v>233.3993347830984</v>
      </c>
      <c r="Y251" s="7">
        <f t="shared" si="63"/>
        <v>116</v>
      </c>
      <c r="AA251" s="7">
        <f t="shared" si="64"/>
        <v>1</v>
      </c>
      <c r="AB251" s="7">
        <f t="shared" si="65"/>
        <v>77</v>
      </c>
      <c r="AC251" s="7">
        <f t="shared" si="66"/>
        <v>0</v>
      </c>
      <c r="AD251" s="7" t="str">
        <f t="shared" si="67"/>
        <v/>
      </c>
      <c r="AE251" s="6">
        <f t="shared" si="68"/>
        <v>0</v>
      </c>
      <c r="AF251" s="69">
        <f t="shared" si="69"/>
        <v>3.0311601919882909</v>
      </c>
      <c r="AG251" s="6">
        <f t="shared" si="70"/>
        <v>0</v>
      </c>
      <c r="AH251" s="6">
        <f t="shared" si="71"/>
        <v>604</v>
      </c>
    </row>
    <row r="252" spans="8:34" x14ac:dyDescent="0.25">
      <c r="H252" s="7">
        <v>259</v>
      </c>
      <c r="I252" s="7" t="s">
        <v>11</v>
      </c>
      <c r="J252" s="8">
        <v>38397</v>
      </c>
      <c r="K252" s="12" t="s">
        <v>19</v>
      </c>
      <c r="L252" s="9">
        <v>65</v>
      </c>
      <c r="M252" s="10">
        <v>196.49346597044766</v>
      </c>
      <c r="N252" s="7" t="s">
        <v>21</v>
      </c>
      <c r="P252" s="29" t="str">
        <f t="shared" si="54"/>
        <v/>
      </c>
      <c r="Q252" s="29" t="str">
        <f t="shared" si="55"/>
        <v/>
      </c>
      <c r="R252" s="29" t="str">
        <f t="shared" si="56"/>
        <v/>
      </c>
      <c r="S252" s="29" t="str">
        <f t="shared" si="57"/>
        <v/>
      </c>
      <c r="T252" s="32" t="str">
        <f t="shared" si="58"/>
        <v/>
      </c>
      <c r="U252" s="32">
        <f t="shared" si="61"/>
        <v>1</v>
      </c>
      <c r="V252" s="32" t="str">
        <f t="shared" si="62"/>
        <v/>
      </c>
      <c r="W252" s="41">
        <f t="shared" si="59"/>
        <v>3.0229763995453487</v>
      </c>
      <c r="X252" s="6">
        <f t="shared" si="60"/>
        <v>196.49346597044766</v>
      </c>
      <c r="Y252" s="7">
        <f t="shared" si="63"/>
        <v>183</v>
      </c>
      <c r="AA252" s="7">
        <f t="shared" si="64"/>
        <v>1</v>
      </c>
      <c r="AB252" s="7">
        <f t="shared" si="65"/>
        <v>65</v>
      </c>
      <c r="AC252" s="7">
        <f t="shared" si="66"/>
        <v>0</v>
      </c>
      <c r="AD252" s="7" t="str">
        <f t="shared" si="67"/>
        <v/>
      </c>
      <c r="AE252" s="6">
        <f t="shared" si="68"/>
        <v>0</v>
      </c>
      <c r="AF252" s="69">
        <f t="shared" si="69"/>
        <v>3.0229763995453487</v>
      </c>
      <c r="AG252" s="6">
        <f t="shared" si="70"/>
        <v>0</v>
      </c>
      <c r="AH252" s="6">
        <f t="shared" si="71"/>
        <v>604</v>
      </c>
    </row>
    <row r="253" spans="8:34" x14ac:dyDescent="0.25">
      <c r="H253" s="7">
        <v>260</v>
      </c>
      <c r="I253" s="7" t="s">
        <v>10</v>
      </c>
      <c r="J253" s="8">
        <v>38001</v>
      </c>
      <c r="K253" s="12" t="s">
        <v>16</v>
      </c>
      <c r="L253" s="9">
        <v>25</v>
      </c>
      <c r="M253" s="10">
        <v>77.329572231774151</v>
      </c>
      <c r="N253" s="7" t="s">
        <v>22</v>
      </c>
      <c r="P253" s="29">
        <f t="shared" si="54"/>
        <v>1</v>
      </c>
      <c r="Q253" s="29" t="str">
        <f t="shared" si="55"/>
        <v/>
      </c>
      <c r="R253" s="29" t="str">
        <f t="shared" si="56"/>
        <v/>
      </c>
      <c r="S253" s="29" t="str">
        <f t="shared" si="57"/>
        <v/>
      </c>
      <c r="T253" s="32" t="str">
        <f t="shared" si="58"/>
        <v/>
      </c>
      <c r="U253" s="32" t="str">
        <f t="shared" si="61"/>
        <v/>
      </c>
      <c r="V253" s="32" t="str">
        <f t="shared" si="62"/>
        <v/>
      </c>
      <c r="W253" s="41">
        <f t="shared" si="59"/>
        <v>3.0931828892709659</v>
      </c>
      <c r="X253" s="6">
        <f t="shared" si="60"/>
        <v>0</v>
      </c>
      <c r="Y253" s="7">
        <f t="shared" si="63"/>
        <v>567</v>
      </c>
      <c r="AA253" s="7">
        <f t="shared" si="64"/>
        <v>0</v>
      </c>
      <c r="AB253" s="7" t="str">
        <f t="shared" si="65"/>
        <v/>
      </c>
      <c r="AC253" s="7">
        <f t="shared" si="66"/>
        <v>0</v>
      </c>
      <c r="AD253" s="7" t="str">
        <f t="shared" si="67"/>
        <v/>
      </c>
      <c r="AE253" s="6">
        <f t="shared" si="68"/>
        <v>0</v>
      </c>
      <c r="AF253" s="69">
        <f t="shared" si="69"/>
        <v>3.0931828892709659</v>
      </c>
      <c r="AG253" s="6">
        <f t="shared" si="70"/>
        <v>77.329572231774151</v>
      </c>
      <c r="AH253" s="6">
        <f t="shared" si="71"/>
        <v>426</v>
      </c>
    </row>
    <row r="254" spans="8:34" x14ac:dyDescent="0.25">
      <c r="H254" s="7">
        <v>261</v>
      </c>
      <c r="I254" s="7" t="s">
        <v>15</v>
      </c>
      <c r="J254" s="8">
        <v>38914</v>
      </c>
      <c r="K254" s="12" t="s">
        <v>20</v>
      </c>
      <c r="L254" s="9">
        <v>-1</v>
      </c>
      <c r="M254" s="10">
        <v>-1.930462865623249</v>
      </c>
      <c r="N254" s="7" t="s">
        <v>21</v>
      </c>
      <c r="P254" s="29" t="str">
        <f t="shared" si="54"/>
        <v/>
      </c>
      <c r="Q254" s="29" t="str">
        <f t="shared" si="55"/>
        <v/>
      </c>
      <c r="R254" s="29" t="str">
        <f t="shared" si="56"/>
        <v/>
      </c>
      <c r="S254" s="29" t="str">
        <f t="shared" si="57"/>
        <v/>
      </c>
      <c r="T254" s="32" t="str">
        <f t="shared" si="58"/>
        <v/>
      </c>
      <c r="U254" s="32" t="str">
        <f t="shared" si="61"/>
        <v/>
      </c>
      <c r="V254" s="32">
        <f t="shared" si="62"/>
        <v>1</v>
      </c>
      <c r="W254" s="41" t="str">
        <f t="shared" si="59"/>
        <v/>
      </c>
      <c r="X254" s="6">
        <f t="shared" si="60"/>
        <v>0</v>
      </c>
      <c r="Y254" s="7">
        <f t="shared" si="63"/>
        <v>567</v>
      </c>
      <c r="AA254" s="7">
        <f t="shared" si="64"/>
        <v>0</v>
      </c>
      <c r="AB254" s="7" t="str">
        <f t="shared" si="65"/>
        <v/>
      </c>
      <c r="AC254" s="7">
        <f t="shared" si="66"/>
        <v>0</v>
      </c>
      <c r="AD254" s="7" t="str">
        <f t="shared" si="67"/>
        <v/>
      </c>
      <c r="AE254" s="6">
        <f t="shared" si="68"/>
        <v>-1</v>
      </c>
      <c r="AF254" s="69" t="str">
        <f t="shared" si="69"/>
        <v/>
      </c>
      <c r="AG254" s="6">
        <f t="shared" si="70"/>
        <v>0</v>
      </c>
      <c r="AH254" s="6">
        <f t="shared" si="71"/>
        <v>604</v>
      </c>
    </row>
    <row r="255" spans="8:34" x14ac:dyDescent="0.25">
      <c r="H255" s="7">
        <v>262</v>
      </c>
      <c r="I255" s="7" t="s">
        <v>14</v>
      </c>
      <c r="J255" s="8">
        <v>38958</v>
      </c>
      <c r="K255" s="12" t="s">
        <v>18</v>
      </c>
      <c r="L255" s="9">
        <v>2</v>
      </c>
      <c r="M255" s="10">
        <v>7.9709250117717731</v>
      </c>
      <c r="N255" s="7" t="s">
        <v>22</v>
      </c>
      <c r="P255" s="29" t="str">
        <f t="shared" si="54"/>
        <v/>
      </c>
      <c r="Q255" s="29" t="str">
        <f t="shared" si="55"/>
        <v/>
      </c>
      <c r="R255" s="29" t="str">
        <f t="shared" si="56"/>
        <v/>
      </c>
      <c r="S255" s="29" t="str">
        <f t="shared" si="57"/>
        <v/>
      </c>
      <c r="T255" s="32" t="str">
        <f t="shared" si="58"/>
        <v/>
      </c>
      <c r="U255" s="32" t="str">
        <f t="shared" si="61"/>
        <v/>
      </c>
      <c r="V255" s="32">
        <f t="shared" si="62"/>
        <v>1</v>
      </c>
      <c r="W255" s="41">
        <f t="shared" si="59"/>
        <v>3.9854625058858866</v>
      </c>
      <c r="X255" s="6">
        <f t="shared" si="60"/>
        <v>0</v>
      </c>
      <c r="Y255" s="7">
        <f t="shared" si="63"/>
        <v>567</v>
      </c>
      <c r="AA255" s="7">
        <f t="shared" si="64"/>
        <v>0</v>
      </c>
      <c r="AB255" s="7" t="str">
        <f t="shared" si="65"/>
        <v/>
      </c>
      <c r="AC255" s="7">
        <f t="shared" si="66"/>
        <v>0</v>
      </c>
      <c r="AD255" s="7" t="str">
        <f t="shared" si="67"/>
        <v/>
      </c>
      <c r="AE255" s="6">
        <f t="shared" si="68"/>
        <v>0</v>
      </c>
      <c r="AF255" s="69">
        <f t="shared" si="69"/>
        <v>3.9854625058858866</v>
      </c>
      <c r="AG255" s="6">
        <f t="shared" si="70"/>
        <v>0</v>
      </c>
      <c r="AH255" s="6">
        <f t="shared" si="71"/>
        <v>604</v>
      </c>
    </row>
    <row r="256" spans="8:34" x14ac:dyDescent="0.25">
      <c r="H256" s="7">
        <v>263</v>
      </c>
      <c r="I256" s="7" t="s">
        <v>10</v>
      </c>
      <c r="J256" s="8">
        <v>39024</v>
      </c>
      <c r="K256" s="12" t="s">
        <v>17</v>
      </c>
      <c r="L256" s="9">
        <v>62</v>
      </c>
      <c r="M256" s="10">
        <v>187.61965072290988</v>
      </c>
      <c r="N256" s="7" t="s">
        <v>22</v>
      </c>
      <c r="P256" s="29" t="str">
        <f t="shared" si="54"/>
        <v/>
      </c>
      <c r="Q256" s="29" t="str">
        <f t="shared" si="55"/>
        <v/>
      </c>
      <c r="R256" s="29" t="str">
        <f t="shared" si="56"/>
        <v/>
      </c>
      <c r="S256" s="29" t="str">
        <f t="shared" si="57"/>
        <v/>
      </c>
      <c r="T256" s="32" t="str">
        <f t="shared" si="58"/>
        <v/>
      </c>
      <c r="U256" s="32" t="str">
        <f t="shared" si="61"/>
        <v/>
      </c>
      <c r="V256" s="32">
        <f t="shared" si="62"/>
        <v>1</v>
      </c>
      <c r="W256" s="41">
        <f t="shared" si="59"/>
        <v>3.026123398756611</v>
      </c>
      <c r="X256" s="6">
        <f t="shared" si="60"/>
        <v>0</v>
      </c>
      <c r="Y256" s="7">
        <f t="shared" si="63"/>
        <v>567</v>
      </c>
      <c r="AA256" s="7">
        <f t="shared" si="64"/>
        <v>0</v>
      </c>
      <c r="AB256" s="7" t="str">
        <f t="shared" si="65"/>
        <v/>
      </c>
      <c r="AC256" s="7">
        <f t="shared" si="66"/>
        <v>0</v>
      </c>
      <c r="AD256" s="7" t="str">
        <f t="shared" si="67"/>
        <v/>
      </c>
      <c r="AE256" s="6">
        <f t="shared" si="68"/>
        <v>0</v>
      </c>
      <c r="AF256" s="69">
        <f t="shared" si="69"/>
        <v>3.026123398756611</v>
      </c>
      <c r="AG256" s="6">
        <f t="shared" si="70"/>
        <v>0</v>
      </c>
      <c r="AH256" s="6">
        <f t="shared" si="71"/>
        <v>604</v>
      </c>
    </row>
    <row r="257" spans="8:34" x14ac:dyDescent="0.25">
      <c r="H257" s="7">
        <v>264</v>
      </c>
      <c r="I257" s="7" t="s">
        <v>11</v>
      </c>
      <c r="J257" s="8">
        <v>38485</v>
      </c>
      <c r="K257" s="12" t="s">
        <v>18</v>
      </c>
      <c r="L257" s="9">
        <v>28</v>
      </c>
      <c r="M257" s="10">
        <v>86.788113277044275</v>
      </c>
      <c r="N257" s="7" t="s">
        <v>23</v>
      </c>
      <c r="P257" s="29" t="str">
        <f t="shared" si="54"/>
        <v/>
      </c>
      <c r="Q257" s="29" t="str">
        <f t="shared" si="55"/>
        <v/>
      </c>
      <c r="R257" s="29" t="str">
        <f t="shared" si="56"/>
        <v/>
      </c>
      <c r="S257" s="29" t="str">
        <f t="shared" si="57"/>
        <v/>
      </c>
      <c r="T257" s="32" t="str">
        <f t="shared" si="58"/>
        <v/>
      </c>
      <c r="U257" s="32">
        <f t="shared" si="61"/>
        <v>1</v>
      </c>
      <c r="V257" s="32" t="str">
        <f t="shared" si="62"/>
        <v/>
      </c>
      <c r="W257" s="41">
        <f t="shared" si="59"/>
        <v>3.0995754741801527</v>
      </c>
      <c r="X257" s="6">
        <f t="shared" si="60"/>
        <v>86.788113277044275</v>
      </c>
      <c r="Y257" s="7">
        <f t="shared" si="63"/>
        <v>383</v>
      </c>
      <c r="AA257" s="7">
        <f t="shared" si="64"/>
        <v>0</v>
      </c>
      <c r="AB257" s="7" t="str">
        <f t="shared" si="65"/>
        <v/>
      </c>
      <c r="AC257" s="7">
        <f t="shared" si="66"/>
        <v>1</v>
      </c>
      <c r="AD257" s="7">
        <f t="shared" si="67"/>
        <v>28</v>
      </c>
      <c r="AE257" s="6">
        <f t="shared" si="68"/>
        <v>0</v>
      </c>
      <c r="AF257" s="69">
        <f t="shared" si="69"/>
        <v>3.0995754741801527</v>
      </c>
      <c r="AG257" s="6">
        <f t="shared" si="70"/>
        <v>0</v>
      </c>
      <c r="AH257" s="6">
        <f t="shared" si="71"/>
        <v>604</v>
      </c>
    </row>
    <row r="258" spans="8:34" x14ac:dyDescent="0.25">
      <c r="H258" s="7">
        <v>265</v>
      </c>
      <c r="I258" s="7" t="s">
        <v>8</v>
      </c>
      <c r="J258" s="8">
        <v>38551</v>
      </c>
      <c r="K258" s="12" t="s">
        <v>16</v>
      </c>
      <c r="L258" s="9">
        <v>55</v>
      </c>
      <c r="M258" s="10">
        <v>167.05079786120268</v>
      </c>
      <c r="N258" s="7" t="s">
        <v>21</v>
      </c>
      <c r="P258" s="29" t="str">
        <f t="shared" si="54"/>
        <v/>
      </c>
      <c r="Q258" s="29" t="str">
        <f t="shared" si="55"/>
        <v/>
      </c>
      <c r="R258" s="29" t="str">
        <f t="shared" si="56"/>
        <v/>
      </c>
      <c r="S258" s="29" t="str">
        <f t="shared" si="57"/>
        <v/>
      </c>
      <c r="T258" s="32" t="str">
        <f t="shared" si="58"/>
        <v/>
      </c>
      <c r="U258" s="32">
        <f t="shared" si="61"/>
        <v>1</v>
      </c>
      <c r="V258" s="32" t="str">
        <f t="shared" si="62"/>
        <v/>
      </c>
      <c r="W258" s="41">
        <f t="shared" si="59"/>
        <v>3.0372872338400487</v>
      </c>
      <c r="X258" s="6">
        <f t="shared" si="60"/>
        <v>167.05079786120268</v>
      </c>
      <c r="Y258" s="7">
        <f t="shared" si="63"/>
        <v>232</v>
      </c>
      <c r="AA258" s="7">
        <f t="shared" si="64"/>
        <v>1</v>
      </c>
      <c r="AB258" s="7">
        <f t="shared" si="65"/>
        <v>55</v>
      </c>
      <c r="AC258" s="7">
        <f t="shared" si="66"/>
        <v>0</v>
      </c>
      <c r="AD258" s="7" t="str">
        <f t="shared" si="67"/>
        <v/>
      </c>
      <c r="AE258" s="6">
        <f t="shared" si="68"/>
        <v>0</v>
      </c>
      <c r="AF258" s="69">
        <f t="shared" si="69"/>
        <v>3.0372872338400487</v>
      </c>
      <c r="AG258" s="6">
        <f t="shared" si="70"/>
        <v>0</v>
      </c>
      <c r="AH258" s="6">
        <f t="shared" si="71"/>
        <v>604</v>
      </c>
    </row>
    <row r="259" spans="8:34" x14ac:dyDescent="0.25">
      <c r="H259" s="7">
        <v>266</v>
      </c>
      <c r="I259" s="7" t="s">
        <v>11</v>
      </c>
      <c r="J259" s="8">
        <v>38518</v>
      </c>
      <c r="K259" s="12" t="s">
        <v>17</v>
      </c>
      <c r="L259" s="9">
        <v>28</v>
      </c>
      <c r="M259" s="10">
        <v>86.636057383669893</v>
      </c>
      <c r="N259" s="7" t="s">
        <v>21</v>
      </c>
      <c r="P259" s="29" t="str">
        <f t="shared" ref="P259:P322" si="72">IF(AND((MONTH(J259))&lt;4,YEAR(J259)=2004),1,"")</f>
        <v/>
      </c>
      <c r="Q259" s="29" t="str">
        <f t="shared" ref="Q259:Q322" si="73">IF(AND(3&lt;(MONTH(J259)),(MONTH(J259)&lt;7),YEAR(J259)=2004),1,"")</f>
        <v/>
      </c>
      <c r="R259" s="29" t="str">
        <f t="shared" ref="R259:R322" si="74">IF(AND(6&lt;(MONTH(J259)),(MONTH(J259)&lt;10),YEAR(J259)=2004),1,"")</f>
        <v/>
      </c>
      <c r="S259" s="29" t="str">
        <f t="shared" ref="S259:S322" si="75">IF(AND(9&lt;(MONTH(J259)),(MONTH(J259)&lt;13),YEAR(J259)=2004),1,"")</f>
        <v/>
      </c>
      <c r="T259" s="32" t="str">
        <f t="shared" ref="T259:T322" si="76">IF(AND((9&lt;MONTH(J259)),YEAR(J259)=2005),1,"")</f>
        <v/>
      </c>
      <c r="U259" s="32">
        <f t="shared" si="61"/>
        <v>1</v>
      </c>
      <c r="V259" s="32" t="str">
        <f t="shared" si="62"/>
        <v/>
      </c>
      <c r="W259" s="41">
        <f t="shared" ref="W259:W322" si="77">IF(L259&gt;0,M259/L259,"")</f>
        <v>3.0941449065596389</v>
      </c>
      <c r="X259" s="6">
        <f t="shared" ref="X259:X322" si="78">IF(U259=1,M259,0)</f>
        <v>86.636057383669893</v>
      </c>
      <c r="Y259" s="7">
        <f t="shared" si="63"/>
        <v>384</v>
      </c>
      <c r="AA259" s="7">
        <f t="shared" si="64"/>
        <v>0</v>
      </c>
      <c r="AB259" s="7" t="str">
        <f t="shared" si="65"/>
        <v/>
      </c>
      <c r="AC259" s="7">
        <f t="shared" si="66"/>
        <v>1</v>
      </c>
      <c r="AD259" s="7">
        <f t="shared" si="67"/>
        <v>28</v>
      </c>
      <c r="AE259" s="6">
        <f t="shared" si="68"/>
        <v>0</v>
      </c>
      <c r="AF259" s="69">
        <f t="shared" si="69"/>
        <v>3.0941449065596389</v>
      </c>
      <c r="AG259" s="6">
        <f t="shared" si="70"/>
        <v>0</v>
      </c>
      <c r="AH259" s="6">
        <f t="shared" si="71"/>
        <v>604</v>
      </c>
    </row>
    <row r="260" spans="8:34" x14ac:dyDescent="0.25">
      <c r="H260" s="7">
        <v>267</v>
      </c>
      <c r="I260" s="7" t="s">
        <v>12</v>
      </c>
      <c r="J260" s="8">
        <v>38562</v>
      </c>
      <c r="K260" s="12" t="s">
        <v>18</v>
      </c>
      <c r="L260" s="9">
        <v>5</v>
      </c>
      <c r="M260" s="10">
        <v>16.670839286326668</v>
      </c>
      <c r="N260" s="7" t="s">
        <v>21</v>
      </c>
      <c r="P260" s="29" t="str">
        <f t="shared" si="72"/>
        <v/>
      </c>
      <c r="Q260" s="29" t="str">
        <f t="shared" si="73"/>
        <v/>
      </c>
      <c r="R260" s="29" t="str">
        <f t="shared" si="74"/>
        <v/>
      </c>
      <c r="S260" s="29" t="str">
        <f t="shared" si="75"/>
        <v/>
      </c>
      <c r="T260" s="32" t="str">
        <f t="shared" si="76"/>
        <v/>
      </c>
      <c r="U260" s="32">
        <f t="shared" ref="U260:U323" si="79">IF(YEAR(J260)=2005,1,"")</f>
        <v>1</v>
      </c>
      <c r="V260" s="32" t="str">
        <f t="shared" ref="V260:V323" si="80">IF(YEAR(J260)=2006,1,"")</f>
        <v/>
      </c>
      <c r="W260" s="41">
        <f t="shared" si="77"/>
        <v>3.3341678572653337</v>
      </c>
      <c r="X260" s="6">
        <f t="shared" si="78"/>
        <v>16.670839286326668</v>
      </c>
      <c r="Y260" s="7">
        <f t="shared" ref="Y260:Y323" si="81">RANK(X260,$X$3:$X$1893)</f>
        <v>533</v>
      </c>
      <c r="AA260" s="7">
        <f t="shared" ref="AA260:AA323" si="82">IF(AND(OR((MONTH(J260))=1,(MONTH(J260))=2,(MONTH(J260))=3,(MONTH(J260))=7,(MONTH(J260))=8,(MONTH(J260))=9),YEAR(J260)=2005),1,0)</f>
        <v>1</v>
      </c>
      <c r="AB260" s="7">
        <f t="shared" ref="AB260:AB323" si="83">IF(AA260=1,L260,"")</f>
        <v>5</v>
      </c>
      <c r="AC260" s="7">
        <f t="shared" ref="AC260:AC323" si="84">IF(AND(OR((MONTH(J260))=4,(MONTH(J260))=5,(MONTH(J260))=6,(MONTH(J260))=10,(MONTH(J260))=11,(MONTH(J260))=12),YEAR(J260)=2005),1,0)</f>
        <v>0</v>
      </c>
      <c r="AD260" s="7" t="str">
        <f t="shared" ref="AD260:AD323" si="85">IF(AC260=1,L260,"")</f>
        <v/>
      </c>
      <c r="AE260" s="6">
        <f t="shared" ref="AE260:AE323" si="86">IF(L260&lt;0,L260,0)</f>
        <v>0</v>
      </c>
      <c r="AF260" s="69">
        <f t="shared" ref="AF260:AF323" si="87">IF(L260&gt;0,W260,"")</f>
        <v>3.3341678572653337</v>
      </c>
      <c r="AG260" s="6">
        <f t="shared" ref="AG260:AG323" si="88">IF(AND((M260&gt;0),(YEAR(J260)=2004)),M260,0)</f>
        <v>0</v>
      </c>
      <c r="AH260" s="6">
        <f t="shared" ref="AH260:AH323" si="89">RANK(AG260,$AG$3:$AG$1893)</f>
        <v>604</v>
      </c>
    </row>
    <row r="261" spans="8:34" x14ac:dyDescent="0.25">
      <c r="H261" s="7">
        <v>268</v>
      </c>
      <c r="I261" s="7" t="s">
        <v>12</v>
      </c>
      <c r="J261" s="8">
        <v>38298</v>
      </c>
      <c r="K261" s="12" t="s">
        <v>16</v>
      </c>
      <c r="L261" s="9">
        <v>1</v>
      </c>
      <c r="M261" s="10">
        <v>4.7722172541512009</v>
      </c>
      <c r="N261" s="7" t="s">
        <v>24</v>
      </c>
      <c r="P261" s="29" t="str">
        <f t="shared" si="72"/>
        <v/>
      </c>
      <c r="Q261" s="29" t="str">
        <f t="shared" si="73"/>
        <v/>
      </c>
      <c r="R261" s="29" t="str">
        <f t="shared" si="74"/>
        <v/>
      </c>
      <c r="S261" s="29">
        <f t="shared" si="75"/>
        <v>1</v>
      </c>
      <c r="T261" s="32" t="str">
        <f t="shared" si="76"/>
        <v/>
      </c>
      <c r="U261" s="32" t="str">
        <f t="shared" si="79"/>
        <v/>
      </c>
      <c r="V261" s="32" t="str">
        <f t="shared" si="80"/>
        <v/>
      </c>
      <c r="W261" s="41">
        <f t="shared" si="77"/>
        <v>4.7722172541512009</v>
      </c>
      <c r="X261" s="6">
        <f t="shared" si="78"/>
        <v>0</v>
      </c>
      <c r="Y261" s="7">
        <f t="shared" si="81"/>
        <v>567</v>
      </c>
      <c r="AA261" s="7">
        <f t="shared" si="82"/>
        <v>0</v>
      </c>
      <c r="AB261" s="7" t="str">
        <f t="shared" si="83"/>
        <v/>
      </c>
      <c r="AC261" s="7">
        <f t="shared" si="84"/>
        <v>0</v>
      </c>
      <c r="AD261" s="7" t="str">
        <f t="shared" si="85"/>
        <v/>
      </c>
      <c r="AE261" s="6">
        <f t="shared" si="86"/>
        <v>0</v>
      </c>
      <c r="AF261" s="69">
        <f t="shared" si="87"/>
        <v>4.7722172541512009</v>
      </c>
      <c r="AG261" s="6">
        <f t="shared" si="88"/>
        <v>4.7722172541512009</v>
      </c>
      <c r="AH261" s="6">
        <f t="shared" si="89"/>
        <v>594</v>
      </c>
    </row>
    <row r="262" spans="8:34" x14ac:dyDescent="0.25">
      <c r="H262" s="7">
        <v>269</v>
      </c>
      <c r="I262" s="7" t="s">
        <v>12</v>
      </c>
      <c r="J262" s="8">
        <v>38518</v>
      </c>
      <c r="K262" s="12" t="s">
        <v>18</v>
      </c>
      <c r="L262" s="9">
        <v>26</v>
      </c>
      <c r="M262" s="10">
        <v>80.012011803068276</v>
      </c>
      <c r="N262" s="7" t="s">
        <v>24</v>
      </c>
      <c r="P262" s="29" t="str">
        <f t="shared" si="72"/>
        <v/>
      </c>
      <c r="Q262" s="29" t="str">
        <f t="shared" si="73"/>
        <v/>
      </c>
      <c r="R262" s="29" t="str">
        <f t="shared" si="74"/>
        <v/>
      </c>
      <c r="S262" s="29" t="str">
        <f t="shared" si="75"/>
        <v/>
      </c>
      <c r="T262" s="32" t="str">
        <f t="shared" si="76"/>
        <v/>
      </c>
      <c r="U262" s="32">
        <f t="shared" si="79"/>
        <v>1</v>
      </c>
      <c r="V262" s="32" t="str">
        <f t="shared" si="80"/>
        <v/>
      </c>
      <c r="W262" s="41">
        <f t="shared" si="77"/>
        <v>3.0773850693487796</v>
      </c>
      <c r="X262" s="6">
        <f t="shared" si="78"/>
        <v>80.012011803068276</v>
      </c>
      <c r="Y262" s="7">
        <f t="shared" si="81"/>
        <v>404</v>
      </c>
      <c r="AA262" s="7">
        <f t="shared" si="82"/>
        <v>0</v>
      </c>
      <c r="AB262" s="7" t="str">
        <f t="shared" si="83"/>
        <v/>
      </c>
      <c r="AC262" s="7">
        <f t="shared" si="84"/>
        <v>1</v>
      </c>
      <c r="AD262" s="7">
        <f t="shared" si="85"/>
        <v>26</v>
      </c>
      <c r="AE262" s="6">
        <f t="shared" si="86"/>
        <v>0</v>
      </c>
      <c r="AF262" s="69">
        <f t="shared" si="87"/>
        <v>3.0773850693487796</v>
      </c>
      <c r="AG262" s="6">
        <f t="shared" si="88"/>
        <v>0</v>
      </c>
      <c r="AH262" s="6">
        <f t="shared" si="89"/>
        <v>604</v>
      </c>
    </row>
    <row r="263" spans="8:34" x14ac:dyDescent="0.25">
      <c r="H263" s="7">
        <v>270</v>
      </c>
      <c r="I263" s="7" t="s">
        <v>10</v>
      </c>
      <c r="J263" s="8">
        <v>38144</v>
      </c>
      <c r="K263" s="12" t="s">
        <v>18</v>
      </c>
      <c r="L263" s="9">
        <v>47</v>
      </c>
      <c r="M263" s="10">
        <v>142.84602668228962</v>
      </c>
      <c r="N263" s="7" t="s">
        <v>21</v>
      </c>
      <c r="P263" s="29" t="str">
        <f t="shared" si="72"/>
        <v/>
      </c>
      <c r="Q263" s="29">
        <f t="shared" si="73"/>
        <v>1</v>
      </c>
      <c r="R263" s="29" t="str">
        <f t="shared" si="74"/>
        <v/>
      </c>
      <c r="S263" s="29" t="str">
        <f t="shared" si="75"/>
        <v/>
      </c>
      <c r="T263" s="32" t="str">
        <f t="shared" si="76"/>
        <v/>
      </c>
      <c r="U263" s="32" t="str">
        <f t="shared" si="79"/>
        <v/>
      </c>
      <c r="V263" s="32" t="str">
        <f t="shared" si="80"/>
        <v/>
      </c>
      <c r="W263" s="41">
        <f t="shared" si="77"/>
        <v>3.0392771634529705</v>
      </c>
      <c r="X263" s="6">
        <f t="shared" si="78"/>
        <v>0</v>
      </c>
      <c r="Y263" s="7">
        <f t="shared" si="81"/>
        <v>567</v>
      </c>
      <c r="AA263" s="7">
        <f t="shared" si="82"/>
        <v>0</v>
      </c>
      <c r="AB263" s="7" t="str">
        <f t="shared" si="83"/>
        <v/>
      </c>
      <c r="AC263" s="7">
        <f t="shared" si="84"/>
        <v>0</v>
      </c>
      <c r="AD263" s="7" t="str">
        <f t="shared" si="85"/>
        <v/>
      </c>
      <c r="AE263" s="6">
        <f t="shared" si="86"/>
        <v>0</v>
      </c>
      <c r="AF263" s="69">
        <f t="shared" si="87"/>
        <v>3.0392771634529705</v>
      </c>
      <c r="AG263" s="6">
        <f t="shared" si="88"/>
        <v>142.84602668228962</v>
      </c>
      <c r="AH263" s="6">
        <f t="shared" si="89"/>
        <v>287</v>
      </c>
    </row>
    <row r="264" spans="8:34" x14ac:dyDescent="0.25">
      <c r="H264" s="7">
        <v>271</v>
      </c>
      <c r="I264" s="7" t="s">
        <v>8</v>
      </c>
      <c r="J264" s="8">
        <v>38474</v>
      </c>
      <c r="K264" s="12" t="s">
        <v>16</v>
      </c>
      <c r="L264" s="9">
        <v>74</v>
      </c>
      <c r="M264" s="10">
        <v>224.75435048565893</v>
      </c>
      <c r="N264" s="7" t="s">
        <v>24</v>
      </c>
      <c r="P264" s="29" t="str">
        <f t="shared" si="72"/>
        <v/>
      </c>
      <c r="Q264" s="29" t="str">
        <f t="shared" si="73"/>
        <v/>
      </c>
      <c r="R264" s="29" t="str">
        <f t="shared" si="74"/>
        <v/>
      </c>
      <c r="S264" s="29" t="str">
        <f t="shared" si="75"/>
        <v/>
      </c>
      <c r="T264" s="32" t="str">
        <f t="shared" si="76"/>
        <v/>
      </c>
      <c r="U264" s="32">
        <f t="shared" si="79"/>
        <v>1</v>
      </c>
      <c r="V264" s="32" t="str">
        <f t="shared" si="80"/>
        <v/>
      </c>
      <c r="W264" s="41">
        <f t="shared" si="77"/>
        <v>3.0372209525089047</v>
      </c>
      <c r="X264" s="6">
        <f t="shared" si="78"/>
        <v>224.75435048565893</v>
      </c>
      <c r="Y264" s="7">
        <f t="shared" si="81"/>
        <v>131</v>
      </c>
      <c r="AA264" s="7">
        <f t="shared" si="82"/>
        <v>0</v>
      </c>
      <c r="AB264" s="7" t="str">
        <f t="shared" si="83"/>
        <v/>
      </c>
      <c r="AC264" s="7">
        <f t="shared" si="84"/>
        <v>1</v>
      </c>
      <c r="AD264" s="7">
        <f t="shared" si="85"/>
        <v>74</v>
      </c>
      <c r="AE264" s="6">
        <f t="shared" si="86"/>
        <v>0</v>
      </c>
      <c r="AF264" s="69">
        <f t="shared" si="87"/>
        <v>3.0372209525089047</v>
      </c>
      <c r="AG264" s="6">
        <f t="shared" si="88"/>
        <v>0</v>
      </c>
      <c r="AH264" s="6">
        <f t="shared" si="89"/>
        <v>604</v>
      </c>
    </row>
    <row r="265" spans="8:34" x14ac:dyDescent="0.25">
      <c r="H265" s="7">
        <v>272</v>
      </c>
      <c r="I265" s="7" t="s">
        <v>15</v>
      </c>
      <c r="J265" s="8">
        <v>38848</v>
      </c>
      <c r="K265" s="12" t="s">
        <v>17</v>
      </c>
      <c r="L265" s="9">
        <v>22</v>
      </c>
      <c r="M265" s="10">
        <v>68.710607050620922</v>
      </c>
      <c r="N265" s="7" t="s">
        <v>22</v>
      </c>
      <c r="P265" s="29" t="str">
        <f t="shared" si="72"/>
        <v/>
      </c>
      <c r="Q265" s="29" t="str">
        <f t="shared" si="73"/>
        <v/>
      </c>
      <c r="R265" s="29" t="str">
        <f t="shared" si="74"/>
        <v/>
      </c>
      <c r="S265" s="29" t="str">
        <f t="shared" si="75"/>
        <v/>
      </c>
      <c r="T265" s="32" t="str">
        <f t="shared" si="76"/>
        <v/>
      </c>
      <c r="U265" s="32" t="str">
        <f t="shared" si="79"/>
        <v/>
      </c>
      <c r="V265" s="32">
        <f t="shared" si="80"/>
        <v>1</v>
      </c>
      <c r="W265" s="41">
        <f t="shared" si="77"/>
        <v>3.1232094113918603</v>
      </c>
      <c r="X265" s="6">
        <f t="shared" si="78"/>
        <v>0</v>
      </c>
      <c r="Y265" s="7">
        <f t="shared" si="81"/>
        <v>567</v>
      </c>
      <c r="AA265" s="7">
        <f t="shared" si="82"/>
        <v>0</v>
      </c>
      <c r="AB265" s="7" t="str">
        <f t="shared" si="83"/>
        <v/>
      </c>
      <c r="AC265" s="7">
        <f t="shared" si="84"/>
        <v>0</v>
      </c>
      <c r="AD265" s="7" t="str">
        <f t="shared" si="85"/>
        <v/>
      </c>
      <c r="AE265" s="6">
        <f t="shared" si="86"/>
        <v>0</v>
      </c>
      <c r="AF265" s="69">
        <f t="shared" si="87"/>
        <v>3.1232094113918603</v>
      </c>
      <c r="AG265" s="6">
        <f t="shared" si="88"/>
        <v>0</v>
      </c>
      <c r="AH265" s="6">
        <f t="shared" si="89"/>
        <v>604</v>
      </c>
    </row>
    <row r="266" spans="8:34" x14ac:dyDescent="0.25">
      <c r="H266" s="7">
        <v>273</v>
      </c>
      <c r="I266" s="7" t="s">
        <v>9</v>
      </c>
      <c r="J266" s="8">
        <v>38892</v>
      </c>
      <c r="K266" s="12" t="s">
        <v>19</v>
      </c>
      <c r="L266" s="9">
        <v>70</v>
      </c>
      <c r="M266" s="10">
        <v>212.26238499892682</v>
      </c>
      <c r="N266" s="7" t="s">
        <v>21</v>
      </c>
      <c r="P266" s="29" t="str">
        <f t="shared" si="72"/>
        <v/>
      </c>
      <c r="Q266" s="29" t="str">
        <f t="shared" si="73"/>
        <v/>
      </c>
      <c r="R266" s="29" t="str">
        <f t="shared" si="74"/>
        <v/>
      </c>
      <c r="S266" s="29" t="str">
        <f t="shared" si="75"/>
        <v/>
      </c>
      <c r="T266" s="32" t="str">
        <f t="shared" si="76"/>
        <v/>
      </c>
      <c r="U266" s="32" t="str">
        <f t="shared" si="79"/>
        <v/>
      </c>
      <c r="V266" s="32">
        <f t="shared" si="80"/>
        <v>1</v>
      </c>
      <c r="W266" s="41">
        <f t="shared" si="77"/>
        <v>3.0323197856989546</v>
      </c>
      <c r="X266" s="6">
        <f t="shared" si="78"/>
        <v>0</v>
      </c>
      <c r="Y266" s="7">
        <f t="shared" si="81"/>
        <v>567</v>
      </c>
      <c r="AA266" s="7">
        <f t="shared" si="82"/>
        <v>0</v>
      </c>
      <c r="AB266" s="7" t="str">
        <f t="shared" si="83"/>
        <v/>
      </c>
      <c r="AC266" s="7">
        <f t="shared" si="84"/>
        <v>0</v>
      </c>
      <c r="AD266" s="7" t="str">
        <f t="shared" si="85"/>
        <v/>
      </c>
      <c r="AE266" s="6">
        <f t="shared" si="86"/>
        <v>0</v>
      </c>
      <c r="AF266" s="69">
        <f t="shared" si="87"/>
        <v>3.0323197856989546</v>
      </c>
      <c r="AG266" s="6">
        <f t="shared" si="88"/>
        <v>0</v>
      </c>
      <c r="AH266" s="6">
        <f t="shared" si="89"/>
        <v>604</v>
      </c>
    </row>
    <row r="267" spans="8:34" x14ac:dyDescent="0.25">
      <c r="H267" s="7">
        <v>274</v>
      </c>
      <c r="I267" s="7" t="s">
        <v>15</v>
      </c>
      <c r="J267" s="8">
        <v>38683</v>
      </c>
      <c r="K267" s="12" t="s">
        <v>18</v>
      </c>
      <c r="L267" s="9">
        <v>83</v>
      </c>
      <c r="M267" s="10">
        <v>251.31042576912338</v>
      </c>
      <c r="N267" s="7" t="s">
        <v>22</v>
      </c>
      <c r="P267" s="29" t="str">
        <f t="shared" si="72"/>
        <v/>
      </c>
      <c r="Q267" s="29" t="str">
        <f t="shared" si="73"/>
        <v/>
      </c>
      <c r="R267" s="29" t="str">
        <f t="shared" si="74"/>
        <v/>
      </c>
      <c r="S267" s="29" t="str">
        <f t="shared" si="75"/>
        <v/>
      </c>
      <c r="T267" s="32">
        <f t="shared" si="76"/>
        <v>1</v>
      </c>
      <c r="U267" s="32">
        <f t="shared" si="79"/>
        <v>1</v>
      </c>
      <c r="V267" s="32" t="str">
        <f t="shared" si="80"/>
        <v/>
      </c>
      <c r="W267" s="41">
        <f t="shared" si="77"/>
        <v>3.0278364550496795</v>
      </c>
      <c r="X267" s="6">
        <f t="shared" si="78"/>
        <v>251.31042576912338</v>
      </c>
      <c r="Y267" s="7">
        <f t="shared" si="81"/>
        <v>78</v>
      </c>
      <c r="AA267" s="7">
        <f t="shared" si="82"/>
        <v>0</v>
      </c>
      <c r="AB267" s="7" t="str">
        <f t="shared" si="83"/>
        <v/>
      </c>
      <c r="AC267" s="7">
        <f t="shared" si="84"/>
        <v>1</v>
      </c>
      <c r="AD267" s="7">
        <f t="shared" si="85"/>
        <v>83</v>
      </c>
      <c r="AE267" s="6">
        <f t="shared" si="86"/>
        <v>0</v>
      </c>
      <c r="AF267" s="69">
        <f t="shared" si="87"/>
        <v>3.0278364550496795</v>
      </c>
      <c r="AG267" s="6">
        <f t="shared" si="88"/>
        <v>0</v>
      </c>
      <c r="AH267" s="6">
        <f t="shared" si="89"/>
        <v>604</v>
      </c>
    </row>
    <row r="268" spans="8:34" x14ac:dyDescent="0.25">
      <c r="H268" s="7">
        <v>275</v>
      </c>
      <c r="I268" s="7" t="s">
        <v>8</v>
      </c>
      <c r="J268" s="8">
        <v>38694</v>
      </c>
      <c r="K268" s="12" t="s">
        <v>16</v>
      </c>
      <c r="L268" s="9">
        <v>59</v>
      </c>
      <c r="M268" s="10">
        <v>179.38546683395009</v>
      </c>
      <c r="N268" s="7" t="s">
        <v>23</v>
      </c>
      <c r="P268" s="29" t="str">
        <f t="shared" si="72"/>
        <v/>
      </c>
      <c r="Q268" s="29" t="str">
        <f t="shared" si="73"/>
        <v/>
      </c>
      <c r="R268" s="29" t="str">
        <f t="shared" si="74"/>
        <v/>
      </c>
      <c r="S268" s="29" t="str">
        <f t="shared" si="75"/>
        <v/>
      </c>
      <c r="T268" s="32">
        <f t="shared" si="76"/>
        <v>1</v>
      </c>
      <c r="U268" s="32">
        <f t="shared" si="79"/>
        <v>1</v>
      </c>
      <c r="V268" s="32" t="str">
        <f t="shared" si="80"/>
        <v/>
      </c>
      <c r="W268" s="41">
        <f t="shared" si="77"/>
        <v>3.0404316412533912</v>
      </c>
      <c r="X268" s="6">
        <f t="shared" si="78"/>
        <v>179.38546683395009</v>
      </c>
      <c r="Y268" s="7">
        <f t="shared" si="81"/>
        <v>205</v>
      </c>
      <c r="AA268" s="7">
        <f t="shared" si="82"/>
        <v>0</v>
      </c>
      <c r="AB268" s="7" t="str">
        <f t="shared" si="83"/>
        <v/>
      </c>
      <c r="AC268" s="7">
        <f t="shared" si="84"/>
        <v>1</v>
      </c>
      <c r="AD268" s="7">
        <f t="shared" si="85"/>
        <v>59</v>
      </c>
      <c r="AE268" s="6">
        <f t="shared" si="86"/>
        <v>0</v>
      </c>
      <c r="AF268" s="69">
        <f t="shared" si="87"/>
        <v>3.0404316412533912</v>
      </c>
      <c r="AG268" s="6">
        <f t="shared" si="88"/>
        <v>0</v>
      </c>
      <c r="AH268" s="6">
        <f t="shared" si="89"/>
        <v>604</v>
      </c>
    </row>
    <row r="269" spans="8:34" x14ac:dyDescent="0.25">
      <c r="H269" s="7">
        <v>276</v>
      </c>
      <c r="I269" s="7" t="s">
        <v>15</v>
      </c>
      <c r="J269" s="8">
        <v>38573</v>
      </c>
      <c r="K269" s="12" t="s">
        <v>20</v>
      </c>
      <c r="L269" s="9">
        <v>0</v>
      </c>
      <c r="M269" s="10">
        <v>1.5831115612014064</v>
      </c>
      <c r="N269" s="7" t="s">
        <v>22</v>
      </c>
      <c r="P269" s="29" t="str">
        <f t="shared" si="72"/>
        <v/>
      </c>
      <c r="Q269" s="29" t="str">
        <f t="shared" si="73"/>
        <v/>
      </c>
      <c r="R269" s="29" t="str">
        <f t="shared" si="74"/>
        <v/>
      </c>
      <c r="S269" s="29" t="str">
        <f t="shared" si="75"/>
        <v/>
      </c>
      <c r="T269" s="32" t="str">
        <f t="shared" si="76"/>
        <v/>
      </c>
      <c r="U269" s="32">
        <f t="shared" si="79"/>
        <v>1</v>
      </c>
      <c r="V269" s="32" t="str">
        <f t="shared" si="80"/>
        <v/>
      </c>
      <c r="W269" s="41" t="str">
        <f t="shared" si="77"/>
        <v/>
      </c>
      <c r="X269" s="6">
        <f t="shared" si="78"/>
        <v>1.5831115612014064</v>
      </c>
      <c r="Y269" s="7">
        <f t="shared" si="81"/>
        <v>565</v>
      </c>
      <c r="AA269" s="7">
        <f t="shared" si="82"/>
        <v>1</v>
      </c>
      <c r="AB269" s="7">
        <f t="shared" si="83"/>
        <v>0</v>
      </c>
      <c r="AC269" s="7">
        <f t="shared" si="84"/>
        <v>0</v>
      </c>
      <c r="AD269" s="7" t="str">
        <f t="shared" si="85"/>
        <v/>
      </c>
      <c r="AE269" s="6">
        <f t="shared" si="86"/>
        <v>0</v>
      </c>
      <c r="AF269" s="69" t="str">
        <f t="shared" si="87"/>
        <v/>
      </c>
      <c r="AG269" s="6">
        <f t="shared" si="88"/>
        <v>0</v>
      </c>
      <c r="AH269" s="6">
        <f t="shared" si="89"/>
        <v>604</v>
      </c>
    </row>
    <row r="270" spans="8:34" x14ac:dyDescent="0.25">
      <c r="H270" s="7">
        <v>277</v>
      </c>
      <c r="I270" s="7" t="s">
        <v>8</v>
      </c>
      <c r="J270" s="8">
        <v>38364</v>
      </c>
      <c r="K270" s="12" t="s">
        <v>16</v>
      </c>
      <c r="L270" s="9">
        <v>82</v>
      </c>
      <c r="M270" s="10">
        <v>247.58247918220624</v>
      </c>
      <c r="N270" s="7" t="s">
        <v>23</v>
      </c>
      <c r="P270" s="29" t="str">
        <f t="shared" si="72"/>
        <v/>
      </c>
      <c r="Q270" s="29" t="str">
        <f t="shared" si="73"/>
        <v/>
      </c>
      <c r="R270" s="29" t="str">
        <f t="shared" si="74"/>
        <v/>
      </c>
      <c r="S270" s="29" t="str">
        <f t="shared" si="75"/>
        <v/>
      </c>
      <c r="T270" s="32" t="str">
        <f t="shared" si="76"/>
        <v/>
      </c>
      <c r="U270" s="32">
        <f t="shared" si="79"/>
        <v>1</v>
      </c>
      <c r="V270" s="32" t="str">
        <f t="shared" si="80"/>
        <v/>
      </c>
      <c r="W270" s="41">
        <f t="shared" si="77"/>
        <v>3.0192985266122712</v>
      </c>
      <c r="X270" s="6">
        <f t="shared" si="78"/>
        <v>247.58247918220624</v>
      </c>
      <c r="Y270" s="7">
        <f t="shared" si="81"/>
        <v>88</v>
      </c>
      <c r="AA270" s="7">
        <f t="shared" si="82"/>
        <v>1</v>
      </c>
      <c r="AB270" s="7">
        <f t="shared" si="83"/>
        <v>82</v>
      </c>
      <c r="AC270" s="7">
        <f t="shared" si="84"/>
        <v>0</v>
      </c>
      <c r="AD270" s="7" t="str">
        <f t="shared" si="85"/>
        <v/>
      </c>
      <c r="AE270" s="6">
        <f t="shared" si="86"/>
        <v>0</v>
      </c>
      <c r="AF270" s="69">
        <f t="shared" si="87"/>
        <v>3.0192985266122712</v>
      </c>
      <c r="AG270" s="6">
        <f t="shared" si="88"/>
        <v>0</v>
      </c>
      <c r="AH270" s="6">
        <f t="shared" si="89"/>
        <v>604</v>
      </c>
    </row>
    <row r="271" spans="8:34" x14ac:dyDescent="0.25">
      <c r="H271" s="7">
        <v>278</v>
      </c>
      <c r="I271" s="7" t="s">
        <v>7</v>
      </c>
      <c r="J271" s="8">
        <v>38419</v>
      </c>
      <c r="K271" s="12" t="s">
        <v>16</v>
      </c>
      <c r="L271" s="9">
        <v>29</v>
      </c>
      <c r="M271" s="10">
        <v>89.053128978062901</v>
      </c>
      <c r="N271" s="7" t="s">
        <v>23</v>
      </c>
      <c r="P271" s="29" t="str">
        <f t="shared" si="72"/>
        <v/>
      </c>
      <c r="Q271" s="29" t="str">
        <f t="shared" si="73"/>
        <v/>
      </c>
      <c r="R271" s="29" t="str">
        <f t="shared" si="74"/>
        <v/>
      </c>
      <c r="S271" s="29" t="str">
        <f t="shared" si="75"/>
        <v/>
      </c>
      <c r="T271" s="32" t="str">
        <f t="shared" si="76"/>
        <v/>
      </c>
      <c r="U271" s="32">
        <f t="shared" si="79"/>
        <v>1</v>
      </c>
      <c r="V271" s="32" t="str">
        <f t="shared" si="80"/>
        <v/>
      </c>
      <c r="W271" s="41">
        <f t="shared" si="77"/>
        <v>3.0707975509676864</v>
      </c>
      <c r="X271" s="6">
        <f t="shared" si="78"/>
        <v>89.053128978062901</v>
      </c>
      <c r="Y271" s="7">
        <f t="shared" si="81"/>
        <v>380</v>
      </c>
      <c r="AA271" s="7">
        <f t="shared" si="82"/>
        <v>1</v>
      </c>
      <c r="AB271" s="7">
        <f t="shared" si="83"/>
        <v>29</v>
      </c>
      <c r="AC271" s="7">
        <f t="shared" si="84"/>
        <v>0</v>
      </c>
      <c r="AD271" s="7" t="str">
        <f t="shared" si="85"/>
        <v/>
      </c>
      <c r="AE271" s="6">
        <f t="shared" si="86"/>
        <v>0</v>
      </c>
      <c r="AF271" s="69">
        <f t="shared" si="87"/>
        <v>3.0707975509676864</v>
      </c>
      <c r="AG271" s="6">
        <f t="shared" si="88"/>
        <v>0</v>
      </c>
      <c r="AH271" s="6">
        <f t="shared" si="89"/>
        <v>604</v>
      </c>
    </row>
    <row r="272" spans="8:34" x14ac:dyDescent="0.25">
      <c r="H272" s="7">
        <v>279</v>
      </c>
      <c r="I272" s="7" t="s">
        <v>15</v>
      </c>
      <c r="J272" s="8">
        <v>38122</v>
      </c>
      <c r="K272" s="12" t="s">
        <v>18</v>
      </c>
      <c r="L272" s="9">
        <v>63</v>
      </c>
      <c r="M272" s="10">
        <v>191.08641465198994</v>
      </c>
      <c r="N272" s="7" t="s">
        <v>24</v>
      </c>
      <c r="P272" s="29" t="str">
        <f t="shared" si="72"/>
        <v/>
      </c>
      <c r="Q272" s="29">
        <f t="shared" si="73"/>
        <v>1</v>
      </c>
      <c r="R272" s="29" t="str">
        <f t="shared" si="74"/>
        <v/>
      </c>
      <c r="S272" s="29" t="str">
        <f t="shared" si="75"/>
        <v/>
      </c>
      <c r="T272" s="32" t="str">
        <f t="shared" si="76"/>
        <v/>
      </c>
      <c r="U272" s="32" t="str">
        <f t="shared" si="79"/>
        <v/>
      </c>
      <c r="V272" s="32" t="str">
        <f t="shared" si="80"/>
        <v/>
      </c>
      <c r="W272" s="41">
        <f t="shared" si="77"/>
        <v>3.0331176928887293</v>
      </c>
      <c r="X272" s="6">
        <f t="shared" si="78"/>
        <v>0</v>
      </c>
      <c r="Y272" s="7">
        <f t="shared" si="81"/>
        <v>567</v>
      </c>
      <c r="AA272" s="7">
        <f t="shared" si="82"/>
        <v>0</v>
      </c>
      <c r="AB272" s="7" t="str">
        <f t="shared" si="83"/>
        <v/>
      </c>
      <c r="AC272" s="7">
        <f t="shared" si="84"/>
        <v>0</v>
      </c>
      <c r="AD272" s="7" t="str">
        <f t="shared" si="85"/>
        <v/>
      </c>
      <c r="AE272" s="6">
        <f t="shared" si="86"/>
        <v>0</v>
      </c>
      <c r="AF272" s="69">
        <f t="shared" si="87"/>
        <v>3.0331176928887293</v>
      </c>
      <c r="AG272" s="6">
        <f t="shared" si="88"/>
        <v>191.08641465198994</v>
      </c>
      <c r="AH272" s="6">
        <f t="shared" si="89"/>
        <v>193</v>
      </c>
    </row>
    <row r="273" spans="8:34" x14ac:dyDescent="0.25">
      <c r="H273" s="7">
        <v>280</v>
      </c>
      <c r="I273" s="7" t="s">
        <v>14</v>
      </c>
      <c r="J273" s="8">
        <v>38991</v>
      </c>
      <c r="K273" s="12" t="s">
        <v>17</v>
      </c>
      <c r="L273" s="9">
        <v>67</v>
      </c>
      <c r="M273" s="10">
        <v>203.10846928946893</v>
      </c>
      <c r="N273" s="7" t="s">
        <v>24</v>
      </c>
      <c r="P273" s="29" t="str">
        <f t="shared" si="72"/>
        <v/>
      </c>
      <c r="Q273" s="29" t="str">
        <f t="shared" si="73"/>
        <v/>
      </c>
      <c r="R273" s="29" t="str">
        <f t="shared" si="74"/>
        <v/>
      </c>
      <c r="S273" s="29" t="str">
        <f t="shared" si="75"/>
        <v/>
      </c>
      <c r="T273" s="32" t="str">
        <f t="shared" si="76"/>
        <v/>
      </c>
      <c r="U273" s="32" t="str">
        <f t="shared" si="79"/>
        <v/>
      </c>
      <c r="V273" s="32">
        <f t="shared" si="80"/>
        <v>1</v>
      </c>
      <c r="W273" s="41">
        <f t="shared" si="77"/>
        <v>3.031469690887596</v>
      </c>
      <c r="X273" s="6">
        <f t="shared" si="78"/>
        <v>0</v>
      </c>
      <c r="Y273" s="7">
        <f t="shared" si="81"/>
        <v>567</v>
      </c>
      <c r="AA273" s="7">
        <f t="shared" si="82"/>
        <v>0</v>
      </c>
      <c r="AB273" s="7" t="str">
        <f t="shared" si="83"/>
        <v/>
      </c>
      <c r="AC273" s="7">
        <f t="shared" si="84"/>
        <v>0</v>
      </c>
      <c r="AD273" s="7" t="str">
        <f t="shared" si="85"/>
        <v/>
      </c>
      <c r="AE273" s="6">
        <f t="shared" si="86"/>
        <v>0</v>
      </c>
      <c r="AF273" s="69">
        <f t="shared" si="87"/>
        <v>3.031469690887596</v>
      </c>
      <c r="AG273" s="6">
        <f t="shared" si="88"/>
        <v>0</v>
      </c>
      <c r="AH273" s="6">
        <f t="shared" si="89"/>
        <v>604</v>
      </c>
    </row>
    <row r="274" spans="8:34" x14ac:dyDescent="0.25">
      <c r="H274" s="7">
        <v>281</v>
      </c>
      <c r="I274" s="7" t="s">
        <v>12</v>
      </c>
      <c r="J274" s="8">
        <v>38562</v>
      </c>
      <c r="K274" s="12" t="s">
        <v>16</v>
      </c>
      <c r="L274" s="9">
        <v>3</v>
      </c>
      <c r="M274" s="10">
        <v>10.780730703026945</v>
      </c>
      <c r="N274" s="7" t="s">
        <v>24</v>
      </c>
      <c r="P274" s="29" t="str">
        <f t="shared" si="72"/>
        <v/>
      </c>
      <c r="Q274" s="29" t="str">
        <f t="shared" si="73"/>
        <v/>
      </c>
      <c r="R274" s="29" t="str">
        <f t="shared" si="74"/>
        <v/>
      </c>
      <c r="S274" s="29" t="str">
        <f t="shared" si="75"/>
        <v/>
      </c>
      <c r="T274" s="32" t="str">
        <f t="shared" si="76"/>
        <v/>
      </c>
      <c r="U274" s="32">
        <f t="shared" si="79"/>
        <v>1</v>
      </c>
      <c r="V274" s="32" t="str">
        <f t="shared" si="80"/>
        <v/>
      </c>
      <c r="W274" s="41">
        <f t="shared" si="77"/>
        <v>3.5935769010089817</v>
      </c>
      <c r="X274" s="6">
        <f t="shared" si="78"/>
        <v>10.780730703026945</v>
      </c>
      <c r="Y274" s="7">
        <f t="shared" si="81"/>
        <v>541</v>
      </c>
      <c r="AA274" s="7">
        <f t="shared" si="82"/>
        <v>1</v>
      </c>
      <c r="AB274" s="7">
        <f t="shared" si="83"/>
        <v>3</v>
      </c>
      <c r="AC274" s="7">
        <f t="shared" si="84"/>
        <v>0</v>
      </c>
      <c r="AD274" s="7" t="str">
        <f t="shared" si="85"/>
        <v/>
      </c>
      <c r="AE274" s="6">
        <f t="shared" si="86"/>
        <v>0</v>
      </c>
      <c r="AF274" s="69">
        <f t="shared" si="87"/>
        <v>3.5935769010089817</v>
      </c>
      <c r="AG274" s="6">
        <f t="shared" si="88"/>
        <v>0</v>
      </c>
      <c r="AH274" s="6">
        <f t="shared" si="89"/>
        <v>604</v>
      </c>
    </row>
    <row r="275" spans="8:34" x14ac:dyDescent="0.25">
      <c r="H275" s="7">
        <v>282</v>
      </c>
      <c r="I275" s="7" t="s">
        <v>8</v>
      </c>
      <c r="J275" s="8">
        <v>38331</v>
      </c>
      <c r="K275" s="12" t="s">
        <v>16</v>
      </c>
      <c r="L275" s="9">
        <v>65</v>
      </c>
      <c r="M275" s="10">
        <v>197.40778751122588</v>
      </c>
      <c r="N275" s="7" t="s">
        <v>24</v>
      </c>
      <c r="P275" s="29" t="str">
        <f t="shared" si="72"/>
        <v/>
      </c>
      <c r="Q275" s="29" t="str">
        <f t="shared" si="73"/>
        <v/>
      </c>
      <c r="R275" s="29" t="str">
        <f t="shared" si="74"/>
        <v/>
      </c>
      <c r="S275" s="29">
        <f t="shared" si="75"/>
        <v>1</v>
      </c>
      <c r="T275" s="32" t="str">
        <f t="shared" si="76"/>
        <v/>
      </c>
      <c r="U275" s="32" t="str">
        <f t="shared" si="79"/>
        <v/>
      </c>
      <c r="V275" s="32" t="str">
        <f t="shared" si="80"/>
        <v/>
      </c>
      <c r="W275" s="41">
        <f t="shared" si="77"/>
        <v>3.0370428847880904</v>
      </c>
      <c r="X275" s="6">
        <f t="shared" si="78"/>
        <v>0</v>
      </c>
      <c r="Y275" s="7">
        <f t="shared" si="81"/>
        <v>567</v>
      </c>
      <c r="AA275" s="7">
        <f t="shared" si="82"/>
        <v>0</v>
      </c>
      <c r="AB275" s="7" t="str">
        <f t="shared" si="83"/>
        <v/>
      </c>
      <c r="AC275" s="7">
        <f t="shared" si="84"/>
        <v>0</v>
      </c>
      <c r="AD275" s="7" t="str">
        <f t="shared" si="85"/>
        <v/>
      </c>
      <c r="AE275" s="6">
        <f t="shared" si="86"/>
        <v>0</v>
      </c>
      <c r="AF275" s="69">
        <f t="shared" si="87"/>
        <v>3.0370428847880904</v>
      </c>
      <c r="AG275" s="6">
        <f t="shared" si="88"/>
        <v>197.40778751122588</v>
      </c>
      <c r="AH275" s="6">
        <f t="shared" si="89"/>
        <v>179</v>
      </c>
    </row>
    <row r="276" spans="8:34" x14ac:dyDescent="0.25">
      <c r="H276" s="7">
        <v>283</v>
      </c>
      <c r="I276" s="7" t="s">
        <v>13</v>
      </c>
      <c r="J276" s="8">
        <v>38133</v>
      </c>
      <c r="K276" s="12" t="s">
        <v>19</v>
      </c>
      <c r="L276" s="9">
        <v>75</v>
      </c>
      <c r="M276" s="10">
        <v>227.4564792557687</v>
      </c>
      <c r="N276" s="7" t="s">
        <v>23</v>
      </c>
      <c r="P276" s="29" t="str">
        <f t="shared" si="72"/>
        <v/>
      </c>
      <c r="Q276" s="29">
        <f t="shared" si="73"/>
        <v>1</v>
      </c>
      <c r="R276" s="29" t="str">
        <f t="shared" si="74"/>
        <v/>
      </c>
      <c r="S276" s="29" t="str">
        <f t="shared" si="75"/>
        <v/>
      </c>
      <c r="T276" s="32" t="str">
        <f t="shared" si="76"/>
        <v/>
      </c>
      <c r="U276" s="32" t="str">
        <f t="shared" si="79"/>
        <v/>
      </c>
      <c r="V276" s="32" t="str">
        <f t="shared" si="80"/>
        <v/>
      </c>
      <c r="W276" s="41">
        <f t="shared" si="77"/>
        <v>3.0327530567435828</v>
      </c>
      <c r="X276" s="6">
        <f t="shared" si="78"/>
        <v>0</v>
      </c>
      <c r="Y276" s="7">
        <f t="shared" si="81"/>
        <v>567</v>
      </c>
      <c r="AA276" s="7">
        <f t="shared" si="82"/>
        <v>0</v>
      </c>
      <c r="AB276" s="7" t="str">
        <f t="shared" si="83"/>
        <v/>
      </c>
      <c r="AC276" s="7">
        <f t="shared" si="84"/>
        <v>0</v>
      </c>
      <c r="AD276" s="7" t="str">
        <f t="shared" si="85"/>
        <v/>
      </c>
      <c r="AE276" s="6">
        <f t="shared" si="86"/>
        <v>0</v>
      </c>
      <c r="AF276" s="69">
        <f t="shared" si="87"/>
        <v>3.0327530567435828</v>
      </c>
      <c r="AG276" s="6">
        <f t="shared" si="88"/>
        <v>227.4564792557687</v>
      </c>
      <c r="AH276" s="6">
        <f t="shared" si="89"/>
        <v>119</v>
      </c>
    </row>
    <row r="277" spans="8:34" x14ac:dyDescent="0.25">
      <c r="H277" s="7">
        <v>284</v>
      </c>
      <c r="I277" s="7" t="s">
        <v>13</v>
      </c>
      <c r="J277" s="8">
        <v>38221</v>
      </c>
      <c r="K277" s="12" t="s">
        <v>17</v>
      </c>
      <c r="L277" s="9">
        <v>79</v>
      </c>
      <c r="M277" s="10">
        <v>239.89546823670116</v>
      </c>
      <c r="N277" s="7" t="s">
        <v>23</v>
      </c>
      <c r="P277" s="29" t="str">
        <f t="shared" si="72"/>
        <v/>
      </c>
      <c r="Q277" s="29" t="str">
        <f t="shared" si="73"/>
        <v/>
      </c>
      <c r="R277" s="29">
        <f t="shared" si="74"/>
        <v>1</v>
      </c>
      <c r="S277" s="29" t="str">
        <f t="shared" si="75"/>
        <v/>
      </c>
      <c r="T277" s="32" t="str">
        <f t="shared" si="76"/>
        <v/>
      </c>
      <c r="U277" s="32" t="str">
        <f t="shared" si="79"/>
        <v/>
      </c>
      <c r="V277" s="32" t="str">
        <f t="shared" si="80"/>
        <v/>
      </c>
      <c r="W277" s="41">
        <f t="shared" si="77"/>
        <v>3.0366514966671034</v>
      </c>
      <c r="X277" s="6">
        <f t="shared" si="78"/>
        <v>0</v>
      </c>
      <c r="Y277" s="7">
        <f t="shared" si="81"/>
        <v>567</v>
      </c>
      <c r="AA277" s="7">
        <f t="shared" si="82"/>
        <v>0</v>
      </c>
      <c r="AB277" s="7" t="str">
        <f t="shared" si="83"/>
        <v/>
      </c>
      <c r="AC277" s="7">
        <f t="shared" si="84"/>
        <v>0</v>
      </c>
      <c r="AD277" s="7" t="str">
        <f t="shared" si="85"/>
        <v/>
      </c>
      <c r="AE277" s="6">
        <f t="shared" si="86"/>
        <v>0</v>
      </c>
      <c r="AF277" s="69">
        <f t="shared" si="87"/>
        <v>3.0366514966671034</v>
      </c>
      <c r="AG277" s="6">
        <f t="shared" si="88"/>
        <v>239.89546823670116</v>
      </c>
      <c r="AH277" s="6">
        <f t="shared" si="89"/>
        <v>88</v>
      </c>
    </row>
    <row r="278" spans="8:34" x14ac:dyDescent="0.25">
      <c r="H278" s="7">
        <v>285</v>
      </c>
      <c r="I278" s="7" t="s">
        <v>14</v>
      </c>
      <c r="J278" s="8">
        <v>38947</v>
      </c>
      <c r="K278" s="12" t="s">
        <v>20</v>
      </c>
      <c r="L278" s="9">
        <v>-5</v>
      </c>
      <c r="M278" s="10">
        <v>-12.920960169584891</v>
      </c>
      <c r="N278" s="7" t="s">
        <v>22</v>
      </c>
      <c r="P278" s="29" t="str">
        <f t="shared" si="72"/>
        <v/>
      </c>
      <c r="Q278" s="29" t="str">
        <f t="shared" si="73"/>
        <v/>
      </c>
      <c r="R278" s="29" t="str">
        <f t="shared" si="74"/>
        <v/>
      </c>
      <c r="S278" s="29" t="str">
        <f t="shared" si="75"/>
        <v/>
      </c>
      <c r="T278" s="32" t="str">
        <f t="shared" si="76"/>
        <v/>
      </c>
      <c r="U278" s="32" t="str">
        <f t="shared" si="79"/>
        <v/>
      </c>
      <c r="V278" s="32">
        <f t="shared" si="80"/>
        <v>1</v>
      </c>
      <c r="W278" s="41" t="str">
        <f t="shared" si="77"/>
        <v/>
      </c>
      <c r="X278" s="6">
        <f t="shared" si="78"/>
        <v>0</v>
      </c>
      <c r="Y278" s="7">
        <f t="shared" si="81"/>
        <v>567</v>
      </c>
      <c r="AA278" s="7">
        <f t="shared" si="82"/>
        <v>0</v>
      </c>
      <c r="AB278" s="7" t="str">
        <f t="shared" si="83"/>
        <v/>
      </c>
      <c r="AC278" s="7">
        <f t="shared" si="84"/>
        <v>0</v>
      </c>
      <c r="AD278" s="7" t="str">
        <f t="shared" si="85"/>
        <v/>
      </c>
      <c r="AE278" s="6">
        <f t="shared" si="86"/>
        <v>-5</v>
      </c>
      <c r="AF278" s="69" t="str">
        <f t="shared" si="87"/>
        <v/>
      </c>
      <c r="AG278" s="6">
        <f t="shared" si="88"/>
        <v>0</v>
      </c>
      <c r="AH278" s="6">
        <f t="shared" si="89"/>
        <v>604</v>
      </c>
    </row>
    <row r="279" spans="8:34" x14ac:dyDescent="0.25">
      <c r="H279" s="7">
        <v>286</v>
      </c>
      <c r="I279" s="7" t="s">
        <v>14</v>
      </c>
      <c r="J279" s="8">
        <v>38441</v>
      </c>
      <c r="K279" s="12" t="s">
        <v>18</v>
      </c>
      <c r="L279" s="9">
        <v>31</v>
      </c>
      <c r="M279" s="10">
        <v>95.512317695132197</v>
      </c>
      <c r="N279" s="7" t="s">
        <v>21</v>
      </c>
      <c r="P279" s="29" t="str">
        <f t="shared" si="72"/>
        <v/>
      </c>
      <c r="Q279" s="29" t="str">
        <f t="shared" si="73"/>
        <v/>
      </c>
      <c r="R279" s="29" t="str">
        <f t="shared" si="74"/>
        <v/>
      </c>
      <c r="S279" s="29" t="str">
        <f t="shared" si="75"/>
        <v/>
      </c>
      <c r="T279" s="32" t="str">
        <f t="shared" si="76"/>
        <v/>
      </c>
      <c r="U279" s="32">
        <f t="shared" si="79"/>
        <v>1</v>
      </c>
      <c r="V279" s="32" t="str">
        <f t="shared" si="80"/>
        <v/>
      </c>
      <c r="W279" s="41">
        <f t="shared" si="77"/>
        <v>3.0810425062945872</v>
      </c>
      <c r="X279" s="6">
        <f t="shared" si="78"/>
        <v>95.512317695132197</v>
      </c>
      <c r="Y279" s="7">
        <f t="shared" si="81"/>
        <v>366</v>
      </c>
      <c r="AA279" s="7">
        <f t="shared" si="82"/>
        <v>1</v>
      </c>
      <c r="AB279" s="7">
        <f t="shared" si="83"/>
        <v>31</v>
      </c>
      <c r="AC279" s="7">
        <f t="shared" si="84"/>
        <v>0</v>
      </c>
      <c r="AD279" s="7" t="str">
        <f t="shared" si="85"/>
        <v/>
      </c>
      <c r="AE279" s="6">
        <f t="shared" si="86"/>
        <v>0</v>
      </c>
      <c r="AF279" s="69">
        <f t="shared" si="87"/>
        <v>3.0810425062945872</v>
      </c>
      <c r="AG279" s="6">
        <f t="shared" si="88"/>
        <v>0</v>
      </c>
      <c r="AH279" s="6">
        <f t="shared" si="89"/>
        <v>604</v>
      </c>
    </row>
    <row r="280" spans="8:34" x14ac:dyDescent="0.25">
      <c r="H280" s="7">
        <v>287</v>
      </c>
      <c r="I280" s="7" t="s">
        <v>9</v>
      </c>
      <c r="J280" s="8">
        <v>39068</v>
      </c>
      <c r="K280" s="12" t="s">
        <v>20</v>
      </c>
      <c r="L280" s="9">
        <v>21</v>
      </c>
      <c r="M280" s="10">
        <v>65.343473312315112</v>
      </c>
      <c r="N280" s="7" t="s">
        <v>21</v>
      </c>
      <c r="P280" s="29" t="str">
        <f t="shared" si="72"/>
        <v/>
      </c>
      <c r="Q280" s="29" t="str">
        <f t="shared" si="73"/>
        <v/>
      </c>
      <c r="R280" s="29" t="str">
        <f t="shared" si="74"/>
        <v/>
      </c>
      <c r="S280" s="29" t="str">
        <f t="shared" si="75"/>
        <v/>
      </c>
      <c r="T280" s="32" t="str">
        <f t="shared" si="76"/>
        <v/>
      </c>
      <c r="U280" s="32" t="str">
        <f t="shared" si="79"/>
        <v/>
      </c>
      <c r="V280" s="32">
        <f t="shared" si="80"/>
        <v>1</v>
      </c>
      <c r="W280" s="41">
        <f t="shared" si="77"/>
        <v>3.1115939672531008</v>
      </c>
      <c r="X280" s="6">
        <f t="shared" si="78"/>
        <v>0</v>
      </c>
      <c r="Y280" s="7">
        <f t="shared" si="81"/>
        <v>567</v>
      </c>
      <c r="AA280" s="7">
        <f t="shared" si="82"/>
        <v>0</v>
      </c>
      <c r="AB280" s="7" t="str">
        <f t="shared" si="83"/>
        <v/>
      </c>
      <c r="AC280" s="7">
        <f t="shared" si="84"/>
        <v>0</v>
      </c>
      <c r="AD280" s="7" t="str">
        <f t="shared" si="85"/>
        <v/>
      </c>
      <c r="AE280" s="6">
        <f t="shared" si="86"/>
        <v>0</v>
      </c>
      <c r="AF280" s="69">
        <f t="shared" si="87"/>
        <v>3.1115939672531008</v>
      </c>
      <c r="AG280" s="6">
        <f t="shared" si="88"/>
        <v>0</v>
      </c>
      <c r="AH280" s="6">
        <f t="shared" si="89"/>
        <v>604</v>
      </c>
    </row>
    <row r="281" spans="8:34" x14ac:dyDescent="0.25">
      <c r="H281" s="7">
        <v>288</v>
      </c>
      <c r="I281" s="7" t="s">
        <v>9</v>
      </c>
      <c r="J281" s="8">
        <v>38606</v>
      </c>
      <c r="K281" s="12" t="s">
        <v>19</v>
      </c>
      <c r="L281" s="9">
        <v>-8</v>
      </c>
      <c r="M281" s="10">
        <v>-21.912545800386049</v>
      </c>
      <c r="N281" s="7" t="s">
        <v>24</v>
      </c>
      <c r="P281" s="29" t="str">
        <f t="shared" si="72"/>
        <v/>
      </c>
      <c r="Q281" s="29" t="str">
        <f t="shared" si="73"/>
        <v/>
      </c>
      <c r="R281" s="29" t="str">
        <f t="shared" si="74"/>
        <v/>
      </c>
      <c r="S281" s="29" t="str">
        <f t="shared" si="75"/>
        <v/>
      </c>
      <c r="T281" s="32" t="str">
        <f t="shared" si="76"/>
        <v/>
      </c>
      <c r="U281" s="32">
        <f t="shared" si="79"/>
        <v>1</v>
      </c>
      <c r="V281" s="32" t="str">
        <f t="shared" si="80"/>
        <v/>
      </c>
      <c r="W281" s="41" t="str">
        <f t="shared" si="77"/>
        <v/>
      </c>
      <c r="X281" s="6">
        <f t="shared" si="78"/>
        <v>-21.912545800386049</v>
      </c>
      <c r="Y281" s="7">
        <f t="shared" si="81"/>
        <v>1880</v>
      </c>
      <c r="AA281" s="7">
        <f t="shared" si="82"/>
        <v>1</v>
      </c>
      <c r="AB281" s="7">
        <f t="shared" si="83"/>
        <v>-8</v>
      </c>
      <c r="AC281" s="7">
        <f t="shared" si="84"/>
        <v>0</v>
      </c>
      <c r="AD281" s="7" t="str">
        <f t="shared" si="85"/>
        <v/>
      </c>
      <c r="AE281" s="6">
        <f t="shared" si="86"/>
        <v>-8</v>
      </c>
      <c r="AF281" s="69" t="str">
        <f t="shared" si="87"/>
        <v/>
      </c>
      <c r="AG281" s="6">
        <f t="shared" si="88"/>
        <v>0</v>
      </c>
      <c r="AH281" s="6">
        <f t="shared" si="89"/>
        <v>604</v>
      </c>
    </row>
    <row r="282" spans="8:34" x14ac:dyDescent="0.25">
      <c r="H282" s="7">
        <v>289</v>
      </c>
      <c r="I282" s="7" t="s">
        <v>14</v>
      </c>
      <c r="J282" s="8">
        <v>38540</v>
      </c>
      <c r="K282" s="12" t="s">
        <v>19</v>
      </c>
      <c r="L282" s="9">
        <v>88</v>
      </c>
      <c r="M282" s="10">
        <v>266.0518691009172</v>
      </c>
      <c r="N282" s="7" t="s">
        <v>23</v>
      </c>
      <c r="P282" s="29" t="str">
        <f t="shared" si="72"/>
        <v/>
      </c>
      <c r="Q282" s="29" t="str">
        <f t="shared" si="73"/>
        <v/>
      </c>
      <c r="R282" s="29" t="str">
        <f t="shared" si="74"/>
        <v/>
      </c>
      <c r="S282" s="29" t="str">
        <f t="shared" si="75"/>
        <v/>
      </c>
      <c r="T282" s="32" t="str">
        <f t="shared" si="76"/>
        <v/>
      </c>
      <c r="U282" s="32">
        <f t="shared" si="79"/>
        <v>1</v>
      </c>
      <c r="V282" s="32" t="str">
        <f t="shared" si="80"/>
        <v/>
      </c>
      <c r="W282" s="41">
        <f t="shared" si="77"/>
        <v>3.0233166943286047</v>
      </c>
      <c r="X282" s="6">
        <f t="shared" si="78"/>
        <v>266.0518691009172</v>
      </c>
      <c r="Y282" s="7">
        <f t="shared" si="81"/>
        <v>54</v>
      </c>
      <c r="AA282" s="7">
        <f t="shared" si="82"/>
        <v>1</v>
      </c>
      <c r="AB282" s="7">
        <f t="shared" si="83"/>
        <v>88</v>
      </c>
      <c r="AC282" s="7">
        <f t="shared" si="84"/>
        <v>0</v>
      </c>
      <c r="AD282" s="7" t="str">
        <f t="shared" si="85"/>
        <v/>
      </c>
      <c r="AE282" s="6">
        <f t="shared" si="86"/>
        <v>0</v>
      </c>
      <c r="AF282" s="69">
        <f t="shared" si="87"/>
        <v>3.0233166943286047</v>
      </c>
      <c r="AG282" s="6">
        <f t="shared" si="88"/>
        <v>0</v>
      </c>
      <c r="AH282" s="6">
        <f t="shared" si="89"/>
        <v>604</v>
      </c>
    </row>
    <row r="283" spans="8:34" x14ac:dyDescent="0.25">
      <c r="H283" s="7">
        <v>290</v>
      </c>
      <c r="I283" s="7" t="s">
        <v>13</v>
      </c>
      <c r="J283" s="8">
        <v>38672</v>
      </c>
      <c r="K283" s="12" t="s">
        <v>18</v>
      </c>
      <c r="L283" s="9">
        <v>94</v>
      </c>
      <c r="M283" s="10">
        <v>283.84678757282279</v>
      </c>
      <c r="N283" s="7" t="s">
        <v>22</v>
      </c>
      <c r="P283" s="29" t="str">
        <f t="shared" si="72"/>
        <v/>
      </c>
      <c r="Q283" s="29" t="str">
        <f t="shared" si="73"/>
        <v/>
      </c>
      <c r="R283" s="29" t="str">
        <f t="shared" si="74"/>
        <v/>
      </c>
      <c r="S283" s="29" t="str">
        <f t="shared" si="75"/>
        <v/>
      </c>
      <c r="T283" s="32">
        <f t="shared" si="76"/>
        <v>1</v>
      </c>
      <c r="U283" s="32">
        <f t="shared" si="79"/>
        <v>1</v>
      </c>
      <c r="V283" s="32" t="str">
        <f t="shared" si="80"/>
        <v/>
      </c>
      <c r="W283" s="41">
        <f t="shared" si="77"/>
        <v>3.0196466763066256</v>
      </c>
      <c r="X283" s="6">
        <f t="shared" si="78"/>
        <v>283.84678757282279</v>
      </c>
      <c r="Y283" s="7">
        <f t="shared" si="81"/>
        <v>13</v>
      </c>
      <c r="AA283" s="7">
        <f t="shared" si="82"/>
        <v>0</v>
      </c>
      <c r="AB283" s="7" t="str">
        <f t="shared" si="83"/>
        <v/>
      </c>
      <c r="AC283" s="7">
        <f t="shared" si="84"/>
        <v>1</v>
      </c>
      <c r="AD283" s="7">
        <f t="shared" si="85"/>
        <v>94</v>
      </c>
      <c r="AE283" s="6">
        <f t="shared" si="86"/>
        <v>0</v>
      </c>
      <c r="AF283" s="69">
        <f t="shared" si="87"/>
        <v>3.0196466763066256</v>
      </c>
      <c r="AG283" s="6">
        <f t="shared" si="88"/>
        <v>0</v>
      </c>
      <c r="AH283" s="6">
        <f t="shared" si="89"/>
        <v>604</v>
      </c>
    </row>
    <row r="284" spans="8:34" x14ac:dyDescent="0.25">
      <c r="H284" s="7">
        <v>291</v>
      </c>
      <c r="I284" s="7" t="s">
        <v>10</v>
      </c>
      <c r="J284" s="8">
        <v>38991</v>
      </c>
      <c r="K284" s="12" t="s">
        <v>20</v>
      </c>
      <c r="L284" s="9">
        <v>83</v>
      </c>
      <c r="M284" s="10">
        <v>251.49840546378712</v>
      </c>
      <c r="N284" s="7" t="s">
        <v>22</v>
      </c>
      <c r="P284" s="29" t="str">
        <f t="shared" si="72"/>
        <v/>
      </c>
      <c r="Q284" s="29" t="str">
        <f t="shared" si="73"/>
        <v/>
      </c>
      <c r="R284" s="29" t="str">
        <f t="shared" si="74"/>
        <v/>
      </c>
      <c r="S284" s="29" t="str">
        <f t="shared" si="75"/>
        <v/>
      </c>
      <c r="T284" s="32" t="str">
        <f t="shared" si="76"/>
        <v/>
      </c>
      <c r="U284" s="32" t="str">
        <f t="shared" si="79"/>
        <v/>
      </c>
      <c r="V284" s="32">
        <f t="shared" si="80"/>
        <v>1</v>
      </c>
      <c r="W284" s="41">
        <f t="shared" si="77"/>
        <v>3.0301012706480375</v>
      </c>
      <c r="X284" s="6">
        <f t="shared" si="78"/>
        <v>0</v>
      </c>
      <c r="Y284" s="7">
        <f t="shared" si="81"/>
        <v>567</v>
      </c>
      <c r="AA284" s="7">
        <f t="shared" si="82"/>
        <v>0</v>
      </c>
      <c r="AB284" s="7" t="str">
        <f t="shared" si="83"/>
        <v/>
      </c>
      <c r="AC284" s="7">
        <f t="shared" si="84"/>
        <v>0</v>
      </c>
      <c r="AD284" s="7" t="str">
        <f t="shared" si="85"/>
        <v/>
      </c>
      <c r="AE284" s="6">
        <f t="shared" si="86"/>
        <v>0</v>
      </c>
      <c r="AF284" s="69">
        <f t="shared" si="87"/>
        <v>3.0301012706480375</v>
      </c>
      <c r="AG284" s="6">
        <f t="shared" si="88"/>
        <v>0</v>
      </c>
      <c r="AH284" s="6">
        <f t="shared" si="89"/>
        <v>604</v>
      </c>
    </row>
    <row r="285" spans="8:34" x14ac:dyDescent="0.25">
      <c r="H285" s="7">
        <v>292</v>
      </c>
      <c r="I285" s="7" t="s">
        <v>9</v>
      </c>
      <c r="J285" s="8">
        <v>38210</v>
      </c>
      <c r="K285" s="12" t="s">
        <v>20</v>
      </c>
      <c r="L285" s="9">
        <v>16</v>
      </c>
      <c r="M285" s="10">
        <v>49.955539493154028</v>
      </c>
      <c r="N285" s="7" t="s">
        <v>21</v>
      </c>
      <c r="P285" s="29" t="str">
        <f t="shared" si="72"/>
        <v/>
      </c>
      <c r="Q285" s="29" t="str">
        <f t="shared" si="73"/>
        <v/>
      </c>
      <c r="R285" s="29">
        <f t="shared" si="74"/>
        <v>1</v>
      </c>
      <c r="S285" s="29" t="str">
        <f t="shared" si="75"/>
        <v/>
      </c>
      <c r="T285" s="32" t="str">
        <f t="shared" si="76"/>
        <v/>
      </c>
      <c r="U285" s="32" t="str">
        <f t="shared" si="79"/>
        <v/>
      </c>
      <c r="V285" s="32" t="str">
        <f t="shared" si="80"/>
        <v/>
      </c>
      <c r="W285" s="41">
        <f t="shared" si="77"/>
        <v>3.1222212183221267</v>
      </c>
      <c r="X285" s="6">
        <f t="shared" si="78"/>
        <v>0</v>
      </c>
      <c r="Y285" s="7">
        <f t="shared" si="81"/>
        <v>567</v>
      </c>
      <c r="AA285" s="7">
        <f t="shared" si="82"/>
        <v>0</v>
      </c>
      <c r="AB285" s="7" t="str">
        <f t="shared" si="83"/>
        <v/>
      </c>
      <c r="AC285" s="7">
        <f t="shared" si="84"/>
        <v>0</v>
      </c>
      <c r="AD285" s="7" t="str">
        <f t="shared" si="85"/>
        <v/>
      </c>
      <c r="AE285" s="6">
        <f t="shared" si="86"/>
        <v>0</v>
      </c>
      <c r="AF285" s="69">
        <f t="shared" si="87"/>
        <v>3.1222212183221267</v>
      </c>
      <c r="AG285" s="6">
        <f t="shared" si="88"/>
        <v>49.955539493154028</v>
      </c>
      <c r="AH285" s="6">
        <f t="shared" si="89"/>
        <v>481</v>
      </c>
    </row>
    <row r="286" spans="8:34" x14ac:dyDescent="0.25">
      <c r="H286" s="7">
        <v>293</v>
      </c>
      <c r="I286" s="7" t="s">
        <v>7</v>
      </c>
      <c r="J286" s="8">
        <v>38936</v>
      </c>
      <c r="K286" s="12" t="s">
        <v>20</v>
      </c>
      <c r="L286" s="9">
        <v>33</v>
      </c>
      <c r="M286" s="10">
        <v>100.51753262027832</v>
      </c>
      <c r="N286" s="7" t="s">
        <v>22</v>
      </c>
      <c r="P286" s="29" t="str">
        <f t="shared" si="72"/>
        <v/>
      </c>
      <c r="Q286" s="29" t="str">
        <f t="shared" si="73"/>
        <v/>
      </c>
      <c r="R286" s="29" t="str">
        <f t="shared" si="74"/>
        <v/>
      </c>
      <c r="S286" s="29" t="str">
        <f t="shared" si="75"/>
        <v/>
      </c>
      <c r="T286" s="32" t="str">
        <f t="shared" si="76"/>
        <v/>
      </c>
      <c r="U286" s="32" t="str">
        <f t="shared" si="79"/>
        <v/>
      </c>
      <c r="V286" s="32">
        <f t="shared" si="80"/>
        <v>1</v>
      </c>
      <c r="W286" s="41">
        <f t="shared" si="77"/>
        <v>3.0459858369781307</v>
      </c>
      <c r="X286" s="6">
        <f t="shared" si="78"/>
        <v>0</v>
      </c>
      <c r="Y286" s="7">
        <f t="shared" si="81"/>
        <v>567</v>
      </c>
      <c r="AA286" s="7">
        <f t="shared" si="82"/>
        <v>0</v>
      </c>
      <c r="AB286" s="7" t="str">
        <f t="shared" si="83"/>
        <v/>
      </c>
      <c r="AC286" s="7">
        <f t="shared" si="84"/>
        <v>0</v>
      </c>
      <c r="AD286" s="7" t="str">
        <f t="shared" si="85"/>
        <v/>
      </c>
      <c r="AE286" s="6">
        <f t="shared" si="86"/>
        <v>0</v>
      </c>
      <c r="AF286" s="69">
        <f t="shared" si="87"/>
        <v>3.0459858369781307</v>
      </c>
      <c r="AG286" s="6">
        <f t="shared" si="88"/>
        <v>0</v>
      </c>
      <c r="AH286" s="6">
        <f t="shared" si="89"/>
        <v>604</v>
      </c>
    </row>
    <row r="287" spans="8:34" x14ac:dyDescent="0.25">
      <c r="H287" s="7">
        <v>294</v>
      </c>
      <c r="I287" s="7" t="s">
        <v>7</v>
      </c>
      <c r="J287" s="8">
        <v>38045</v>
      </c>
      <c r="K287" s="12" t="s">
        <v>16</v>
      </c>
      <c r="L287" s="9">
        <v>-1</v>
      </c>
      <c r="M287" s="10">
        <v>-0.90814028681463199</v>
      </c>
      <c r="N287" s="7" t="s">
        <v>22</v>
      </c>
      <c r="P287" s="29">
        <f t="shared" si="72"/>
        <v>1</v>
      </c>
      <c r="Q287" s="29" t="str">
        <f t="shared" si="73"/>
        <v/>
      </c>
      <c r="R287" s="29" t="str">
        <f t="shared" si="74"/>
        <v/>
      </c>
      <c r="S287" s="29" t="str">
        <f t="shared" si="75"/>
        <v/>
      </c>
      <c r="T287" s="32" t="str">
        <f t="shared" si="76"/>
        <v/>
      </c>
      <c r="U287" s="32" t="str">
        <f t="shared" si="79"/>
        <v/>
      </c>
      <c r="V287" s="32" t="str">
        <f t="shared" si="80"/>
        <v/>
      </c>
      <c r="W287" s="41" t="str">
        <f t="shared" si="77"/>
        <v/>
      </c>
      <c r="X287" s="6">
        <f t="shared" si="78"/>
        <v>0</v>
      </c>
      <c r="Y287" s="7">
        <f t="shared" si="81"/>
        <v>567</v>
      </c>
      <c r="AA287" s="7">
        <f t="shared" si="82"/>
        <v>0</v>
      </c>
      <c r="AB287" s="7" t="str">
        <f t="shared" si="83"/>
        <v/>
      </c>
      <c r="AC287" s="7">
        <f t="shared" si="84"/>
        <v>0</v>
      </c>
      <c r="AD287" s="7" t="str">
        <f t="shared" si="85"/>
        <v/>
      </c>
      <c r="AE287" s="6">
        <f t="shared" si="86"/>
        <v>-1</v>
      </c>
      <c r="AF287" s="69" t="str">
        <f t="shared" si="87"/>
        <v/>
      </c>
      <c r="AG287" s="6">
        <f t="shared" si="88"/>
        <v>0</v>
      </c>
      <c r="AH287" s="6">
        <f t="shared" si="89"/>
        <v>604</v>
      </c>
    </row>
    <row r="288" spans="8:34" x14ac:dyDescent="0.25">
      <c r="H288" s="7">
        <v>295</v>
      </c>
      <c r="I288" s="7" t="s">
        <v>7</v>
      </c>
      <c r="J288" s="8">
        <v>38925</v>
      </c>
      <c r="K288" s="12" t="s">
        <v>20</v>
      </c>
      <c r="L288" s="9">
        <v>94</v>
      </c>
      <c r="M288" s="10">
        <v>284.13590593464426</v>
      </c>
      <c r="N288" s="7" t="s">
        <v>23</v>
      </c>
      <c r="P288" s="29" t="str">
        <f t="shared" si="72"/>
        <v/>
      </c>
      <c r="Q288" s="29" t="str">
        <f t="shared" si="73"/>
        <v/>
      </c>
      <c r="R288" s="29" t="str">
        <f t="shared" si="74"/>
        <v/>
      </c>
      <c r="S288" s="29" t="str">
        <f t="shared" si="75"/>
        <v/>
      </c>
      <c r="T288" s="32" t="str">
        <f t="shared" si="76"/>
        <v/>
      </c>
      <c r="U288" s="32" t="str">
        <f t="shared" si="79"/>
        <v/>
      </c>
      <c r="V288" s="32">
        <f t="shared" si="80"/>
        <v>1</v>
      </c>
      <c r="W288" s="41">
        <f t="shared" si="77"/>
        <v>3.0227224035600453</v>
      </c>
      <c r="X288" s="6">
        <f t="shared" si="78"/>
        <v>0</v>
      </c>
      <c r="Y288" s="7">
        <f t="shared" si="81"/>
        <v>567</v>
      </c>
      <c r="AA288" s="7">
        <f t="shared" si="82"/>
        <v>0</v>
      </c>
      <c r="AB288" s="7" t="str">
        <f t="shared" si="83"/>
        <v/>
      </c>
      <c r="AC288" s="7">
        <f t="shared" si="84"/>
        <v>0</v>
      </c>
      <c r="AD288" s="7" t="str">
        <f t="shared" si="85"/>
        <v/>
      </c>
      <c r="AE288" s="6">
        <f t="shared" si="86"/>
        <v>0</v>
      </c>
      <c r="AF288" s="69">
        <f t="shared" si="87"/>
        <v>3.0227224035600453</v>
      </c>
      <c r="AG288" s="6">
        <f t="shared" si="88"/>
        <v>0</v>
      </c>
      <c r="AH288" s="6">
        <f t="shared" si="89"/>
        <v>604</v>
      </c>
    </row>
    <row r="289" spans="8:34" x14ac:dyDescent="0.25">
      <c r="H289" s="7">
        <v>296</v>
      </c>
      <c r="I289" s="7" t="s">
        <v>14</v>
      </c>
      <c r="J289" s="8">
        <v>38463</v>
      </c>
      <c r="K289" s="12" t="s">
        <v>18</v>
      </c>
      <c r="L289" s="9">
        <v>76</v>
      </c>
      <c r="M289" s="10">
        <v>230.25557022435729</v>
      </c>
      <c r="N289" s="7" t="s">
        <v>22</v>
      </c>
      <c r="P289" s="29" t="str">
        <f t="shared" si="72"/>
        <v/>
      </c>
      <c r="Q289" s="29" t="str">
        <f t="shared" si="73"/>
        <v/>
      </c>
      <c r="R289" s="29" t="str">
        <f t="shared" si="74"/>
        <v/>
      </c>
      <c r="S289" s="29" t="str">
        <f t="shared" si="75"/>
        <v/>
      </c>
      <c r="T289" s="32" t="str">
        <f t="shared" si="76"/>
        <v/>
      </c>
      <c r="U289" s="32">
        <f t="shared" si="79"/>
        <v>1</v>
      </c>
      <c r="V289" s="32" t="str">
        <f t="shared" si="80"/>
        <v/>
      </c>
      <c r="W289" s="41">
        <f t="shared" si="77"/>
        <v>3.0296785555836485</v>
      </c>
      <c r="X289" s="6">
        <f t="shared" si="78"/>
        <v>230.25557022435729</v>
      </c>
      <c r="Y289" s="7">
        <f t="shared" si="81"/>
        <v>123</v>
      </c>
      <c r="AA289" s="7">
        <f t="shared" si="82"/>
        <v>0</v>
      </c>
      <c r="AB289" s="7" t="str">
        <f t="shared" si="83"/>
        <v/>
      </c>
      <c r="AC289" s="7">
        <f t="shared" si="84"/>
        <v>1</v>
      </c>
      <c r="AD289" s="7">
        <f t="shared" si="85"/>
        <v>76</v>
      </c>
      <c r="AE289" s="6">
        <f t="shared" si="86"/>
        <v>0</v>
      </c>
      <c r="AF289" s="69">
        <f t="shared" si="87"/>
        <v>3.0296785555836485</v>
      </c>
      <c r="AG289" s="6">
        <f t="shared" si="88"/>
        <v>0</v>
      </c>
      <c r="AH289" s="6">
        <f t="shared" si="89"/>
        <v>604</v>
      </c>
    </row>
    <row r="290" spans="8:34" x14ac:dyDescent="0.25">
      <c r="H290" s="7">
        <v>297</v>
      </c>
      <c r="I290" s="7" t="s">
        <v>7</v>
      </c>
      <c r="J290" s="8">
        <v>38782</v>
      </c>
      <c r="K290" s="12" t="s">
        <v>18</v>
      </c>
      <c r="L290" s="9">
        <v>71</v>
      </c>
      <c r="M290" s="10">
        <v>215.15645769752564</v>
      </c>
      <c r="N290" s="7" t="s">
        <v>24</v>
      </c>
      <c r="P290" s="29" t="str">
        <f t="shared" si="72"/>
        <v/>
      </c>
      <c r="Q290" s="29" t="str">
        <f t="shared" si="73"/>
        <v/>
      </c>
      <c r="R290" s="29" t="str">
        <f t="shared" si="74"/>
        <v/>
      </c>
      <c r="S290" s="29" t="str">
        <f t="shared" si="75"/>
        <v/>
      </c>
      <c r="T290" s="32" t="str">
        <f t="shared" si="76"/>
        <v/>
      </c>
      <c r="U290" s="32" t="str">
        <f t="shared" si="79"/>
        <v/>
      </c>
      <c r="V290" s="32">
        <f t="shared" si="80"/>
        <v>1</v>
      </c>
      <c r="W290" s="41">
        <f t="shared" si="77"/>
        <v>3.0303726436271217</v>
      </c>
      <c r="X290" s="6">
        <f t="shared" si="78"/>
        <v>0</v>
      </c>
      <c r="Y290" s="7">
        <f t="shared" si="81"/>
        <v>567</v>
      </c>
      <c r="AA290" s="7">
        <f t="shared" si="82"/>
        <v>0</v>
      </c>
      <c r="AB290" s="7" t="str">
        <f t="shared" si="83"/>
        <v/>
      </c>
      <c r="AC290" s="7">
        <f t="shared" si="84"/>
        <v>0</v>
      </c>
      <c r="AD290" s="7" t="str">
        <f t="shared" si="85"/>
        <v/>
      </c>
      <c r="AE290" s="6">
        <f t="shared" si="86"/>
        <v>0</v>
      </c>
      <c r="AF290" s="69">
        <f t="shared" si="87"/>
        <v>3.0303726436271217</v>
      </c>
      <c r="AG290" s="6">
        <f t="shared" si="88"/>
        <v>0</v>
      </c>
      <c r="AH290" s="6">
        <f t="shared" si="89"/>
        <v>604</v>
      </c>
    </row>
    <row r="291" spans="8:34" x14ac:dyDescent="0.25">
      <c r="H291" s="7">
        <v>298</v>
      </c>
      <c r="I291" s="7" t="s">
        <v>10</v>
      </c>
      <c r="J291" s="8">
        <v>38133</v>
      </c>
      <c r="K291" s="12" t="s">
        <v>19</v>
      </c>
      <c r="L291" s="9">
        <v>56</v>
      </c>
      <c r="M291" s="10">
        <v>169.19487194523822</v>
      </c>
      <c r="N291" s="7" t="s">
        <v>21</v>
      </c>
      <c r="P291" s="29" t="str">
        <f t="shared" si="72"/>
        <v/>
      </c>
      <c r="Q291" s="29">
        <f t="shared" si="73"/>
        <v>1</v>
      </c>
      <c r="R291" s="29" t="str">
        <f t="shared" si="74"/>
        <v/>
      </c>
      <c r="S291" s="29" t="str">
        <f t="shared" si="75"/>
        <v/>
      </c>
      <c r="T291" s="32" t="str">
        <f t="shared" si="76"/>
        <v/>
      </c>
      <c r="U291" s="32" t="str">
        <f t="shared" si="79"/>
        <v/>
      </c>
      <c r="V291" s="32" t="str">
        <f t="shared" si="80"/>
        <v/>
      </c>
      <c r="W291" s="41">
        <f t="shared" si="77"/>
        <v>3.0213369990221111</v>
      </c>
      <c r="X291" s="6">
        <f t="shared" si="78"/>
        <v>0</v>
      </c>
      <c r="Y291" s="7">
        <f t="shared" si="81"/>
        <v>567</v>
      </c>
      <c r="AA291" s="7">
        <f t="shared" si="82"/>
        <v>0</v>
      </c>
      <c r="AB291" s="7" t="str">
        <f t="shared" si="83"/>
        <v/>
      </c>
      <c r="AC291" s="7">
        <f t="shared" si="84"/>
        <v>0</v>
      </c>
      <c r="AD291" s="7" t="str">
        <f t="shared" si="85"/>
        <v/>
      </c>
      <c r="AE291" s="6">
        <f t="shared" si="86"/>
        <v>0</v>
      </c>
      <c r="AF291" s="69">
        <f t="shared" si="87"/>
        <v>3.0213369990221111</v>
      </c>
      <c r="AG291" s="6">
        <f t="shared" si="88"/>
        <v>169.19487194523822</v>
      </c>
      <c r="AH291" s="6">
        <f t="shared" si="89"/>
        <v>241</v>
      </c>
    </row>
    <row r="292" spans="8:34" x14ac:dyDescent="0.25">
      <c r="H292" s="7">
        <v>299</v>
      </c>
      <c r="I292" s="7" t="s">
        <v>8</v>
      </c>
      <c r="J292" s="8">
        <v>38595</v>
      </c>
      <c r="K292" s="12" t="s">
        <v>17</v>
      </c>
      <c r="L292" s="9">
        <v>81</v>
      </c>
      <c r="M292" s="10">
        <v>245.58577912839797</v>
      </c>
      <c r="N292" s="7" t="s">
        <v>21</v>
      </c>
      <c r="P292" s="29" t="str">
        <f t="shared" si="72"/>
        <v/>
      </c>
      <c r="Q292" s="29" t="str">
        <f t="shared" si="73"/>
        <v/>
      </c>
      <c r="R292" s="29" t="str">
        <f t="shared" si="74"/>
        <v/>
      </c>
      <c r="S292" s="29" t="str">
        <f t="shared" si="75"/>
        <v/>
      </c>
      <c r="T292" s="32" t="str">
        <f t="shared" si="76"/>
        <v/>
      </c>
      <c r="U292" s="32">
        <f t="shared" si="79"/>
        <v>1</v>
      </c>
      <c r="V292" s="32" t="str">
        <f t="shared" si="80"/>
        <v/>
      </c>
      <c r="W292" s="41">
        <f t="shared" si="77"/>
        <v>3.0319231991160245</v>
      </c>
      <c r="X292" s="6">
        <f t="shared" si="78"/>
        <v>245.58577912839797</v>
      </c>
      <c r="Y292" s="7">
        <f t="shared" si="81"/>
        <v>91</v>
      </c>
      <c r="AA292" s="7">
        <f t="shared" si="82"/>
        <v>1</v>
      </c>
      <c r="AB292" s="7">
        <f t="shared" si="83"/>
        <v>81</v>
      </c>
      <c r="AC292" s="7">
        <f t="shared" si="84"/>
        <v>0</v>
      </c>
      <c r="AD292" s="7" t="str">
        <f t="shared" si="85"/>
        <v/>
      </c>
      <c r="AE292" s="6">
        <f t="shared" si="86"/>
        <v>0</v>
      </c>
      <c r="AF292" s="69">
        <f t="shared" si="87"/>
        <v>3.0319231991160245</v>
      </c>
      <c r="AG292" s="6">
        <f t="shared" si="88"/>
        <v>0</v>
      </c>
      <c r="AH292" s="6">
        <f t="shared" si="89"/>
        <v>604</v>
      </c>
    </row>
    <row r="293" spans="8:34" x14ac:dyDescent="0.25">
      <c r="H293" s="7">
        <v>300</v>
      </c>
      <c r="I293" s="7" t="s">
        <v>10</v>
      </c>
      <c r="J293" s="8">
        <v>38166</v>
      </c>
      <c r="K293" s="12" t="s">
        <v>16</v>
      </c>
      <c r="L293" s="9">
        <v>3</v>
      </c>
      <c r="M293" s="10">
        <v>11.162502018809288</v>
      </c>
      <c r="N293" s="7" t="s">
        <v>21</v>
      </c>
      <c r="P293" s="29" t="str">
        <f t="shared" si="72"/>
        <v/>
      </c>
      <c r="Q293" s="29">
        <f t="shared" si="73"/>
        <v>1</v>
      </c>
      <c r="R293" s="29" t="str">
        <f t="shared" si="74"/>
        <v/>
      </c>
      <c r="S293" s="29" t="str">
        <f t="shared" si="75"/>
        <v/>
      </c>
      <c r="T293" s="32" t="str">
        <f t="shared" si="76"/>
        <v/>
      </c>
      <c r="U293" s="32" t="str">
        <f t="shared" si="79"/>
        <v/>
      </c>
      <c r="V293" s="32" t="str">
        <f t="shared" si="80"/>
        <v/>
      </c>
      <c r="W293" s="41">
        <f t="shared" si="77"/>
        <v>3.7208340062697629</v>
      </c>
      <c r="X293" s="6">
        <f t="shared" si="78"/>
        <v>0</v>
      </c>
      <c r="Y293" s="7">
        <f t="shared" si="81"/>
        <v>567</v>
      </c>
      <c r="AA293" s="7">
        <f t="shared" si="82"/>
        <v>0</v>
      </c>
      <c r="AB293" s="7" t="str">
        <f t="shared" si="83"/>
        <v/>
      </c>
      <c r="AC293" s="7">
        <f t="shared" si="84"/>
        <v>0</v>
      </c>
      <c r="AD293" s="7" t="str">
        <f t="shared" si="85"/>
        <v/>
      </c>
      <c r="AE293" s="6">
        <f t="shared" si="86"/>
        <v>0</v>
      </c>
      <c r="AF293" s="69">
        <f t="shared" si="87"/>
        <v>3.7208340062697629</v>
      </c>
      <c r="AG293" s="6">
        <f t="shared" si="88"/>
        <v>11.162502018809288</v>
      </c>
      <c r="AH293" s="6">
        <f t="shared" si="89"/>
        <v>582</v>
      </c>
    </row>
    <row r="294" spans="8:34" x14ac:dyDescent="0.25">
      <c r="H294" s="7">
        <v>301</v>
      </c>
      <c r="I294" s="7" t="s">
        <v>10</v>
      </c>
      <c r="J294" s="8">
        <v>38463</v>
      </c>
      <c r="K294" s="12" t="s">
        <v>17</v>
      </c>
      <c r="L294" s="9">
        <v>60</v>
      </c>
      <c r="M294" s="10">
        <v>182.21269449394873</v>
      </c>
      <c r="N294" s="7" t="s">
        <v>24</v>
      </c>
      <c r="P294" s="29" t="str">
        <f t="shared" si="72"/>
        <v/>
      </c>
      <c r="Q294" s="29" t="str">
        <f t="shared" si="73"/>
        <v/>
      </c>
      <c r="R294" s="29" t="str">
        <f t="shared" si="74"/>
        <v/>
      </c>
      <c r="S294" s="29" t="str">
        <f t="shared" si="75"/>
        <v/>
      </c>
      <c r="T294" s="32" t="str">
        <f t="shared" si="76"/>
        <v/>
      </c>
      <c r="U294" s="32">
        <f t="shared" si="79"/>
        <v>1</v>
      </c>
      <c r="V294" s="32" t="str">
        <f t="shared" si="80"/>
        <v/>
      </c>
      <c r="W294" s="41">
        <f t="shared" si="77"/>
        <v>3.036878241565812</v>
      </c>
      <c r="X294" s="6">
        <f t="shared" si="78"/>
        <v>182.21269449394873</v>
      </c>
      <c r="Y294" s="7">
        <f t="shared" si="81"/>
        <v>204</v>
      </c>
      <c r="AA294" s="7">
        <f t="shared" si="82"/>
        <v>0</v>
      </c>
      <c r="AB294" s="7" t="str">
        <f t="shared" si="83"/>
        <v/>
      </c>
      <c r="AC294" s="7">
        <f t="shared" si="84"/>
        <v>1</v>
      </c>
      <c r="AD294" s="7">
        <f t="shared" si="85"/>
        <v>60</v>
      </c>
      <c r="AE294" s="6">
        <f t="shared" si="86"/>
        <v>0</v>
      </c>
      <c r="AF294" s="69">
        <f t="shared" si="87"/>
        <v>3.036878241565812</v>
      </c>
      <c r="AG294" s="6">
        <f t="shared" si="88"/>
        <v>0</v>
      </c>
      <c r="AH294" s="6">
        <f t="shared" si="89"/>
        <v>604</v>
      </c>
    </row>
    <row r="295" spans="8:34" x14ac:dyDescent="0.25">
      <c r="H295" s="7">
        <v>302</v>
      </c>
      <c r="I295" s="7" t="s">
        <v>14</v>
      </c>
      <c r="J295" s="8">
        <v>39013</v>
      </c>
      <c r="K295" s="12" t="s">
        <v>18</v>
      </c>
      <c r="L295" s="9">
        <v>81</v>
      </c>
      <c r="M295" s="10">
        <v>245.54232115102224</v>
      </c>
      <c r="N295" s="7" t="s">
        <v>21</v>
      </c>
      <c r="P295" s="29" t="str">
        <f t="shared" si="72"/>
        <v/>
      </c>
      <c r="Q295" s="29" t="str">
        <f t="shared" si="73"/>
        <v/>
      </c>
      <c r="R295" s="29" t="str">
        <f t="shared" si="74"/>
        <v/>
      </c>
      <c r="S295" s="29" t="str">
        <f t="shared" si="75"/>
        <v/>
      </c>
      <c r="T295" s="32" t="str">
        <f t="shared" si="76"/>
        <v/>
      </c>
      <c r="U295" s="32" t="str">
        <f t="shared" si="79"/>
        <v/>
      </c>
      <c r="V295" s="32">
        <f t="shared" si="80"/>
        <v>1</v>
      </c>
      <c r="W295" s="41">
        <f t="shared" si="77"/>
        <v>3.0313866808768175</v>
      </c>
      <c r="X295" s="6">
        <f t="shared" si="78"/>
        <v>0</v>
      </c>
      <c r="Y295" s="7">
        <f t="shared" si="81"/>
        <v>567</v>
      </c>
      <c r="AA295" s="7">
        <f t="shared" si="82"/>
        <v>0</v>
      </c>
      <c r="AB295" s="7" t="str">
        <f t="shared" si="83"/>
        <v/>
      </c>
      <c r="AC295" s="7">
        <f t="shared" si="84"/>
        <v>0</v>
      </c>
      <c r="AD295" s="7" t="str">
        <f t="shared" si="85"/>
        <v/>
      </c>
      <c r="AE295" s="6">
        <f t="shared" si="86"/>
        <v>0</v>
      </c>
      <c r="AF295" s="69">
        <f t="shared" si="87"/>
        <v>3.0313866808768175</v>
      </c>
      <c r="AG295" s="6">
        <f t="shared" si="88"/>
        <v>0</v>
      </c>
      <c r="AH295" s="6">
        <f t="shared" si="89"/>
        <v>604</v>
      </c>
    </row>
    <row r="296" spans="8:34" x14ac:dyDescent="0.25">
      <c r="H296" s="7">
        <v>303</v>
      </c>
      <c r="I296" s="7" t="s">
        <v>11</v>
      </c>
      <c r="J296" s="8">
        <v>38111</v>
      </c>
      <c r="K296" s="12" t="s">
        <v>18</v>
      </c>
      <c r="L296" s="9">
        <v>70</v>
      </c>
      <c r="M296" s="10">
        <v>211.43323649343893</v>
      </c>
      <c r="N296" s="7" t="s">
        <v>22</v>
      </c>
      <c r="P296" s="29" t="str">
        <f t="shared" si="72"/>
        <v/>
      </c>
      <c r="Q296" s="29">
        <f t="shared" si="73"/>
        <v>1</v>
      </c>
      <c r="R296" s="29" t="str">
        <f t="shared" si="74"/>
        <v/>
      </c>
      <c r="S296" s="29" t="str">
        <f t="shared" si="75"/>
        <v/>
      </c>
      <c r="T296" s="32" t="str">
        <f t="shared" si="76"/>
        <v/>
      </c>
      <c r="U296" s="32" t="str">
        <f t="shared" si="79"/>
        <v/>
      </c>
      <c r="V296" s="32" t="str">
        <f t="shared" si="80"/>
        <v/>
      </c>
      <c r="W296" s="41">
        <f t="shared" si="77"/>
        <v>3.0204748070491276</v>
      </c>
      <c r="X296" s="6">
        <f t="shared" si="78"/>
        <v>0</v>
      </c>
      <c r="Y296" s="7">
        <f t="shared" si="81"/>
        <v>567</v>
      </c>
      <c r="AA296" s="7">
        <f t="shared" si="82"/>
        <v>0</v>
      </c>
      <c r="AB296" s="7" t="str">
        <f t="shared" si="83"/>
        <v/>
      </c>
      <c r="AC296" s="7">
        <f t="shared" si="84"/>
        <v>0</v>
      </c>
      <c r="AD296" s="7" t="str">
        <f t="shared" si="85"/>
        <v/>
      </c>
      <c r="AE296" s="6">
        <f t="shared" si="86"/>
        <v>0</v>
      </c>
      <c r="AF296" s="69">
        <f t="shared" si="87"/>
        <v>3.0204748070491276</v>
      </c>
      <c r="AG296" s="6">
        <f t="shared" si="88"/>
        <v>211.43323649343893</v>
      </c>
      <c r="AH296" s="6">
        <f t="shared" si="89"/>
        <v>156</v>
      </c>
    </row>
    <row r="297" spans="8:34" x14ac:dyDescent="0.25">
      <c r="H297" s="7">
        <v>304</v>
      </c>
      <c r="I297" s="7" t="s">
        <v>15</v>
      </c>
      <c r="J297" s="8">
        <v>38859</v>
      </c>
      <c r="K297" s="12" t="s">
        <v>20</v>
      </c>
      <c r="L297" s="9">
        <v>18</v>
      </c>
      <c r="M297" s="10">
        <v>56.272584064658759</v>
      </c>
      <c r="N297" s="7" t="s">
        <v>22</v>
      </c>
      <c r="P297" s="29" t="str">
        <f t="shared" si="72"/>
        <v/>
      </c>
      <c r="Q297" s="29" t="str">
        <f t="shared" si="73"/>
        <v/>
      </c>
      <c r="R297" s="29" t="str">
        <f t="shared" si="74"/>
        <v/>
      </c>
      <c r="S297" s="29" t="str">
        <f t="shared" si="75"/>
        <v/>
      </c>
      <c r="T297" s="32" t="str">
        <f t="shared" si="76"/>
        <v/>
      </c>
      <c r="U297" s="32" t="str">
        <f t="shared" si="79"/>
        <v/>
      </c>
      <c r="V297" s="32">
        <f t="shared" si="80"/>
        <v>1</v>
      </c>
      <c r="W297" s="41">
        <f t="shared" si="77"/>
        <v>3.1262546702588199</v>
      </c>
      <c r="X297" s="6">
        <f t="shared" si="78"/>
        <v>0</v>
      </c>
      <c r="Y297" s="7">
        <f t="shared" si="81"/>
        <v>567</v>
      </c>
      <c r="AA297" s="7">
        <f t="shared" si="82"/>
        <v>0</v>
      </c>
      <c r="AB297" s="7" t="str">
        <f t="shared" si="83"/>
        <v/>
      </c>
      <c r="AC297" s="7">
        <f t="shared" si="84"/>
        <v>0</v>
      </c>
      <c r="AD297" s="7" t="str">
        <f t="shared" si="85"/>
        <v/>
      </c>
      <c r="AE297" s="6">
        <f t="shared" si="86"/>
        <v>0</v>
      </c>
      <c r="AF297" s="69">
        <f t="shared" si="87"/>
        <v>3.1262546702588199</v>
      </c>
      <c r="AG297" s="6">
        <f t="shared" si="88"/>
        <v>0</v>
      </c>
      <c r="AH297" s="6">
        <f t="shared" si="89"/>
        <v>604</v>
      </c>
    </row>
    <row r="298" spans="8:34" x14ac:dyDescent="0.25">
      <c r="H298" s="7">
        <v>305</v>
      </c>
      <c r="I298" s="7" t="s">
        <v>8</v>
      </c>
      <c r="J298" s="8">
        <v>38397</v>
      </c>
      <c r="K298" s="12" t="s">
        <v>19</v>
      </c>
      <c r="L298" s="9">
        <v>73</v>
      </c>
      <c r="M298" s="10">
        <v>221.17007144401961</v>
      </c>
      <c r="N298" s="7" t="s">
        <v>23</v>
      </c>
      <c r="P298" s="29" t="str">
        <f t="shared" si="72"/>
        <v/>
      </c>
      <c r="Q298" s="29" t="str">
        <f t="shared" si="73"/>
        <v/>
      </c>
      <c r="R298" s="29" t="str">
        <f t="shared" si="74"/>
        <v/>
      </c>
      <c r="S298" s="29" t="str">
        <f t="shared" si="75"/>
        <v/>
      </c>
      <c r="T298" s="32" t="str">
        <f t="shared" si="76"/>
        <v/>
      </c>
      <c r="U298" s="32">
        <f t="shared" si="79"/>
        <v>1</v>
      </c>
      <c r="V298" s="32" t="str">
        <f t="shared" si="80"/>
        <v/>
      </c>
      <c r="W298" s="41">
        <f t="shared" si="77"/>
        <v>3.0297270060824606</v>
      </c>
      <c r="X298" s="6">
        <f t="shared" si="78"/>
        <v>221.17007144401961</v>
      </c>
      <c r="Y298" s="7">
        <f t="shared" si="81"/>
        <v>138</v>
      </c>
      <c r="AA298" s="7">
        <f t="shared" si="82"/>
        <v>1</v>
      </c>
      <c r="AB298" s="7">
        <f t="shared" si="83"/>
        <v>73</v>
      </c>
      <c r="AC298" s="7">
        <f t="shared" si="84"/>
        <v>0</v>
      </c>
      <c r="AD298" s="7" t="str">
        <f t="shared" si="85"/>
        <v/>
      </c>
      <c r="AE298" s="6">
        <f t="shared" si="86"/>
        <v>0</v>
      </c>
      <c r="AF298" s="69">
        <f t="shared" si="87"/>
        <v>3.0297270060824606</v>
      </c>
      <c r="AG298" s="6">
        <f t="shared" si="88"/>
        <v>0</v>
      </c>
      <c r="AH298" s="6">
        <f t="shared" si="89"/>
        <v>604</v>
      </c>
    </row>
    <row r="299" spans="8:34" x14ac:dyDescent="0.25">
      <c r="H299" s="7">
        <v>306</v>
      </c>
      <c r="I299" s="7" t="s">
        <v>10</v>
      </c>
      <c r="J299" s="8">
        <v>38408</v>
      </c>
      <c r="K299" s="12" t="s">
        <v>18</v>
      </c>
      <c r="L299" s="9">
        <v>-7</v>
      </c>
      <c r="M299" s="10">
        <v>-18.782320494671733</v>
      </c>
      <c r="N299" s="7" t="s">
        <v>24</v>
      </c>
      <c r="P299" s="29" t="str">
        <f t="shared" si="72"/>
        <v/>
      </c>
      <c r="Q299" s="29" t="str">
        <f t="shared" si="73"/>
        <v/>
      </c>
      <c r="R299" s="29" t="str">
        <f t="shared" si="74"/>
        <v/>
      </c>
      <c r="S299" s="29" t="str">
        <f t="shared" si="75"/>
        <v/>
      </c>
      <c r="T299" s="32" t="str">
        <f t="shared" si="76"/>
        <v/>
      </c>
      <c r="U299" s="32">
        <f t="shared" si="79"/>
        <v>1</v>
      </c>
      <c r="V299" s="32" t="str">
        <f t="shared" si="80"/>
        <v/>
      </c>
      <c r="W299" s="41" t="str">
        <f t="shared" si="77"/>
        <v/>
      </c>
      <c r="X299" s="6">
        <f t="shared" si="78"/>
        <v>-18.782320494671733</v>
      </c>
      <c r="Y299" s="7">
        <f t="shared" si="81"/>
        <v>1874</v>
      </c>
      <c r="AA299" s="7">
        <f t="shared" si="82"/>
        <v>1</v>
      </c>
      <c r="AB299" s="7">
        <f t="shared" si="83"/>
        <v>-7</v>
      </c>
      <c r="AC299" s="7">
        <f t="shared" si="84"/>
        <v>0</v>
      </c>
      <c r="AD299" s="7" t="str">
        <f t="shared" si="85"/>
        <v/>
      </c>
      <c r="AE299" s="6">
        <f t="shared" si="86"/>
        <v>-7</v>
      </c>
      <c r="AF299" s="69" t="str">
        <f t="shared" si="87"/>
        <v/>
      </c>
      <c r="AG299" s="6">
        <f t="shared" si="88"/>
        <v>0</v>
      </c>
      <c r="AH299" s="6">
        <f t="shared" si="89"/>
        <v>604</v>
      </c>
    </row>
    <row r="300" spans="8:34" x14ac:dyDescent="0.25">
      <c r="H300" s="7">
        <v>307</v>
      </c>
      <c r="I300" s="7" t="s">
        <v>10</v>
      </c>
      <c r="J300" s="8">
        <v>38584</v>
      </c>
      <c r="K300" s="12" t="s">
        <v>18</v>
      </c>
      <c r="L300" s="9">
        <v>55</v>
      </c>
      <c r="M300" s="10">
        <v>166.60609215413587</v>
      </c>
      <c r="N300" s="7" t="s">
        <v>22</v>
      </c>
      <c r="P300" s="29" t="str">
        <f t="shared" si="72"/>
        <v/>
      </c>
      <c r="Q300" s="29" t="str">
        <f t="shared" si="73"/>
        <v/>
      </c>
      <c r="R300" s="29" t="str">
        <f t="shared" si="74"/>
        <v/>
      </c>
      <c r="S300" s="29" t="str">
        <f t="shared" si="75"/>
        <v/>
      </c>
      <c r="T300" s="32" t="str">
        <f t="shared" si="76"/>
        <v/>
      </c>
      <c r="U300" s="32">
        <f t="shared" si="79"/>
        <v>1</v>
      </c>
      <c r="V300" s="32" t="str">
        <f t="shared" si="80"/>
        <v/>
      </c>
      <c r="W300" s="41">
        <f t="shared" si="77"/>
        <v>3.0292016755297428</v>
      </c>
      <c r="X300" s="6">
        <f t="shared" si="78"/>
        <v>166.60609215413587</v>
      </c>
      <c r="Y300" s="7">
        <f t="shared" si="81"/>
        <v>233</v>
      </c>
      <c r="AA300" s="7">
        <f t="shared" si="82"/>
        <v>1</v>
      </c>
      <c r="AB300" s="7">
        <f t="shared" si="83"/>
        <v>55</v>
      </c>
      <c r="AC300" s="7">
        <f t="shared" si="84"/>
        <v>0</v>
      </c>
      <c r="AD300" s="7" t="str">
        <f t="shared" si="85"/>
        <v/>
      </c>
      <c r="AE300" s="6">
        <f t="shared" si="86"/>
        <v>0</v>
      </c>
      <c r="AF300" s="69">
        <f t="shared" si="87"/>
        <v>3.0292016755297428</v>
      </c>
      <c r="AG300" s="6">
        <f t="shared" si="88"/>
        <v>0</v>
      </c>
      <c r="AH300" s="6">
        <f t="shared" si="89"/>
        <v>604</v>
      </c>
    </row>
    <row r="301" spans="8:34" x14ac:dyDescent="0.25">
      <c r="H301" s="7">
        <v>308</v>
      </c>
      <c r="I301" s="7" t="s">
        <v>15</v>
      </c>
      <c r="J301" s="8">
        <v>38122</v>
      </c>
      <c r="K301" s="12" t="s">
        <v>17</v>
      </c>
      <c r="L301" s="9">
        <v>7</v>
      </c>
      <c r="M301" s="10">
        <v>23.387374937264937</v>
      </c>
      <c r="N301" s="7" t="s">
        <v>24</v>
      </c>
      <c r="P301" s="29" t="str">
        <f t="shared" si="72"/>
        <v/>
      </c>
      <c r="Q301" s="29">
        <f t="shared" si="73"/>
        <v>1</v>
      </c>
      <c r="R301" s="29" t="str">
        <f t="shared" si="74"/>
        <v/>
      </c>
      <c r="S301" s="29" t="str">
        <f t="shared" si="75"/>
        <v/>
      </c>
      <c r="T301" s="32" t="str">
        <f t="shared" si="76"/>
        <v/>
      </c>
      <c r="U301" s="32" t="str">
        <f t="shared" si="79"/>
        <v/>
      </c>
      <c r="V301" s="32" t="str">
        <f t="shared" si="80"/>
        <v/>
      </c>
      <c r="W301" s="41">
        <f t="shared" si="77"/>
        <v>3.3410535624664197</v>
      </c>
      <c r="X301" s="6">
        <f t="shared" si="78"/>
        <v>0</v>
      </c>
      <c r="Y301" s="7">
        <f t="shared" si="81"/>
        <v>567</v>
      </c>
      <c r="AA301" s="7">
        <f t="shared" si="82"/>
        <v>0</v>
      </c>
      <c r="AB301" s="7" t="str">
        <f t="shared" si="83"/>
        <v/>
      </c>
      <c r="AC301" s="7">
        <f t="shared" si="84"/>
        <v>0</v>
      </c>
      <c r="AD301" s="7" t="str">
        <f t="shared" si="85"/>
        <v/>
      </c>
      <c r="AE301" s="6">
        <f t="shared" si="86"/>
        <v>0</v>
      </c>
      <c r="AF301" s="69">
        <f t="shared" si="87"/>
        <v>3.3410535624664197</v>
      </c>
      <c r="AG301" s="6">
        <f t="shared" si="88"/>
        <v>23.387374937264937</v>
      </c>
      <c r="AH301" s="6">
        <f t="shared" si="89"/>
        <v>548</v>
      </c>
    </row>
    <row r="302" spans="8:34" x14ac:dyDescent="0.25">
      <c r="H302" s="7">
        <v>309</v>
      </c>
      <c r="I302" s="7" t="s">
        <v>15</v>
      </c>
      <c r="J302" s="8">
        <v>38309</v>
      </c>
      <c r="K302" s="12" t="s">
        <v>16</v>
      </c>
      <c r="L302" s="9">
        <v>63</v>
      </c>
      <c r="M302" s="10">
        <v>191.44929977621479</v>
      </c>
      <c r="N302" s="7" t="s">
        <v>22</v>
      </c>
      <c r="P302" s="29" t="str">
        <f t="shared" si="72"/>
        <v/>
      </c>
      <c r="Q302" s="29" t="str">
        <f t="shared" si="73"/>
        <v/>
      </c>
      <c r="R302" s="29" t="str">
        <f t="shared" si="74"/>
        <v/>
      </c>
      <c r="S302" s="29">
        <f t="shared" si="75"/>
        <v>1</v>
      </c>
      <c r="T302" s="32" t="str">
        <f t="shared" si="76"/>
        <v/>
      </c>
      <c r="U302" s="32" t="str">
        <f t="shared" si="79"/>
        <v/>
      </c>
      <c r="V302" s="32" t="str">
        <f t="shared" si="80"/>
        <v/>
      </c>
      <c r="W302" s="41">
        <f t="shared" si="77"/>
        <v>3.0388777742256314</v>
      </c>
      <c r="X302" s="6">
        <f t="shared" si="78"/>
        <v>0</v>
      </c>
      <c r="Y302" s="7">
        <f t="shared" si="81"/>
        <v>567</v>
      </c>
      <c r="AA302" s="7">
        <f t="shared" si="82"/>
        <v>0</v>
      </c>
      <c r="AB302" s="7" t="str">
        <f t="shared" si="83"/>
        <v/>
      </c>
      <c r="AC302" s="7">
        <f t="shared" si="84"/>
        <v>0</v>
      </c>
      <c r="AD302" s="7" t="str">
        <f t="shared" si="85"/>
        <v/>
      </c>
      <c r="AE302" s="6">
        <f t="shared" si="86"/>
        <v>0</v>
      </c>
      <c r="AF302" s="69">
        <f t="shared" si="87"/>
        <v>3.0388777742256314</v>
      </c>
      <c r="AG302" s="6">
        <f t="shared" si="88"/>
        <v>191.44929977621479</v>
      </c>
      <c r="AH302" s="6">
        <f t="shared" si="89"/>
        <v>189</v>
      </c>
    </row>
    <row r="303" spans="8:34" x14ac:dyDescent="0.25">
      <c r="H303" s="7">
        <v>310</v>
      </c>
      <c r="I303" s="7" t="s">
        <v>10</v>
      </c>
      <c r="J303" s="8">
        <v>38540</v>
      </c>
      <c r="K303" s="12" t="s">
        <v>17</v>
      </c>
      <c r="L303" s="9">
        <v>83</v>
      </c>
      <c r="M303" s="10">
        <v>251.62937525083981</v>
      </c>
      <c r="N303" s="7" t="s">
        <v>23</v>
      </c>
      <c r="P303" s="29" t="str">
        <f t="shared" si="72"/>
        <v/>
      </c>
      <c r="Q303" s="29" t="str">
        <f t="shared" si="73"/>
        <v/>
      </c>
      <c r="R303" s="29" t="str">
        <f t="shared" si="74"/>
        <v/>
      </c>
      <c r="S303" s="29" t="str">
        <f t="shared" si="75"/>
        <v/>
      </c>
      <c r="T303" s="32" t="str">
        <f t="shared" si="76"/>
        <v/>
      </c>
      <c r="U303" s="32">
        <f t="shared" si="79"/>
        <v>1</v>
      </c>
      <c r="V303" s="32" t="str">
        <f t="shared" si="80"/>
        <v/>
      </c>
      <c r="W303" s="41">
        <f t="shared" si="77"/>
        <v>3.0316792198896363</v>
      </c>
      <c r="X303" s="6">
        <f t="shared" si="78"/>
        <v>251.62937525083981</v>
      </c>
      <c r="Y303" s="7">
        <f t="shared" si="81"/>
        <v>77</v>
      </c>
      <c r="AA303" s="7">
        <f t="shared" si="82"/>
        <v>1</v>
      </c>
      <c r="AB303" s="7">
        <f t="shared" si="83"/>
        <v>83</v>
      </c>
      <c r="AC303" s="7">
        <f t="shared" si="84"/>
        <v>0</v>
      </c>
      <c r="AD303" s="7" t="str">
        <f t="shared" si="85"/>
        <v/>
      </c>
      <c r="AE303" s="6">
        <f t="shared" si="86"/>
        <v>0</v>
      </c>
      <c r="AF303" s="69">
        <f t="shared" si="87"/>
        <v>3.0316792198896363</v>
      </c>
      <c r="AG303" s="6">
        <f t="shared" si="88"/>
        <v>0</v>
      </c>
      <c r="AH303" s="6">
        <f t="shared" si="89"/>
        <v>604</v>
      </c>
    </row>
    <row r="304" spans="8:34" x14ac:dyDescent="0.25">
      <c r="H304" s="7">
        <v>311</v>
      </c>
      <c r="I304" s="7" t="s">
        <v>7</v>
      </c>
      <c r="J304" s="8">
        <v>38045</v>
      </c>
      <c r="K304" s="12" t="s">
        <v>17</v>
      </c>
      <c r="L304" s="9">
        <v>43</v>
      </c>
      <c r="M304" s="10">
        <v>130.971908096161</v>
      </c>
      <c r="N304" s="7" t="s">
        <v>24</v>
      </c>
      <c r="P304" s="29">
        <f t="shared" si="72"/>
        <v>1</v>
      </c>
      <c r="Q304" s="29" t="str">
        <f t="shared" si="73"/>
        <v/>
      </c>
      <c r="R304" s="29" t="str">
        <f t="shared" si="74"/>
        <v/>
      </c>
      <c r="S304" s="29" t="str">
        <f t="shared" si="75"/>
        <v/>
      </c>
      <c r="T304" s="32" t="str">
        <f t="shared" si="76"/>
        <v/>
      </c>
      <c r="U304" s="32" t="str">
        <f t="shared" si="79"/>
        <v/>
      </c>
      <c r="V304" s="32" t="str">
        <f t="shared" si="80"/>
        <v/>
      </c>
      <c r="W304" s="41">
        <f t="shared" si="77"/>
        <v>3.0458583278176978</v>
      </c>
      <c r="X304" s="6">
        <f t="shared" si="78"/>
        <v>0</v>
      </c>
      <c r="Y304" s="7">
        <f t="shared" si="81"/>
        <v>567</v>
      </c>
      <c r="AA304" s="7">
        <f t="shared" si="82"/>
        <v>0</v>
      </c>
      <c r="AB304" s="7" t="str">
        <f t="shared" si="83"/>
        <v/>
      </c>
      <c r="AC304" s="7">
        <f t="shared" si="84"/>
        <v>0</v>
      </c>
      <c r="AD304" s="7" t="str">
        <f t="shared" si="85"/>
        <v/>
      </c>
      <c r="AE304" s="6">
        <f t="shared" si="86"/>
        <v>0</v>
      </c>
      <c r="AF304" s="69">
        <f t="shared" si="87"/>
        <v>3.0458583278176978</v>
      </c>
      <c r="AG304" s="6">
        <f t="shared" si="88"/>
        <v>130.971908096161</v>
      </c>
      <c r="AH304" s="6">
        <f t="shared" si="89"/>
        <v>315</v>
      </c>
    </row>
    <row r="305" spans="8:34" x14ac:dyDescent="0.25">
      <c r="H305" s="7">
        <v>312</v>
      </c>
      <c r="I305" s="7" t="s">
        <v>10</v>
      </c>
      <c r="J305" s="8">
        <v>38199</v>
      </c>
      <c r="K305" s="12" t="s">
        <v>16</v>
      </c>
      <c r="L305" s="9">
        <v>67</v>
      </c>
      <c r="M305" s="10">
        <v>203.30298779689218</v>
      </c>
      <c r="N305" s="7" t="s">
        <v>21</v>
      </c>
      <c r="P305" s="29" t="str">
        <f t="shared" si="72"/>
        <v/>
      </c>
      <c r="Q305" s="29" t="str">
        <f t="shared" si="73"/>
        <v/>
      </c>
      <c r="R305" s="29">
        <f t="shared" si="74"/>
        <v>1</v>
      </c>
      <c r="S305" s="29" t="str">
        <f t="shared" si="75"/>
        <v/>
      </c>
      <c r="T305" s="32" t="str">
        <f t="shared" si="76"/>
        <v/>
      </c>
      <c r="U305" s="32" t="str">
        <f t="shared" si="79"/>
        <v/>
      </c>
      <c r="V305" s="32" t="str">
        <f t="shared" si="80"/>
        <v/>
      </c>
      <c r="W305" s="41">
        <f t="shared" si="77"/>
        <v>3.0343729521924208</v>
      </c>
      <c r="X305" s="6">
        <f t="shared" si="78"/>
        <v>0</v>
      </c>
      <c r="Y305" s="7">
        <f t="shared" si="81"/>
        <v>567</v>
      </c>
      <c r="AA305" s="7">
        <f t="shared" si="82"/>
        <v>0</v>
      </c>
      <c r="AB305" s="7" t="str">
        <f t="shared" si="83"/>
        <v/>
      </c>
      <c r="AC305" s="7">
        <f t="shared" si="84"/>
        <v>0</v>
      </c>
      <c r="AD305" s="7" t="str">
        <f t="shared" si="85"/>
        <v/>
      </c>
      <c r="AE305" s="6">
        <f t="shared" si="86"/>
        <v>0</v>
      </c>
      <c r="AF305" s="69">
        <f t="shared" si="87"/>
        <v>3.0343729521924208</v>
      </c>
      <c r="AG305" s="6">
        <f t="shared" si="88"/>
        <v>203.30298779689218</v>
      </c>
      <c r="AH305" s="6">
        <f t="shared" si="89"/>
        <v>168</v>
      </c>
    </row>
    <row r="306" spans="8:34" x14ac:dyDescent="0.25">
      <c r="H306" s="7">
        <v>313</v>
      </c>
      <c r="I306" s="7" t="s">
        <v>11</v>
      </c>
      <c r="J306" s="8">
        <v>38716</v>
      </c>
      <c r="K306" s="12" t="s">
        <v>16</v>
      </c>
      <c r="L306" s="9">
        <v>-9</v>
      </c>
      <c r="M306" s="10">
        <v>-24.966227969201331</v>
      </c>
      <c r="N306" s="7" t="s">
        <v>22</v>
      </c>
      <c r="P306" s="29" t="str">
        <f t="shared" si="72"/>
        <v/>
      </c>
      <c r="Q306" s="29" t="str">
        <f t="shared" si="73"/>
        <v/>
      </c>
      <c r="R306" s="29" t="str">
        <f t="shared" si="74"/>
        <v/>
      </c>
      <c r="S306" s="29" t="str">
        <f t="shared" si="75"/>
        <v/>
      </c>
      <c r="T306" s="32">
        <f t="shared" si="76"/>
        <v>1</v>
      </c>
      <c r="U306" s="32">
        <f t="shared" si="79"/>
        <v>1</v>
      </c>
      <c r="V306" s="32" t="str">
        <f t="shared" si="80"/>
        <v/>
      </c>
      <c r="W306" s="41" t="str">
        <f t="shared" si="77"/>
        <v/>
      </c>
      <c r="X306" s="6">
        <f t="shared" si="78"/>
        <v>-24.966227969201331</v>
      </c>
      <c r="Y306" s="7">
        <f t="shared" si="81"/>
        <v>1885</v>
      </c>
      <c r="AA306" s="7">
        <f t="shared" si="82"/>
        <v>0</v>
      </c>
      <c r="AB306" s="7" t="str">
        <f t="shared" si="83"/>
        <v/>
      </c>
      <c r="AC306" s="7">
        <f t="shared" si="84"/>
        <v>1</v>
      </c>
      <c r="AD306" s="7">
        <f t="shared" si="85"/>
        <v>-9</v>
      </c>
      <c r="AE306" s="6">
        <f t="shared" si="86"/>
        <v>-9</v>
      </c>
      <c r="AF306" s="69" t="str">
        <f t="shared" si="87"/>
        <v/>
      </c>
      <c r="AG306" s="6">
        <f t="shared" si="88"/>
        <v>0</v>
      </c>
      <c r="AH306" s="6">
        <f t="shared" si="89"/>
        <v>604</v>
      </c>
    </row>
    <row r="307" spans="8:34" x14ac:dyDescent="0.25">
      <c r="H307" s="7">
        <v>314</v>
      </c>
      <c r="I307" s="7" t="s">
        <v>15</v>
      </c>
      <c r="J307" s="8">
        <v>38166</v>
      </c>
      <c r="K307" s="12" t="s">
        <v>18</v>
      </c>
      <c r="L307" s="9">
        <v>-1</v>
      </c>
      <c r="M307" s="10">
        <v>-1.475132378251053</v>
      </c>
      <c r="N307" s="7" t="s">
        <v>22</v>
      </c>
      <c r="P307" s="29" t="str">
        <f t="shared" si="72"/>
        <v/>
      </c>
      <c r="Q307" s="29">
        <f t="shared" si="73"/>
        <v>1</v>
      </c>
      <c r="R307" s="29" t="str">
        <f t="shared" si="74"/>
        <v/>
      </c>
      <c r="S307" s="29" t="str">
        <f t="shared" si="75"/>
        <v/>
      </c>
      <c r="T307" s="32" t="str">
        <f t="shared" si="76"/>
        <v/>
      </c>
      <c r="U307" s="32" t="str">
        <f t="shared" si="79"/>
        <v/>
      </c>
      <c r="V307" s="32" t="str">
        <f t="shared" si="80"/>
        <v/>
      </c>
      <c r="W307" s="41" t="str">
        <f t="shared" si="77"/>
        <v/>
      </c>
      <c r="X307" s="6">
        <f t="shared" si="78"/>
        <v>0</v>
      </c>
      <c r="Y307" s="7">
        <f t="shared" si="81"/>
        <v>567</v>
      </c>
      <c r="AA307" s="7">
        <f t="shared" si="82"/>
        <v>0</v>
      </c>
      <c r="AB307" s="7" t="str">
        <f t="shared" si="83"/>
        <v/>
      </c>
      <c r="AC307" s="7">
        <f t="shared" si="84"/>
        <v>0</v>
      </c>
      <c r="AD307" s="7" t="str">
        <f t="shared" si="85"/>
        <v/>
      </c>
      <c r="AE307" s="6">
        <f t="shared" si="86"/>
        <v>-1</v>
      </c>
      <c r="AF307" s="69" t="str">
        <f t="shared" si="87"/>
        <v/>
      </c>
      <c r="AG307" s="6">
        <f t="shared" si="88"/>
        <v>0</v>
      </c>
      <c r="AH307" s="6">
        <f t="shared" si="89"/>
        <v>604</v>
      </c>
    </row>
    <row r="308" spans="8:34" x14ac:dyDescent="0.25">
      <c r="H308" s="7">
        <v>315</v>
      </c>
      <c r="I308" s="7" t="s">
        <v>7</v>
      </c>
      <c r="J308" s="8">
        <v>38364</v>
      </c>
      <c r="K308" s="12" t="s">
        <v>18</v>
      </c>
      <c r="L308" s="9">
        <v>21</v>
      </c>
      <c r="M308" s="10">
        <v>65.196598797725159</v>
      </c>
      <c r="N308" s="7" t="s">
        <v>21</v>
      </c>
      <c r="P308" s="29" t="str">
        <f t="shared" si="72"/>
        <v/>
      </c>
      <c r="Q308" s="29" t="str">
        <f t="shared" si="73"/>
        <v/>
      </c>
      <c r="R308" s="29" t="str">
        <f t="shared" si="74"/>
        <v/>
      </c>
      <c r="S308" s="29" t="str">
        <f t="shared" si="75"/>
        <v/>
      </c>
      <c r="T308" s="32" t="str">
        <f t="shared" si="76"/>
        <v/>
      </c>
      <c r="U308" s="32">
        <f t="shared" si="79"/>
        <v>1</v>
      </c>
      <c r="V308" s="32" t="str">
        <f t="shared" si="80"/>
        <v/>
      </c>
      <c r="W308" s="41">
        <f t="shared" si="77"/>
        <v>3.1045999427488171</v>
      </c>
      <c r="X308" s="6">
        <f t="shared" si="78"/>
        <v>65.196598797725159</v>
      </c>
      <c r="Y308" s="7">
        <f t="shared" si="81"/>
        <v>435</v>
      </c>
      <c r="AA308" s="7">
        <f t="shared" si="82"/>
        <v>1</v>
      </c>
      <c r="AB308" s="7">
        <f t="shared" si="83"/>
        <v>21</v>
      </c>
      <c r="AC308" s="7">
        <f t="shared" si="84"/>
        <v>0</v>
      </c>
      <c r="AD308" s="7" t="str">
        <f t="shared" si="85"/>
        <v/>
      </c>
      <c r="AE308" s="6">
        <f t="shared" si="86"/>
        <v>0</v>
      </c>
      <c r="AF308" s="69">
        <f t="shared" si="87"/>
        <v>3.1045999427488171</v>
      </c>
      <c r="AG308" s="6">
        <f t="shared" si="88"/>
        <v>0</v>
      </c>
      <c r="AH308" s="6">
        <f t="shared" si="89"/>
        <v>604</v>
      </c>
    </row>
    <row r="309" spans="8:34" x14ac:dyDescent="0.25">
      <c r="H309" s="7">
        <v>316</v>
      </c>
      <c r="I309" s="7" t="s">
        <v>12</v>
      </c>
      <c r="J309" s="8">
        <v>38661</v>
      </c>
      <c r="K309" s="12" t="s">
        <v>20</v>
      </c>
      <c r="L309" s="9">
        <v>6</v>
      </c>
      <c r="M309" s="10">
        <v>20.103063549411871</v>
      </c>
      <c r="N309" s="7" t="s">
        <v>24</v>
      </c>
      <c r="P309" s="29" t="str">
        <f t="shared" si="72"/>
        <v/>
      </c>
      <c r="Q309" s="29" t="str">
        <f t="shared" si="73"/>
        <v/>
      </c>
      <c r="R309" s="29" t="str">
        <f t="shared" si="74"/>
        <v/>
      </c>
      <c r="S309" s="29" t="str">
        <f t="shared" si="75"/>
        <v/>
      </c>
      <c r="T309" s="32">
        <f t="shared" si="76"/>
        <v>1</v>
      </c>
      <c r="U309" s="32">
        <f t="shared" si="79"/>
        <v>1</v>
      </c>
      <c r="V309" s="32" t="str">
        <f t="shared" si="80"/>
        <v/>
      </c>
      <c r="W309" s="41">
        <f t="shared" si="77"/>
        <v>3.3505105915686451</v>
      </c>
      <c r="X309" s="6">
        <f t="shared" si="78"/>
        <v>20.103063549411871</v>
      </c>
      <c r="Y309" s="7">
        <f t="shared" si="81"/>
        <v>522</v>
      </c>
      <c r="AA309" s="7">
        <f t="shared" si="82"/>
        <v>0</v>
      </c>
      <c r="AB309" s="7" t="str">
        <f t="shared" si="83"/>
        <v/>
      </c>
      <c r="AC309" s="7">
        <f t="shared" si="84"/>
        <v>1</v>
      </c>
      <c r="AD309" s="7">
        <f t="shared" si="85"/>
        <v>6</v>
      </c>
      <c r="AE309" s="6">
        <f t="shared" si="86"/>
        <v>0</v>
      </c>
      <c r="AF309" s="69">
        <f t="shared" si="87"/>
        <v>3.3505105915686451</v>
      </c>
      <c r="AG309" s="6">
        <f t="shared" si="88"/>
        <v>0</v>
      </c>
      <c r="AH309" s="6">
        <f t="shared" si="89"/>
        <v>604</v>
      </c>
    </row>
    <row r="310" spans="8:34" x14ac:dyDescent="0.25">
      <c r="H310" s="7">
        <v>317</v>
      </c>
      <c r="I310" s="7" t="s">
        <v>12</v>
      </c>
      <c r="J310" s="8">
        <v>38001</v>
      </c>
      <c r="K310" s="12" t="s">
        <v>16</v>
      </c>
      <c r="L310" s="9">
        <v>0</v>
      </c>
      <c r="M310" s="10">
        <v>1.6052060341349688</v>
      </c>
      <c r="N310" s="7" t="s">
        <v>24</v>
      </c>
      <c r="P310" s="29">
        <f t="shared" si="72"/>
        <v>1</v>
      </c>
      <c r="Q310" s="29" t="str">
        <f t="shared" si="73"/>
        <v/>
      </c>
      <c r="R310" s="29" t="str">
        <f t="shared" si="74"/>
        <v/>
      </c>
      <c r="S310" s="29" t="str">
        <f t="shared" si="75"/>
        <v/>
      </c>
      <c r="T310" s="32" t="str">
        <f t="shared" si="76"/>
        <v/>
      </c>
      <c r="U310" s="32" t="str">
        <f t="shared" si="79"/>
        <v/>
      </c>
      <c r="V310" s="32" t="str">
        <f t="shared" si="80"/>
        <v/>
      </c>
      <c r="W310" s="41" t="str">
        <f t="shared" si="77"/>
        <v/>
      </c>
      <c r="X310" s="6">
        <f t="shared" si="78"/>
        <v>0</v>
      </c>
      <c r="Y310" s="7">
        <f t="shared" si="81"/>
        <v>567</v>
      </c>
      <c r="AA310" s="7">
        <f t="shared" si="82"/>
        <v>0</v>
      </c>
      <c r="AB310" s="7" t="str">
        <f t="shared" si="83"/>
        <v/>
      </c>
      <c r="AC310" s="7">
        <f t="shared" si="84"/>
        <v>0</v>
      </c>
      <c r="AD310" s="7" t="str">
        <f t="shared" si="85"/>
        <v/>
      </c>
      <c r="AE310" s="6">
        <f t="shared" si="86"/>
        <v>0</v>
      </c>
      <c r="AF310" s="69" t="str">
        <f t="shared" si="87"/>
        <v/>
      </c>
      <c r="AG310" s="6">
        <f t="shared" si="88"/>
        <v>1.6052060341349688</v>
      </c>
      <c r="AH310" s="6">
        <f t="shared" si="89"/>
        <v>601</v>
      </c>
    </row>
    <row r="311" spans="8:34" x14ac:dyDescent="0.25">
      <c r="H311" s="7">
        <v>318</v>
      </c>
      <c r="I311" s="7" t="s">
        <v>14</v>
      </c>
      <c r="J311" s="8">
        <v>38276</v>
      </c>
      <c r="K311" s="12" t="s">
        <v>16</v>
      </c>
      <c r="L311" s="9">
        <v>20</v>
      </c>
      <c r="M311" s="10">
        <v>61.994811968474004</v>
      </c>
      <c r="N311" s="7" t="s">
        <v>24</v>
      </c>
      <c r="P311" s="29" t="str">
        <f t="shared" si="72"/>
        <v/>
      </c>
      <c r="Q311" s="29" t="str">
        <f t="shared" si="73"/>
        <v/>
      </c>
      <c r="R311" s="29" t="str">
        <f t="shared" si="74"/>
        <v/>
      </c>
      <c r="S311" s="29">
        <f t="shared" si="75"/>
        <v>1</v>
      </c>
      <c r="T311" s="32" t="str">
        <f t="shared" si="76"/>
        <v/>
      </c>
      <c r="U311" s="32" t="str">
        <f t="shared" si="79"/>
        <v/>
      </c>
      <c r="V311" s="32" t="str">
        <f t="shared" si="80"/>
        <v/>
      </c>
      <c r="W311" s="41">
        <f t="shared" si="77"/>
        <v>3.0997405984237001</v>
      </c>
      <c r="X311" s="6">
        <f t="shared" si="78"/>
        <v>0</v>
      </c>
      <c r="Y311" s="7">
        <f t="shared" si="81"/>
        <v>567</v>
      </c>
      <c r="AA311" s="7">
        <f t="shared" si="82"/>
        <v>0</v>
      </c>
      <c r="AB311" s="7" t="str">
        <f t="shared" si="83"/>
        <v/>
      </c>
      <c r="AC311" s="7">
        <f t="shared" si="84"/>
        <v>0</v>
      </c>
      <c r="AD311" s="7" t="str">
        <f t="shared" si="85"/>
        <v/>
      </c>
      <c r="AE311" s="6">
        <f t="shared" si="86"/>
        <v>0</v>
      </c>
      <c r="AF311" s="69">
        <f t="shared" si="87"/>
        <v>3.0997405984237001</v>
      </c>
      <c r="AG311" s="6">
        <f t="shared" si="88"/>
        <v>61.994811968474004</v>
      </c>
      <c r="AH311" s="6">
        <f t="shared" si="89"/>
        <v>458</v>
      </c>
    </row>
    <row r="312" spans="8:34" x14ac:dyDescent="0.25">
      <c r="H312" s="7">
        <v>319</v>
      </c>
      <c r="I312" s="7" t="s">
        <v>9</v>
      </c>
      <c r="J312" s="8">
        <v>38298</v>
      </c>
      <c r="K312" s="12" t="s">
        <v>18</v>
      </c>
      <c r="L312" s="9">
        <v>70</v>
      </c>
      <c r="M312" s="10">
        <v>212.50263306463722</v>
      </c>
      <c r="N312" s="7" t="s">
        <v>21</v>
      </c>
      <c r="P312" s="29" t="str">
        <f t="shared" si="72"/>
        <v/>
      </c>
      <c r="Q312" s="29" t="str">
        <f t="shared" si="73"/>
        <v/>
      </c>
      <c r="R312" s="29" t="str">
        <f t="shared" si="74"/>
        <v/>
      </c>
      <c r="S312" s="29">
        <f t="shared" si="75"/>
        <v>1</v>
      </c>
      <c r="T312" s="32" t="str">
        <f t="shared" si="76"/>
        <v/>
      </c>
      <c r="U312" s="32" t="str">
        <f t="shared" si="79"/>
        <v/>
      </c>
      <c r="V312" s="32" t="str">
        <f t="shared" si="80"/>
        <v/>
      </c>
      <c r="W312" s="41">
        <f t="shared" si="77"/>
        <v>3.0357519009233891</v>
      </c>
      <c r="X312" s="6">
        <f t="shared" si="78"/>
        <v>0</v>
      </c>
      <c r="Y312" s="7">
        <f t="shared" si="81"/>
        <v>567</v>
      </c>
      <c r="AA312" s="7">
        <f t="shared" si="82"/>
        <v>0</v>
      </c>
      <c r="AB312" s="7" t="str">
        <f t="shared" si="83"/>
        <v/>
      </c>
      <c r="AC312" s="7">
        <f t="shared" si="84"/>
        <v>0</v>
      </c>
      <c r="AD312" s="7" t="str">
        <f t="shared" si="85"/>
        <v/>
      </c>
      <c r="AE312" s="6">
        <f t="shared" si="86"/>
        <v>0</v>
      </c>
      <c r="AF312" s="69">
        <f t="shared" si="87"/>
        <v>3.0357519009233891</v>
      </c>
      <c r="AG312" s="6">
        <f t="shared" si="88"/>
        <v>212.50263306463722</v>
      </c>
      <c r="AH312" s="6">
        <f t="shared" si="89"/>
        <v>150</v>
      </c>
    </row>
    <row r="313" spans="8:34" x14ac:dyDescent="0.25">
      <c r="H313" s="7">
        <v>320</v>
      </c>
      <c r="I313" s="7" t="s">
        <v>14</v>
      </c>
      <c r="J313" s="8">
        <v>38122</v>
      </c>
      <c r="K313" s="12" t="s">
        <v>16</v>
      </c>
      <c r="L313" s="9">
        <v>94</v>
      </c>
      <c r="M313" s="10">
        <v>283.88166832886924</v>
      </c>
      <c r="N313" s="7" t="s">
        <v>24</v>
      </c>
      <c r="P313" s="29" t="str">
        <f t="shared" si="72"/>
        <v/>
      </c>
      <c r="Q313" s="29">
        <f t="shared" si="73"/>
        <v>1</v>
      </c>
      <c r="R313" s="29" t="str">
        <f t="shared" si="74"/>
        <v/>
      </c>
      <c r="S313" s="29" t="str">
        <f t="shared" si="75"/>
        <v/>
      </c>
      <c r="T313" s="32" t="str">
        <f t="shared" si="76"/>
        <v/>
      </c>
      <c r="U313" s="32" t="str">
        <f t="shared" si="79"/>
        <v/>
      </c>
      <c r="V313" s="32" t="str">
        <f t="shared" si="80"/>
        <v/>
      </c>
      <c r="W313" s="41">
        <f t="shared" si="77"/>
        <v>3.0200177481794599</v>
      </c>
      <c r="X313" s="6">
        <f t="shared" si="78"/>
        <v>0</v>
      </c>
      <c r="Y313" s="7">
        <f t="shared" si="81"/>
        <v>567</v>
      </c>
      <c r="AA313" s="7">
        <f t="shared" si="82"/>
        <v>0</v>
      </c>
      <c r="AB313" s="7" t="str">
        <f t="shared" si="83"/>
        <v/>
      </c>
      <c r="AC313" s="7">
        <f t="shared" si="84"/>
        <v>0</v>
      </c>
      <c r="AD313" s="7" t="str">
        <f t="shared" si="85"/>
        <v/>
      </c>
      <c r="AE313" s="6">
        <f t="shared" si="86"/>
        <v>0</v>
      </c>
      <c r="AF313" s="69">
        <f t="shared" si="87"/>
        <v>3.0200177481794599</v>
      </c>
      <c r="AG313" s="6">
        <f t="shared" si="88"/>
        <v>283.88166832886924</v>
      </c>
      <c r="AH313" s="6">
        <f t="shared" si="89"/>
        <v>9</v>
      </c>
    </row>
    <row r="314" spans="8:34" x14ac:dyDescent="0.25">
      <c r="H314" s="7">
        <v>321</v>
      </c>
      <c r="I314" s="7" t="s">
        <v>8</v>
      </c>
      <c r="J314" s="8">
        <v>38276</v>
      </c>
      <c r="K314" s="12" t="s">
        <v>17</v>
      </c>
      <c r="L314" s="9">
        <v>9</v>
      </c>
      <c r="M314" s="10">
        <v>28.830512766101304</v>
      </c>
      <c r="N314" s="7" t="s">
        <v>23</v>
      </c>
      <c r="P314" s="29" t="str">
        <f t="shared" si="72"/>
        <v/>
      </c>
      <c r="Q314" s="29" t="str">
        <f t="shared" si="73"/>
        <v/>
      </c>
      <c r="R314" s="29" t="str">
        <f t="shared" si="74"/>
        <v/>
      </c>
      <c r="S314" s="29">
        <f t="shared" si="75"/>
        <v>1</v>
      </c>
      <c r="T314" s="32" t="str">
        <f t="shared" si="76"/>
        <v/>
      </c>
      <c r="U314" s="32" t="str">
        <f t="shared" si="79"/>
        <v/>
      </c>
      <c r="V314" s="32" t="str">
        <f t="shared" si="80"/>
        <v/>
      </c>
      <c r="W314" s="41">
        <f t="shared" si="77"/>
        <v>3.2033903073445895</v>
      </c>
      <c r="X314" s="6">
        <f t="shared" si="78"/>
        <v>0</v>
      </c>
      <c r="Y314" s="7">
        <f t="shared" si="81"/>
        <v>567</v>
      </c>
      <c r="AA314" s="7">
        <f t="shared" si="82"/>
        <v>0</v>
      </c>
      <c r="AB314" s="7" t="str">
        <f t="shared" si="83"/>
        <v/>
      </c>
      <c r="AC314" s="7">
        <f t="shared" si="84"/>
        <v>0</v>
      </c>
      <c r="AD314" s="7" t="str">
        <f t="shared" si="85"/>
        <v/>
      </c>
      <c r="AE314" s="6">
        <f t="shared" si="86"/>
        <v>0</v>
      </c>
      <c r="AF314" s="69">
        <f t="shared" si="87"/>
        <v>3.2033903073445895</v>
      </c>
      <c r="AG314" s="6">
        <f t="shared" si="88"/>
        <v>28.830512766101304</v>
      </c>
      <c r="AH314" s="6">
        <f t="shared" si="89"/>
        <v>536</v>
      </c>
    </row>
    <row r="315" spans="8:34" x14ac:dyDescent="0.25">
      <c r="H315" s="7">
        <v>322</v>
      </c>
      <c r="I315" s="7" t="s">
        <v>14</v>
      </c>
      <c r="J315" s="8">
        <v>38529</v>
      </c>
      <c r="K315" s="12" t="s">
        <v>20</v>
      </c>
      <c r="L315" s="9">
        <v>27</v>
      </c>
      <c r="M315" s="10">
        <v>83.64015403043436</v>
      </c>
      <c r="N315" s="7" t="s">
        <v>24</v>
      </c>
      <c r="P315" s="29" t="str">
        <f t="shared" si="72"/>
        <v/>
      </c>
      <c r="Q315" s="29" t="str">
        <f t="shared" si="73"/>
        <v/>
      </c>
      <c r="R315" s="29" t="str">
        <f t="shared" si="74"/>
        <v/>
      </c>
      <c r="S315" s="29" t="str">
        <f t="shared" si="75"/>
        <v/>
      </c>
      <c r="T315" s="32" t="str">
        <f t="shared" si="76"/>
        <v/>
      </c>
      <c r="U315" s="32">
        <f t="shared" si="79"/>
        <v>1</v>
      </c>
      <c r="V315" s="32" t="str">
        <f t="shared" si="80"/>
        <v/>
      </c>
      <c r="W315" s="41">
        <f t="shared" si="77"/>
        <v>3.0977834826086799</v>
      </c>
      <c r="X315" s="6">
        <f t="shared" si="78"/>
        <v>83.64015403043436</v>
      </c>
      <c r="Y315" s="7">
        <f t="shared" si="81"/>
        <v>393</v>
      </c>
      <c r="AA315" s="7">
        <f t="shared" si="82"/>
        <v>0</v>
      </c>
      <c r="AB315" s="7" t="str">
        <f t="shared" si="83"/>
        <v/>
      </c>
      <c r="AC315" s="7">
        <f t="shared" si="84"/>
        <v>1</v>
      </c>
      <c r="AD315" s="7">
        <f t="shared" si="85"/>
        <v>27</v>
      </c>
      <c r="AE315" s="6">
        <f t="shared" si="86"/>
        <v>0</v>
      </c>
      <c r="AF315" s="69">
        <f t="shared" si="87"/>
        <v>3.0977834826086799</v>
      </c>
      <c r="AG315" s="6">
        <f t="shared" si="88"/>
        <v>0</v>
      </c>
      <c r="AH315" s="6">
        <f t="shared" si="89"/>
        <v>604</v>
      </c>
    </row>
    <row r="316" spans="8:34" x14ac:dyDescent="0.25">
      <c r="H316" s="7">
        <v>323</v>
      </c>
      <c r="I316" s="7" t="s">
        <v>11</v>
      </c>
      <c r="J316" s="8">
        <v>38793</v>
      </c>
      <c r="K316" s="12" t="s">
        <v>19</v>
      </c>
      <c r="L316" s="9">
        <v>43</v>
      </c>
      <c r="M316" s="10">
        <v>130.94656180680516</v>
      </c>
      <c r="N316" s="7" t="s">
        <v>21</v>
      </c>
      <c r="P316" s="29" t="str">
        <f t="shared" si="72"/>
        <v/>
      </c>
      <c r="Q316" s="29" t="str">
        <f t="shared" si="73"/>
        <v/>
      </c>
      <c r="R316" s="29" t="str">
        <f t="shared" si="74"/>
        <v/>
      </c>
      <c r="S316" s="29" t="str">
        <f t="shared" si="75"/>
        <v/>
      </c>
      <c r="T316" s="32" t="str">
        <f t="shared" si="76"/>
        <v/>
      </c>
      <c r="U316" s="32" t="str">
        <f t="shared" si="79"/>
        <v/>
      </c>
      <c r="V316" s="32">
        <f t="shared" si="80"/>
        <v>1</v>
      </c>
      <c r="W316" s="41">
        <f t="shared" si="77"/>
        <v>3.0452688792280269</v>
      </c>
      <c r="X316" s="6">
        <f t="shared" si="78"/>
        <v>0</v>
      </c>
      <c r="Y316" s="7">
        <f t="shared" si="81"/>
        <v>567</v>
      </c>
      <c r="AA316" s="7">
        <f t="shared" si="82"/>
        <v>0</v>
      </c>
      <c r="AB316" s="7" t="str">
        <f t="shared" si="83"/>
        <v/>
      </c>
      <c r="AC316" s="7">
        <f t="shared" si="84"/>
        <v>0</v>
      </c>
      <c r="AD316" s="7" t="str">
        <f t="shared" si="85"/>
        <v/>
      </c>
      <c r="AE316" s="6">
        <f t="shared" si="86"/>
        <v>0</v>
      </c>
      <c r="AF316" s="69">
        <f t="shared" si="87"/>
        <v>3.0452688792280269</v>
      </c>
      <c r="AG316" s="6">
        <f t="shared" si="88"/>
        <v>0</v>
      </c>
      <c r="AH316" s="6">
        <f t="shared" si="89"/>
        <v>604</v>
      </c>
    </row>
    <row r="317" spans="8:34" x14ac:dyDescent="0.25">
      <c r="H317" s="7">
        <v>324</v>
      </c>
      <c r="I317" s="7" t="s">
        <v>13</v>
      </c>
      <c r="J317" s="8">
        <v>38980</v>
      </c>
      <c r="K317" s="12" t="s">
        <v>18</v>
      </c>
      <c r="L317" s="9">
        <v>84</v>
      </c>
      <c r="M317" s="10">
        <v>254.38984191598573</v>
      </c>
      <c r="N317" s="7" t="s">
        <v>24</v>
      </c>
      <c r="P317" s="29" t="str">
        <f t="shared" si="72"/>
        <v/>
      </c>
      <c r="Q317" s="29" t="str">
        <f t="shared" si="73"/>
        <v/>
      </c>
      <c r="R317" s="29" t="str">
        <f t="shared" si="74"/>
        <v/>
      </c>
      <c r="S317" s="29" t="str">
        <f t="shared" si="75"/>
        <v/>
      </c>
      <c r="T317" s="32" t="str">
        <f t="shared" si="76"/>
        <v/>
      </c>
      <c r="U317" s="32" t="str">
        <f t="shared" si="79"/>
        <v/>
      </c>
      <c r="V317" s="32">
        <f t="shared" si="80"/>
        <v>1</v>
      </c>
      <c r="W317" s="41">
        <f t="shared" si="77"/>
        <v>3.0284504989998302</v>
      </c>
      <c r="X317" s="6">
        <f t="shared" si="78"/>
        <v>0</v>
      </c>
      <c r="Y317" s="7">
        <f t="shared" si="81"/>
        <v>567</v>
      </c>
      <c r="AA317" s="7">
        <f t="shared" si="82"/>
        <v>0</v>
      </c>
      <c r="AB317" s="7" t="str">
        <f t="shared" si="83"/>
        <v/>
      </c>
      <c r="AC317" s="7">
        <f t="shared" si="84"/>
        <v>0</v>
      </c>
      <c r="AD317" s="7" t="str">
        <f t="shared" si="85"/>
        <v/>
      </c>
      <c r="AE317" s="6">
        <f t="shared" si="86"/>
        <v>0</v>
      </c>
      <c r="AF317" s="69">
        <f t="shared" si="87"/>
        <v>3.0284504989998302</v>
      </c>
      <c r="AG317" s="6">
        <f t="shared" si="88"/>
        <v>0</v>
      </c>
      <c r="AH317" s="6">
        <f t="shared" si="89"/>
        <v>604</v>
      </c>
    </row>
    <row r="318" spans="8:34" x14ac:dyDescent="0.25">
      <c r="H318" s="7">
        <v>325</v>
      </c>
      <c r="I318" s="7" t="s">
        <v>8</v>
      </c>
      <c r="J318" s="8">
        <v>38144</v>
      </c>
      <c r="K318" s="12" t="s">
        <v>16</v>
      </c>
      <c r="L318" s="9">
        <v>83</v>
      </c>
      <c r="M318" s="10">
        <v>251.63175698562648</v>
      </c>
      <c r="N318" s="7" t="s">
        <v>22</v>
      </c>
      <c r="P318" s="29" t="str">
        <f t="shared" si="72"/>
        <v/>
      </c>
      <c r="Q318" s="29">
        <f t="shared" si="73"/>
        <v>1</v>
      </c>
      <c r="R318" s="29" t="str">
        <f t="shared" si="74"/>
        <v/>
      </c>
      <c r="S318" s="29" t="str">
        <f t="shared" si="75"/>
        <v/>
      </c>
      <c r="T318" s="32" t="str">
        <f t="shared" si="76"/>
        <v/>
      </c>
      <c r="U318" s="32" t="str">
        <f t="shared" si="79"/>
        <v/>
      </c>
      <c r="V318" s="32" t="str">
        <f t="shared" si="80"/>
        <v/>
      </c>
      <c r="W318" s="41">
        <f t="shared" si="77"/>
        <v>3.0317079154894757</v>
      </c>
      <c r="X318" s="6">
        <f t="shared" si="78"/>
        <v>0</v>
      </c>
      <c r="Y318" s="7">
        <f t="shared" si="81"/>
        <v>567</v>
      </c>
      <c r="AA318" s="7">
        <f t="shared" si="82"/>
        <v>0</v>
      </c>
      <c r="AB318" s="7" t="str">
        <f t="shared" si="83"/>
        <v/>
      </c>
      <c r="AC318" s="7">
        <f t="shared" si="84"/>
        <v>0</v>
      </c>
      <c r="AD318" s="7" t="str">
        <f t="shared" si="85"/>
        <v/>
      </c>
      <c r="AE318" s="6">
        <f t="shared" si="86"/>
        <v>0</v>
      </c>
      <c r="AF318" s="69">
        <f t="shared" si="87"/>
        <v>3.0317079154894757</v>
      </c>
      <c r="AG318" s="6">
        <f t="shared" si="88"/>
        <v>251.63175698562648</v>
      </c>
      <c r="AH318" s="6">
        <f t="shared" si="89"/>
        <v>63</v>
      </c>
    </row>
    <row r="319" spans="8:34" x14ac:dyDescent="0.25">
      <c r="H319" s="7">
        <v>326</v>
      </c>
      <c r="I319" s="7" t="s">
        <v>8</v>
      </c>
      <c r="J319" s="8">
        <v>38210</v>
      </c>
      <c r="K319" s="12" t="s">
        <v>19</v>
      </c>
      <c r="L319" s="9">
        <v>89</v>
      </c>
      <c r="M319" s="10">
        <v>268.67182931807514</v>
      </c>
      <c r="N319" s="7" t="s">
        <v>22</v>
      </c>
      <c r="P319" s="29" t="str">
        <f t="shared" si="72"/>
        <v/>
      </c>
      <c r="Q319" s="29" t="str">
        <f t="shared" si="73"/>
        <v/>
      </c>
      <c r="R319" s="29">
        <f t="shared" si="74"/>
        <v>1</v>
      </c>
      <c r="S319" s="29" t="str">
        <f t="shared" si="75"/>
        <v/>
      </c>
      <c r="T319" s="32" t="str">
        <f t="shared" si="76"/>
        <v/>
      </c>
      <c r="U319" s="32" t="str">
        <f t="shared" si="79"/>
        <v/>
      </c>
      <c r="V319" s="32" t="str">
        <f t="shared" si="80"/>
        <v/>
      </c>
      <c r="W319" s="41">
        <f t="shared" si="77"/>
        <v>3.0187845990794959</v>
      </c>
      <c r="X319" s="6">
        <f t="shared" si="78"/>
        <v>0</v>
      </c>
      <c r="Y319" s="7">
        <f t="shared" si="81"/>
        <v>567</v>
      </c>
      <c r="AA319" s="7">
        <f t="shared" si="82"/>
        <v>0</v>
      </c>
      <c r="AB319" s="7" t="str">
        <f t="shared" si="83"/>
        <v/>
      </c>
      <c r="AC319" s="7">
        <f t="shared" si="84"/>
        <v>0</v>
      </c>
      <c r="AD319" s="7" t="str">
        <f t="shared" si="85"/>
        <v/>
      </c>
      <c r="AE319" s="6">
        <f t="shared" si="86"/>
        <v>0</v>
      </c>
      <c r="AF319" s="69">
        <f t="shared" si="87"/>
        <v>3.0187845990794959</v>
      </c>
      <c r="AG319" s="6">
        <f t="shared" si="88"/>
        <v>268.67182931807514</v>
      </c>
      <c r="AH319" s="6">
        <f t="shared" si="89"/>
        <v>37</v>
      </c>
    </row>
    <row r="320" spans="8:34" x14ac:dyDescent="0.25">
      <c r="H320" s="7">
        <v>327</v>
      </c>
      <c r="I320" s="7" t="s">
        <v>13</v>
      </c>
      <c r="J320" s="8">
        <v>39002</v>
      </c>
      <c r="K320" s="12" t="s">
        <v>17</v>
      </c>
      <c r="L320" s="9">
        <v>7</v>
      </c>
      <c r="M320" s="10">
        <v>22.668540241379059</v>
      </c>
      <c r="N320" s="7" t="s">
        <v>21</v>
      </c>
      <c r="P320" s="29" t="str">
        <f t="shared" si="72"/>
        <v/>
      </c>
      <c r="Q320" s="29" t="str">
        <f t="shared" si="73"/>
        <v/>
      </c>
      <c r="R320" s="29" t="str">
        <f t="shared" si="74"/>
        <v/>
      </c>
      <c r="S320" s="29" t="str">
        <f t="shared" si="75"/>
        <v/>
      </c>
      <c r="T320" s="32" t="str">
        <f t="shared" si="76"/>
        <v/>
      </c>
      <c r="U320" s="32" t="str">
        <f t="shared" si="79"/>
        <v/>
      </c>
      <c r="V320" s="32">
        <f t="shared" si="80"/>
        <v>1</v>
      </c>
      <c r="W320" s="41">
        <f t="shared" si="77"/>
        <v>3.23836289162558</v>
      </c>
      <c r="X320" s="6">
        <f t="shared" si="78"/>
        <v>0</v>
      </c>
      <c r="Y320" s="7">
        <f t="shared" si="81"/>
        <v>567</v>
      </c>
      <c r="AA320" s="7">
        <f t="shared" si="82"/>
        <v>0</v>
      </c>
      <c r="AB320" s="7" t="str">
        <f t="shared" si="83"/>
        <v/>
      </c>
      <c r="AC320" s="7">
        <f t="shared" si="84"/>
        <v>0</v>
      </c>
      <c r="AD320" s="7" t="str">
        <f t="shared" si="85"/>
        <v/>
      </c>
      <c r="AE320" s="6">
        <f t="shared" si="86"/>
        <v>0</v>
      </c>
      <c r="AF320" s="69">
        <f t="shared" si="87"/>
        <v>3.23836289162558</v>
      </c>
      <c r="AG320" s="6">
        <f t="shared" si="88"/>
        <v>0</v>
      </c>
      <c r="AH320" s="6">
        <f t="shared" si="89"/>
        <v>604</v>
      </c>
    </row>
    <row r="321" spans="8:34" x14ac:dyDescent="0.25">
      <c r="H321" s="7">
        <v>328</v>
      </c>
      <c r="I321" s="7" t="s">
        <v>8</v>
      </c>
      <c r="J321" s="8">
        <v>38177</v>
      </c>
      <c r="K321" s="12" t="s">
        <v>18</v>
      </c>
      <c r="L321" s="9">
        <v>68</v>
      </c>
      <c r="M321" s="10">
        <v>205.75644454699685</v>
      </c>
      <c r="N321" s="7" t="s">
        <v>21</v>
      </c>
      <c r="P321" s="29" t="str">
        <f t="shared" si="72"/>
        <v/>
      </c>
      <c r="Q321" s="29" t="str">
        <f t="shared" si="73"/>
        <v/>
      </c>
      <c r="R321" s="29">
        <f t="shared" si="74"/>
        <v>1</v>
      </c>
      <c r="S321" s="29" t="str">
        <f t="shared" si="75"/>
        <v/>
      </c>
      <c r="T321" s="32" t="str">
        <f t="shared" si="76"/>
        <v/>
      </c>
      <c r="U321" s="32" t="str">
        <f t="shared" si="79"/>
        <v/>
      </c>
      <c r="V321" s="32" t="str">
        <f t="shared" si="80"/>
        <v/>
      </c>
      <c r="W321" s="41">
        <f t="shared" si="77"/>
        <v>3.0258300668676008</v>
      </c>
      <c r="X321" s="6">
        <f t="shared" si="78"/>
        <v>0</v>
      </c>
      <c r="Y321" s="7">
        <f t="shared" si="81"/>
        <v>567</v>
      </c>
      <c r="AA321" s="7">
        <f t="shared" si="82"/>
        <v>0</v>
      </c>
      <c r="AB321" s="7" t="str">
        <f t="shared" si="83"/>
        <v/>
      </c>
      <c r="AC321" s="7">
        <f t="shared" si="84"/>
        <v>0</v>
      </c>
      <c r="AD321" s="7" t="str">
        <f t="shared" si="85"/>
        <v/>
      </c>
      <c r="AE321" s="6">
        <f t="shared" si="86"/>
        <v>0</v>
      </c>
      <c r="AF321" s="69">
        <f t="shared" si="87"/>
        <v>3.0258300668676008</v>
      </c>
      <c r="AG321" s="6">
        <f t="shared" si="88"/>
        <v>205.75644454699685</v>
      </c>
      <c r="AH321" s="6">
        <f t="shared" si="89"/>
        <v>164</v>
      </c>
    </row>
    <row r="322" spans="8:34" x14ac:dyDescent="0.25">
      <c r="H322" s="7">
        <v>329</v>
      </c>
      <c r="I322" s="7" t="s">
        <v>13</v>
      </c>
      <c r="J322" s="8">
        <v>38639</v>
      </c>
      <c r="K322" s="12" t="s">
        <v>16</v>
      </c>
      <c r="L322" s="9">
        <v>38</v>
      </c>
      <c r="M322" s="10">
        <v>116.14288251700734</v>
      </c>
      <c r="N322" s="7" t="s">
        <v>23</v>
      </c>
      <c r="P322" s="29" t="str">
        <f t="shared" si="72"/>
        <v/>
      </c>
      <c r="Q322" s="29" t="str">
        <f t="shared" si="73"/>
        <v/>
      </c>
      <c r="R322" s="29" t="str">
        <f t="shared" si="74"/>
        <v/>
      </c>
      <c r="S322" s="29" t="str">
        <f t="shared" si="75"/>
        <v/>
      </c>
      <c r="T322" s="32">
        <f t="shared" si="76"/>
        <v>1</v>
      </c>
      <c r="U322" s="32">
        <f t="shared" si="79"/>
        <v>1</v>
      </c>
      <c r="V322" s="32" t="str">
        <f t="shared" si="80"/>
        <v/>
      </c>
      <c r="W322" s="41">
        <f t="shared" si="77"/>
        <v>3.0563916451844038</v>
      </c>
      <c r="X322" s="6">
        <f t="shared" si="78"/>
        <v>116.14288251700734</v>
      </c>
      <c r="Y322" s="7">
        <f t="shared" si="81"/>
        <v>324</v>
      </c>
      <c r="AA322" s="7">
        <f t="shared" si="82"/>
        <v>0</v>
      </c>
      <c r="AB322" s="7" t="str">
        <f t="shared" si="83"/>
        <v/>
      </c>
      <c r="AC322" s="7">
        <f t="shared" si="84"/>
        <v>1</v>
      </c>
      <c r="AD322" s="7">
        <f t="shared" si="85"/>
        <v>38</v>
      </c>
      <c r="AE322" s="6">
        <f t="shared" si="86"/>
        <v>0</v>
      </c>
      <c r="AF322" s="69">
        <f t="shared" si="87"/>
        <v>3.0563916451844038</v>
      </c>
      <c r="AG322" s="6">
        <f t="shared" si="88"/>
        <v>0</v>
      </c>
      <c r="AH322" s="6">
        <f t="shared" si="89"/>
        <v>604</v>
      </c>
    </row>
    <row r="323" spans="8:34" x14ac:dyDescent="0.25">
      <c r="H323" s="7">
        <v>330</v>
      </c>
      <c r="I323" s="7" t="s">
        <v>15</v>
      </c>
      <c r="J323" s="8">
        <v>38012</v>
      </c>
      <c r="K323" s="12" t="s">
        <v>16</v>
      </c>
      <c r="L323" s="9">
        <v>90</v>
      </c>
      <c r="M323" s="10">
        <v>271.3332095451583</v>
      </c>
      <c r="N323" s="7" t="s">
        <v>22</v>
      </c>
      <c r="P323" s="29">
        <f t="shared" ref="P323:P386" si="90">IF(AND((MONTH(J323))&lt;4,YEAR(J323)=2004),1,"")</f>
        <v>1</v>
      </c>
      <c r="Q323" s="29" t="str">
        <f t="shared" ref="Q323:Q386" si="91">IF(AND(3&lt;(MONTH(J323)),(MONTH(J323)&lt;7),YEAR(J323)=2004),1,"")</f>
        <v/>
      </c>
      <c r="R323" s="29" t="str">
        <f t="shared" ref="R323:R386" si="92">IF(AND(6&lt;(MONTH(J323)),(MONTH(J323)&lt;10),YEAR(J323)=2004),1,"")</f>
        <v/>
      </c>
      <c r="S323" s="29" t="str">
        <f t="shared" ref="S323:S386" si="93">IF(AND(9&lt;(MONTH(J323)),(MONTH(J323)&lt;13),YEAR(J323)=2004),1,"")</f>
        <v/>
      </c>
      <c r="T323" s="32" t="str">
        <f t="shared" ref="T323:T386" si="94">IF(AND((9&lt;MONTH(J323)),YEAR(J323)=2005),1,"")</f>
        <v/>
      </c>
      <c r="U323" s="32" t="str">
        <f t="shared" si="79"/>
        <v/>
      </c>
      <c r="V323" s="32" t="str">
        <f t="shared" si="80"/>
        <v/>
      </c>
      <c r="W323" s="41">
        <f t="shared" ref="W323:W386" si="95">IF(L323&gt;0,M323/L323,"")</f>
        <v>3.0148134393906476</v>
      </c>
      <c r="X323" s="6">
        <f t="shared" ref="X323:X386" si="96">IF(U323=1,M323,0)</f>
        <v>0</v>
      </c>
      <c r="Y323" s="7">
        <f t="shared" si="81"/>
        <v>567</v>
      </c>
      <c r="AA323" s="7">
        <f t="shared" si="82"/>
        <v>0</v>
      </c>
      <c r="AB323" s="7" t="str">
        <f t="shared" si="83"/>
        <v/>
      </c>
      <c r="AC323" s="7">
        <f t="shared" si="84"/>
        <v>0</v>
      </c>
      <c r="AD323" s="7" t="str">
        <f t="shared" si="85"/>
        <v/>
      </c>
      <c r="AE323" s="6">
        <f t="shared" si="86"/>
        <v>0</v>
      </c>
      <c r="AF323" s="69">
        <f t="shared" si="87"/>
        <v>3.0148134393906476</v>
      </c>
      <c r="AG323" s="6">
        <f t="shared" si="88"/>
        <v>271.3332095451583</v>
      </c>
      <c r="AH323" s="6">
        <f t="shared" si="89"/>
        <v>32</v>
      </c>
    </row>
    <row r="324" spans="8:34" x14ac:dyDescent="0.25">
      <c r="H324" s="7">
        <v>331</v>
      </c>
      <c r="I324" s="7" t="s">
        <v>15</v>
      </c>
      <c r="J324" s="8">
        <v>38210</v>
      </c>
      <c r="K324" s="12" t="s">
        <v>16</v>
      </c>
      <c r="L324" s="9">
        <v>10</v>
      </c>
      <c r="M324" s="10">
        <v>31.740063454597557</v>
      </c>
      <c r="N324" s="7" t="s">
        <v>23</v>
      </c>
      <c r="P324" s="29" t="str">
        <f t="shared" si="90"/>
        <v/>
      </c>
      <c r="Q324" s="29" t="str">
        <f t="shared" si="91"/>
        <v/>
      </c>
      <c r="R324" s="29">
        <f t="shared" si="92"/>
        <v>1</v>
      </c>
      <c r="S324" s="29" t="str">
        <f t="shared" si="93"/>
        <v/>
      </c>
      <c r="T324" s="32" t="str">
        <f t="shared" si="94"/>
        <v/>
      </c>
      <c r="U324" s="32" t="str">
        <f t="shared" ref="U324:U387" si="97">IF(YEAR(J324)=2005,1,"")</f>
        <v/>
      </c>
      <c r="V324" s="32" t="str">
        <f t="shared" ref="V324:V387" si="98">IF(YEAR(J324)=2006,1,"")</f>
        <v/>
      </c>
      <c r="W324" s="41">
        <f t="shared" si="95"/>
        <v>3.1740063454597558</v>
      </c>
      <c r="X324" s="6">
        <f t="shared" si="96"/>
        <v>0</v>
      </c>
      <c r="Y324" s="7">
        <f t="shared" ref="Y324:Y387" si="99">RANK(X324,$X$3:$X$1893)</f>
        <v>567</v>
      </c>
      <c r="AA324" s="7">
        <f t="shared" ref="AA324:AA387" si="100">IF(AND(OR((MONTH(J324))=1,(MONTH(J324))=2,(MONTH(J324))=3,(MONTH(J324))=7,(MONTH(J324))=8,(MONTH(J324))=9),YEAR(J324)=2005),1,0)</f>
        <v>0</v>
      </c>
      <c r="AB324" s="7" t="str">
        <f t="shared" ref="AB324:AB387" si="101">IF(AA324=1,L324,"")</f>
        <v/>
      </c>
      <c r="AC324" s="7">
        <f t="shared" ref="AC324:AC387" si="102">IF(AND(OR((MONTH(J324))=4,(MONTH(J324))=5,(MONTH(J324))=6,(MONTH(J324))=10,(MONTH(J324))=11,(MONTH(J324))=12),YEAR(J324)=2005),1,0)</f>
        <v>0</v>
      </c>
      <c r="AD324" s="7" t="str">
        <f t="shared" ref="AD324:AD387" si="103">IF(AC324=1,L324,"")</f>
        <v/>
      </c>
      <c r="AE324" s="6">
        <f t="shared" ref="AE324:AE387" si="104">IF(L324&lt;0,L324,0)</f>
        <v>0</v>
      </c>
      <c r="AF324" s="69">
        <f t="shared" ref="AF324:AF387" si="105">IF(L324&gt;0,W324,"")</f>
        <v>3.1740063454597558</v>
      </c>
      <c r="AG324" s="6">
        <f t="shared" ref="AG324:AG387" si="106">IF(AND((M324&gt;0),(YEAR(J324)=2004)),M324,0)</f>
        <v>31.740063454597557</v>
      </c>
      <c r="AH324" s="6">
        <f t="shared" ref="AH324:AH387" si="107">RANK(AG324,$AG$3:$AG$1893)</f>
        <v>531</v>
      </c>
    </row>
    <row r="325" spans="8:34" x14ac:dyDescent="0.25">
      <c r="H325" s="7">
        <v>332</v>
      </c>
      <c r="I325" s="7" t="s">
        <v>12</v>
      </c>
      <c r="J325" s="8">
        <v>39024</v>
      </c>
      <c r="K325" s="12" t="s">
        <v>18</v>
      </c>
      <c r="L325" s="9">
        <v>13</v>
      </c>
      <c r="M325" s="10">
        <v>40.182824201163783</v>
      </c>
      <c r="N325" s="7" t="s">
        <v>24</v>
      </c>
      <c r="P325" s="29" t="str">
        <f t="shared" si="90"/>
        <v/>
      </c>
      <c r="Q325" s="29" t="str">
        <f t="shared" si="91"/>
        <v/>
      </c>
      <c r="R325" s="29" t="str">
        <f t="shared" si="92"/>
        <v/>
      </c>
      <c r="S325" s="29" t="str">
        <f t="shared" si="93"/>
        <v/>
      </c>
      <c r="T325" s="32" t="str">
        <f t="shared" si="94"/>
        <v/>
      </c>
      <c r="U325" s="32" t="str">
        <f t="shared" si="97"/>
        <v/>
      </c>
      <c r="V325" s="32">
        <f t="shared" si="98"/>
        <v>1</v>
      </c>
      <c r="W325" s="41">
        <f t="shared" si="95"/>
        <v>3.0909864770125988</v>
      </c>
      <c r="X325" s="6">
        <f t="shared" si="96"/>
        <v>0</v>
      </c>
      <c r="Y325" s="7">
        <f t="shared" si="99"/>
        <v>567</v>
      </c>
      <c r="AA325" s="7">
        <f t="shared" si="100"/>
        <v>0</v>
      </c>
      <c r="AB325" s="7" t="str">
        <f t="shared" si="101"/>
        <v/>
      </c>
      <c r="AC325" s="7">
        <f t="shared" si="102"/>
        <v>0</v>
      </c>
      <c r="AD325" s="7" t="str">
        <f t="shared" si="103"/>
        <v/>
      </c>
      <c r="AE325" s="6">
        <f t="shared" si="104"/>
        <v>0</v>
      </c>
      <c r="AF325" s="69">
        <f t="shared" si="105"/>
        <v>3.0909864770125988</v>
      </c>
      <c r="AG325" s="6">
        <f t="shared" si="106"/>
        <v>0</v>
      </c>
      <c r="AH325" s="6">
        <f t="shared" si="107"/>
        <v>604</v>
      </c>
    </row>
    <row r="326" spans="8:34" x14ac:dyDescent="0.25">
      <c r="H326" s="7">
        <v>333</v>
      </c>
      <c r="I326" s="7" t="s">
        <v>14</v>
      </c>
      <c r="J326" s="8">
        <v>38155</v>
      </c>
      <c r="K326" s="12" t="s">
        <v>17</v>
      </c>
      <c r="L326" s="9">
        <v>68</v>
      </c>
      <c r="M326" s="10">
        <v>206.37862292228638</v>
      </c>
      <c r="N326" s="7" t="s">
        <v>23</v>
      </c>
      <c r="P326" s="29" t="str">
        <f t="shared" si="90"/>
        <v/>
      </c>
      <c r="Q326" s="29">
        <f t="shared" si="91"/>
        <v>1</v>
      </c>
      <c r="R326" s="29" t="str">
        <f t="shared" si="92"/>
        <v/>
      </c>
      <c r="S326" s="29" t="str">
        <f t="shared" si="93"/>
        <v/>
      </c>
      <c r="T326" s="32" t="str">
        <f t="shared" si="94"/>
        <v/>
      </c>
      <c r="U326" s="32" t="str">
        <f t="shared" si="97"/>
        <v/>
      </c>
      <c r="V326" s="32" t="str">
        <f t="shared" si="98"/>
        <v/>
      </c>
      <c r="W326" s="41">
        <f t="shared" si="95"/>
        <v>3.0349797488571526</v>
      </c>
      <c r="X326" s="6">
        <f t="shared" si="96"/>
        <v>0</v>
      </c>
      <c r="Y326" s="7">
        <f t="shared" si="99"/>
        <v>567</v>
      </c>
      <c r="AA326" s="7">
        <f t="shared" si="100"/>
        <v>0</v>
      </c>
      <c r="AB326" s="7" t="str">
        <f t="shared" si="101"/>
        <v/>
      </c>
      <c r="AC326" s="7">
        <f t="shared" si="102"/>
        <v>0</v>
      </c>
      <c r="AD326" s="7" t="str">
        <f t="shared" si="103"/>
        <v/>
      </c>
      <c r="AE326" s="6">
        <f t="shared" si="104"/>
        <v>0</v>
      </c>
      <c r="AF326" s="69">
        <f t="shared" si="105"/>
        <v>3.0349797488571526</v>
      </c>
      <c r="AG326" s="6">
        <f t="shared" si="106"/>
        <v>206.37862292228638</v>
      </c>
      <c r="AH326" s="6">
        <f t="shared" si="107"/>
        <v>161</v>
      </c>
    </row>
    <row r="327" spans="8:34" x14ac:dyDescent="0.25">
      <c r="H327" s="7">
        <v>334</v>
      </c>
      <c r="I327" s="7" t="s">
        <v>10</v>
      </c>
      <c r="J327" s="8">
        <v>38144</v>
      </c>
      <c r="K327" s="12" t="s">
        <v>18</v>
      </c>
      <c r="L327" s="9">
        <v>40</v>
      </c>
      <c r="M327" s="10">
        <v>122.17079112578179</v>
      </c>
      <c r="N327" s="7" t="s">
        <v>21</v>
      </c>
      <c r="P327" s="29" t="str">
        <f t="shared" si="90"/>
        <v/>
      </c>
      <c r="Q327" s="29">
        <f t="shared" si="91"/>
        <v>1</v>
      </c>
      <c r="R327" s="29" t="str">
        <f t="shared" si="92"/>
        <v/>
      </c>
      <c r="S327" s="29" t="str">
        <f t="shared" si="93"/>
        <v/>
      </c>
      <c r="T327" s="32" t="str">
        <f t="shared" si="94"/>
        <v/>
      </c>
      <c r="U327" s="32" t="str">
        <f t="shared" si="97"/>
        <v/>
      </c>
      <c r="V327" s="32" t="str">
        <f t="shared" si="98"/>
        <v/>
      </c>
      <c r="W327" s="41">
        <f t="shared" si="95"/>
        <v>3.0542697781445449</v>
      </c>
      <c r="X327" s="6">
        <f t="shared" si="96"/>
        <v>0</v>
      </c>
      <c r="Y327" s="7">
        <f t="shared" si="99"/>
        <v>567</v>
      </c>
      <c r="AA327" s="7">
        <f t="shared" si="100"/>
        <v>0</v>
      </c>
      <c r="AB327" s="7" t="str">
        <f t="shared" si="101"/>
        <v/>
      </c>
      <c r="AC327" s="7">
        <f t="shared" si="102"/>
        <v>0</v>
      </c>
      <c r="AD327" s="7" t="str">
        <f t="shared" si="103"/>
        <v/>
      </c>
      <c r="AE327" s="6">
        <f t="shared" si="104"/>
        <v>0</v>
      </c>
      <c r="AF327" s="69">
        <f t="shared" si="105"/>
        <v>3.0542697781445449</v>
      </c>
      <c r="AG327" s="6">
        <f t="shared" si="106"/>
        <v>122.17079112578179</v>
      </c>
      <c r="AH327" s="6">
        <f t="shared" si="107"/>
        <v>328</v>
      </c>
    </row>
    <row r="328" spans="8:34" x14ac:dyDescent="0.25">
      <c r="H328" s="7">
        <v>335</v>
      </c>
      <c r="I328" s="7" t="s">
        <v>14</v>
      </c>
      <c r="J328" s="8">
        <v>38507</v>
      </c>
      <c r="K328" s="12" t="s">
        <v>18</v>
      </c>
      <c r="L328" s="9">
        <v>17</v>
      </c>
      <c r="M328" s="10">
        <v>52.575815801836917</v>
      </c>
      <c r="N328" s="7" t="s">
        <v>23</v>
      </c>
      <c r="P328" s="29" t="str">
        <f t="shared" si="90"/>
        <v/>
      </c>
      <c r="Q328" s="29" t="str">
        <f t="shared" si="91"/>
        <v/>
      </c>
      <c r="R328" s="29" t="str">
        <f t="shared" si="92"/>
        <v/>
      </c>
      <c r="S328" s="29" t="str">
        <f t="shared" si="93"/>
        <v/>
      </c>
      <c r="T328" s="32" t="str">
        <f t="shared" si="94"/>
        <v/>
      </c>
      <c r="U328" s="32">
        <f t="shared" si="97"/>
        <v>1</v>
      </c>
      <c r="V328" s="32" t="str">
        <f t="shared" si="98"/>
        <v/>
      </c>
      <c r="W328" s="41">
        <f t="shared" si="95"/>
        <v>3.0926950471668775</v>
      </c>
      <c r="X328" s="6">
        <f t="shared" si="96"/>
        <v>52.575815801836917</v>
      </c>
      <c r="Y328" s="7">
        <f t="shared" si="99"/>
        <v>458</v>
      </c>
      <c r="AA328" s="7">
        <f t="shared" si="100"/>
        <v>0</v>
      </c>
      <c r="AB328" s="7" t="str">
        <f t="shared" si="101"/>
        <v/>
      </c>
      <c r="AC328" s="7">
        <f t="shared" si="102"/>
        <v>1</v>
      </c>
      <c r="AD328" s="7">
        <f t="shared" si="103"/>
        <v>17</v>
      </c>
      <c r="AE328" s="6">
        <f t="shared" si="104"/>
        <v>0</v>
      </c>
      <c r="AF328" s="69">
        <f t="shared" si="105"/>
        <v>3.0926950471668775</v>
      </c>
      <c r="AG328" s="6">
        <f t="shared" si="106"/>
        <v>0</v>
      </c>
      <c r="AH328" s="6">
        <f t="shared" si="107"/>
        <v>604</v>
      </c>
    </row>
    <row r="329" spans="8:34" x14ac:dyDescent="0.25">
      <c r="H329" s="7">
        <v>336</v>
      </c>
      <c r="I329" s="7" t="s">
        <v>12</v>
      </c>
      <c r="J329" s="8">
        <v>38320</v>
      </c>
      <c r="K329" s="12" t="s">
        <v>18</v>
      </c>
      <c r="L329" s="9">
        <v>6</v>
      </c>
      <c r="M329" s="10">
        <v>19.233532374060513</v>
      </c>
      <c r="N329" s="7" t="s">
        <v>23</v>
      </c>
      <c r="P329" s="29" t="str">
        <f t="shared" si="90"/>
        <v/>
      </c>
      <c r="Q329" s="29" t="str">
        <f t="shared" si="91"/>
        <v/>
      </c>
      <c r="R329" s="29" t="str">
        <f t="shared" si="92"/>
        <v/>
      </c>
      <c r="S329" s="29">
        <f t="shared" si="93"/>
        <v>1</v>
      </c>
      <c r="T329" s="32" t="str">
        <f t="shared" si="94"/>
        <v/>
      </c>
      <c r="U329" s="32" t="str">
        <f t="shared" si="97"/>
        <v/>
      </c>
      <c r="V329" s="32" t="str">
        <f t="shared" si="98"/>
        <v/>
      </c>
      <c r="W329" s="41">
        <f t="shared" si="95"/>
        <v>3.2055887290100853</v>
      </c>
      <c r="X329" s="6">
        <f t="shared" si="96"/>
        <v>0</v>
      </c>
      <c r="Y329" s="7">
        <f t="shared" si="99"/>
        <v>567</v>
      </c>
      <c r="AA329" s="7">
        <f t="shared" si="100"/>
        <v>0</v>
      </c>
      <c r="AB329" s="7" t="str">
        <f t="shared" si="101"/>
        <v/>
      </c>
      <c r="AC329" s="7">
        <f t="shared" si="102"/>
        <v>0</v>
      </c>
      <c r="AD329" s="7" t="str">
        <f t="shared" si="103"/>
        <v/>
      </c>
      <c r="AE329" s="6">
        <f t="shared" si="104"/>
        <v>0</v>
      </c>
      <c r="AF329" s="69">
        <f t="shared" si="105"/>
        <v>3.2055887290100853</v>
      </c>
      <c r="AG329" s="6">
        <f t="shared" si="106"/>
        <v>19.233532374060513</v>
      </c>
      <c r="AH329" s="6">
        <f t="shared" si="107"/>
        <v>566</v>
      </c>
    </row>
    <row r="330" spans="8:34" x14ac:dyDescent="0.25">
      <c r="H330" s="7">
        <v>337</v>
      </c>
      <c r="I330" s="7" t="s">
        <v>12</v>
      </c>
      <c r="J330" s="8">
        <v>38848</v>
      </c>
      <c r="K330" s="12" t="s">
        <v>18</v>
      </c>
      <c r="L330" s="9">
        <v>27</v>
      </c>
      <c r="M330" s="10">
        <v>83.786086457485794</v>
      </c>
      <c r="N330" s="7" t="s">
        <v>23</v>
      </c>
      <c r="P330" s="29" t="str">
        <f t="shared" si="90"/>
        <v/>
      </c>
      <c r="Q330" s="29" t="str">
        <f t="shared" si="91"/>
        <v/>
      </c>
      <c r="R330" s="29" t="str">
        <f t="shared" si="92"/>
        <v/>
      </c>
      <c r="S330" s="29" t="str">
        <f t="shared" si="93"/>
        <v/>
      </c>
      <c r="T330" s="32" t="str">
        <f t="shared" si="94"/>
        <v/>
      </c>
      <c r="U330" s="32" t="str">
        <f t="shared" si="97"/>
        <v/>
      </c>
      <c r="V330" s="32">
        <f t="shared" si="98"/>
        <v>1</v>
      </c>
      <c r="W330" s="41">
        <f t="shared" si="95"/>
        <v>3.1031883873142885</v>
      </c>
      <c r="X330" s="6">
        <f t="shared" si="96"/>
        <v>0</v>
      </c>
      <c r="Y330" s="7">
        <f t="shared" si="99"/>
        <v>567</v>
      </c>
      <c r="AA330" s="7">
        <f t="shared" si="100"/>
        <v>0</v>
      </c>
      <c r="AB330" s="7" t="str">
        <f t="shared" si="101"/>
        <v/>
      </c>
      <c r="AC330" s="7">
        <f t="shared" si="102"/>
        <v>0</v>
      </c>
      <c r="AD330" s="7" t="str">
        <f t="shared" si="103"/>
        <v/>
      </c>
      <c r="AE330" s="6">
        <f t="shared" si="104"/>
        <v>0</v>
      </c>
      <c r="AF330" s="69">
        <f t="shared" si="105"/>
        <v>3.1031883873142885</v>
      </c>
      <c r="AG330" s="6">
        <f t="shared" si="106"/>
        <v>0</v>
      </c>
      <c r="AH330" s="6">
        <f t="shared" si="107"/>
        <v>604</v>
      </c>
    </row>
    <row r="331" spans="8:34" x14ac:dyDescent="0.25">
      <c r="H331" s="7">
        <v>338</v>
      </c>
      <c r="I331" s="7" t="s">
        <v>10</v>
      </c>
      <c r="J331" s="8">
        <v>38925</v>
      </c>
      <c r="K331" s="12" t="s">
        <v>18</v>
      </c>
      <c r="L331" s="9">
        <v>80</v>
      </c>
      <c r="M331" s="10">
        <v>242.1940649977725</v>
      </c>
      <c r="N331" s="7" t="s">
        <v>22</v>
      </c>
      <c r="P331" s="29" t="str">
        <f t="shared" si="90"/>
        <v/>
      </c>
      <c r="Q331" s="29" t="str">
        <f t="shared" si="91"/>
        <v/>
      </c>
      <c r="R331" s="29" t="str">
        <f t="shared" si="92"/>
        <v/>
      </c>
      <c r="S331" s="29" t="str">
        <f t="shared" si="93"/>
        <v/>
      </c>
      <c r="T331" s="32" t="str">
        <f t="shared" si="94"/>
        <v/>
      </c>
      <c r="U331" s="32" t="str">
        <f t="shared" si="97"/>
        <v/>
      </c>
      <c r="V331" s="32">
        <f t="shared" si="98"/>
        <v>1</v>
      </c>
      <c r="W331" s="41">
        <f t="shared" si="95"/>
        <v>3.0274258124721563</v>
      </c>
      <c r="X331" s="6">
        <f t="shared" si="96"/>
        <v>0</v>
      </c>
      <c r="Y331" s="7">
        <f t="shared" si="99"/>
        <v>567</v>
      </c>
      <c r="AA331" s="7">
        <f t="shared" si="100"/>
        <v>0</v>
      </c>
      <c r="AB331" s="7" t="str">
        <f t="shared" si="101"/>
        <v/>
      </c>
      <c r="AC331" s="7">
        <f t="shared" si="102"/>
        <v>0</v>
      </c>
      <c r="AD331" s="7" t="str">
        <f t="shared" si="103"/>
        <v/>
      </c>
      <c r="AE331" s="6">
        <f t="shared" si="104"/>
        <v>0</v>
      </c>
      <c r="AF331" s="69">
        <f t="shared" si="105"/>
        <v>3.0274258124721563</v>
      </c>
      <c r="AG331" s="6">
        <f t="shared" si="106"/>
        <v>0</v>
      </c>
      <c r="AH331" s="6">
        <f t="shared" si="107"/>
        <v>604</v>
      </c>
    </row>
    <row r="332" spans="8:34" x14ac:dyDescent="0.25">
      <c r="H332" s="7">
        <v>339</v>
      </c>
      <c r="I332" s="7" t="s">
        <v>11</v>
      </c>
      <c r="J332" s="8">
        <v>38210</v>
      </c>
      <c r="K332" s="12" t="s">
        <v>20</v>
      </c>
      <c r="L332" s="9">
        <v>-1</v>
      </c>
      <c r="M332" s="10">
        <v>-0.92679798413568193</v>
      </c>
      <c r="N332" s="7" t="s">
        <v>23</v>
      </c>
      <c r="P332" s="29" t="str">
        <f t="shared" si="90"/>
        <v/>
      </c>
      <c r="Q332" s="29" t="str">
        <f t="shared" si="91"/>
        <v/>
      </c>
      <c r="R332" s="29">
        <f t="shared" si="92"/>
        <v>1</v>
      </c>
      <c r="S332" s="29" t="str">
        <f t="shared" si="93"/>
        <v/>
      </c>
      <c r="T332" s="32" t="str">
        <f t="shared" si="94"/>
        <v/>
      </c>
      <c r="U332" s="32" t="str">
        <f t="shared" si="97"/>
        <v/>
      </c>
      <c r="V332" s="32" t="str">
        <f t="shared" si="98"/>
        <v/>
      </c>
      <c r="W332" s="41" t="str">
        <f t="shared" si="95"/>
        <v/>
      </c>
      <c r="X332" s="6">
        <f t="shared" si="96"/>
        <v>0</v>
      </c>
      <c r="Y332" s="7">
        <f t="shared" si="99"/>
        <v>567</v>
      </c>
      <c r="AA332" s="7">
        <f t="shared" si="100"/>
        <v>0</v>
      </c>
      <c r="AB332" s="7" t="str">
        <f t="shared" si="101"/>
        <v/>
      </c>
      <c r="AC332" s="7">
        <f t="shared" si="102"/>
        <v>0</v>
      </c>
      <c r="AD332" s="7" t="str">
        <f t="shared" si="103"/>
        <v/>
      </c>
      <c r="AE332" s="6">
        <f t="shared" si="104"/>
        <v>-1</v>
      </c>
      <c r="AF332" s="69" t="str">
        <f t="shared" si="105"/>
        <v/>
      </c>
      <c r="AG332" s="6">
        <f t="shared" si="106"/>
        <v>0</v>
      </c>
      <c r="AH332" s="6">
        <f t="shared" si="107"/>
        <v>604</v>
      </c>
    </row>
    <row r="333" spans="8:34" x14ac:dyDescent="0.25">
      <c r="H333" s="7">
        <v>340</v>
      </c>
      <c r="I333" s="7" t="s">
        <v>8</v>
      </c>
      <c r="J333" s="8">
        <v>38804</v>
      </c>
      <c r="K333" s="12" t="s">
        <v>20</v>
      </c>
      <c r="L333" s="9">
        <v>89</v>
      </c>
      <c r="M333" s="10">
        <v>269.26351673512869</v>
      </c>
      <c r="N333" s="7" t="s">
        <v>21</v>
      </c>
      <c r="P333" s="29" t="str">
        <f t="shared" si="90"/>
        <v/>
      </c>
      <c r="Q333" s="29" t="str">
        <f t="shared" si="91"/>
        <v/>
      </c>
      <c r="R333" s="29" t="str">
        <f t="shared" si="92"/>
        <v/>
      </c>
      <c r="S333" s="29" t="str">
        <f t="shared" si="93"/>
        <v/>
      </c>
      <c r="T333" s="32" t="str">
        <f t="shared" si="94"/>
        <v/>
      </c>
      <c r="U333" s="32" t="str">
        <f t="shared" si="97"/>
        <v/>
      </c>
      <c r="V333" s="32">
        <f t="shared" si="98"/>
        <v>1</v>
      </c>
      <c r="W333" s="41">
        <f t="shared" si="95"/>
        <v>3.0254327723048169</v>
      </c>
      <c r="X333" s="6">
        <f t="shared" si="96"/>
        <v>0</v>
      </c>
      <c r="Y333" s="7">
        <f t="shared" si="99"/>
        <v>567</v>
      </c>
      <c r="AA333" s="7">
        <f t="shared" si="100"/>
        <v>0</v>
      </c>
      <c r="AB333" s="7" t="str">
        <f t="shared" si="101"/>
        <v/>
      </c>
      <c r="AC333" s="7">
        <f t="shared" si="102"/>
        <v>0</v>
      </c>
      <c r="AD333" s="7" t="str">
        <f t="shared" si="103"/>
        <v/>
      </c>
      <c r="AE333" s="6">
        <f t="shared" si="104"/>
        <v>0</v>
      </c>
      <c r="AF333" s="69">
        <f t="shared" si="105"/>
        <v>3.0254327723048169</v>
      </c>
      <c r="AG333" s="6">
        <f t="shared" si="106"/>
        <v>0</v>
      </c>
      <c r="AH333" s="6">
        <f t="shared" si="107"/>
        <v>604</v>
      </c>
    </row>
    <row r="334" spans="8:34" x14ac:dyDescent="0.25">
      <c r="H334" s="7">
        <v>341</v>
      </c>
      <c r="I334" s="7" t="s">
        <v>8</v>
      </c>
      <c r="J334" s="8">
        <v>38441</v>
      </c>
      <c r="K334" s="12" t="s">
        <v>16</v>
      </c>
      <c r="L334" s="9">
        <v>21</v>
      </c>
      <c r="M334" s="10">
        <v>65.224154633884041</v>
      </c>
      <c r="N334" s="7" t="s">
        <v>22</v>
      </c>
      <c r="P334" s="29" t="str">
        <f t="shared" si="90"/>
        <v/>
      </c>
      <c r="Q334" s="29" t="str">
        <f t="shared" si="91"/>
        <v/>
      </c>
      <c r="R334" s="29" t="str">
        <f t="shared" si="92"/>
        <v/>
      </c>
      <c r="S334" s="29" t="str">
        <f t="shared" si="93"/>
        <v/>
      </c>
      <c r="T334" s="32" t="str">
        <f t="shared" si="94"/>
        <v/>
      </c>
      <c r="U334" s="32">
        <f t="shared" si="97"/>
        <v>1</v>
      </c>
      <c r="V334" s="32" t="str">
        <f t="shared" si="98"/>
        <v/>
      </c>
      <c r="W334" s="41">
        <f t="shared" si="95"/>
        <v>3.1059121254230497</v>
      </c>
      <c r="X334" s="6">
        <f t="shared" si="96"/>
        <v>65.224154633884041</v>
      </c>
      <c r="Y334" s="7">
        <f t="shared" si="99"/>
        <v>434</v>
      </c>
      <c r="AA334" s="7">
        <f t="shared" si="100"/>
        <v>1</v>
      </c>
      <c r="AB334" s="7">
        <f t="shared" si="101"/>
        <v>21</v>
      </c>
      <c r="AC334" s="7">
        <f t="shared" si="102"/>
        <v>0</v>
      </c>
      <c r="AD334" s="7" t="str">
        <f t="shared" si="103"/>
        <v/>
      </c>
      <c r="AE334" s="6">
        <f t="shared" si="104"/>
        <v>0</v>
      </c>
      <c r="AF334" s="69">
        <f t="shared" si="105"/>
        <v>3.1059121254230497</v>
      </c>
      <c r="AG334" s="6">
        <f t="shared" si="106"/>
        <v>0</v>
      </c>
      <c r="AH334" s="6">
        <f t="shared" si="107"/>
        <v>604</v>
      </c>
    </row>
    <row r="335" spans="8:34" x14ac:dyDescent="0.25">
      <c r="H335" s="7">
        <v>342</v>
      </c>
      <c r="I335" s="7" t="s">
        <v>12</v>
      </c>
      <c r="J335" s="8">
        <v>39068</v>
      </c>
      <c r="K335" s="12" t="s">
        <v>17</v>
      </c>
      <c r="L335" s="9">
        <v>37</v>
      </c>
      <c r="M335" s="10">
        <v>113.11652988941213</v>
      </c>
      <c r="N335" s="7" t="s">
        <v>24</v>
      </c>
      <c r="P335" s="29" t="str">
        <f t="shared" si="90"/>
        <v/>
      </c>
      <c r="Q335" s="29" t="str">
        <f t="shared" si="91"/>
        <v/>
      </c>
      <c r="R335" s="29" t="str">
        <f t="shared" si="92"/>
        <v/>
      </c>
      <c r="S335" s="29" t="str">
        <f t="shared" si="93"/>
        <v/>
      </c>
      <c r="T335" s="32" t="str">
        <f t="shared" si="94"/>
        <v/>
      </c>
      <c r="U335" s="32" t="str">
        <f t="shared" si="97"/>
        <v/>
      </c>
      <c r="V335" s="32">
        <f t="shared" si="98"/>
        <v>1</v>
      </c>
      <c r="W335" s="41">
        <f t="shared" si="95"/>
        <v>3.0572035105246522</v>
      </c>
      <c r="X335" s="6">
        <f t="shared" si="96"/>
        <v>0</v>
      </c>
      <c r="Y335" s="7">
        <f t="shared" si="99"/>
        <v>567</v>
      </c>
      <c r="AA335" s="7">
        <f t="shared" si="100"/>
        <v>0</v>
      </c>
      <c r="AB335" s="7" t="str">
        <f t="shared" si="101"/>
        <v/>
      </c>
      <c r="AC335" s="7">
        <f t="shared" si="102"/>
        <v>0</v>
      </c>
      <c r="AD335" s="7" t="str">
        <f t="shared" si="103"/>
        <v/>
      </c>
      <c r="AE335" s="6">
        <f t="shared" si="104"/>
        <v>0</v>
      </c>
      <c r="AF335" s="69">
        <f t="shared" si="105"/>
        <v>3.0572035105246522</v>
      </c>
      <c r="AG335" s="6">
        <f t="shared" si="106"/>
        <v>0</v>
      </c>
      <c r="AH335" s="6">
        <f t="shared" si="107"/>
        <v>604</v>
      </c>
    </row>
    <row r="336" spans="8:34" x14ac:dyDescent="0.25">
      <c r="H336" s="7">
        <v>343</v>
      </c>
      <c r="I336" s="7" t="s">
        <v>11</v>
      </c>
      <c r="J336" s="8">
        <v>38397</v>
      </c>
      <c r="K336" s="12" t="s">
        <v>19</v>
      </c>
      <c r="L336" s="9">
        <v>15</v>
      </c>
      <c r="M336" s="10">
        <v>46.637898863261832</v>
      </c>
      <c r="N336" s="7" t="s">
        <v>24</v>
      </c>
      <c r="P336" s="29" t="str">
        <f t="shared" si="90"/>
        <v/>
      </c>
      <c r="Q336" s="29" t="str">
        <f t="shared" si="91"/>
        <v/>
      </c>
      <c r="R336" s="29" t="str">
        <f t="shared" si="92"/>
        <v/>
      </c>
      <c r="S336" s="29" t="str">
        <f t="shared" si="93"/>
        <v/>
      </c>
      <c r="T336" s="32" t="str">
        <f t="shared" si="94"/>
        <v/>
      </c>
      <c r="U336" s="32">
        <f t="shared" si="97"/>
        <v>1</v>
      </c>
      <c r="V336" s="32" t="str">
        <f t="shared" si="98"/>
        <v/>
      </c>
      <c r="W336" s="41">
        <f t="shared" si="95"/>
        <v>3.1091932575507886</v>
      </c>
      <c r="X336" s="6">
        <f t="shared" si="96"/>
        <v>46.637898863261832</v>
      </c>
      <c r="Y336" s="7">
        <f t="shared" si="99"/>
        <v>466</v>
      </c>
      <c r="AA336" s="7">
        <f t="shared" si="100"/>
        <v>1</v>
      </c>
      <c r="AB336" s="7">
        <f t="shared" si="101"/>
        <v>15</v>
      </c>
      <c r="AC336" s="7">
        <f t="shared" si="102"/>
        <v>0</v>
      </c>
      <c r="AD336" s="7" t="str">
        <f t="shared" si="103"/>
        <v/>
      </c>
      <c r="AE336" s="6">
        <f t="shared" si="104"/>
        <v>0</v>
      </c>
      <c r="AF336" s="69">
        <f t="shared" si="105"/>
        <v>3.1091932575507886</v>
      </c>
      <c r="AG336" s="6">
        <f t="shared" si="106"/>
        <v>0</v>
      </c>
      <c r="AH336" s="6">
        <f t="shared" si="107"/>
        <v>604</v>
      </c>
    </row>
    <row r="337" spans="8:34" x14ac:dyDescent="0.25">
      <c r="H337" s="7">
        <v>344</v>
      </c>
      <c r="I337" s="7" t="s">
        <v>9</v>
      </c>
      <c r="J337" s="8">
        <v>38133</v>
      </c>
      <c r="K337" s="12" t="s">
        <v>20</v>
      </c>
      <c r="L337" s="9">
        <v>94</v>
      </c>
      <c r="M337" s="10">
        <v>283.62009758002927</v>
      </c>
      <c r="N337" s="7" t="s">
        <v>22</v>
      </c>
      <c r="P337" s="29" t="str">
        <f t="shared" si="90"/>
        <v/>
      </c>
      <c r="Q337" s="29">
        <f t="shared" si="91"/>
        <v>1</v>
      </c>
      <c r="R337" s="29" t="str">
        <f t="shared" si="92"/>
        <v/>
      </c>
      <c r="S337" s="29" t="str">
        <f t="shared" si="93"/>
        <v/>
      </c>
      <c r="T337" s="32" t="str">
        <f t="shared" si="94"/>
        <v/>
      </c>
      <c r="U337" s="32" t="str">
        <f t="shared" si="97"/>
        <v/>
      </c>
      <c r="V337" s="32" t="str">
        <f t="shared" si="98"/>
        <v/>
      </c>
      <c r="W337" s="41">
        <f t="shared" si="95"/>
        <v>3.017235080638609</v>
      </c>
      <c r="X337" s="6">
        <f t="shared" si="96"/>
        <v>0</v>
      </c>
      <c r="Y337" s="7">
        <f t="shared" si="99"/>
        <v>567</v>
      </c>
      <c r="AA337" s="7">
        <f t="shared" si="100"/>
        <v>0</v>
      </c>
      <c r="AB337" s="7" t="str">
        <f t="shared" si="101"/>
        <v/>
      </c>
      <c r="AC337" s="7">
        <f t="shared" si="102"/>
        <v>0</v>
      </c>
      <c r="AD337" s="7" t="str">
        <f t="shared" si="103"/>
        <v/>
      </c>
      <c r="AE337" s="6">
        <f t="shared" si="104"/>
        <v>0</v>
      </c>
      <c r="AF337" s="69">
        <f t="shared" si="105"/>
        <v>3.017235080638609</v>
      </c>
      <c r="AG337" s="6">
        <f t="shared" si="106"/>
        <v>283.62009758002927</v>
      </c>
      <c r="AH337" s="6">
        <f t="shared" si="107"/>
        <v>13</v>
      </c>
    </row>
    <row r="338" spans="8:34" x14ac:dyDescent="0.25">
      <c r="H338" s="7">
        <v>345</v>
      </c>
      <c r="I338" s="7" t="s">
        <v>15</v>
      </c>
      <c r="J338" s="8">
        <v>38551</v>
      </c>
      <c r="K338" s="12" t="s">
        <v>20</v>
      </c>
      <c r="L338" s="9">
        <v>85</v>
      </c>
      <c r="M338" s="10">
        <v>257.28530472715238</v>
      </c>
      <c r="N338" s="7" t="s">
        <v>21</v>
      </c>
      <c r="P338" s="29" t="str">
        <f t="shared" si="90"/>
        <v/>
      </c>
      <c r="Q338" s="29" t="str">
        <f t="shared" si="91"/>
        <v/>
      </c>
      <c r="R338" s="29" t="str">
        <f t="shared" si="92"/>
        <v/>
      </c>
      <c r="S338" s="29" t="str">
        <f t="shared" si="93"/>
        <v/>
      </c>
      <c r="T338" s="32" t="str">
        <f t="shared" si="94"/>
        <v/>
      </c>
      <c r="U338" s="32">
        <f t="shared" si="97"/>
        <v>1</v>
      </c>
      <c r="V338" s="32" t="str">
        <f t="shared" si="98"/>
        <v/>
      </c>
      <c r="W338" s="41">
        <f t="shared" si="95"/>
        <v>3.0268859379664987</v>
      </c>
      <c r="X338" s="6">
        <f t="shared" si="96"/>
        <v>257.28530472715238</v>
      </c>
      <c r="Y338" s="7">
        <f t="shared" si="99"/>
        <v>63</v>
      </c>
      <c r="AA338" s="7">
        <f t="shared" si="100"/>
        <v>1</v>
      </c>
      <c r="AB338" s="7">
        <f t="shared" si="101"/>
        <v>85</v>
      </c>
      <c r="AC338" s="7">
        <f t="shared" si="102"/>
        <v>0</v>
      </c>
      <c r="AD338" s="7" t="str">
        <f t="shared" si="103"/>
        <v/>
      </c>
      <c r="AE338" s="6">
        <f t="shared" si="104"/>
        <v>0</v>
      </c>
      <c r="AF338" s="69">
        <f t="shared" si="105"/>
        <v>3.0268859379664987</v>
      </c>
      <c r="AG338" s="6">
        <f t="shared" si="106"/>
        <v>0</v>
      </c>
      <c r="AH338" s="6">
        <f t="shared" si="107"/>
        <v>604</v>
      </c>
    </row>
    <row r="339" spans="8:34" x14ac:dyDescent="0.25">
      <c r="H339" s="7">
        <v>346</v>
      </c>
      <c r="I339" s="7" t="s">
        <v>11</v>
      </c>
      <c r="J339" s="8">
        <v>38309</v>
      </c>
      <c r="K339" s="12" t="s">
        <v>17</v>
      </c>
      <c r="L339" s="9">
        <v>95</v>
      </c>
      <c r="M339" s="10">
        <v>286.86402627293558</v>
      </c>
      <c r="N339" s="7" t="s">
        <v>23</v>
      </c>
      <c r="P339" s="29" t="str">
        <f t="shared" si="90"/>
        <v/>
      </c>
      <c r="Q339" s="29" t="str">
        <f t="shared" si="91"/>
        <v/>
      </c>
      <c r="R339" s="29" t="str">
        <f t="shared" si="92"/>
        <v/>
      </c>
      <c r="S339" s="29">
        <f t="shared" si="93"/>
        <v>1</v>
      </c>
      <c r="T339" s="32" t="str">
        <f t="shared" si="94"/>
        <v/>
      </c>
      <c r="U339" s="32" t="str">
        <f t="shared" si="97"/>
        <v/>
      </c>
      <c r="V339" s="32" t="str">
        <f t="shared" si="98"/>
        <v/>
      </c>
      <c r="W339" s="41">
        <f t="shared" si="95"/>
        <v>3.0196213291887957</v>
      </c>
      <c r="X339" s="6">
        <f t="shared" si="96"/>
        <v>0</v>
      </c>
      <c r="Y339" s="7">
        <f t="shared" si="99"/>
        <v>567</v>
      </c>
      <c r="AA339" s="7">
        <f t="shared" si="100"/>
        <v>0</v>
      </c>
      <c r="AB339" s="7" t="str">
        <f t="shared" si="101"/>
        <v/>
      </c>
      <c r="AC339" s="7">
        <f t="shared" si="102"/>
        <v>0</v>
      </c>
      <c r="AD339" s="7" t="str">
        <f t="shared" si="103"/>
        <v/>
      </c>
      <c r="AE339" s="6">
        <f t="shared" si="104"/>
        <v>0</v>
      </c>
      <c r="AF339" s="69">
        <f t="shared" si="105"/>
        <v>3.0196213291887957</v>
      </c>
      <c r="AG339" s="6">
        <f t="shared" si="106"/>
        <v>286.86402627293558</v>
      </c>
      <c r="AH339" s="6">
        <f t="shared" si="107"/>
        <v>3</v>
      </c>
    </row>
    <row r="340" spans="8:34" x14ac:dyDescent="0.25">
      <c r="H340" s="7">
        <v>347</v>
      </c>
      <c r="I340" s="7" t="s">
        <v>13</v>
      </c>
      <c r="J340" s="8">
        <v>38496</v>
      </c>
      <c r="K340" s="12" t="s">
        <v>19</v>
      </c>
      <c r="L340" s="9">
        <v>25</v>
      </c>
      <c r="M340" s="10">
        <v>76.368933708358369</v>
      </c>
      <c r="N340" s="7" t="s">
        <v>21</v>
      </c>
      <c r="P340" s="29" t="str">
        <f t="shared" si="90"/>
        <v/>
      </c>
      <c r="Q340" s="29" t="str">
        <f t="shared" si="91"/>
        <v/>
      </c>
      <c r="R340" s="29" t="str">
        <f t="shared" si="92"/>
        <v/>
      </c>
      <c r="S340" s="29" t="str">
        <f t="shared" si="93"/>
        <v/>
      </c>
      <c r="T340" s="32" t="str">
        <f t="shared" si="94"/>
        <v/>
      </c>
      <c r="U340" s="32">
        <f t="shared" si="97"/>
        <v>1</v>
      </c>
      <c r="V340" s="32" t="str">
        <f t="shared" si="98"/>
        <v/>
      </c>
      <c r="W340" s="41">
        <f t="shared" si="95"/>
        <v>3.0547573483343347</v>
      </c>
      <c r="X340" s="6">
        <f t="shared" si="96"/>
        <v>76.368933708358369</v>
      </c>
      <c r="Y340" s="7">
        <f t="shared" si="99"/>
        <v>414</v>
      </c>
      <c r="AA340" s="7">
        <f t="shared" si="100"/>
        <v>0</v>
      </c>
      <c r="AB340" s="7" t="str">
        <f t="shared" si="101"/>
        <v/>
      </c>
      <c r="AC340" s="7">
        <f t="shared" si="102"/>
        <v>1</v>
      </c>
      <c r="AD340" s="7">
        <f t="shared" si="103"/>
        <v>25</v>
      </c>
      <c r="AE340" s="6">
        <f t="shared" si="104"/>
        <v>0</v>
      </c>
      <c r="AF340" s="69">
        <f t="shared" si="105"/>
        <v>3.0547573483343347</v>
      </c>
      <c r="AG340" s="6">
        <f t="shared" si="106"/>
        <v>0</v>
      </c>
      <c r="AH340" s="6">
        <f t="shared" si="107"/>
        <v>604</v>
      </c>
    </row>
    <row r="341" spans="8:34" x14ac:dyDescent="0.25">
      <c r="H341" s="7">
        <v>348</v>
      </c>
      <c r="I341" s="7" t="s">
        <v>8</v>
      </c>
      <c r="J341" s="8">
        <v>38826</v>
      </c>
      <c r="K341" s="12" t="s">
        <v>20</v>
      </c>
      <c r="L341" s="9">
        <v>69</v>
      </c>
      <c r="M341" s="10">
        <v>208.60710544458851</v>
      </c>
      <c r="N341" s="7" t="s">
        <v>23</v>
      </c>
      <c r="P341" s="29" t="str">
        <f t="shared" si="90"/>
        <v/>
      </c>
      <c r="Q341" s="29" t="str">
        <f t="shared" si="91"/>
        <v/>
      </c>
      <c r="R341" s="29" t="str">
        <f t="shared" si="92"/>
        <v/>
      </c>
      <c r="S341" s="29" t="str">
        <f t="shared" si="93"/>
        <v/>
      </c>
      <c r="T341" s="32" t="str">
        <f t="shared" si="94"/>
        <v/>
      </c>
      <c r="U341" s="32" t="str">
        <f t="shared" si="97"/>
        <v/>
      </c>
      <c r="V341" s="32">
        <f t="shared" si="98"/>
        <v>1</v>
      </c>
      <c r="W341" s="41">
        <f t="shared" si="95"/>
        <v>3.023291383254906</v>
      </c>
      <c r="X341" s="6">
        <f t="shared" si="96"/>
        <v>0</v>
      </c>
      <c r="Y341" s="7">
        <f t="shared" si="99"/>
        <v>567</v>
      </c>
      <c r="AA341" s="7">
        <f t="shared" si="100"/>
        <v>0</v>
      </c>
      <c r="AB341" s="7" t="str">
        <f t="shared" si="101"/>
        <v/>
      </c>
      <c r="AC341" s="7">
        <f t="shared" si="102"/>
        <v>0</v>
      </c>
      <c r="AD341" s="7" t="str">
        <f t="shared" si="103"/>
        <v/>
      </c>
      <c r="AE341" s="6">
        <f t="shared" si="104"/>
        <v>0</v>
      </c>
      <c r="AF341" s="69">
        <f t="shared" si="105"/>
        <v>3.023291383254906</v>
      </c>
      <c r="AG341" s="6">
        <f t="shared" si="106"/>
        <v>0</v>
      </c>
      <c r="AH341" s="6">
        <f t="shared" si="107"/>
        <v>604</v>
      </c>
    </row>
    <row r="342" spans="8:34" x14ac:dyDescent="0.25">
      <c r="H342" s="7">
        <v>349</v>
      </c>
      <c r="I342" s="7" t="s">
        <v>14</v>
      </c>
      <c r="J342" s="8">
        <v>38595</v>
      </c>
      <c r="K342" s="12" t="s">
        <v>18</v>
      </c>
      <c r="L342" s="9">
        <v>72</v>
      </c>
      <c r="M342" s="10">
        <v>218.66914833137886</v>
      </c>
      <c r="N342" s="7" t="s">
        <v>22</v>
      </c>
      <c r="P342" s="29" t="str">
        <f t="shared" si="90"/>
        <v/>
      </c>
      <c r="Q342" s="29" t="str">
        <f t="shared" si="91"/>
        <v/>
      </c>
      <c r="R342" s="29" t="str">
        <f t="shared" si="92"/>
        <v/>
      </c>
      <c r="S342" s="29" t="str">
        <f t="shared" si="93"/>
        <v/>
      </c>
      <c r="T342" s="32" t="str">
        <f t="shared" si="94"/>
        <v/>
      </c>
      <c r="U342" s="32">
        <f t="shared" si="97"/>
        <v>1</v>
      </c>
      <c r="V342" s="32" t="str">
        <f t="shared" si="98"/>
        <v/>
      </c>
      <c r="W342" s="41">
        <f t="shared" si="95"/>
        <v>3.0370715046024843</v>
      </c>
      <c r="X342" s="6">
        <f t="shared" si="96"/>
        <v>218.66914833137886</v>
      </c>
      <c r="Y342" s="7">
        <f t="shared" si="99"/>
        <v>141</v>
      </c>
      <c r="AA342" s="7">
        <f t="shared" si="100"/>
        <v>1</v>
      </c>
      <c r="AB342" s="7">
        <f t="shared" si="101"/>
        <v>72</v>
      </c>
      <c r="AC342" s="7">
        <f t="shared" si="102"/>
        <v>0</v>
      </c>
      <c r="AD342" s="7" t="str">
        <f t="shared" si="103"/>
        <v/>
      </c>
      <c r="AE342" s="6">
        <f t="shared" si="104"/>
        <v>0</v>
      </c>
      <c r="AF342" s="69">
        <f t="shared" si="105"/>
        <v>3.0370715046024843</v>
      </c>
      <c r="AG342" s="6">
        <f t="shared" si="106"/>
        <v>0</v>
      </c>
      <c r="AH342" s="6">
        <f t="shared" si="107"/>
        <v>604</v>
      </c>
    </row>
    <row r="343" spans="8:34" x14ac:dyDescent="0.25">
      <c r="H343" s="7">
        <v>350</v>
      </c>
      <c r="I343" s="7" t="s">
        <v>10</v>
      </c>
      <c r="J343" s="8">
        <v>38760</v>
      </c>
      <c r="K343" s="12" t="s">
        <v>19</v>
      </c>
      <c r="L343" s="9">
        <v>-4</v>
      </c>
      <c r="M343" s="10">
        <v>-9.5040489301123898</v>
      </c>
      <c r="N343" s="7" t="s">
        <v>23</v>
      </c>
      <c r="P343" s="29" t="str">
        <f t="shared" si="90"/>
        <v/>
      </c>
      <c r="Q343" s="29" t="str">
        <f t="shared" si="91"/>
        <v/>
      </c>
      <c r="R343" s="29" t="str">
        <f t="shared" si="92"/>
        <v/>
      </c>
      <c r="S343" s="29" t="str">
        <f t="shared" si="93"/>
        <v/>
      </c>
      <c r="T343" s="32" t="str">
        <f t="shared" si="94"/>
        <v/>
      </c>
      <c r="U343" s="32" t="str">
        <f t="shared" si="97"/>
        <v/>
      </c>
      <c r="V343" s="32">
        <f t="shared" si="98"/>
        <v>1</v>
      </c>
      <c r="W343" s="41" t="str">
        <f t="shared" si="95"/>
        <v/>
      </c>
      <c r="X343" s="6">
        <f t="shared" si="96"/>
        <v>0</v>
      </c>
      <c r="Y343" s="7">
        <f t="shared" si="99"/>
        <v>567</v>
      </c>
      <c r="AA343" s="7">
        <f t="shared" si="100"/>
        <v>0</v>
      </c>
      <c r="AB343" s="7" t="str">
        <f t="shared" si="101"/>
        <v/>
      </c>
      <c r="AC343" s="7">
        <f t="shared" si="102"/>
        <v>0</v>
      </c>
      <c r="AD343" s="7" t="str">
        <f t="shared" si="103"/>
        <v/>
      </c>
      <c r="AE343" s="6">
        <f t="shared" si="104"/>
        <v>-4</v>
      </c>
      <c r="AF343" s="69" t="str">
        <f t="shared" si="105"/>
        <v/>
      </c>
      <c r="AG343" s="6">
        <f t="shared" si="106"/>
        <v>0</v>
      </c>
      <c r="AH343" s="6">
        <f t="shared" si="107"/>
        <v>604</v>
      </c>
    </row>
    <row r="344" spans="8:34" x14ac:dyDescent="0.25">
      <c r="H344" s="7">
        <v>351</v>
      </c>
      <c r="I344" s="7" t="s">
        <v>11</v>
      </c>
      <c r="J344" s="8">
        <v>38529</v>
      </c>
      <c r="K344" s="12" t="s">
        <v>19</v>
      </c>
      <c r="L344" s="9">
        <v>21</v>
      </c>
      <c r="M344" s="10">
        <v>64.847838929147329</v>
      </c>
      <c r="N344" s="7" t="s">
        <v>23</v>
      </c>
      <c r="P344" s="29" t="str">
        <f t="shared" si="90"/>
        <v/>
      </c>
      <c r="Q344" s="29" t="str">
        <f t="shared" si="91"/>
        <v/>
      </c>
      <c r="R344" s="29" t="str">
        <f t="shared" si="92"/>
        <v/>
      </c>
      <c r="S344" s="29" t="str">
        <f t="shared" si="93"/>
        <v/>
      </c>
      <c r="T344" s="32" t="str">
        <f t="shared" si="94"/>
        <v/>
      </c>
      <c r="U344" s="32">
        <f t="shared" si="97"/>
        <v>1</v>
      </c>
      <c r="V344" s="32" t="str">
        <f t="shared" si="98"/>
        <v/>
      </c>
      <c r="W344" s="41">
        <f t="shared" si="95"/>
        <v>3.0879923299593965</v>
      </c>
      <c r="X344" s="6">
        <f t="shared" si="96"/>
        <v>64.847838929147329</v>
      </c>
      <c r="Y344" s="7">
        <f t="shared" si="99"/>
        <v>437</v>
      </c>
      <c r="AA344" s="7">
        <f t="shared" si="100"/>
        <v>0</v>
      </c>
      <c r="AB344" s="7" t="str">
        <f t="shared" si="101"/>
        <v/>
      </c>
      <c r="AC344" s="7">
        <f t="shared" si="102"/>
        <v>1</v>
      </c>
      <c r="AD344" s="7">
        <f t="shared" si="103"/>
        <v>21</v>
      </c>
      <c r="AE344" s="6">
        <f t="shared" si="104"/>
        <v>0</v>
      </c>
      <c r="AF344" s="69">
        <f t="shared" si="105"/>
        <v>3.0879923299593965</v>
      </c>
      <c r="AG344" s="6">
        <f t="shared" si="106"/>
        <v>0</v>
      </c>
      <c r="AH344" s="6">
        <f t="shared" si="107"/>
        <v>604</v>
      </c>
    </row>
    <row r="345" spans="8:34" x14ac:dyDescent="0.25">
      <c r="H345" s="7">
        <v>352</v>
      </c>
      <c r="I345" s="7" t="s">
        <v>11</v>
      </c>
      <c r="J345" s="8">
        <v>38364</v>
      </c>
      <c r="K345" s="12" t="s">
        <v>16</v>
      </c>
      <c r="L345" s="9">
        <v>85</v>
      </c>
      <c r="M345" s="10">
        <v>256.96799909003533</v>
      </c>
      <c r="N345" s="7" t="s">
        <v>24</v>
      </c>
      <c r="P345" s="29" t="str">
        <f t="shared" si="90"/>
        <v/>
      </c>
      <c r="Q345" s="29" t="str">
        <f t="shared" si="91"/>
        <v/>
      </c>
      <c r="R345" s="29" t="str">
        <f t="shared" si="92"/>
        <v/>
      </c>
      <c r="S345" s="29" t="str">
        <f t="shared" si="93"/>
        <v/>
      </c>
      <c r="T345" s="32" t="str">
        <f t="shared" si="94"/>
        <v/>
      </c>
      <c r="U345" s="32">
        <f t="shared" si="97"/>
        <v>1</v>
      </c>
      <c r="V345" s="32" t="str">
        <f t="shared" si="98"/>
        <v/>
      </c>
      <c r="W345" s="41">
        <f t="shared" si="95"/>
        <v>3.0231529304710039</v>
      </c>
      <c r="X345" s="6">
        <f t="shared" si="96"/>
        <v>256.96799909003533</v>
      </c>
      <c r="Y345" s="7">
        <f t="shared" si="99"/>
        <v>67</v>
      </c>
      <c r="AA345" s="7">
        <f t="shared" si="100"/>
        <v>1</v>
      </c>
      <c r="AB345" s="7">
        <f t="shared" si="101"/>
        <v>85</v>
      </c>
      <c r="AC345" s="7">
        <f t="shared" si="102"/>
        <v>0</v>
      </c>
      <c r="AD345" s="7" t="str">
        <f t="shared" si="103"/>
        <v/>
      </c>
      <c r="AE345" s="6">
        <f t="shared" si="104"/>
        <v>0</v>
      </c>
      <c r="AF345" s="69">
        <f t="shared" si="105"/>
        <v>3.0231529304710039</v>
      </c>
      <c r="AG345" s="6">
        <f t="shared" si="106"/>
        <v>0</v>
      </c>
      <c r="AH345" s="6">
        <f t="shared" si="107"/>
        <v>604</v>
      </c>
    </row>
    <row r="346" spans="8:34" x14ac:dyDescent="0.25">
      <c r="H346" s="7">
        <v>353</v>
      </c>
      <c r="I346" s="7" t="s">
        <v>13</v>
      </c>
      <c r="J346" s="8">
        <v>38606</v>
      </c>
      <c r="K346" s="12" t="s">
        <v>16</v>
      </c>
      <c r="L346" s="9">
        <v>85</v>
      </c>
      <c r="M346" s="10">
        <v>257.09598807037378</v>
      </c>
      <c r="N346" s="7" t="s">
        <v>21</v>
      </c>
      <c r="P346" s="29" t="str">
        <f t="shared" si="90"/>
        <v/>
      </c>
      <c r="Q346" s="29" t="str">
        <f t="shared" si="91"/>
        <v/>
      </c>
      <c r="R346" s="29" t="str">
        <f t="shared" si="92"/>
        <v/>
      </c>
      <c r="S346" s="29" t="str">
        <f t="shared" si="93"/>
        <v/>
      </c>
      <c r="T346" s="32" t="str">
        <f t="shared" si="94"/>
        <v/>
      </c>
      <c r="U346" s="32">
        <f t="shared" si="97"/>
        <v>1</v>
      </c>
      <c r="V346" s="32" t="str">
        <f t="shared" si="98"/>
        <v/>
      </c>
      <c r="W346" s="41">
        <f t="shared" si="95"/>
        <v>3.0246586831808679</v>
      </c>
      <c r="X346" s="6">
        <f t="shared" si="96"/>
        <v>257.09598807037378</v>
      </c>
      <c r="Y346" s="7">
        <f t="shared" si="99"/>
        <v>65</v>
      </c>
      <c r="AA346" s="7">
        <f t="shared" si="100"/>
        <v>1</v>
      </c>
      <c r="AB346" s="7">
        <f t="shared" si="101"/>
        <v>85</v>
      </c>
      <c r="AC346" s="7">
        <f t="shared" si="102"/>
        <v>0</v>
      </c>
      <c r="AD346" s="7" t="str">
        <f t="shared" si="103"/>
        <v/>
      </c>
      <c r="AE346" s="6">
        <f t="shared" si="104"/>
        <v>0</v>
      </c>
      <c r="AF346" s="69">
        <f t="shared" si="105"/>
        <v>3.0246586831808679</v>
      </c>
      <c r="AG346" s="6">
        <f t="shared" si="106"/>
        <v>0</v>
      </c>
      <c r="AH346" s="6">
        <f t="shared" si="107"/>
        <v>604</v>
      </c>
    </row>
    <row r="347" spans="8:34" x14ac:dyDescent="0.25">
      <c r="H347" s="7">
        <v>354</v>
      </c>
      <c r="I347" s="7" t="s">
        <v>9</v>
      </c>
      <c r="J347" s="8">
        <v>38639</v>
      </c>
      <c r="K347" s="12" t="s">
        <v>17</v>
      </c>
      <c r="L347" s="9">
        <v>79</v>
      </c>
      <c r="M347" s="10">
        <v>239.75589662492749</v>
      </c>
      <c r="N347" s="7" t="s">
        <v>21</v>
      </c>
      <c r="P347" s="29" t="str">
        <f t="shared" si="90"/>
        <v/>
      </c>
      <c r="Q347" s="29" t="str">
        <f t="shared" si="91"/>
        <v/>
      </c>
      <c r="R347" s="29" t="str">
        <f t="shared" si="92"/>
        <v/>
      </c>
      <c r="S347" s="29" t="str">
        <f t="shared" si="93"/>
        <v/>
      </c>
      <c r="T347" s="32">
        <f t="shared" si="94"/>
        <v>1</v>
      </c>
      <c r="U347" s="32">
        <f t="shared" si="97"/>
        <v>1</v>
      </c>
      <c r="V347" s="32" t="str">
        <f t="shared" si="98"/>
        <v/>
      </c>
      <c r="W347" s="41">
        <f t="shared" si="95"/>
        <v>3.0348847674041455</v>
      </c>
      <c r="X347" s="6">
        <f t="shared" si="96"/>
        <v>239.75589662492749</v>
      </c>
      <c r="Y347" s="7">
        <f t="shared" si="99"/>
        <v>101</v>
      </c>
      <c r="AA347" s="7">
        <f t="shared" si="100"/>
        <v>0</v>
      </c>
      <c r="AB347" s="7" t="str">
        <f t="shared" si="101"/>
        <v/>
      </c>
      <c r="AC347" s="7">
        <f t="shared" si="102"/>
        <v>1</v>
      </c>
      <c r="AD347" s="7">
        <f t="shared" si="103"/>
        <v>79</v>
      </c>
      <c r="AE347" s="6">
        <f t="shared" si="104"/>
        <v>0</v>
      </c>
      <c r="AF347" s="69">
        <f t="shared" si="105"/>
        <v>3.0348847674041455</v>
      </c>
      <c r="AG347" s="6">
        <f t="shared" si="106"/>
        <v>0</v>
      </c>
      <c r="AH347" s="6">
        <f t="shared" si="107"/>
        <v>604</v>
      </c>
    </row>
    <row r="348" spans="8:34" x14ac:dyDescent="0.25">
      <c r="H348" s="7">
        <v>355</v>
      </c>
      <c r="I348" s="7" t="s">
        <v>14</v>
      </c>
      <c r="J348" s="8">
        <v>38969</v>
      </c>
      <c r="K348" s="12" t="s">
        <v>17</v>
      </c>
      <c r="L348" s="9">
        <v>81</v>
      </c>
      <c r="M348" s="10">
        <v>245.01127594931819</v>
      </c>
      <c r="N348" s="7" t="s">
        <v>21</v>
      </c>
      <c r="P348" s="29" t="str">
        <f t="shared" si="90"/>
        <v/>
      </c>
      <c r="Q348" s="29" t="str">
        <f t="shared" si="91"/>
        <v/>
      </c>
      <c r="R348" s="29" t="str">
        <f t="shared" si="92"/>
        <v/>
      </c>
      <c r="S348" s="29" t="str">
        <f t="shared" si="93"/>
        <v/>
      </c>
      <c r="T348" s="32" t="str">
        <f t="shared" si="94"/>
        <v/>
      </c>
      <c r="U348" s="32" t="str">
        <f t="shared" si="97"/>
        <v/>
      </c>
      <c r="V348" s="32">
        <f t="shared" si="98"/>
        <v>1</v>
      </c>
      <c r="W348" s="41">
        <f t="shared" si="95"/>
        <v>3.0248305672755333</v>
      </c>
      <c r="X348" s="6">
        <f t="shared" si="96"/>
        <v>0</v>
      </c>
      <c r="Y348" s="7">
        <f t="shared" si="99"/>
        <v>567</v>
      </c>
      <c r="AA348" s="7">
        <f t="shared" si="100"/>
        <v>0</v>
      </c>
      <c r="AB348" s="7" t="str">
        <f t="shared" si="101"/>
        <v/>
      </c>
      <c r="AC348" s="7">
        <f t="shared" si="102"/>
        <v>0</v>
      </c>
      <c r="AD348" s="7" t="str">
        <f t="shared" si="103"/>
        <v/>
      </c>
      <c r="AE348" s="6">
        <f t="shared" si="104"/>
        <v>0</v>
      </c>
      <c r="AF348" s="69">
        <f t="shared" si="105"/>
        <v>3.0248305672755333</v>
      </c>
      <c r="AG348" s="6">
        <f t="shared" si="106"/>
        <v>0</v>
      </c>
      <c r="AH348" s="6">
        <f t="shared" si="107"/>
        <v>604</v>
      </c>
    </row>
    <row r="349" spans="8:34" x14ac:dyDescent="0.25">
      <c r="H349" s="7">
        <v>356</v>
      </c>
      <c r="I349" s="7" t="s">
        <v>9</v>
      </c>
      <c r="J349" s="8">
        <v>38958</v>
      </c>
      <c r="K349" s="12" t="s">
        <v>16</v>
      </c>
      <c r="L349" s="9">
        <v>76</v>
      </c>
      <c r="M349" s="10">
        <v>229.57757100656295</v>
      </c>
      <c r="N349" s="7" t="s">
        <v>24</v>
      </c>
      <c r="P349" s="29" t="str">
        <f t="shared" si="90"/>
        <v/>
      </c>
      <c r="Q349" s="29" t="str">
        <f t="shared" si="91"/>
        <v/>
      </c>
      <c r="R349" s="29" t="str">
        <f t="shared" si="92"/>
        <v/>
      </c>
      <c r="S349" s="29" t="str">
        <f t="shared" si="93"/>
        <v/>
      </c>
      <c r="T349" s="32" t="str">
        <f t="shared" si="94"/>
        <v/>
      </c>
      <c r="U349" s="32" t="str">
        <f t="shared" si="97"/>
        <v/>
      </c>
      <c r="V349" s="32">
        <f t="shared" si="98"/>
        <v>1</v>
      </c>
      <c r="W349" s="41">
        <f t="shared" si="95"/>
        <v>3.0207575132442495</v>
      </c>
      <c r="X349" s="6">
        <f t="shared" si="96"/>
        <v>0</v>
      </c>
      <c r="Y349" s="7">
        <f t="shared" si="99"/>
        <v>567</v>
      </c>
      <c r="AA349" s="7">
        <f t="shared" si="100"/>
        <v>0</v>
      </c>
      <c r="AB349" s="7" t="str">
        <f t="shared" si="101"/>
        <v/>
      </c>
      <c r="AC349" s="7">
        <f t="shared" si="102"/>
        <v>0</v>
      </c>
      <c r="AD349" s="7" t="str">
        <f t="shared" si="103"/>
        <v/>
      </c>
      <c r="AE349" s="6">
        <f t="shared" si="104"/>
        <v>0</v>
      </c>
      <c r="AF349" s="69">
        <f t="shared" si="105"/>
        <v>3.0207575132442495</v>
      </c>
      <c r="AG349" s="6">
        <f t="shared" si="106"/>
        <v>0</v>
      </c>
      <c r="AH349" s="6">
        <f t="shared" si="107"/>
        <v>604</v>
      </c>
    </row>
    <row r="350" spans="8:34" x14ac:dyDescent="0.25">
      <c r="H350" s="7">
        <v>357</v>
      </c>
      <c r="I350" s="7" t="s">
        <v>9</v>
      </c>
      <c r="J350" s="8">
        <v>38518</v>
      </c>
      <c r="K350" s="12" t="s">
        <v>17</v>
      </c>
      <c r="L350" s="9">
        <v>31</v>
      </c>
      <c r="M350" s="10">
        <v>95.411837871052697</v>
      </c>
      <c r="N350" s="7" t="s">
        <v>24</v>
      </c>
      <c r="P350" s="29" t="str">
        <f t="shared" si="90"/>
        <v/>
      </c>
      <c r="Q350" s="29" t="str">
        <f t="shared" si="91"/>
        <v/>
      </c>
      <c r="R350" s="29" t="str">
        <f t="shared" si="92"/>
        <v/>
      </c>
      <c r="S350" s="29" t="str">
        <f t="shared" si="93"/>
        <v/>
      </c>
      <c r="T350" s="32" t="str">
        <f t="shared" si="94"/>
        <v/>
      </c>
      <c r="U350" s="32">
        <f t="shared" si="97"/>
        <v>1</v>
      </c>
      <c r="V350" s="32" t="str">
        <f t="shared" si="98"/>
        <v/>
      </c>
      <c r="W350" s="41">
        <f t="shared" si="95"/>
        <v>3.0778012216468613</v>
      </c>
      <c r="X350" s="6">
        <f t="shared" si="96"/>
        <v>95.411837871052697</v>
      </c>
      <c r="Y350" s="7">
        <f t="shared" si="99"/>
        <v>367</v>
      </c>
      <c r="AA350" s="7">
        <f t="shared" si="100"/>
        <v>0</v>
      </c>
      <c r="AB350" s="7" t="str">
        <f t="shared" si="101"/>
        <v/>
      </c>
      <c r="AC350" s="7">
        <f t="shared" si="102"/>
        <v>1</v>
      </c>
      <c r="AD350" s="7">
        <f t="shared" si="103"/>
        <v>31</v>
      </c>
      <c r="AE350" s="6">
        <f t="shared" si="104"/>
        <v>0</v>
      </c>
      <c r="AF350" s="69">
        <f t="shared" si="105"/>
        <v>3.0778012216468613</v>
      </c>
      <c r="AG350" s="6">
        <f t="shared" si="106"/>
        <v>0</v>
      </c>
      <c r="AH350" s="6">
        <f t="shared" si="107"/>
        <v>604</v>
      </c>
    </row>
    <row r="351" spans="8:34" x14ac:dyDescent="0.25">
      <c r="H351" s="7">
        <v>358</v>
      </c>
      <c r="I351" s="7" t="s">
        <v>10</v>
      </c>
      <c r="J351" s="8">
        <v>38617</v>
      </c>
      <c r="K351" s="12" t="s">
        <v>16</v>
      </c>
      <c r="L351" s="9">
        <v>44</v>
      </c>
      <c r="M351" s="10">
        <v>133.84155746359221</v>
      </c>
      <c r="N351" s="7" t="s">
        <v>21</v>
      </c>
      <c r="P351" s="29" t="str">
        <f t="shared" si="90"/>
        <v/>
      </c>
      <c r="Q351" s="29" t="str">
        <f t="shared" si="91"/>
        <v/>
      </c>
      <c r="R351" s="29" t="str">
        <f t="shared" si="92"/>
        <v/>
      </c>
      <c r="S351" s="29" t="str">
        <f t="shared" si="93"/>
        <v/>
      </c>
      <c r="T351" s="32" t="str">
        <f t="shared" si="94"/>
        <v/>
      </c>
      <c r="U351" s="32">
        <f t="shared" si="97"/>
        <v>1</v>
      </c>
      <c r="V351" s="32" t="str">
        <f t="shared" si="98"/>
        <v/>
      </c>
      <c r="W351" s="41">
        <f t="shared" si="95"/>
        <v>3.0418535787180048</v>
      </c>
      <c r="X351" s="6">
        <f t="shared" si="96"/>
        <v>133.84155746359221</v>
      </c>
      <c r="Y351" s="7">
        <f t="shared" si="99"/>
        <v>301</v>
      </c>
      <c r="AA351" s="7">
        <f t="shared" si="100"/>
        <v>1</v>
      </c>
      <c r="AB351" s="7">
        <f t="shared" si="101"/>
        <v>44</v>
      </c>
      <c r="AC351" s="7">
        <f t="shared" si="102"/>
        <v>0</v>
      </c>
      <c r="AD351" s="7" t="str">
        <f t="shared" si="103"/>
        <v/>
      </c>
      <c r="AE351" s="6">
        <f t="shared" si="104"/>
        <v>0</v>
      </c>
      <c r="AF351" s="69">
        <f t="shared" si="105"/>
        <v>3.0418535787180048</v>
      </c>
      <c r="AG351" s="6">
        <f t="shared" si="106"/>
        <v>0</v>
      </c>
      <c r="AH351" s="6">
        <f t="shared" si="107"/>
        <v>604</v>
      </c>
    </row>
    <row r="352" spans="8:34" x14ac:dyDescent="0.25">
      <c r="H352" s="7">
        <v>359</v>
      </c>
      <c r="I352" s="7" t="s">
        <v>7</v>
      </c>
      <c r="J352" s="8">
        <v>39068</v>
      </c>
      <c r="K352" s="12" t="s">
        <v>19</v>
      </c>
      <c r="L352" s="9">
        <v>44</v>
      </c>
      <c r="M352" s="10">
        <v>133.90724137081764</v>
      </c>
      <c r="N352" s="7" t="s">
        <v>23</v>
      </c>
      <c r="P352" s="29" t="str">
        <f t="shared" si="90"/>
        <v/>
      </c>
      <c r="Q352" s="29" t="str">
        <f t="shared" si="91"/>
        <v/>
      </c>
      <c r="R352" s="29" t="str">
        <f t="shared" si="92"/>
        <v/>
      </c>
      <c r="S352" s="29" t="str">
        <f t="shared" si="93"/>
        <v/>
      </c>
      <c r="T352" s="32" t="str">
        <f t="shared" si="94"/>
        <v/>
      </c>
      <c r="U352" s="32" t="str">
        <f t="shared" si="97"/>
        <v/>
      </c>
      <c r="V352" s="32">
        <f t="shared" si="98"/>
        <v>1</v>
      </c>
      <c r="W352" s="41">
        <f t="shared" si="95"/>
        <v>3.04334639479131</v>
      </c>
      <c r="X352" s="6">
        <f t="shared" si="96"/>
        <v>0</v>
      </c>
      <c r="Y352" s="7">
        <f t="shared" si="99"/>
        <v>567</v>
      </c>
      <c r="AA352" s="7">
        <f t="shared" si="100"/>
        <v>0</v>
      </c>
      <c r="AB352" s="7" t="str">
        <f t="shared" si="101"/>
        <v/>
      </c>
      <c r="AC352" s="7">
        <f t="shared" si="102"/>
        <v>0</v>
      </c>
      <c r="AD352" s="7" t="str">
        <f t="shared" si="103"/>
        <v/>
      </c>
      <c r="AE352" s="6">
        <f t="shared" si="104"/>
        <v>0</v>
      </c>
      <c r="AF352" s="69">
        <f t="shared" si="105"/>
        <v>3.04334639479131</v>
      </c>
      <c r="AG352" s="6">
        <f t="shared" si="106"/>
        <v>0</v>
      </c>
      <c r="AH352" s="6">
        <f t="shared" si="107"/>
        <v>604</v>
      </c>
    </row>
    <row r="353" spans="8:34" x14ac:dyDescent="0.25">
      <c r="H353" s="7">
        <v>360</v>
      </c>
      <c r="I353" s="7" t="s">
        <v>12</v>
      </c>
      <c r="J353" s="8">
        <v>38133</v>
      </c>
      <c r="K353" s="12" t="s">
        <v>20</v>
      </c>
      <c r="L353" s="9">
        <v>70</v>
      </c>
      <c r="M353" s="10">
        <v>211.68588054687572</v>
      </c>
      <c r="N353" s="7" t="s">
        <v>21</v>
      </c>
      <c r="P353" s="29" t="str">
        <f t="shared" si="90"/>
        <v/>
      </c>
      <c r="Q353" s="29">
        <f t="shared" si="91"/>
        <v>1</v>
      </c>
      <c r="R353" s="29" t="str">
        <f t="shared" si="92"/>
        <v/>
      </c>
      <c r="S353" s="29" t="str">
        <f t="shared" si="93"/>
        <v/>
      </c>
      <c r="T353" s="32" t="str">
        <f t="shared" si="94"/>
        <v/>
      </c>
      <c r="U353" s="32" t="str">
        <f t="shared" si="97"/>
        <v/>
      </c>
      <c r="V353" s="32" t="str">
        <f t="shared" si="98"/>
        <v/>
      </c>
      <c r="W353" s="41">
        <f t="shared" si="95"/>
        <v>3.0240840078125104</v>
      </c>
      <c r="X353" s="6">
        <f t="shared" si="96"/>
        <v>0</v>
      </c>
      <c r="Y353" s="7">
        <f t="shared" si="99"/>
        <v>567</v>
      </c>
      <c r="AA353" s="7">
        <f t="shared" si="100"/>
        <v>0</v>
      </c>
      <c r="AB353" s="7" t="str">
        <f t="shared" si="101"/>
        <v/>
      </c>
      <c r="AC353" s="7">
        <f t="shared" si="102"/>
        <v>0</v>
      </c>
      <c r="AD353" s="7" t="str">
        <f t="shared" si="103"/>
        <v/>
      </c>
      <c r="AE353" s="6">
        <f t="shared" si="104"/>
        <v>0</v>
      </c>
      <c r="AF353" s="69">
        <f t="shared" si="105"/>
        <v>3.0240840078125104</v>
      </c>
      <c r="AG353" s="6">
        <f t="shared" si="106"/>
        <v>211.68588054687572</v>
      </c>
      <c r="AH353" s="6">
        <f t="shared" si="107"/>
        <v>154</v>
      </c>
    </row>
    <row r="354" spans="8:34" x14ac:dyDescent="0.25">
      <c r="H354" s="7">
        <v>361</v>
      </c>
      <c r="I354" s="7" t="s">
        <v>12</v>
      </c>
      <c r="J354" s="8">
        <v>38320</v>
      </c>
      <c r="K354" s="12" t="s">
        <v>18</v>
      </c>
      <c r="L354" s="9">
        <v>-4</v>
      </c>
      <c r="M354" s="10">
        <v>-9.4531080152815825</v>
      </c>
      <c r="N354" s="7" t="s">
        <v>24</v>
      </c>
      <c r="P354" s="29" t="str">
        <f t="shared" si="90"/>
        <v/>
      </c>
      <c r="Q354" s="29" t="str">
        <f t="shared" si="91"/>
        <v/>
      </c>
      <c r="R354" s="29" t="str">
        <f t="shared" si="92"/>
        <v/>
      </c>
      <c r="S354" s="29">
        <f t="shared" si="93"/>
        <v>1</v>
      </c>
      <c r="T354" s="32" t="str">
        <f t="shared" si="94"/>
        <v/>
      </c>
      <c r="U354" s="32" t="str">
        <f t="shared" si="97"/>
        <v/>
      </c>
      <c r="V354" s="32" t="str">
        <f t="shared" si="98"/>
        <v/>
      </c>
      <c r="W354" s="41" t="str">
        <f t="shared" si="95"/>
        <v/>
      </c>
      <c r="X354" s="6">
        <f t="shared" si="96"/>
        <v>0</v>
      </c>
      <c r="Y354" s="7">
        <f t="shared" si="99"/>
        <v>567</v>
      </c>
      <c r="AA354" s="7">
        <f t="shared" si="100"/>
        <v>0</v>
      </c>
      <c r="AB354" s="7" t="str">
        <f t="shared" si="101"/>
        <v/>
      </c>
      <c r="AC354" s="7">
        <f t="shared" si="102"/>
        <v>0</v>
      </c>
      <c r="AD354" s="7" t="str">
        <f t="shared" si="103"/>
        <v/>
      </c>
      <c r="AE354" s="6">
        <f t="shared" si="104"/>
        <v>-4</v>
      </c>
      <c r="AF354" s="69" t="str">
        <f t="shared" si="105"/>
        <v/>
      </c>
      <c r="AG354" s="6">
        <f t="shared" si="106"/>
        <v>0</v>
      </c>
      <c r="AH354" s="6">
        <f t="shared" si="107"/>
        <v>604</v>
      </c>
    </row>
    <row r="355" spans="8:34" x14ac:dyDescent="0.25">
      <c r="H355" s="7">
        <v>362</v>
      </c>
      <c r="I355" s="7" t="s">
        <v>14</v>
      </c>
      <c r="J355" s="8">
        <v>38672</v>
      </c>
      <c r="K355" s="12" t="s">
        <v>17</v>
      </c>
      <c r="L355" s="9">
        <v>28</v>
      </c>
      <c r="M355" s="10">
        <v>86.334638190049276</v>
      </c>
      <c r="N355" s="7" t="s">
        <v>22</v>
      </c>
      <c r="P355" s="29" t="str">
        <f t="shared" si="90"/>
        <v/>
      </c>
      <c r="Q355" s="29" t="str">
        <f t="shared" si="91"/>
        <v/>
      </c>
      <c r="R355" s="29" t="str">
        <f t="shared" si="92"/>
        <v/>
      </c>
      <c r="S355" s="29" t="str">
        <f t="shared" si="93"/>
        <v/>
      </c>
      <c r="T355" s="32">
        <f t="shared" si="94"/>
        <v>1</v>
      </c>
      <c r="U355" s="32">
        <f t="shared" si="97"/>
        <v>1</v>
      </c>
      <c r="V355" s="32" t="str">
        <f t="shared" si="98"/>
        <v/>
      </c>
      <c r="W355" s="41">
        <f t="shared" si="95"/>
        <v>3.0833799353589026</v>
      </c>
      <c r="X355" s="6">
        <f t="shared" si="96"/>
        <v>86.334638190049276</v>
      </c>
      <c r="Y355" s="7">
        <f t="shared" si="99"/>
        <v>385</v>
      </c>
      <c r="AA355" s="7">
        <f t="shared" si="100"/>
        <v>0</v>
      </c>
      <c r="AB355" s="7" t="str">
        <f t="shared" si="101"/>
        <v/>
      </c>
      <c r="AC355" s="7">
        <f t="shared" si="102"/>
        <v>1</v>
      </c>
      <c r="AD355" s="7">
        <f t="shared" si="103"/>
        <v>28</v>
      </c>
      <c r="AE355" s="6">
        <f t="shared" si="104"/>
        <v>0</v>
      </c>
      <c r="AF355" s="69">
        <f t="shared" si="105"/>
        <v>3.0833799353589026</v>
      </c>
      <c r="AG355" s="6">
        <f t="shared" si="106"/>
        <v>0</v>
      </c>
      <c r="AH355" s="6">
        <f t="shared" si="107"/>
        <v>604</v>
      </c>
    </row>
    <row r="356" spans="8:34" x14ac:dyDescent="0.25">
      <c r="H356" s="7">
        <v>363</v>
      </c>
      <c r="I356" s="7" t="s">
        <v>9</v>
      </c>
      <c r="J356" s="8">
        <v>39002</v>
      </c>
      <c r="K356" s="12" t="s">
        <v>20</v>
      </c>
      <c r="L356" s="9">
        <v>83</v>
      </c>
      <c r="M356" s="10">
        <v>250.60923862889706</v>
      </c>
      <c r="N356" s="7" t="s">
        <v>21</v>
      </c>
      <c r="P356" s="29" t="str">
        <f t="shared" si="90"/>
        <v/>
      </c>
      <c r="Q356" s="29" t="str">
        <f t="shared" si="91"/>
        <v/>
      </c>
      <c r="R356" s="29" t="str">
        <f t="shared" si="92"/>
        <v/>
      </c>
      <c r="S356" s="29" t="str">
        <f t="shared" si="93"/>
        <v/>
      </c>
      <c r="T356" s="32" t="str">
        <f t="shared" si="94"/>
        <v/>
      </c>
      <c r="U356" s="32" t="str">
        <f t="shared" si="97"/>
        <v/>
      </c>
      <c r="V356" s="32">
        <f t="shared" si="98"/>
        <v>1</v>
      </c>
      <c r="W356" s="41">
        <f t="shared" si="95"/>
        <v>3.0193884172156271</v>
      </c>
      <c r="X356" s="6">
        <f t="shared" si="96"/>
        <v>0</v>
      </c>
      <c r="Y356" s="7">
        <f t="shared" si="99"/>
        <v>567</v>
      </c>
      <c r="AA356" s="7">
        <f t="shared" si="100"/>
        <v>0</v>
      </c>
      <c r="AB356" s="7" t="str">
        <f t="shared" si="101"/>
        <v/>
      </c>
      <c r="AC356" s="7">
        <f t="shared" si="102"/>
        <v>0</v>
      </c>
      <c r="AD356" s="7" t="str">
        <f t="shared" si="103"/>
        <v/>
      </c>
      <c r="AE356" s="6">
        <f t="shared" si="104"/>
        <v>0</v>
      </c>
      <c r="AF356" s="69">
        <f t="shared" si="105"/>
        <v>3.0193884172156271</v>
      </c>
      <c r="AG356" s="6">
        <f t="shared" si="106"/>
        <v>0</v>
      </c>
      <c r="AH356" s="6">
        <f t="shared" si="107"/>
        <v>604</v>
      </c>
    </row>
    <row r="357" spans="8:34" x14ac:dyDescent="0.25">
      <c r="H357" s="7">
        <v>364</v>
      </c>
      <c r="I357" s="7" t="s">
        <v>15</v>
      </c>
      <c r="J357" s="8">
        <v>38903</v>
      </c>
      <c r="K357" s="12" t="s">
        <v>17</v>
      </c>
      <c r="L357" s="9">
        <v>46</v>
      </c>
      <c r="M357" s="10">
        <v>140.47993678432567</v>
      </c>
      <c r="N357" s="7" t="s">
        <v>21</v>
      </c>
      <c r="P357" s="29" t="str">
        <f t="shared" si="90"/>
        <v/>
      </c>
      <c r="Q357" s="29" t="str">
        <f t="shared" si="91"/>
        <v/>
      </c>
      <c r="R357" s="29" t="str">
        <f t="shared" si="92"/>
        <v/>
      </c>
      <c r="S357" s="29" t="str">
        <f t="shared" si="93"/>
        <v/>
      </c>
      <c r="T357" s="32" t="str">
        <f t="shared" si="94"/>
        <v/>
      </c>
      <c r="U357" s="32" t="str">
        <f t="shared" si="97"/>
        <v/>
      </c>
      <c r="V357" s="32">
        <f t="shared" si="98"/>
        <v>1</v>
      </c>
      <c r="W357" s="41">
        <f t="shared" si="95"/>
        <v>3.0539116692244712</v>
      </c>
      <c r="X357" s="6">
        <f t="shared" si="96"/>
        <v>0</v>
      </c>
      <c r="Y357" s="7">
        <f t="shared" si="99"/>
        <v>567</v>
      </c>
      <c r="AA357" s="7">
        <f t="shared" si="100"/>
        <v>0</v>
      </c>
      <c r="AB357" s="7" t="str">
        <f t="shared" si="101"/>
        <v/>
      </c>
      <c r="AC357" s="7">
        <f t="shared" si="102"/>
        <v>0</v>
      </c>
      <c r="AD357" s="7" t="str">
        <f t="shared" si="103"/>
        <v/>
      </c>
      <c r="AE357" s="6">
        <f t="shared" si="104"/>
        <v>0</v>
      </c>
      <c r="AF357" s="69">
        <f t="shared" si="105"/>
        <v>3.0539116692244712</v>
      </c>
      <c r="AG357" s="6">
        <f t="shared" si="106"/>
        <v>0</v>
      </c>
      <c r="AH357" s="6">
        <f t="shared" si="107"/>
        <v>604</v>
      </c>
    </row>
    <row r="358" spans="8:34" x14ac:dyDescent="0.25">
      <c r="H358" s="7">
        <v>365</v>
      </c>
      <c r="I358" s="7" t="s">
        <v>14</v>
      </c>
      <c r="J358" s="8">
        <v>38859</v>
      </c>
      <c r="K358" s="12" t="s">
        <v>17</v>
      </c>
      <c r="L358" s="9">
        <v>88</v>
      </c>
      <c r="M358" s="10">
        <v>266.35125676130951</v>
      </c>
      <c r="N358" s="7" t="s">
        <v>23</v>
      </c>
      <c r="P358" s="29" t="str">
        <f t="shared" si="90"/>
        <v/>
      </c>
      <c r="Q358" s="29" t="str">
        <f t="shared" si="91"/>
        <v/>
      </c>
      <c r="R358" s="29" t="str">
        <f t="shared" si="92"/>
        <v/>
      </c>
      <c r="S358" s="29" t="str">
        <f t="shared" si="93"/>
        <v/>
      </c>
      <c r="T358" s="32" t="str">
        <f t="shared" si="94"/>
        <v/>
      </c>
      <c r="U358" s="32" t="str">
        <f t="shared" si="97"/>
        <v/>
      </c>
      <c r="V358" s="32">
        <f t="shared" si="98"/>
        <v>1</v>
      </c>
      <c r="W358" s="41">
        <f t="shared" si="95"/>
        <v>3.0267188268330627</v>
      </c>
      <c r="X358" s="6">
        <f t="shared" si="96"/>
        <v>0</v>
      </c>
      <c r="Y358" s="7">
        <f t="shared" si="99"/>
        <v>567</v>
      </c>
      <c r="AA358" s="7">
        <f t="shared" si="100"/>
        <v>0</v>
      </c>
      <c r="AB358" s="7" t="str">
        <f t="shared" si="101"/>
        <v/>
      </c>
      <c r="AC358" s="7">
        <f t="shared" si="102"/>
        <v>0</v>
      </c>
      <c r="AD358" s="7" t="str">
        <f t="shared" si="103"/>
        <v/>
      </c>
      <c r="AE358" s="6">
        <f t="shared" si="104"/>
        <v>0</v>
      </c>
      <c r="AF358" s="69">
        <f t="shared" si="105"/>
        <v>3.0267188268330627</v>
      </c>
      <c r="AG358" s="6">
        <f t="shared" si="106"/>
        <v>0</v>
      </c>
      <c r="AH358" s="6">
        <f t="shared" si="107"/>
        <v>604</v>
      </c>
    </row>
    <row r="359" spans="8:34" x14ac:dyDescent="0.25">
      <c r="H359" s="7">
        <v>366</v>
      </c>
      <c r="I359" s="7" t="s">
        <v>13</v>
      </c>
      <c r="J359" s="8">
        <v>38639</v>
      </c>
      <c r="K359" s="12" t="s">
        <v>17</v>
      </c>
      <c r="L359" s="9">
        <v>-9</v>
      </c>
      <c r="M359" s="10">
        <v>-24.537461299444743</v>
      </c>
      <c r="N359" s="7" t="s">
        <v>24</v>
      </c>
      <c r="P359" s="29" t="str">
        <f t="shared" si="90"/>
        <v/>
      </c>
      <c r="Q359" s="29" t="str">
        <f t="shared" si="91"/>
        <v/>
      </c>
      <c r="R359" s="29" t="str">
        <f t="shared" si="92"/>
        <v/>
      </c>
      <c r="S359" s="29" t="str">
        <f t="shared" si="93"/>
        <v/>
      </c>
      <c r="T359" s="32">
        <f t="shared" si="94"/>
        <v>1</v>
      </c>
      <c r="U359" s="32">
        <f t="shared" si="97"/>
        <v>1</v>
      </c>
      <c r="V359" s="32" t="str">
        <f t="shared" si="98"/>
        <v/>
      </c>
      <c r="W359" s="41" t="str">
        <f t="shared" si="95"/>
        <v/>
      </c>
      <c r="X359" s="6">
        <f t="shared" si="96"/>
        <v>-24.537461299444743</v>
      </c>
      <c r="Y359" s="7">
        <f t="shared" si="99"/>
        <v>1883</v>
      </c>
      <c r="AA359" s="7">
        <f t="shared" si="100"/>
        <v>0</v>
      </c>
      <c r="AB359" s="7" t="str">
        <f t="shared" si="101"/>
        <v/>
      </c>
      <c r="AC359" s="7">
        <f t="shared" si="102"/>
        <v>1</v>
      </c>
      <c r="AD359" s="7">
        <f t="shared" si="103"/>
        <v>-9</v>
      </c>
      <c r="AE359" s="6">
        <f t="shared" si="104"/>
        <v>-9</v>
      </c>
      <c r="AF359" s="69" t="str">
        <f t="shared" si="105"/>
        <v/>
      </c>
      <c r="AG359" s="6">
        <f t="shared" si="106"/>
        <v>0</v>
      </c>
      <c r="AH359" s="6">
        <f t="shared" si="107"/>
        <v>604</v>
      </c>
    </row>
    <row r="360" spans="8:34" x14ac:dyDescent="0.25">
      <c r="H360" s="7">
        <v>367</v>
      </c>
      <c r="I360" s="7" t="s">
        <v>8</v>
      </c>
      <c r="J360" s="8">
        <v>38573</v>
      </c>
      <c r="K360" s="12" t="s">
        <v>18</v>
      </c>
      <c r="L360" s="9">
        <v>-8</v>
      </c>
      <c r="M360" s="10">
        <v>-21.825357589950652</v>
      </c>
      <c r="N360" s="7" t="s">
        <v>23</v>
      </c>
      <c r="P360" s="29" t="str">
        <f t="shared" si="90"/>
        <v/>
      </c>
      <c r="Q360" s="29" t="str">
        <f t="shared" si="91"/>
        <v/>
      </c>
      <c r="R360" s="29" t="str">
        <f t="shared" si="92"/>
        <v/>
      </c>
      <c r="S360" s="29" t="str">
        <f t="shared" si="93"/>
        <v/>
      </c>
      <c r="T360" s="32" t="str">
        <f t="shared" si="94"/>
        <v/>
      </c>
      <c r="U360" s="32">
        <f t="shared" si="97"/>
        <v>1</v>
      </c>
      <c r="V360" s="32" t="str">
        <f t="shared" si="98"/>
        <v/>
      </c>
      <c r="W360" s="41" t="str">
        <f t="shared" si="95"/>
        <v/>
      </c>
      <c r="X360" s="6">
        <f t="shared" si="96"/>
        <v>-21.825357589950652</v>
      </c>
      <c r="Y360" s="7">
        <f t="shared" si="99"/>
        <v>1879</v>
      </c>
      <c r="AA360" s="7">
        <f t="shared" si="100"/>
        <v>1</v>
      </c>
      <c r="AB360" s="7">
        <f t="shared" si="101"/>
        <v>-8</v>
      </c>
      <c r="AC360" s="7">
        <f t="shared" si="102"/>
        <v>0</v>
      </c>
      <c r="AD360" s="7" t="str">
        <f t="shared" si="103"/>
        <v/>
      </c>
      <c r="AE360" s="6">
        <f t="shared" si="104"/>
        <v>-8</v>
      </c>
      <c r="AF360" s="69" t="str">
        <f t="shared" si="105"/>
        <v/>
      </c>
      <c r="AG360" s="6">
        <f t="shared" si="106"/>
        <v>0</v>
      </c>
      <c r="AH360" s="6">
        <f t="shared" si="107"/>
        <v>604</v>
      </c>
    </row>
    <row r="361" spans="8:34" x14ac:dyDescent="0.25">
      <c r="H361" s="7">
        <v>368</v>
      </c>
      <c r="I361" s="7" t="s">
        <v>11</v>
      </c>
      <c r="J361" s="8">
        <v>38903</v>
      </c>
      <c r="K361" s="12" t="s">
        <v>18</v>
      </c>
      <c r="L361" s="9">
        <v>37</v>
      </c>
      <c r="M361" s="10">
        <v>113.0101592216552</v>
      </c>
      <c r="N361" s="7" t="s">
        <v>22</v>
      </c>
      <c r="P361" s="29" t="str">
        <f t="shared" si="90"/>
        <v/>
      </c>
      <c r="Q361" s="29" t="str">
        <f t="shared" si="91"/>
        <v/>
      </c>
      <c r="R361" s="29" t="str">
        <f t="shared" si="92"/>
        <v/>
      </c>
      <c r="S361" s="29" t="str">
        <f t="shared" si="93"/>
        <v/>
      </c>
      <c r="T361" s="32" t="str">
        <f t="shared" si="94"/>
        <v/>
      </c>
      <c r="U361" s="32" t="str">
        <f t="shared" si="97"/>
        <v/>
      </c>
      <c r="V361" s="32">
        <f t="shared" si="98"/>
        <v>1</v>
      </c>
      <c r="W361" s="41">
        <f t="shared" si="95"/>
        <v>3.0543286276123025</v>
      </c>
      <c r="X361" s="6">
        <f t="shared" si="96"/>
        <v>0</v>
      </c>
      <c r="Y361" s="7">
        <f t="shared" si="99"/>
        <v>567</v>
      </c>
      <c r="AA361" s="7">
        <f t="shared" si="100"/>
        <v>0</v>
      </c>
      <c r="AB361" s="7" t="str">
        <f t="shared" si="101"/>
        <v/>
      </c>
      <c r="AC361" s="7">
        <f t="shared" si="102"/>
        <v>0</v>
      </c>
      <c r="AD361" s="7" t="str">
        <f t="shared" si="103"/>
        <v/>
      </c>
      <c r="AE361" s="6">
        <f t="shared" si="104"/>
        <v>0</v>
      </c>
      <c r="AF361" s="69">
        <f t="shared" si="105"/>
        <v>3.0543286276123025</v>
      </c>
      <c r="AG361" s="6">
        <f t="shared" si="106"/>
        <v>0</v>
      </c>
      <c r="AH361" s="6">
        <f t="shared" si="107"/>
        <v>604</v>
      </c>
    </row>
    <row r="362" spans="8:34" x14ac:dyDescent="0.25">
      <c r="H362" s="7">
        <v>369</v>
      </c>
      <c r="I362" s="7" t="s">
        <v>8</v>
      </c>
      <c r="J362" s="8">
        <v>38045</v>
      </c>
      <c r="K362" s="12" t="s">
        <v>18</v>
      </c>
      <c r="L362" s="9">
        <v>20</v>
      </c>
      <c r="M362" s="10">
        <v>61.67879282842005</v>
      </c>
      <c r="N362" s="7" t="s">
        <v>24</v>
      </c>
      <c r="P362" s="29">
        <f t="shared" si="90"/>
        <v>1</v>
      </c>
      <c r="Q362" s="29" t="str">
        <f t="shared" si="91"/>
        <v/>
      </c>
      <c r="R362" s="29" t="str">
        <f t="shared" si="92"/>
        <v/>
      </c>
      <c r="S362" s="29" t="str">
        <f t="shared" si="93"/>
        <v/>
      </c>
      <c r="T362" s="32" t="str">
        <f t="shared" si="94"/>
        <v/>
      </c>
      <c r="U362" s="32" t="str">
        <f t="shared" si="97"/>
        <v/>
      </c>
      <c r="V362" s="32" t="str">
        <f t="shared" si="98"/>
        <v/>
      </c>
      <c r="W362" s="41">
        <f t="shared" si="95"/>
        <v>3.0839396414210025</v>
      </c>
      <c r="X362" s="6">
        <f t="shared" si="96"/>
        <v>0</v>
      </c>
      <c r="Y362" s="7">
        <f t="shared" si="99"/>
        <v>567</v>
      </c>
      <c r="AA362" s="7">
        <f t="shared" si="100"/>
        <v>0</v>
      </c>
      <c r="AB362" s="7" t="str">
        <f t="shared" si="101"/>
        <v/>
      </c>
      <c r="AC362" s="7">
        <f t="shared" si="102"/>
        <v>0</v>
      </c>
      <c r="AD362" s="7" t="str">
        <f t="shared" si="103"/>
        <v/>
      </c>
      <c r="AE362" s="6">
        <f t="shared" si="104"/>
        <v>0</v>
      </c>
      <c r="AF362" s="69">
        <f t="shared" si="105"/>
        <v>3.0839396414210025</v>
      </c>
      <c r="AG362" s="6">
        <f t="shared" si="106"/>
        <v>61.67879282842005</v>
      </c>
      <c r="AH362" s="6">
        <f t="shared" si="107"/>
        <v>462</v>
      </c>
    </row>
    <row r="363" spans="8:34" x14ac:dyDescent="0.25">
      <c r="H363" s="7">
        <v>370</v>
      </c>
      <c r="I363" s="7" t="s">
        <v>12</v>
      </c>
      <c r="J363" s="8">
        <v>38606</v>
      </c>
      <c r="K363" s="12" t="s">
        <v>17</v>
      </c>
      <c r="L363" s="9">
        <v>2</v>
      </c>
      <c r="M363" s="10">
        <v>7.7509272810830456</v>
      </c>
      <c r="N363" s="7" t="s">
        <v>23</v>
      </c>
      <c r="P363" s="29" t="str">
        <f t="shared" si="90"/>
        <v/>
      </c>
      <c r="Q363" s="29" t="str">
        <f t="shared" si="91"/>
        <v/>
      </c>
      <c r="R363" s="29" t="str">
        <f t="shared" si="92"/>
        <v/>
      </c>
      <c r="S363" s="29" t="str">
        <f t="shared" si="93"/>
        <v/>
      </c>
      <c r="T363" s="32" t="str">
        <f t="shared" si="94"/>
        <v/>
      </c>
      <c r="U363" s="32">
        <f t="shared" si="97"/>
        <v>1</v>
      </c>
      <c r="V363" s="32" t="str">
        <f t="shared" si="98"/>
        <v/>
      </c>
      <c r="W363" s="41">
        <f t="shared" si="95"/>
        <v>3.8754636405415228</v>
      </c>
      <c r="X363" s="6">
        <f t="shared" si="96"/>
        <v>7.7509272810830456</v>
      </c>
      <c r="Y363" s="7">
        <f t="shared" si="99"/>
        <v>550</v>
      </c>
      <c r="AA363" s="7">
        <f t="shared" si="100"/>
        <v>1</v>
      </c>
      <c r="AB363" s="7">
        <f t="shared" si="101"/>
        <v>2</v>
      </c>
      <c r="AC363" s="7">
        <f t="shared" si="102"/>
        <v>0</v>
      </c>
      <c r="AD363" s="7" t="str">
        <f t="shared" si="103"/>
        <v/>
      </c>
      <c r="AE363" s="6">
        <f t="shared" si="104"/>
        <v>0</v>
      </c>
      <c r="AF363" s="69">
        <f t="shared" si="105"/>
        <v>3.8754636405415228</v>
      </c>
      <c r="AG363" s="6">
        <f t="shared" si="106"/>
        <v>0</v>
      </c>
      <c r="AH363" s="6">
        <f t="shared" si="107"/>
        <v>604</v>
      </c>
    </row>
    <row r="364" spans="8:34" x14ac:dyDescent="0.25">
      <c r="H364" s="7">
        <v>371</v>
      </c>
      <c r="I364" s="7" t="s">
        <v>9</v>
      </c>
      <c r="J364" s="8">
        <v>38584</v>
      </c>
      <c r="K364" s="12" t="s">
        <v>16</v>
      </c>
      <c r="L364" s="9">
        <v>36</v>
      </c>
      <c r="M364" s="10">
        <v>110.59418125988078</v>
      </c>
      <c r="N364" s="7" t="s">
        <v>21</v>
      </c>
      <c r="P364" s="29" t="str">
        <f t="shared" si="90"/>
        <v/>
      </c>
      <c r="Q364" s="29" t="str">
        <f t="shared" si="91"/>
        <v/>
      </c>
      <c r="R364" s="29" t="str">
        <f t="shared" si="92"/>
        <v/>
      </c>
      <c r="S364" s="29" t="str">
        <f t="shared" si="93"/>
        <v/>
      </c>
      <c r="T364" s="32" t="str">
        <f t="shared" si="94"/>
        <v/>
      </c>
      <c r="U364" s="32">
        <f t="shared" si="97"/>
        <v>1</v>
      </c>
      <c r="V364" s="32" t="str">
        <f t="shared" si="98"/>
        <v/>
      </c>
      <c r="W364" s="41">
        <f t="shared" si="95"/>
        <v>3.072060590552244</v>
      </c>
      <c r="X364" s="6">
        <f t="shared" si="96"/>
        <v>110.59418125988078</v>
      </c>
      <c r="Y364" s="7">
        <f t="shared" si="99"/>
        <v>338</v>
      </c>
      <c r="AA364" s="7">
        <f t="shared" si="100"/>
        <v>1</v>
      </c>
      <c r="AB364" s="7">
        <f t="shared" si="101"/>
        <v>36</v>
      </c>
      <c r="AC364" s="7">
        <f t="shared" si="102"/>
        <v>0</v>
      </c>
      <c r="AD364" s="7" t="str">
        <f t="shared" si="103"/>
        <v/>
      </c>
      <c r="AE364" s="6">
        <f t="shared" si="104"/>
        <v>0</v>
      </c>
      <c r="AF364" s="69">
        <f t="shared" si="105"/>
        <v>3.072060590552244</v>
      </c>
      <c r="AG364" s="6">
        <f t="shared" si="106"/>
        <v>0</v>
      </c>
      <c r="AH364" s="6">
        <f t="shared" si="107"/>
        <v>604</v>
      </c>
    </row>
    <row r="365" spans="8:34" x14ac:dyDescent="0.25">
      <c r="H365" s="7">
        <v>372</v>
      </c>
      <c r="I365" s="7" t="s">
        <v>9</v>
      </c>
      <c r="J365" s="8">
        <v>38628</v>
      </c>
      <c r="K365" s="12" t="s">
        <v>20</v>
      </c>
      <c r="L365" s="9">
        <v>34</v>
      </c>
      <c r="M365" s="10">
        <v>103.88965096458593</v>
      </c>
      <c r="N365" s="7" t="s">
        <v>23</v>
      </c>
      <c r="P365" s="29" t="str">
        <f t="shared" si="90"/>
        <v/>
      </c>
      <c r="Q365" s="29" t="str">
        <f t="shared" si="91"/>
        <v/>
      </c>
      <c r="R365" s="29" t="str">
        <f t="shared" si="92"/>
        <v/>
      </c>
      <c r="S365" s="29" t="str">
        <f t="shared" si="93"/>
        <v/>
      </c>
      <c r="T365" s="32">
        <f t="shared" si="94"/>
        <v>1</v>
      </c>
      <c r="U365" s="32">
        <f t="shared" si="97"/>
        <v>1</v>
      </c>
      <c r="V365" s="32" t="str">
        <f t="shared" si="98"/>
        <v/>
      </c>
      <c r="W365" s="41">
        <f t="shared" si="95"/>
        <v>3.0555779695466447</v>
      </c>
      <c r="X365" s="6">
        <f t="shared" si="96"/>
        <v>103.88965096458593</v>
      </c>
      <c r="Y365" s="7">
        <f t="shared" si="99"/>
        <v>354</v>
      </c>
      <c r="AA365" s="7">
        <f t="shared" si="100"/>
        <v>0</v>
      </c>
      <c r="AB365" s="7" t="str">
        <f t="shared" si="101"/>
        <v/>
      </c>
      <c r="AC365" s="7">
        <f t="shared" si="102"/>
        <v>1</v>
      </c>
      <c r="AD365" s="7">
        <f t="shared" si="103"/>
        <v>34</v>
      </c>
      <c r="AE365" s="6">
        <f t="shared" si="104"/>
        <v>0</v>
      </c>
      <c r="AF365" s="69">
        <f t="shared" si="105"/>
        <v>3.0555779695466447</v>
      </c>
      <c r="AG365" s="6">
        <f t="shared" si="106"/>
        <v>0</v>
      </c>
      <c r="AH365" s="6">
        <f t="shared" si="107"/>
        <v>604</v>
      </c>
    </row>
    <row r="366" spans="8:34" x14ac:dyDescent="0.25">
      <c r="H366" s="7">
        <v>373</v>
      </c>
      <c r="I366" s="7" t="s">
        <v>15</v>
      </c>
      <c r="J366" s="8">
        <v>38837</v>
      </c>
      <c r="K366" s="12" t="s">
        <v>16</v>
      </c>
      <c r="L366" s="9">
        <v>84</v>
      </c>
      <c r="M366" s="10">
        <v>253.89322061575038</v>
      </c>
      <c r="N366" s="7" t="s">
        <v>22</v>
      </c>
      <c r="P366" s="29" t="str">
        <f t="shared" si="90"/>
        <v/>
      </c>
      <c r="Q366" s="29" t="str">
        <f t="shared" si="91"/>
        <v/>
      </c>
      <c r="R366" s="29" t="str">
        <f t="shared" si="92"/>
        <v/>
      </c>
      <c r="S366" s="29" t="str">
        <f t="shared" si="93"/>
        <v/>
      </c>
      <c r="T366" s="32" t="str">
        <f t="shared" si="94"/>
        <v/>
      </c>
      <c r="U366" s="32" t="str">
        <f t="shared" si="97"/>
        <v/>
      </c>
      <c r="V366" s="32">
        <f t="shared" si="98"/>
        <v>1</v>
      </c>
      <c r="W366" s="41">
        <f t="shared" si="95"/>
        <v>3.022538340663695</v>
      </c>
      <c r="X366" s="6">
        <f t="shared" si="96"/>
        <v>0</v>
      </c>
      <c r="Y366" s="7">
        <f t="shared" si="99"/>
        <v>567</v>
      </c>
      <c r="AA366" s="7">
        <f t="shared" si="100"/>
        <v>0</v>
      </c>
      <c r="AB366" s="7" t="str">
        <f t="shared" si="101"/>
        <v/>
      </c>
      <c r="AC366" s="7">
        <f t="shared" si="102"/>
        <v>0</v>
      </c>
      <c r="AD366" s="7" t="str">
        <f t="shared" si="103"/>
        <v/>
      </c>
      <c r="AE366" s="6">
        <f t="shared" si="104"/>
        <v>0</v>
      </c>
      <c r="AF366" s="69">
        <f t="shared" si="105"/>
        <v>3.022538340663695</v>
      </c>
      <c r="AG366" s="6">
        <f t="shared" si="106"/>
        <v>0</v>
      </c>
      <c r="AH366" s="6">
        <f t="shared" si="107"/>
        <v>604</v>
      </c>
    </row>
    <row r="367" spans="8:34" x14ac:dyDescent="0.25">
      <c r="H367" s="7">
        <v>374</v>
      </c>
      <c r="I367" s="7" t="s">
        <v>8</v>
      </c>
      <c r="J367" s="8">
        <v>38947</v>
      </c>
      <c r="K367" s="12" t="s">
        <v>20</v>
      </c>
      <c r="L367" s="9">
        <v>89</v>
      </c>
      <c r="M367" s="10">
        <v>268.47594870423103</v>
      </c>
      <c r="N367" s="7" t="s">
        <v>24</v>
      </c>
      <c r="P367" s="29" t="str">
        <f t="shared" si="90"/>
        <v/>
      </c>
      <c r="Q367" s="29" t="str">
        <f t="shared" si="91"/>
        <v/>
      </c>
      <c r="R367" s="29" t="str">
        <f t="shared" si="92"/>
        <v/>
      </c>
      <c r="S367" s="29" t="str">
        <f t="shared" si="93"/>
        <v/>
      </c>
      <c r="T367" s="32" t="str">
        <f t="shared" si="94"/>
        <v/>
      </c>
      <c r="U367" s="32" t="str">
        <f t="shared" si="97"/>
        <v/>
      </c>
      <c r="V367" s="32">
        <f t="shared" si="98"/>
        <v>1</v>
      </c>
      <c r="W367" s="41">
        <f t="shared" si="95"/>
        <v>3.0165836933059667</v>
      </c>
      <c r="X367" s="6">
        <f t="shared" si="96"/>
        <v>0</v>
      </c>
      <c r="Y367" s="7">
        <f t="shared" si="99"/>
        <v>567</v>
      </c>
      <c r="AA367" s="7">
        <f t="shared" si="100"/>
        <v>0</v>
      </c>
      <c r="AB367" s="7" t="str">
        <f t="shared" si="101"/>
        <v/>
      </c>
      <c r="AC367" s="7">
        <f t="shared" si="102"/>
        <v>0</v>
      </c>
      <c r="AD367" s="7" t="str">
        <f t="shared" si="103"/>
        <v/>
      </c>
      <c r="AE367" s="6">
        <f t="shared" si="104"/>
        <v>0</v>
      </c>
      <c r="AF367" s="69">
        <f t="shared" si="105"/>
        <v>3.0165836933059667</v>
      </c>
      <c r="AG367" s="6">
        <f t="shared" si="106"/>
        <v>0</v>
      </c>
      <c r="AH367" s="6">
        <f t="shared" si="107"/>
        <v>604</v>
      </c>
    </row>
    <row r="368" spans="8:34" x14ac:dyDescent="0.25">
      <c r="H368" s="7">
        <v>375</v>
      </c>
      <c r="I368" s="7" t="s">
        <v>10</v>
      </c>
      <c r="J368" s="8">
        <v>38749</v>
      </c>
      <c r="K368" s="12" t="s">
        <v>17</v>
      </c>
      <c r="L368" s="9">
        <v>31</v>
      </c>
      <c r="M368" s="10">
        <v>95.680691267513808</v>
      </c>
      <c r="N368" s="7" t="s">
        <v>21</v>
      </c>
      <c r="P368" s="29" t="str">
        <f t="shared" si="90"/>
        <v/>
      </c>
      <c r="Q368" s="29" t="str">
        <f t="shared" si="91"/>
        <v/>
      </c>
      <c r="R368" s="29" t="str">
        <f t="shared" si="92"/>
        <v/>
      </c>
      <c r="S368" s="29" t="str">
        <f t="shared" si="93"/>
        <v/>
      </c>
      <c r="T368" s="32" t="str">
        <f t="shared" si="94"/>
        <v/>
      </c>
      <c r="U368" s="32" t="str">
        <f t="shared" si="97"/>
        <v/>
      </c>
      <c r="V368" s="32">
        <f t="shared" si="98"/>
        <v>1</v>
      </c>
      <c r="W368" s="41">
        <f t="shared" si="95"/>
        <v>3.086473911855284</v>
      </c>
      <c r="X368" s="6">
        <f t="shared" si="96"/>
        <v>0</v>
      </c>
      <c r="Y368" s="7">
        <f t="shared" si="99"/>
        <v>567</v>
      </c>
      <c r="AA368" s="7">
        <f t="shared" si="100"/>
        <v>0</v>
      </c>
      <c r="AB368" s="7" t="str">
        <f t="shared" si="101"/>
        <v/>
      </c>
      <c r="AC368" s="7">
        <f t="shared" si="102"/>
        <v>0</v>
      </c>
      <c r="AD368" s="7" t="str">
        <f t="shared" si="103"/>
        <v/>
      </c>
      <c r="AE368" s="6">
        <f t="shared" si="104"/>
        <v>0</v>
      </c>
      <c r="AF368" s="69">
        <f t="shared" si="105"/>
        <v>3.086473911855284</v>
      </c>
      <c r="AG368" s="6">
        <f t="shared" si="106"/>
        <v>0</v>
      </c>
      <c r="AH368" s="6">
        <f t="shared" si="107"/>
        <v>604</v>
      </c>
    </row>
    <row r="369" spans="8:34" x14ac:dyDescent="0.25">
      <c r="H369" s="7">
        <v>376</v>
      </c>
      <c r="I369" s="7" t="s">
        <v>15</v>
      </c>
      <c r="J369" s="8">
        <v>38067</v>
      </c>
      <c r="K369" s="12" t="s">
        <v>17</v>
      </c>
      <c r="L369" s="9">
        <v>7</v>
      </c>
      <c r="M369" s="10">
        <v>22.545863255239365</v>
      </c>
      <c r="N369" s="7" t="s">
        <v>23</v>
      </c>
      <c r="P369" s="29">
        <f t="shared" si="90"/>
        <v>1</v>
      </c>
      <c r="Q369" s="29" t="str">
        <f t="shared" si="91"/>
        <v/>
      </c>
      <c r="R369" s="29" t="str">
        <f t="shared" si="92"/>
        <v/>
      </c>
      <c r="S369" s="29" t="str">
        <f t="shared" si="93"/>
        <v/>
      </c>
      <c r="T369" s="32" t="str">
        <f t="shared" si="94"/>
        <v/>
      </c>
      <c r="U369" s="32" t="str">
        <f t="shared" si="97"/>
        <v/>
      </c>
      <c r="V369" s="32" t="str">
        <f t="shared" si="98"/>
        <v/>
      </c>
      <c r="W369" s="41">
        <f t="shared" si="95"/>
        <v>3.2208376078913377</v>
      </c>
      <c r="X369" s="6">
        <f t="shared" si="96"/>
        <v>0</v>
      </c>
      <c r="Y369" s="7">
        <f t="shared" si="99"/>
        <v>567</v>
      </c>
      <c r="AA369" s="7">
        <f t="shared" si="100"/>
        <v>0</v>
      </c>
      <c r="AB369" s="7" t="str">
        <f t="shared" si="101"/>
        <v/>
      </c>
      <c r="AC369" s="7">
        <f t="shared" si="102"/>
        <v>0</v>
      </c>
      <c r="AD369" s="7" t="str">
        <f t="shared" si="103"/>
        <v/>
      </c>
      <c r="AE369" s="6">
        <f t="shared" si="104"/>
        <v>0</v>
      </c>
      <c r="AF369" s="69">
        <f t="shared" si="105"/>
        <v>3.2208376078913377</v>
      </c>
      <c r="AG369" s="6">
        <f t="shared" si="106"/>
        <v>22.545863255239365</v>
      </c>
      <c r="AH369" s="6">
        <f t="shared" si="107"/>
        <v>555</v>
      </c>
    </row>
    <row r="370" spans="8:34" x14ac:dyDescent="0.25">
      <c r="H370" s="7">
        <v>377</v>
      </c>
      <c r="I370" s="7" t="s">
        <v>8</v>
      </c>
      <c r="J370" s="8">
        <v>38023</v>
      </c>
      <c r="K370" s="12" t="s">
        <v>17</v>
      </c>
      <c r="L370" s="9">
        <v>7</v>
      </c>
      <c r="M370" s="10">
        <v>22.939193343037168</v>
      </c>
      <c r="N370" s="7" t="s">
        <v>23</v>
      </c>
      <c r="P370" s="29">
        <f t="shared" si="90"/>
        <v>1</v>
      </c>
      <c r="Q370" s="29" t="str">
        <f t="shared" si="91"/>
        <v/>
      </c>
      <c r="R370" s="29" t="str">
        <f t="shared" si="92"/>
        <v/>
      </c>
      <c r="S370" s="29" t="str">
        <f t="shared" si="93"/>
        <v/>
      </c>
      <c r="T370" s="32" t="str">
        <f t="shared" si="94"/>
        <v/>
      </c>
      <c r="U370" s="32" t="str">
        <f t="shared" si="97"/>
        <v/>
      </c>
      <c r="V370" s="32" t="str">
        <f t="shared" si="98"/>
        <v/>
      </c>
      <c r="W370" s="41">
        <f t="shared" si="95"/>
        <v>3.2770276204338811</v>
      </c>
      <c r="X370" s="6">
        <f t="shared" si="96"/>
        <v>0</v>
      </c>
      <c r="Y370" s="7">
        <f t="shared" si="99"/>
        <v>567</v>
      </c>
      <c r="AA370" s="7">
        <f t="shared" si="100"/>
        <v>0</v>
      </c>
      <c r="AB370" s="7" t="str">
        <f t="shared" si="101"/>
        <v/>
      </c>
      <c r="AC370" s="7">
        <f t="shared" si="102"/>
        <v>0</v>
      </c>
      <c r="AD370" s="7" t="str">
        <f t="shared" si="103"/>
        <v/>
      </c>
      <c r="AE370" s="6">
        <f t="shared" si="104"/>
        <v>0</v>
      </c>
      <c r="AF370" s="69">
        <f t="shared" si="105"/>
        <v>3.2770276204338811</v>
      </c>
      <c r="AG370" s="6">
        <f t="shared" si="106"/>
        <v>22.939193343037168</v>
      </c>
      <c r="AH370" s="6">
        <f t="shared" si="107"/>
        <v>553</v>
      </c>
    </row>
    <row r="371" spans="8:34" x14ac:dyDescent="0.25">
      <c r="H371" s="7">
        <v>378</v>
      </c>
      <c r="I371" s="7" t="s">
        <v>13</v>
      </c>
      <c r="J371" s="8">
        <v>38771</v>
      </c>
      <c r="K371" s="12" t="s">
        <v>16</v>
      </c>
      <c r="L371" s="9">
        <v>76</v>
      </c>
      <c r="M371" s="10">
        <v>229.89259006043184</v>
      </c>
      <c r="N371" s="7" t="s">
        <v>24</v>
      </c>
      <c r="P371" s="29" t="str">
        <f t="shared" si="90"/>
        <v/>
      </c>
      <c r="Q371" s="29" t="str">
        <f t="shared" si="91"/>
        <v/>
      </c>
      <c r="R371" s="29" t="str">
        <f t="shared" si="92"/>
        <v/>
      </c>
      <c r="S371" s="29" t="str">
        <f t="shared" si="93"/>
        <v/>
      </c>
      <c r="T371" s="32" t="str">
        <f t="shared" si="94"/>
        <v/>
      </c>
      <c r="U371" s="32" t="str">
        <f t="shared" si="97"/>
        <v/>
      </c>
      <c r="V371" s="32">
        <f t="shared" si="98"/>
        <v>1</v>
      </c>
      <c r="W371" s="41">
        <f t="shared" si="95"/>
        <v>3.024902500795156</v>
      </c>
      <c r="X371" s="6">
        <f t="shared" si="96"/>
        <v>0</v>
      </c>
      <c r="Y371" s="7">
        <f t="shared" si="99"/>
        <v>567</v>
      </c>
      <c r="AA371" s="7">
        <f t="shared" si="100"/>
        <v>0</v>
      </c>
      <c r="AB371" s="7" t="str">
        <f t="shared" si="101"/>
        <v/>
      </c>
      <c r="AC371" s="7">
        <f t="shared" si="102"/>
        <v>0</v>
      </c>
      <c r="AD371" s="7" t="str">
        <f t="shared" si="103"/>
        <v/>
      </c>
      <c r="AE371" s="6">
        <f t="shared" si="104"/>
        <v>0</v>
      </c>
      <c r="AF371" s="69">
        <f t="shared" si="105"/>
        <v>3.024902500795156</v>
      </c>
      <c r="AG371" s="6">
        <f t="shared" si="106"/>
        <v>0</v>
      </c>
      <c r="AH371" s="6">
        <f t="shared" si="107"/>
        <v>604</v>
      </c>
    </row>
    <row r="372" spans="8:34" x14ac:dyDescent="0.25">
      <c r="H372" s="7">
        <v>379</v>
      </c>
      <c r="I372" s="7" t="s">
        <v>10</v>
      </c>
      <c r="J372" s="8">
        <v>38199</v>
      </c>
      <c r="K372" s="12" t="s">
        <v>18</v>
      </c>
      <c r="L372" s="9">
        <v>6</v>
      </c>
      <c r="M372" s="10">
        <v>19.561017308486775</v>
      </c>
      <c r="N372" s="7" t="s">
        <v>23</v>
      </c>
      <c r="P372" s="29" t="str">
        <f t="shared" si="90"/>
        <v/>
      </c>
      <c r="Q372" s="29" t="str">
        <f t="shared" si="91"/>
        <v/>
      </c>
      <c r="R372" s="29">
        <f t="shared" si="92"/>
        <v>1</v>
      </c>
      <c r="S372" s="29" t="str">
        <f t="shared" si="93"/>
        <v/>
      </c>
      <c r="T372" s="32" t="str">
        <f t="shared" si="94"/>
        <v/>
      </c>
      <c r="U372" s="32" t="str">
        <f t="shared" si="97"/>
        <v/>
      </c>
      <c r="V372" s="32" t="str">
        <f t="shared" si="98"/>
        <v/>
      </c>
      <c r="W372" s="41">
        <f t="shared" si="95"/>
        <v>3.2601695514144624</v>
      </c>
      <c r="X372" s="6">
        <f t="shared" si="96"/>
        <v>0</v>
      </c>
      <c r="Y372" s="7">
        <f t="shared" si="99"/>
        <v>567</v>
      </c>
      <c r="AA372" s="7">
        <f t="shared" si="100"/>
        <v>0</v>
      </c>
      <c r="AB372" s="7" t="str">
        <f t="shared" si="101"/>
        <v/>
      </c>
      <c r="AC372" s="7">
        <f t="shared" si="102"/>
        <v>0</v>
      </c>
      <c r="AD372" s="7" t="str">
        <f t="shared" si="103"/>
        <v/>
      </c>
      <c r="AE372" s="6">
        <f t="shared" si="104"/>
        <v>0</v>
      </c>
      <c r="AF372" s="69">
        <f t="shared" si="105"/>
        <v>3.2601695514144624</v>
      </c>
      <c r="AG372" s="6">
        <f t="shared" si="106"/>
        <v>19.561017308486775</v>
      </c>
      <c r="AH372" s="6">
        <f t="shared" si="107"/>
        <v>564</v>
      </c>
    </row>
    <row r="373" spans="8:34" x14ac:dyDescent="0.25">
      <c r="H373" s="7">
        <v>380</v>
      </c>
      <c r="I373" s="7" t="s">
        <v>12</v>
      </c>
      <c r="J373" s="8">
        <v>39013</v>
      </c>
      <c r="K373" s="12" t="s">
        <v>17</v>
      </c>
      <c r="L373" s="9">
        <v>43</v>
      </c>
      <c r="M373" s="10">
        <v>130.28590210776713</v>
      </c>
      <c r="N373" s="7" t="s">
        <v>23</v>
      </c>
      <c r="P373" s="29" t="str">
        <f t="shared" si="90"/>
        <v/>
      </c>
      <c r="Q373" s="29" t="str">
        <f t="shared" si="91"/>
        <v/>
      </c>
      <c r="R373" s="29" t="str">
        <f t="shared" si="92"/>
        <v/>
      </c>
      <c r="S373" s="29" t="str">
        <f t="shared" si="93"/>
        <v/>
      </c>
      <c r="T373" s="32" t="str">
        <f t="shared" si="94"/>
        <v/>
      </c>
      <c r="U373" s="32" t="str">
        <f t="shared" si="97"/>
        <v/>
      </c>
      <c r="V373" s="32">
        <f t="shared" si="98"/>
        <v>1</v>
      </c>
      <c r="W373" s="41">
        <f t="shared" si="95"/>
        <v>3.029904700180631</v>
      </c>
      <c r="X373" s="6">
        <f t="shared" si="96"/>
        <v>0</v>
      </c>
      <c r="Y373" s="7">
        <f t="shared" si="99"/>
        <v>567</v>
      </c>
      <c r="AA373" s="7">
        <f t="shared" si="100"/>
        <v>0</v>
      </c>
      <c r="AB373" s="7" t="str">
        <f t="shared" si="101"/>
        <v/>
      </c>
      <c r="AC373" s="7">
        <f t="shared" si="102"/>
        <v>0</v>
      </c>
      <c r="AD373" s="7" t="str">
        <f t="shared" si="103"/>
        <v/>
      </c>
      <c r="AE373" s="6">
        <f t="shared" si="104"/>
        <v>0</v>
      </c>
      <c r="AF373" s="69">
        <f t="shared" si="105"/>
        <v>3.029904700180631</v>
      </c>
      <c r="AG373" s="6">
        <f t="shared" si="106"/>
        <v>0</v>
      </c>
      <c r="AH373" s="6">
        <f t="shared" si="107"/>
        <v>604</v>
      </c>
    </row>
    <row r="374" spans="8:34" x14ac:dyDescent="0.25">
      <c r="H374" s="7">
        <v>381</v>
      </c>
      <c r="I374" s="7" t="s">
        <v>15</v>
      </c>
      <c r="J374" s="8">
        <v>38001</v>
      </c>
      <c r="K374" s="12" t="s">
        <v>20</v>
      </c>
      <c r="L374" s="9">
        <v>20</v>
      </c>
      <c r="M374" s="10">
        <v>62.18277208256027</v>
      </c>
      <c r="N374" s="7" t="s">
        <v>23</v>
      </c>
      <c r="P374" s="29">
        <f t="shared" si="90"/>
        <v>1</v>
      </c>
      <c r="Q374" s="29" t="str">
        <f t="shared" si="91"/>
        <v/>
      </c>
      <c r="R374" s="29" t="str">
        <f t="shared" si="92"/>
        <v/>
      </c>
      <c r="S374" s="29" t="str">
        <f t="shared" si="93"/>
        <v/>
      </c>
      <c r="T374" s="32" t="str">
        <f t="shared" si="94"/>
        <v/>
      </c>
      <c r="U374" s="32" t="str">
        <f t="shared" si="97"/>
        <v/>
      </c>
      <c r="V374" s="32" t="str">
        <f t="shared" si="98"/>
        <v/>
      </c>
      <c r="W374" s="41">
        <f t="shared" si="95"/>
        <v>3.1091386041280136</v>
      </c>
      <c r="X374" s="6">
        <f t="shared" si="96"/>
        <v>0</v>
      </c>
      <c r="Y374" s="7">
        <f t="shared" si="99"/>
        <v>567</v>
      </c>
      <c r="AA374" s="7">
        <f t="shared" si="100"/>
        <v>0</v>
      </c>
      <c r="AB374" s="7" t="str">
        <f t="shared" si="101"/>
        <v/>
      </c>
      <c r="AC374" s="7">
        <f t="shared" si="102"/>
        <v>0</v>
      </c>
      <c r="AD374" s="7" t="str">
        <f t="shared" si="103"/>
        <v/>
      </c>
      <c r="AE374" s="6">
        <f t="shared" si="104"/>
        <v>0</v>
      </c>
      <c r="AF374" s="69">
        <f t="shared" si="105"/>
        <v>3.1091386041280136</v>
      </c>
      <c r="AG374" s="6">
        <f t="shared" si="106"/>
        <v>62.18277208256027</v>
      </c>
      <c r="AH374" s="6">
        <f t="shared" si="107"/>
        <v>457</v>
      </c>
    </row>
    <row r="375" spans="8:34" x14ac:dyDescent="0.25">
      <c r="H375" s="7">
        <v>382</v>
      </c>
      <c r="I375" s="7" t="s">
        <v>10</v>
      </c>
      <c r="J375" s="8">
        <v>38793</v>
      </c>
      <c r="K375" s="12" t="s">
        <v>19</v>
      </c>
      <c r="L375" s="9">
        <v>11</v>
      </c>
      <c r="M375" s="10">
        <v>35.076818705440886</v>
      </c>
      <c r="N375" s="7" t="s">
        <v>21</v>
      </c>
      <c r="P375" s="29" t="str">
        <f t="shared" si="90"/>
        <v/>
      </c>
      <c r="Q375" s="29" t="str">
        <f t="shared" si="91"/>
        <v/>
      </c>
      <c r="R375" s="29" t="str">
        <f t="shared" si="92"/>
        <v/>
      </c>
      <c r="S375" s="29" t="str">
        <f t="shared" si="93"/>
        <v/>
      </c>
      <c r="T375" s="32" t="str">
        <f t="shared" si="94"/>
        <v/>
      </c>
      <c r="U375" s="32" t="str">
        <f t="shared" si="97"/>
        <v/>
      </c>
      <c r="V375" s="32">
        <f t="shared" si="98"/>
        <v>1</v>
      </c>
      <c r="W375" s="41">
        <f t="shared" si="95"/>
        <v>3.1888017004946261</v>
      </c>
      <c r="X375" s="6">
        <f t="shared" si="96"/>
        <v>0</v>
      </c>
      <c r="Y375" s="7">
        <f t="shared" si="99"/>
        <v>567</v>
      </c>
      <c r="AA375" s="7">
        <f t="shared" si="100"/>
        <v>0</v>
      </c>
      <c r="AB375" s="7" t="str">
        <f t="shared" si="101"/>
        <v/>
      </c>
      <c r="AC375" s="7">
        <f t="shared" si="102"/>
        <v>0</v>
      </c>
      <c r="AD375" s="7" t="str">
        <f t="shared" si="103"/>
        <v/>
      </c>
      <c r="AE375" s="6">
        <f t="shared" si="104"/>
        <v>0</v>
      </c>
      <c r="AF375" s="69">
        <f t="shared" si="105"/>
        <v>3.1888017004946261</v>
      </c>
      <c r="AG375" s="6">
        <f t="shared" si="106"/>
        <v>0</v>
      </c>
      <c r="AH375" s="6">
        <f t="shared" si="107"/>
        <v>604</v>
      </c>
    </row>
    <row r="376" spans="8:34" x14ac:dyDescent="0.25">
      <c r="H376" s="7">
        <v>383</v>
      </c>
      <c r="I376" s="7" t="s">
        <v>14</v>
      </c>
      <c r="J376" s="8">
        <v>38529</v>
      </c>
      <c r="K376" s="12" t="s">
        <v>16</v>
      </c>
      <c r="L376" s="9">
        <v>35</v>
      </c>
      <c r="M376" s="10">
        <v>107.05323824700537</v>
      </c>
      <c r="N376" s="7" t="s">
        <v>24</v>
      </c>
      <c r="P376" s="29" t="str">
        <f t="shared" si="90"/>
        <v/>
      </c>
      <c r="Q376" s="29" t="str">
        <f t="shared" si="91"/>
        <v/>
      </c>
      <c r="R376" s="29" t="str">
        <f t="shared" si="92"/>
        <v/>
      </c>
      <c r="S376" s="29" t="str">
        <f t="shared" si="93"/>
        <v/>
      </c>
      <c r="T376" s="32" t="str">
        <f t="shared" si="94"/>
        <v/>
      </c>
      <c r="U376" s="32">
        <f t="shared" si="97"/>
        <v>1</v>
      </c>
      <c r="V376" s="32" t="str">
        <f t="shared" si="98"/>
        <v/>
      </c>
      <c r="W376" s="41">
        <f t="shared" si="95"/>
        <v>3.0586639499144392</v>
      </c>
      <c r="X376" s="6">
        <f t="shared" si="96"/>
        <v>107.05323824700537</v>
      </c>
      <c r="Y376" s="7">
        <f t="shared" si="99"/>
        <v>346</v>
      </c>
      <c r="AA376" s="7">
        <f t="shared" si="100"/>
        <v>0</v>
      </c>
      <c r="AB376" s="7" t="str">
        <f t="shared" si="101"/>
        <v/>
      </c>
      <c r="AC376" s="7">
        <f t="shared" si="102"/>
        <v>1</v>
      </c>
      <c r="AD376" s="7">
        <f t="shared" si="103"/>
        <v>35</v>
      </c>
      <c r="AE376" s="6">
        <f t="shared" si="104"/>
        <v>0</v>
      </c>
      <c r="AF376" s="69">
        <f t="shared" si="105"/>
        <v>3.0586639499144392</v>
      </c>
      <c r="AG376" s="6">
        <f t="shared" si="106"/>
        <v>0</v>
      </c>
      <c r="AH376" s="6">
        <f t="shared" si="107"/>
        <v>604</v>
      </c>
    </row>
    <row r="377" spans="8:34" x14ac:dyDescent="0.25">
      <c r="H377" s="7">
        <v>384</v>
      </c>
      <c r="I377" s="7" t="s">
        <v>13</v>
      </c>
      <c r="J377" s="8">
        <v>38793</v>
      </c>
      <c r="K377" s="12" t="s">
        <v>18</v>
      </c>
      <c r="L377" s="9">
        <v>72</v>
      </c>
      <c r="M377" s="10">
        <v>218.15023917907857</v>
      </c>
      <c r="N377" s="7" t="s">
        <v>21</v>
      </c>
      <c r="P377" s="29" t="str">
        <f t="shared" si="90"/>
        <v/>
      </c>
      <c r="Q377" s="29" t="str">
        <f t="shared" si="91"/>
        <v/>
      </c>
      <c r="R377" s="29" t="str">
        <f t="shared" si="92"/>
        <v/>
      </c>
      <c r="S377" s="29" t="str">
        <f t="shared" si="93"/>
        <v/>
      </c>
      <c r="T377" s="32" t="str">
        <f t="shared" si="94"/>
        <v/>
      </c>
      <c r="U377" s="32" t="str">
        <f t="shared" si="97"/>
        <v/>
      </c>
      <c r="V377" s="32">
        <f t="shared" si="98"/>
        <v>1</v>
      </c>
      <c r="W377" s="41">
        <f t="shared" si="95"/>
        <v>3.029864433042758</v>
      </c>
      <c r="X377" s="6">
        <f t="shared" si="96"/>
        <v>0</v>
      </c>
      <c r="Y377" s="7">
        <f t="shared" si="99"/>
        <v>567</v>
      </c>
      <c r="AA377" s="7">
        <f t="shared" si="100"/>
        <v>0</v>
      </c>
      <c r="AB377" s="7" t="str">
        <f t="shared" si="101"/>
        <v/>
      </c>
      <c r="AC377" s="7">
        <f t="shared" si="102"/>
        <v>0</v>
      </c>
      <c r="AD377" s="7" t="str">
        <f t="shared" si="103"/>
        <v/>
      </c>
      <c r="AE377" s="6">
        <f t="shared" si="104"/>
        <v>0</v>
      </c>
      <c r="AF377" s="69">
        <f t="shared" si="105"/>
        <v>3.029864433042758</v>
      </c>
      <c r="AG377" s="6">
        <f t="shared" si="106"/>
        <v>0</v>
      </c>
      <c r="AH377" s="6">
        <f t="shared" si="107"/>
        <v>604</v>
      </c>
    </row>
    <row r="378" spans="8:34" x14ac:dyDescent="0.25">
      <c r="H378" s="7">
        <v>385</v>
      </c>
      <c r="I378" s="7" t="s">
        <v>15</v>
      </c>
      <c r="J378" s="8">
        <v>38133</v>
      </c>
      <c r="K378" s="12" t="s">
        <v>18</v>
      </c>
      <c r="L378" s="9">
        <v>49</v>
      </c>
      <c r="M378" s="10">
        <v>148.92692975074797</v>
      </c>
      <c r="N378" s="7" t="s">
        <v>23</v>
      </c>
      <c r="P378" s="29" t="str">
        <f t="shared" si="90"/>
        <v/>
      </c>
      <c r="Q378" s="29">
        <f t="shared" si="91"/>
        <v>1</v>
      </c>
      <c r="R378" s="29" t="str">
        <f t="shared" si="92"/>
        <v/>
      </c>
      <c r="S378" s="29" t="str">
        <f t="shared" si="93"/>
        <v/>
      </c>
      <c r="T378" s="32" t="str">
        <f t="shared" si="94"/>
        <v/>
      </c>
      <c r="U378" s="32" t="str">
        <f t="shared" si="97"/>
        <v/>
      </c>
      <c r="V378" s="32" t="str">
        <f t="shared" si="98"/>
        <v/>
      </c>
      <c r="W378" s="41">
        <f t="shared" si="95"/>
        <v>3.0393250969540402</v>
      </c>
      <c r="X378" s="6">
        <f t="shared" si="96"/>
        <v>0</v>
      </c>
      <c r="Y378" s="7">
        <f t="shared" si="99"/>
        <v>567</v>
      </c>
      <c r="AA378" s="7">
        <f t="shared" si="100"/>
        <v>0</v>
      </c>
      <c r="AB378" s="7" t="str">
        <f t="shared" si="101"/>
        <v/>
      </c>
      <c r="AC378" s="7">
        <f t="shared" si="102"/>
        <v>0</v>
      </c>
      <c r="AD378" s="7" t="str">
        <f t="shared" si="103"/>
        <v/>
      </c>
      <c r="AE378" s="6">
        <f t="shared" si="104"/>
        <v>0</v>
      </c>
      <c r="AF378" s="69">
        <f t="shared" si="105"/>
        <v>3.0393250969540402</v>
      </c>
      <c r="AG378" s="6">
        <f t="shared" si="106"/>
        <v>148.92692975074797</v>
      </c>
      <c r="AH378" s="6">
        <f t="shared" si="107"/>
        <v>274</v>
      </c>
    </row>
    <row r="379" spans="8:34" x14ac:dyDescent="0.25">
      <c r="H379" s="7">
        <v>386</v>
      </c>
      <c r="I379" s="7" t="s">
        <v>14</v>
      </c>
      <c r="J379" s="8">
        <v>38782</v>
      </c>
      <c r="K379" s="12" t="s">
        <v>18</v>
      </c>
      <c r="L379" s="9">
        <v>88</v>
      </c>
      <c r="M379" s="10">
        <v>266.64631383797939</v>
      </c>
      <c r="N379" s="7" t="s">
        <v>22</v>
      </c>
      <c r="P379" s="29" t="str">
        <f t="shared" si="90"/>
        <v/>
      </c>
      <c r="Q379" s="29" t="str">
        <f t="shared" si="91"/>
        <v/>
      </c>
      <c r="R379" s="29" t="str">
        <f t="shared" si="92"/>
        <v/>
      </c>
      <c r="S379" s="29" t="str">
        <f t="shared" si="93"/>
        <v/>
      </c>
      <c r="T379" s="32" t="str">
        <f t="shared" si="94"/>
        <v/>
      </c>
      <c r="U379" s="32" t="str">
        <f t="shared" si="97"/>
        <v/>
      </c>
      <c r="V379" s="32">
        <f t="shared" si="98"/>
        <v>1</v>
      </c>
      <c r="W379" s="41">
        <f t="shared" si="95"/>
        <v>3.0300717481588566</v>
      </c>
      <c r="X379" s="6">
        <f t="shared" si="96"/>
        <v>0</v>
      </c>
      <c r="Y379" s="7">
        <f t="shared" si="99"/>
        <v>567</v>
      </c>
      <c r="AA379" s="7">
        <f t="shared" si="100"/>
        <v>0</v>
      </c>
      <c r="AB379" s="7" t="str">
        <f t="shared" si="101"/>
        <v/>
      </c>
      <c r="AC379" s="7">
        <f t="shared" si="102"/>
        <v>0</v>
      </c>
      <c r="AD379" s="7" t="str">
        <f t="shared" si="103"/>
        <v/>
      </c>
      <c r="AE379" s="6">
        <f t="shared" si="104"/>
        <v>0</v>
      </c>
      <c r="AF379" s="69">
        <f t="shared" si="105"/>
        <v>3.0300717481588566</v>
      </c>
      <c r="AG379" s="6">
        <f t="shared" si="106"/>
        <v>0</v>
      </c>
      <c r="AH379" s="6">
        <f t="shared" si="107"/>
        <v>604</v>
      </c>
    </row>
    <row r="380" spans="8:34" x14ac:dyDescent="0.25">
      <c r="H380" s="7">
        <v>387</v>
      </c>
      <c r="I380" s="7" t="s">
        <v>9</v>
      </c>
      <c r="J380" s="8">
        <v>38804</v>
      </c>
      <c r="K380" s="12" t="s">
        <v>18</v>
      </c>
      <c r="L380" s="9">
        <v>45</v>
      </c>
      <c r="M380" s="10">
        <v>136.00734165157533</v>
      </c>
      <c r="N380" s="7" t="s">
        <v>22</v>
      </c>
      <c r="P380" s="29" t="str">
        <f t="shared" si="90"/>
        <v/>
      </c>
      <c r="Q380" s="29" t="str">
        <f t="shared" si="91"/>
        <v/>
      </c>
      <c r="R380" s="29" t="str">
        <f t="shared" si="92"/>
        <v/>
      </c>
      <c r="S380" s="29" t="str">
        <f t="shared" si="93"/>
        <v/>
      </c>
      <c r="T380" s="32" t="str">
        <f t="shared" si="94"/>
        <v/>
      </c>
      <c r="U380" s="32" t="str">
        <f t="shared" si="97"/>
        <v/>
      </c>
      <c r="V380" s="32">
        <f t="shared" si="98"/>
        <v>1</v>
      </c>
      <c r="W380" s="41">
        <f t="shared" si="95"/>
        <v>3.0223853700350074</v>
      </c>
      <c r="X380" s="6">
        <f t="shared" si="96"/>
        <v>0</v>
      </c>
      <c r="Y380" s="7">
        <f t="shared" si="99"/>
        <v>567</v>
      </c>
      <c r="AA380" s="7">
        <f t="shared" si="100"/>
        <v>0</v>
      </c>
      <c r="AB380" s="7" t="str">
        <f t="shared" si="101"/>
        <v/>
      </c>
      <c r="AC380" s="7">
        <f t="shared" si="102"/>
        <v>0</v>
      </c>
      <c r="AD380" s="7" t="str">
        <f t="shared" si="103"/>
        <v/>
      </c>
      <c r="AE380" s="6">
        <f t="shared" si="104"/>
        <v>0</v>
      </c>
      <c r="AF380" s="69">
        <f t="shared" si="105"/>
        <v>3.0223853700350074</v>
      </c>
      <c r="AG380" s="6">
        <f t="shared" si="106"/>
        <v>0</v>
      </c>
      <c r="AH380" s="6">
        <f t="shared" si="107"/>
        <v>604</v>
      </c>
    </row>
    <row r="381" spans="8:34" x14ac:dyDescent="0.25">
      <c r="H381" s="7">
        <v>388</v>
      </c>
      <c r="I381" s="7" t="s">
        <v>9</v>
      </c>
      <c r="J381" s="8">
        <v>38067</v>
      </c>
      <c r="K381" s="12" t="s">
        <v>17</v>
      </c>
      <c r="L381" s="9">
        <v>37</v>
      </c>
      <c r="M381" s="10">
        <v>112.92900415721101</v>
      </c>
      <c r="N381" s="7" t="s">
        <v>22</v>
      </c>
      <c r="P381" s="29">
        <f t="shared" si="90"/>
        <v>1</v>
      </c>
      <c r="Q381" s="29" t="str">
        <f t="shared" si="91"/>
        <v/>
      </c>
      <c r="R381" s="29" t="str">
        <f t="shared" si="92"/>
        <v/>
      </c>
      <c r="S381" s="29" t="str">
        <f t="shared" si="93"/>
        <v/>
      </c>
      <c r="T381" s="32" t="str">
        <f t="shared" si="94"/>
        <v/>
      </c>
      <c r="U381" s="32" t="str">
        <f t="shared" si="97"/>
        <v/>
      </c>
      <c r="V381" s="32" t="str">
        <f t="shared" si="98"/>
        <v/>
      </c>
      <c r="W381" s="41">
        <f t="shared" si="95"/>
        <v>3.0521352474921897</v>
      </c>
      <c r="X381" s="6">
        <f t="shared" si="96"/>
        <v>0</v>
      </c>
      <c r="Y381" s="7">
        <f t="shared" si="99"/>
        <v>567</v>
      </c>
      <c r="AA381" s="7">
        <f t="shared" si="100"/>
        <v>0</v>
      </c>
      <c r="AB381" s="7" t="str">
        <f t="shared" si="101"/>
        <v/>
      </c>
      <c r="AC381" s="7">
        <f t="shared" si="102"/>
        <v>0</v>
      </c>
      <c r="AD381" s="7" t="str">
        <f t="shared" si="103"/>
        <v/>
      </c>
      <c r="AE381" s="6">
        <f t="shared" si="104"/>
        <v>0</v>
      </c>
      <c r="AF381" s="69">
        <f t="shared" si="105"/>
        <v>3.0521352474921897</v>
      </c>
      <c r="AG381" s="6">
        <f t="shared" si="106"/>
        <v>112.92900415721101</v>
      </c>
      <c r="AH381" s="6">
        <f t="shared" si="107"/>
        <v>348</v>
      </c>
    </row>
    <row r="382" spans="8:34" x14ac:dyDescent="0.25">
      <c r="H382" s="7">
        <v>389</v>
      </c>
      <c r="I382" s="7" t="s">
        <v>11</v>
      </c>
      <c r="J382" s="8">
        <v>38452</v>
      </c>
      <c r="K382" s="12" t="s">
        <v>17</v>
      </c>
      <c r="L382" s="9">
        <v>12</v>
      </c>
      <c r="M382" s="10">
        <v>38.618337900456311</v>
      </c>
      <c r="N382" s="7" t="s">
        <v>22</v>
      </c>
      <c r="P382" s="29" t="str">
        <f t="shared" si="90"/>
        <v/>
      </c>
      <c r="Q382" s="29" t="str">
        <f t="shared" si="91"/>
        <v/>
      </c>
      <c r="R382" s="29" t="str">
        <f t="shared" si="92"/>
        <v/>
      </c>
      <c r="S382" s="29" t="str">
        <f t="shared" si="93"/>
        <v/>
      </c>
      <c r="T382" s="32" t="str">
        <f t="shared" si="94"/>
        <v/>
      </c>
      <c r="U382" s="32">
        <f t="shared" si="97"/>
        <v>1</v>
      </c>
      <c r="V382" s="32" t="str">
        <f t="shared" si="98"/>
        <v/>
      </c>
      <c r="W382" s="41">
        <f t="shared" si="95"/>
        <v>3.2181948250380259</v>
      </c>
      <c r="X382" s="6">
        <f t="shared" si="96"/>
        <v>38.618337900456311</v>
      </c>
      <c r="Y382" s="7">
        <f t="shared" si="99"/>
        <v>479</v>
      </c>
      <c r="AA382" s="7">
        <f t="shared" si="100"/>
        <v>0</v>
      </c>
      <c r="AB382" s="7" t="str">
        <f t="shared" si="101"/>
        <v/>
      </c>
      <c r="AC382" s="7">
        <f t="shared" si="102"/>
        <v>1</v>
      </c>
      <c r="AD382" s="7">
        <f t="shared" si="103"/>
        <v>12</v>
      </c>
      <c r="AE382" s="6">
        <f t="shared" si="104"/>
        <v>0</v>
      </c>
      <c r="AF382" s="69">
        <f t="shared" si="105"/>
        <v>3.2181948250380259</v>
      </c>
      <c r="AG382" s="6">
        <f t="shared" si="106"/>
        <v>0</v>
      </c>
      <c r="AH382" s="6">
        <f t="shared" si="107"/>
        <v>604</v>
      </c>
    </row>
    <row r="383" spans="8:34" x14ac:dyDescent="0.25">
      <c r="H383" s="7">
        <v>390</v>
      </c>
      <c r="I383" s="7" t="s">
        <v>14</v>
      </c>
      <c r="J383" s="8">
        <v>38122</v>
      </c>
      <c r="K383" s="12" t="s">
        <v>20</v>
      </c>
      <c r="L383" s="9">
        <v>18</v>
      </c>
      <c r="M383" s="10">
        <v>55.932067779481031</v>
      </c>
      <c r="N383" s="7" t="s">
        <v>22</v>
      </c>
      <c r="P383" s="29" t="str">
        <f t="shared" si="90"/>
        <v/>
      </c>
      <c r="Q383" s="29">
        <f t="shared" si="91"/>
        <v>1</v>
      </c>
      <c r="R383" s="29" t="str">
        <f t="shared" si="92"/>
        <v/>
      </c>
      <c r="S383" s="29" t="str">
        <f t="shared" si="93"/>
        <v/>
      </c>
      <c r="T383" s="32" t="str">
        <f t="shared" si="94"/>
        <v/>
      </c>
      <c r="U383" s="32" t="str">
        <f t="shared" si="97"/>
        <v/>
      </c>
      <c r="V383" s="32" t="str">
        <f t="shared" si="98"/>
        <v/>
      </c>
      <c r="W383" s="41">
        <f t="shared" si="95"/>
        <v>3.1073370988600573</v>
      </c>
      <c r="X383" s="6">
        <f t="shared" si="96"/>
        <v>0</v>
      </c>
      <c r="Y383" s="7">
        <f t="shared" si="99"/>
        <v>567</v>
      </c>
      <c r="AA383" s="7">
        <f t="shared" si="100"/>
        <v>0</v>
      </c>
      <c r="AB383" s="7" t="str">
        <f t="shared" si="101"/>
        <v/>
      </c>
      <c r="AC383" s="7">
        <f t="shared" si="102"/>
        <v>0</v>
      </c>
      <c r="AD383" s="7" t="str">
        <f t="shared" si="103"/>
        <v/>
      </c>
      <c r="AE383" s="6">
        <f t="shared" si="104"/>
        <v>0</v>
      </c>
      <c r="AF383" s="69">
        <f t="shared" si="105"/>
        <v>3.1073370988600573</v>
      </c>
      <c r="AG383" s="6">
        <f t="shared" si="106"/>
        <v>55.932067779481031</v>
      </c>
      <c r="AH383" s="6">
        <f t="shared" si="107"/>
        <v>470</v>
      </c>
    </row>
    <row r="384" spans="8:34" x14ac:dyDescent="0.25">
      <c r="H384" s="7">
        <v>391</v>
      </c>
      <c r="I384" s="7" t="s">
        <v>8</v>
      </c>
      <c r="J384" s="8">
        <v>38738</v>
      </c>
      <c r="K384" s="12" t="s">
        <v>17</v>
      </c>
      <c r="L384" s="9">
        <v>75</v>
      </c>
      <c r="M384" s="10">
        <v>226.99796556311475</v>
      </c>
      <c r="N384" s="7" t="s">
        <v>21</v>
      </c>
      <c r="P384" s="29" t="str">
        <f t="shared" si="90"/>
        <v/>
      </c>
      <c r="Q384" s="29" t="str">
        <f t="shared" si="91"/>
        <v/>
      </c>
      <c r="R384" s="29" t="str">
        <f t="shared" si="92"/>
        <v/>
      </c>
      <c r="S384" s="29" t="str">
        <f t="shared" si="93"/>
        <v/>
      </c>
      <c r="T384" s="32" t="str">
        <f t="shared" si="94"/>
        <v/>
      </c>
      <c r="U384" s="32" t="str">
        <f t="shared" si="97"/>
        <v/>
      </c>
      <c r="V384" s="32">
        <f t="shared" si="98"/>
        <v>1</v>
      </c>
      <c r="W384" s="41">
        <f t="shared" si="95"/>
        <v>3.0266395408415301</v>
      </c>
      <c r="X384" s="6">
        <f t="shared" si="96"/>
        <v>0</v>
      </c>
      <c r="Y384" s="7">
        <f t="shared" si="99"/>
        <v>567</v>
      </c>
      <c r="AA384" s="7">
        <f t="shared" si="100"/>
        <v>0</v>
      </c>
      <c r="AB384" s="7" t="str">
        <f t="shared" si="101"/>
        <v/>
      </c>
      <c r="AC384" s="7">
        <f t="shared" si="102"/>
        <v>0</v>
      </c>
      <c r="AD384" s="7" t="str">
        <f t="shared" si="103"/>
        <v/>
      </c>
      <c r="AE384" s="6">
        <f t="shared" si="104"/>
        <v>0</v>
      </c>
      <c r="AF384" s="69">
        <f t="shared" si="105"/>
        <v>3.0266395408415301</v>
      </c>
      <c r="AG384" s="6">
        <f t="shared" si="106"/>
        <v>0</v>
      </c>
      <c r="AH384" s="6">
        <f t="shared" si="107"/>
        <v>604</v>
      </c>
    </row>
    <row r="385" spans="8:34" x14ac:dyDescent="0.25">
      <c r="H385" s="7">
        <v>392</v>
      </c>
      <c r="I385" s="7" t="s">
        <v>14</v>
      </c>
      <c r="J385" s="8">
        <v>38408</v>
      </c>
      <c r="K385" s="12" t="s">
        <v>18</v>
      </c>
      <c r="L385" s="9">
        <v>8</v>
      </c>
      <c r="M385" s="10">
        <v>26.314204821327241</v>
      </c>
      <c r="N385" s="7" t="s">
        <v>21</v>
      </c>
      <c r="P385" s="29" t="str">
        <f t="shared" si="90"/>
        <v/>
      </c>
      <c r="Q385" s="29" t="str">
        <f t="shared" si="91"/>
        <v/>
      </c>
      <c r="R385" s="29" t="str">
        <f t="shared" si="92"/>
        <v/>
      </c>
      <c r="S385" s="29" t="str">
        <f t="shared" si="93"/>
        <v/>
      </c>
      <c r="T385" s="32" t="str">
        <f t="shared" si="94"/>
        <v/>
      </c>
      <c r="U385" s="32">
        <f t="shared" si="97"/>
        <v>1</v>
      </c>
      <c r="V385" s="32" t="str">
        <f t="shared" si="98"/>
        <v/>
      </c>
      <c r="W385" s="41">
        <f t="shared" si="95"/>
        <v>3.2892756026659051</v>
      </c>
      <c r="X385" s="6">
        <f t="shared" si="96"/>
        <v>26.314204821327241</v>
      </c>
      <c r="Y385" s="7">
        <f t="shared" si="99"/>
        <v>509</v>
      </c>
      <c r="AA385" s="7">
        <f t="shared" si="100"/>
        <v>1</v>
      </c>
      <c r="AB385" s="7">
        <f t="shared" si="101"/>
        <v>8</v>
      </c>
      <c r="AC385" s="7">
        <f t="shared" si="102"/>
        <v>0</v>
      </c>
      <c r="AD385" s="7" t="str">
        <f t="shared" si="103"/>
        <v/>
      </c>
      <c r="AE385" s="6">
        <f t="shared" si="104"/>
        <v>0</v>
      </c>
      <c r="AF385" s="69">
        <f t="shared" si="105"/>
        <v>3.2892756026659051</v>
      </c>
      <c r="AG385" s="6">
        <f t="shared" si="106"/>
        <v>0</v>
      </c>
      <c r="AH385" s="6">
        <f t="shared" si="107"/>
        <v>604</v>
      </c>
    </row>
    <row r="386" spans="8:34" x14ac:dyDescent="0.25">
      <c r="H386" s="7">
        <v>393</v>
      </c>
      <c r="I386" s="7" t="s">
        <v>7</v>
      </c>
      <c r="J386" s="8">
        <v>38078</v>
      </c>
      <c r="K386" s="12" t="s">
        <v>17</v>
      </c>
      <c r="L386" s="9">
        <v>37</v>
      </c>
      <c r="M386" s="10">
        <v>112.53534248627696</v>
      </c>
      <c r="N386" s="7" t="s">
        <v>24</v>
      </c>
      <c r="P386" s="29" t="str">
        <f t="shared" si="90"/>
        <v/>
      </c>
      <c r="Q386" s="29">
        <f t="shared" si="91"/>
        <v>1</v>
      </c>
      <c r="R386" s="29" t="str">
        <f t="shared" si="92"/>
        <v/>
      </c>
      <c r="S386" s="29" t="str">
        <f t="shared" si="93"/>
        <v/>
      </c>
      <c r="T386" s="32" t="str">
        <f t="shared" si="94"/>
        <v/>
      </c>
      <c r="U386" s="32" t="str">
        <f t="shared" si="97"/>
        <v/>
      </c>
      <c r="V386" s="32" t="str">
        <f t="shared" si="98"/>
        <v/>
      </c>
      <c r="W386" s="41">
        <f t="shared" si="95"/>
        <v>3.0414957428723501</v>
      </c>
      <c r="X386" s="6">
        <f t="shared" si="96"/>
        <v>0</v>
      </c>
      <c r="Y386" s="7">
        <f t="shared" si="99"/>
        <v>567</v>
      </c>
      <c r="AA386" s="7">
        <f t="shared" si="100"/>
        <v>0</v>
      </c>
      <c r="AB386" s="7" t="str">
        <f t="shared" si="101"/>
        <v/>
      </c>
      <c r="AC386" s="7">
        <f t="shared" si="102"/>
        <v>0</v>
      </c>
      <c r="AD386" s="7" t="str">
        <f t="shared" si="103"/>
        <v/>
      </c>
      <c r="AE386" s="6">
        <f t="shared" si="104"/>
        <v>0</v>
      </c>
      <c r="AF386" s="69">
        <f t="shared" si="105"/>
        <v>3.0414957428723501</v>
      </c>
      <c r="AG386" s="6">
        <f t="shared" si="106"/>
        <v>112.53534248627696</v>
      </c>
      <c r="AH386" s="6">
        <f t="shared" si="107"/>
        <v>350</v>
      </c>
    </row>
    <row r="387" spans="8:34" x14ac:dyDescent="0.25">
      <c r="H387" s="7">
        <v>394</v>
      </c>
      <c r="I387" s="7" t="s">
        <v>9</v>
      </c>
      <c r="J387" s="8">
        <v>38342</v>
      </c>
      <c r="K387" s="12" t="s">
        <v>17</v>
      </c>
      <c r="L387" s="9">
        <v>-6</v>
      </c>
      <c r="M387" s="10">
        <v>-16.412365818215765</v>
      </c>
      <c r="N387" s="7" t="s">
        <v>21</v>
      </c>
      <c r="P387" s="29" t="str">
        <f t="shared" ref="P387:P450" si="108">IF(AND((MONTH(J387))&lt;4,YEAR(J387)=2004),1,"")</f>
        <v/>
      </c>
      <c r="Q387" s="29" t="str">
        <f t="shared" ref="Q387:Q450" si="109">IF(AND(3&lt;(MONTH(J387)),(MONTH(J387)&lt;7),YEAR(J387)=2004),1,"")</f>
        <v/>
      </c>
      <c r="R387" s="29" t="str">
        <f t="shared" ref="R387:R450" si="110">IF(AND(6&lt;(MONTH(J387)),(MONTH(J387)&lt;10),YEAR(J387)=2004),1,"")</f>
        <v/>
      </c>
      <c r="S387" s="29">
        <f t="shared" ref="S387:S450" si="111">IF(AND(9&lt;(MONTH(J387)),(MONTH(J387)&lt;13),YEAR(J387)=2004),1,"")</f>
        <v>1</v>
      </c>
      <c r="T387" s="32" t="str">
        <f t="shared" ref="T387:T450" si="112">IF(AND((9&lt;MONTH(J387)),YEAR(J387)=2005),1,"")</f>
        <v/>
      </c>
      <c r="U387" s="32" t="str">
        <f t="shared" si="97"/>
        <v/>
      </c>
      <c r="V387" s="32" t="str">
        <f t="shared" si="98"/>
        <v/>
      </c>
      <c r="W387" s="41" t="str">
        <f t="shared" ref="W387:W450" si="113">IF(L387&gt;0,M387/L387,"")</f>
        <v/>
      </c>
      <c r="X387" s="6">
        <f t="shared" ref="X387:X450" si="114">IF(U387=1,M387,0)</f>
        <v>0</v>
      </c>
      <c r="Y387" s="7">
        <f t="shared" si="99"/>
        <v>567</v>
      </c>
      <c r="AA387" s="7">
        <f t="shared" si="100"/>
        <v>0</v>
      </c>
      <c r="AB387" s="7" t="str">
        <f t="shared" si="101"/>
        <v/>
      </c>
      <c r="AC387" s="7">
        <f t="shared" si="102"/>
        <v>0</v>
      </c>
      <c r="AD387" s="7" t="str">
        <f t="shared" si="103"/>
        <v/>
      </c>
      <c r="AE387" s="6">
        <f t="shared" si="104"/>
        <v>-6</v>
      </c>
      <c r="AF387" s="69" t="str">
        <f t="shared" si="105"/>
        <v/>
      </c>
      <c r="AG387" s="6">
        <f t="shared" si="106"/>
        <v>0</v>
      </c>
      <c r="AH387" s="6">
        <f t="shared" si="107"/>
        <v>604</v>
      </c>
    </row>
    <row r="388" spans="8:34" x14ac:dyDescent="0.25">
      <c r="H388" s="7">
        <v>395</v>
      </c>
      <c r="I388" s="7" t="s">
        <v>7</v>
      </c>
      <c r="J388" s="8">
        <v>38122</v>
      </c>
      <c r="K388" s="12" t="s">
        <v>19</v>
      </c>
      <c r="L388" s="9">
        <v>56</v>
      </c>
      <c r="M388" s="10">
        <v>169.27515470165261</v>
      </c>
      <c r="N388" s="7" t="s">
        <v>22</v>
      </c>
      <c r="P388" s="29" t="str">
        <f t="shared" si="108"/>
        <v/>
      </c>
      <c r="Q388" s="29">
        <f t="shared" si="109"/>
        <v>1</v>
      </c>
      <c r="R388" s="29" t="str">
        <f t="shared" si="110"/>
        <v/>
      </c>
      <c r="S388" s="29" t="str">
        <f t="shared" si="111"/>
        <v/>
      </c>
      <c r="T388" s="32" t="str">
        <f t="shared" si="112"/>
        <v/>
      </c>
      <c r="U388" s="32" t="str">
        <f t="shared" ref="U388:U451" si="115">IF(YEAR(J388)=2005,1,"")</f>
        <v/>
      </c>
      <c r="V388" s="32" t="str">
        <f t="shared" ref="V388:V451" si="116">IF(YEAR(J388)=2006,1,"")</f>
        <v/>
      </c>
      <c r="W388" s="41">
        <f t="shared" si="113"/>
        <v>3.022770619672368</v>
      </c>
      <c r="X388" s="6">
        <f t="shared" si="114"/>
        <v>0</v>
      </c>
      <c r="Y388" s="7">
        <f t="shared" ref="Y388:Y451" si="117">RANK(X388,$X$3:$X$1893)</f>
        <v>567</v>
      </c>
      <c r="AA388" s="7">
        <f t="shared" ref="AA388:AA451" si="118">IF(AND(OR((MONTH(J388))=1,(MONTH(J388))=2,(MONTH(J388))=3,(MONTH(J388))=7,(MONTH(J388))=8,(MONTH(J388))=9),YEAR(J388)=2005),1,0)</f>
        <v>0</v>
      </c>
      <c r="AB388" s="7" t="str">
        <f t="shared" ref="AB388:AB451" si="119">IF(AA388=1,L388,"")</f>
        <v/>
      </c>
      <c r="AC388" s="7">
        <f t="shared" ref="AC388:AC451" si="120">IF(AND(OR((MONTH(J388))=4,(MONTH(J388))=5,(MONTH(J388))=6,(MONTH(J388))=10,(MONTH(J388))=11,(MONTH(J388))=12),YEAR(J388)=2005),1,0)</f>
        <v>0</v>
      </c>
      <c r="AD388" s="7" t="str">
        <f t="shared" ref="AD388:AD451" si="121">IF(AC388=1,L388,"")</f>
        <v/>
      </c>
      <c r="AE388" s="6">
        <f t="shared" ref="AE388:AE451" si="122">IF(L388&lt;0,L388,0)</f>
        <v>0</v>
      </c>
      <c r="AF388" s="69">
        <f t="shared" ref="AF388:AF451" si="123">IF(L388&gt;0,W388,"")</f>
        <v>3.022770619672368</v>
      </c>
      <c r="AG388" s="6">
        <f t="shared" ref="AG388:AG451" si="124">IF(AND((M388&gt;0),(YEAR(J388)=2004)),M388,0)</f>
        <v>169.27515470165261</v>
      </c>
      <c r="AH388" s="6">
        <f t="shared" ref="AH388:AH451" si="125">RANK(AG388,$AG$3:$AG$1893)</f>
        <v>240</v>
      </c>
    </row>
    <row r="389" spans="8:34" x14ac:dyDescent="0.25">
      <c r="H389" s="7">
        <v>396</v>
      </c>
      <c r="I389" s="7" t="s">
        <v>14</v>
      </c>
      <c r="J389" s="8">
        <v>38331</v>
      </c>
      <c r="K389" s="12" t="s">
        <v>16</v>
      </c>
      <c r="L389" s="9">
        <v>53</v>
      </c>
      <c r="M389" s="10">
        <v>161.32546557795675</v>
      </c>
      <c r="N389" s="7" t="s">
        <v>22</v>
      </c>
      <c r="P389" s="29" t="str">
        <f t="shared" si="108"/>
        <v/>
      </c>
      <c r="Q389" s="29" t="str">
        <f t="shared" si="109"/>
        <v/>
      </c>
      <c r="R389" s="29" t="str">
        <f t="shared" si="110"/>
        <v/>
      </c>
      <c r="S389" s="29">
        <f t="shared" si="111"/>
        <v>1</v>
      </c>
      <c r="T389" s="32" t="str">
        <f t="shared" si="112"/>
        <v/>
      </c>
      <c r="U389" s="32" t="str">
        <f t="shared" si="115"/>
        <v/>
      </c>
      <c r="V389" s="32" t="str">
        <f t="shared" si="116"/>
        <v/>
      </c>
      <c r="W389" s="41">
        <f t="shared" si="113"/>
        <v>3.0438767090180519</v>
      </c>
      <c r="X389" s="6">
        <f t="shared" si="114"/>
        <v>0</v>
      </c>
      <c r="Y389" s="7">
        <f t="shared" si="117"/>
        <v>567</v>
      </c>
      <c r="AA389" s="7">
        <f t="shared" si="118"/>
        <v>0</v>
      </c>
      <c r="AB389" s="7" t="str">
        <f t="shared" si="119"/>
        <v/>
      </c>
      <c r="AC389" s="7">
        <f t="shared" si="120"/>
        <v>0</v>
      </c>
      <c r="AD389" s="7" t="str">
        <f t="shared" si="121"/>
        <v/>
      </c>
      <c r="AE389" s="6">
        <f t="shared" si="122"/>
        <v>0</v>
      </c>
      <c r="AF389" s="69">
        <f t="shared" si="123"/>
        <v>3.0438767090180519</v>
      </c>
      <c r="AG389" s="6">
        <f t="shared" si="124"/>
        <v>161.32546557795675</v>
      </c>
      <c r="AH389" s="6">
        <f t="shared" si="125"/>
        <v>258</v>
      </c>
    </row>
    <row r="390" spans="8:34" x14ac:dyDescent="0.25">
      <c r="H390" s="7">
        <v>397</v>
      </c>
      <c r="I390" s="7" t="s">
        <v>12</v>
      </c>
      <c r="J390" s="8">
        <v>38133</v>
      </c>
      <c r="K390" s="12" t="s">
        <v>17</v>
      </c>
      <c r="L390" s="9">
        <v>62</v>
      </c>
      <c r="M390" s="10">
        <v>187.71993550398903</v>
      </c>
      <c r="N390" s="7" t="s">
        <v>21</v>
      </c>
      <c r="P390" s="29" t="str">
        <f t="shared" si="108"/>
        <v/>
      </c>
      <c r="Q390" s="29">
        <f t="shared" si="109"/>
        <v>1</v>
      </c>
      <c r="R390" s="29" t="str">
        <f t="shared" si="110"/>
        <v/>
      </c>
      <c r="S390" s="29" t="str">
        <f t="shared" si="111"/>
        <v/>
      </c>
      <c r="T390" s="32" t="str">
        <f t="shared" si="112"/>
        <v/>
      </c>
      <c r="U390" s="32" t="str">
        <f t="shared" si="115"/>
        <v/>
      </c>
      <c r="V390" s="32" t="str">
        <f t="shared" si="116"/>
        <v/>
      </c>
      <c r="W390" s="41">
        <f t="shared" si="113"/>
        <v>3.0277408952256297</v>
      </c>
      <c r="X390" s="6">
        <f t="shared" si="114"/>
        <v>0</v>
      </c>
      <c r="Y390" s="7">
        <f t="shared" si="117"/>
        <v>567</v>
      </c>
      <c r="AA390" s="7">
        <f t="shared" si="118"/>
        <v>0</v>
      </c>
      <c r="AB390" s="7" t="str">
        <f t="shared" si="119"/>
        <v/>
      </c>
      <c r="AC390" s="7">
        <f t="shared" si="120"/>
        <v>0</v>
      </c>
      <c r="AD390" s="7" t="str">
        <f t="shared" si="121"/>
        <v/>
      </c>
      <c r="AE390" s="6">
        <f t="shared" si="122"/>
        <v>0</v>
      </c>
      <c r="AF390" s="69">
        <f t="shared" si="123"/>
        <v>3.0277408952256297</v>
      </c>
      <c r="AG390" s="6">
        <f t="shared" si="124"/>
        <v>187.71993550398903</v>
      </c>
      <c r="AH390" s="6">
        <f t="shared" si="125"/>
        <v>205</v>
      </c>
    </row>
    <row r="391" spans="8:34" x14ac:dyDescent="0.25">
      <c r="H391" s="7">
        <v>398</v>
      </c>
      <c r="I391" s="7" t="s">
        <v>9</v>
      </c>
      <c r="J391" s="8">
        <v>38441</v>
      </c>
      <c r="K391" s="12" t="s">
        <v>20</v>
      </c>
      <c r="L391" s="9">
        <v>90</v>
      </c>
      <c r="M391" s="10">
        <v>271.30519777626336</v>
      </c>
      <c r="N391" s="7" t="s">
        <v>22</v>
      </c>
      <c r="P391" s="29" t="str">
        <f t="shared" si="108"/>
        <v/>
      </c>
      <c r="Q391" s="29" t="str">
        <f t="shared" si="109"/>
        <v/>
      </c>
      <c r="R391" s="29" t="str">
        <f t="shared" si="110"/>
        <v/>
      </c>
      <c r="S391" s="29" t="str">
        <f t="shared" si="111"/>
        <v/>
      </c>
      <c r="T391" s="32" t="str">
        <f t="shared" si="112"/>
        <v/>
      </c>
      <c r="U391" s="32">
        <f t="shared" si="115"/>
        <v>1</v>
      </c>
      <c r="V391" s="32" t="str">
        <f t="shared" si="116"/>
        <v/>
      </c>
      <c r="W391" s="41">
        <f t="shared" si="113"/>
        <v>3.0145021975140374</v>
      </c>
      <c r="X391" s="6">
        <f t="shared" si="114"/>
        <v>271.30519777626336</v>
      </c>
      <c r="Y391" s="7">
        <f t="shared" si="117"/>
        <v>42</v>
      </c>
      <c r="AA391" s="7">
        <f t="shared" si="118"/>
        <v>1</v>
      </c>
      <c r="AB391" s="7">
        <f t="shared" si="119"/>
        <v>90</v>
      </c>
      <c r="AC391" s="7">
        <f t="shared" si="120"/>
        <v>0</v>
      </c>
      <c r="AD391" s="7" t="str">
        <f t="shared" si="121"/>
        <v/>
      </c>
      <c r="AE391" s="6">
        <f t="shared" si="122"/>
        <v>0</v>
      </c>
      <c r="AF391" s="69">
        <f t="shared" si="123"/>
        <v>3.0145021975140374</v>
      </c>
      <c r="AG391" s="6">
        <f t="shared" si="124"/>
        <v>0</v>
      </c>
      <c r="AH391" s="6">
        <f t="shared" si="125"/>
        <v>604</v>
      </c>
    </row>
    <row r="392" spans="8:34" x14ac:dyDescent="0.25">
      <c r="H392" s="7">
        <v>399</v>
      </c>
      <c r="I392" s="7" t="s">
        <v>9</v>
      </c>
      <c r="J392" s="8">
        <v>38001</v>
      </c>
      <c r="K392" s="12" t="s">
        <v>16</v>
      </c>
      <c r="L392" s="9">
        <v>30</v>
      </c>
      <c r="M392" s="10">
        <v>92.293324121451917</v>
      </c>
      <c r="N392" s="7" t="s">
        <v>22</v>
      </c>
      <c r="P392" s="29">
        <f t="shared" si="108"/>
        <v>1</v>
      </c>
      <c r="Q392" s="29" t="str">
        <f t="shared" si="109"/>
        <v/>
      </c>
      <c r="R392" s="29" t="str">
        <f t="shared" si="110"/>
        <v/>
      </c>
      <c r="S392" s="29" t="str">
        <f t="shared" si="111"/>
        <v/>
      </c>
      <c r="T392" s="32" t="str">
        <f t="shared" si="112"/>
        <v/>
      </c>
      <c r="U392" s="32" t="str">
        <f t="shared" si="115"/>
        <v/>
      </c>
      <c r="V392" s="32" t="str">
        <f t="shared" si="116"/>
        <v/>
      </c>
      <c r="W392" s="41">
        <f t="shared" si="113"/>
        <v>3.0764441373817304</v>
      </c>
      <c r="X392" s="6">
        <f t="shared" si="114"/>
        <v>0</v>
      </c>
      <c r="Y392" s="7">
        <f t="shared" si="117"/>
        <v>567</v>
      </c>
      <c r="AA392" s="7">
        <f t="shared" si="118"/>
        <v>0</v>
      </c>
      <c r="AB392" s="7" t="str">
        <f t="shared" si="119"/>
        <v/>
      </c>
      <c r="AC392" s="7">
        <f t="shared" si="120"/>
        <v>0</v>
      </c>
      <c r="AD392" s="7" t="str">
        <f t="shared" si="121"/>
        <v/>
      </c>
      <c r="AE392" s="6">
        <f t="shared" si="122"/>
        <v>0</v>
      </c>
      <c r="AF392" s="69">
        <f t="shared" si="123"/>
        <v>3.0764441373817304</v>
      </c>
      <c r="AG392" s="6">
        <f t="shared" si="124"/>
        <v>92.293324121451917</v>
      </c>
      <c r="AH392" s="6">
        <f t="shared" si="125"/>
        <v>392</v>
      </c>
    </row>
    <row r="393" spans="8:34" x14ac:dyDescent="0.25">
      <c r="H393" s="7">
        <v>400</v>
      </c>
      <c r="I393" s="7" t="s">
        <v>11</v>
      </c>
      <c r="J393" s="8">
        <v>38397</v>
      </c>
      <c r="K393" s="12" t="s">
        <v>18</v>
      </c>
      <c r="L393" s="9">
        <v>36</v>
      </c>
      <c r="M393" s="10">
        <v>110.39391248869612</v>
      </c>
      <c r="N393" s="7" t="s">
        <v>24</v>
      </c>
      <c r="P393" s="29" t="str">
        <f t="shared" si="108"/>
        <v/>
      </c>
      <c r="Q393" s="29" t="str">
        <f t="shared" si="109"/>
        <v/>
      </c>
      <c r="R393" s="29" t="str">
        <f t="shared" si="110"/>
        <v/>
      </c>
      <c r="S393" s="29" t="str">
        <f t="shared" si="111"/>
        <v/>
      </c>
      <c r="T393" s="32" t="str">
        <f t="shared" si="112"/>
        <v/>
      </c>
      <c r="U393" s="32">
        <f t="shared" si="115"/>
        <v>1</v>
      </c>
      <c r="V393" s="32" t="str">
        <f t="shared" si="116"/>
        <v/>
      </c>
      <c r="W393" s="41">
        <f t="shared" si="113"/>
        <v>3.0664975691304477</v>
      </c>
      <c r="X393" s="6">
        <f t="shared" si="114"/>
        <v>110.39391248869612</v>
      </c>
      <c r="Y393" s="7">
        <f t="shared" si="117"/>
        <v>340</v>
      </c>
      <c r="AA393" s="7">
        <f t="shared" si="118"/>
        <v>1</v>
      </c>
      <c r="AB393" s="7">
        <f t="shared" si="119"/>
        <v>36</v>
      </c>
      <c r="AC393" s="7">
        <f t="shared" si="120"/>
        <v>0</v>
      </c>
      <c r="AD393" s="7" t="str">
        <f t="shared" si="121"/>
        <v/>
      </c>
      <c r="AE393" s="6">
        <f t="shared" si="122"/>
        <v>0</v>
      </c>
      <c r="AF393" s="69">
        <f t="shared" si="123"/>
        <v>3.0664975691304477</v>
      </c>
      <c r="AG393" s="6">
        <f t="shared" si="124"/>
        <v>0</v>
      </c>
      <c r="AH393" s="6">
        <f t="shared" si="125"/>
        <v>604</v>
      </c>
    </row>
    <row r="394" spans="8:34" x14ac:dyDescent="0.25">
      <c r="H394" s="7">
        <v>401</v>
      </c>
      <c r="I394" s="7" t="s">
        <v>12</v>
      </c>
      <c r="J394" s="8">
        <v>38419</v>
      </c>
      <c r="K394" s="12" t="s">
        <v>16</v>
      </c>
      <c r="L394" s="9">
        <v>76</v>
      </c>
      <c r="M394" s="10">
        <v>230.11911772178482</v>
      </c>
      <c r="N394" s="7" t="s">
        <v>23</v>
      </c>
      <c r="P394" s="29" t="str">
        <f t="shared" si="108"/>
        <v/>
      </c>
      <c r="Q394" s="29" t="str">
        <f t="shared" si="109"/>
        <v/>
      </c>
      <c r="R394" s="29" t="str">
        <f t="shared" si="110"/>
        <v/>
      </c>
      <c r="S394" s="29" t="str">
        <f t="shared" si="111"/>
        <v/>
      </c>
      <c r="T394" s="32" t="str">
        <f t="shared" si="112"/>
        <v/>
      </c>
      <c r="U394" s="32">
        <f t="shared" si="115"/>
        <v>1</v>
      </c>
      <c r="V394" s="32" t="str">
        <f t="shared" si="116"/>
        <v/>
      </c>
      <c r="W394" s="41">
        <f t="shared" si="113"/>
        <v>3.0278831279182215</v>
      </c>
      <c r="X394" s="6">
        <f t="shared" si="114"/>
        <v>230.11911772178482</v>
      </c>
      <c r="Y394" s="7">
        <f t="shared" si="117"/>
        <v>125</v>
      </c>
      <c r="AA394" s="7">
        <f t="shared" si="118"/>
        <v>1</v>
      </c>
      <c r="AB394" s="7">
        <f t="shared" si="119"/>
        <v>76</v>
      </c>
      <c r="AC394" s="7">
        <f t="shared" si="120"/>
        <v>0</v>
      </c>
      <c r="AD394" s="7" t="str">
        <f t="shared" si="121"/>
        <v/>
      </c>
      <c r="AE394" s="6">
        <f t="shared" si="122"/>
        <v>0</v>
      </c>
      <c r="AF394" s="69">
        <f t="shared" si="123"/>
        <v>3.0278831279182215</v>
      </c>
      <c r="AG394" s="6">
        <f t="shared" si="124"/>
        <v>0</v>
      </c>
      <c r="AH394" s="6">
        <f t="shared" si="125"/>
        <v>604</v>
      </c>
    </row>
    <row r="395" spans="8:34" x14ac:dyDescent="0.25">
      <c r="H395" s="7">
        <v>402</v>
      </c>
      <c r="I395" s="7" t="s">
        <v>13</v>
      </c>
      <c r="J395" s="8">
        <v>38452</v>
      </c>
      <c r="K395" s="12" t="s">
        <v>17</v>
      </c>
      <c r="L395" s="9">
        <v>-4</v>
      </c>
      <c r="M395" s="10">
        <v>-10.045852408088738</v>
      </c>
      <c r="N395" s="7" t="s">
        <v>21</v>
      </c>
      <c r="P395" s="29" t="str">
        <f t="shared" si="108"/>
        <v/>
      </c>
      <c r="Q395" s="29" t="str">
        <f t="shared" si="109"/>
        <v/>
      </c>
      <c r="R395" s="29" t="str">
        <f t="shared" si="110"/>
        <v/>
      </c>
      <c r="S395" s="29" t="str">
        <f t="shared" si="111"/>
        <v/>
      </c>
      <c r="T395" s="32" t="str">
        <f t="shared" si="112"/>
        <v/>
      </c>
      <c r="U395" s="32">
        <f t="shared" si="115"/>
        <v>1</v>
      </c>
      <c r="V395" s="32" t="str">
        <f t="shared" si="116"/>
        <v/>
      </c>
      <c r="W395" s="41" t="str">
        <f t="shared" si="113"/>
        <v/>
      </c>
      <c r="X395" s="6">
        <f t="shared" si="114"/>
        <v>-10.045852408088738</v>
      </c>
      <c r="Y395" s="7">
        <f t="shared" si="117"/>
        <v>1860</v>
      </c>
      <c r="AA395" s="7">
        <f t="shared" si="118"/>
        <v>0</v>
      </c>
      <c r="AB395" s="7" t="str">
        <f t="shared" si="119"/>
        <v/>
      </c>
      <c r="AC395" s="7">
        <f t="shared" si="120"/>
        <v>1</v>
      </c>
      <c r="AD395" s="7">
        <f t="shared" si="121"/>
        <v>-4</v>
      </c>
      <c r="AE395" s="6">
        <f t="shared" si="122"/>
        <v>-4</v>
      </c>
      <c r="AF395" s="69" t="str">
        <f t="shared" si="123"/>
        <v/>
      </c>
      <c r="AG395" s="6">
        <f t="shared" si="124"/>
        <v>0</v>
      </c>
      <c r="AH395" s="6">
        <f t="shared" si="125"/>
        <v>604</v>
      </c>
    </row>
    <row r="396" spans="8:34" x14ac:dyDescent="0.25">
      <c r="H396" s="7">
        <v>403</v>
      </c>
      <c r="I396" s="7" t="s">
        <v>11</v>
      </c>
      <c r="J396" s="8">
        <v>38331</v>
      </c>
      <c r="K396" s="12" t="s">
        <v>19</v>
      </c>
      <c r="L396" s="9">
        <v>26</v>
      </c>
      <c r="M396" s="10">
        <v>80.067286712333498</v>
      </c>
      <c r="N396" s="7" t="s">
        <v>22</v>
      </c>
      <c r="P396" s="29" t="str">
        <f t="shared" si="108"/>
        <v/>
      </c>
      <c r="Q396" s="29" t="str">
        <f t="shared" si="109"/>
        <v/>
      </c>
      <c r="R396" s="29" t="str">
        <f t="shared" si="110"/>
        <v/>
      </c>
      <c r="S396" s="29">
        <f t="shared" si="111"/>
        <v>1</v>
      </c>
      <c r="T396" s="32" t="str">
        <f t="shared" si="112"/>
        <v/>
      </c>
      <c r="U396" s="32" t="str">
        <f t="shared" si="115"/>
        <v/>
      </c>
      <c r="V396" s="32" t="str">
        <f t="shared" si="116"/>
        <v/>
      </c>
      <c r="W396" s="41">
        <f t="shared" si="113"/>
        <v>3.0795110273974422</v>
      </c>
      <c r="X396" s="6">
        <f t="shared" si="114"/>
        <v>0</v>
      </c>
      <c r="Y396" s="7">
        <f t="shared" si="117"/>
        <v>567</v>
      </c>
      <c r="AA396" s="7">
        <f t="shared" si="118"/>
        <v>0</v>
      </c>
      <c r="AB396" s="7" t="str">
        <f t="shared" si="119"/>
        <v/>
      </c>
      <c r="AC396" s="7">
        <f t="shared" si="120"/>
        <v>0</v>
      </c>
      <c r="AD396" s="7" t="str">
        <f t="shared" si="121"/>
        <v/>
      </c>
      <c r="AE396" s="6">
        <f t="shared" si="122"/>
        <v>0</v>
      </c>
      <c r="AF396" s="69">
        <f t="shared" si="123"/>
        <v>3.0795110273974422</v>
      </c>
      <c r="AG396" s="6">
        <f t="shared" si="124"/>
        <v>80.067286712333498</v>
      </c>
      <c r="AH396" s="6">
        <f t="shared" si="125"/>
        <v>420</v>
      </c>
    </row>
    <row r="397" spans="8:34" x14ac:dyDescent="0.25">
      <c r="H397" s="7">
        <v>404</v>
      </c>
      <c r="I397" s="7" t="s">
        <v>12</v>
      </c>
      <c r="J397" s="8">
        <v>38485</v>
      </c>
      <c r="K397" s="12" t="s">
        <v>17</v>
      </c>
      <c r="L397" s="9">
        <v>-5</v>
      </c>
      <c r="M397" s="10">
        <v>-12.799843018696107</v>
      </c>
      <c r="N397" s="7" t="s">
        <v>23</v>
      </c>
      <c r="P397" s="29" t="str">
        <f t="shared" si="108"/>
        <v/>
      </c>
      <c r="Q397" s="29" t="str">
        <f t="shared" si="109"/>
        <v/>
      </c>
      <c r="R397" s="29" t="str">
        <f t="shared" si="110"/>
        <v/>
      </c>
      <c r="S397" s="29" t="str">
        <f t="shared" si="111"/>
        <v/>
      </c>
      <c r="T397" s="32" t="str">
        <f t="shared" si="112"/>
        <v/>
      </c>
      <c r="U397" s="32">
        <f t="shared" si="115"/>
        <v>1</v>
      </c>
      <c r="V397" s="32" t="str">
        <f t="shared" si="116"/>
        <v/>
      </c>
      <c r="W397" s="41" t="str">
        <f t="shared" si="113"/>
        <v/>
      </c>
      <c r="X397" s="6">
        <f t="shared" si="114"/>
        <v>-12.799843018696107</v>
      </c>
      <c r="Y397" s="7">
        <f t="shared" si="117"/>
        <v>1867</v>
      </c>
      <c r="AA397" s="7">
        <f t="shared" si="118"/>
        <v>0</v>
      </c>
      <c r="AB397" s="7" t="str">
        <f t="shared" si="119"/>
        <v/>
      </c>
      <c r="AC397" s="7">
        <f t="shared" si="120"/>
        <v>1</v>
      </c>
      <c r="AD397" s="7">
        <f t="shared" si="121"/>
        <v>-5</v>
      </c>
      <c r="AE397" s="6">
        <f t="shared" si="122"/>
        <v>-5</v>
      </c>
      <c r="AF397" s="69" t="str">
        <f t="shared" si="123"/>
        <v/>
      </c>
      <c r="AG397" s="6">
        <f t="shared" si="124"/>
        <v>0</v>
      </c>
      <c r="AH397" s="6">
        <f t="shared" si="125"/>
        <v>604</v>
      </c>
    </row>
    <row r="398" spans="8:34" x14ac:dyDescent="0.25">
      <c r="H398" s="7">
        <v>405</v>
      </c>
      <c r="I398" s="7" t="s">
        <v>10</v>
      </c>
      <c r="J398" s="8">
        <v>38111</v>
      </c>
      <c r="K398" s="12" t="s">
        <v>18</v>
      </c>
      <c r="L398" s="9">
        <v>44</v>
      </c>
      <c r="M398" s="10">
        <v>133.92031416884828</v>
      </c>
      <c r="N398" s="7" t="s">
        <v>22</v>
      </c>
      <c r="P398" s="29" t="str">
        <f t="shared" si="108"/>
        <v/>
      </c>
      <c r="Q398" s="29">
        <f t="shared" si="109"/>
        <v>1</v>
      </c>
      <c r="R398" s="29" t="str">
        <f t="shared" si="110"/>
        <v/>
      </c>
      <c r="S398" s="29" t="str">
        <f t="shared" si="111"/>
        <v/>
      </c>
      <c r="T398" s="32" t="str">
        <f t="shared" si="112"/>
        <v/>
      </c>
      <c r="U398" s="32" t="str">
        <f t="shared" si="115"/>
        <v/>
      </c>
      <c r="V398" s="32" t="str">
        <f t="shared" si="116"/>
        <v/>
      </c>
      <c r="W398" s="41">
        <f t="shared" si="113"/>
        <v>3.043643503837461</v>
      </c>
      <c r="X398" s="6">
        <f t="shared" si="114"/>
        <v>0</v>
      </c>
      <c r="Y398" s="7">
        <f t="shared" si="117"/>
        <v>567</v>
      </c>
      <c r="AA398" s="7">
        <f t="shared" si="118"/>
        <v>0</v>
      </c>
      <c r="AB398" s="7" t="str">
        <f t="shared" si="119"/>
        <v/>
      </c>
      <c r="AC398" s="7">
        <f t="shared" si="120"/>
        <v>0</v>
      </c>
      <c r="AD398" s="7" t="str">
        <f t="shared" si="121"/>
        <v/>
      </c>
      <c r="AE398" s="6">
        <f t="shared" si="122"/>
        <v>0</v>
      </c>
      <c r="AF398" s="69">
        <f t="shared" si="123"/>
        <v>3.043643503837461</v>
      </c>
      <c r="AG398" s="6">
        <f t="shared" si="124"/>
        <v>133.92031416884828</v>
      </c>
      <c r="AH398" s="6">
        <f t="shared" si="125"/>
        <v>310</v>
      </c>
    </row>
    <row r="399" spans="8:34" x14ac:dyDescent="0.25">
      <c r="H399" s="7">
        <v>406</v>
      </c>
      <c r="I399" s="7" t="s">
        <v>11</v>
      </c>
      <c r="J399" s="8">
        <v>38034</v>
      </c>
      <c r="K399" s="12" t="s">
        <v>20</v>
      </c>
      <c r="L399" s="9">
        <v>91</v>
      </c>
      <c r="M399" s="10">
        <v>274.81127367201924</v>
      </c>
      <c r="N399" s="7" t="s">
        <v>21</v>
      </c>
      <c r="P399" s="29">
        <f t="shared" si="108"/>
        <v>1</v>
      </c>
      <c r="Q399" s="29" t="str">
        <f t="shared" si="109"/>
        <v/>
      </c>
      <c r="R399" s="29" t="str">
        <f t="shared" si="110"/>
        <v/>
      </c>
      <c r="S399" s="29" t="str">
        <f t="shared" si="111"/>
        <v/>
      </c>
      <c r="T399" s="32" t="str">
        <f t="shared" si="112"/>
        <v/>
      </c>
      <c r="U399" s="32" t="str">
        <f t="shared" si="115"/>
        <v/>
      </c>
      <c r="V399" s="32" t="str">
        <f t="shared" si="116"/>
        <v/>
      </c>
      <c r="W399" s="41">
        <f t="shared" si="113"/>
        <v>3.0199041062859258</v>
      </c>
      <c r="X399" s="6">
        <f t="shared" si="114"/>
        <v>0</v>
      </c>
      <c r="Y399" s="7">
        <f t="shared" si="117"/>
        <v>567</v>
      </c>
      <c r="AA399" s="7">
        <f t="shared" si="118"/>
        <v>0</v>
      </c>
      <c r="AB399" s="7" t="str">
        <f t="shared" si="119"/>
        <v/>
      </c>
      <c r="AC399" s="7">
        <f t="shared" si="120"/>
        <v>0</v>
      </c>
      <c r="AD399" s="7" t="str">
        <f t="shared" si="121"/>
        <v/>
      </c>
      <c r="AE399" s="6">
        <f t="shared" si="122"/>
        <v>0</v>
      </c>
      <c r="AF399" s="69">
        <f t="shared" si="123"/>
        <v>3.0199041062859258</v>
      </c>
      <c r="AG399" s="6">
        <f t="shared" si="124"/>
        <v>274.81127367201924</v>
      </c>
      <c r="AH399" s="6">
        <f t="shared" si="125"/>
        <v>28</v>
      </c>
    </row>
    <row r="400" spans="8:34" x14ac:dyDescent="0.25">
      <c r="H400" s="7">
        <v>407</v>
      </c>
      <c r="I400" s="7" t="s">
        <v>13</v>
      </c>
      <c r="J400" s="8">
        <v>38056</v>
      </c>
      <c r="K400" s="12" t="s">
        <v>17</v>
      </c>
      <c r="L400" s="9">
        <v>78</v>
      </c>
      <c r="M400" s="10">
        <v>235.98595343131922</v>
      </c>
      <c r="N400" s="7" t="s">
        <v>23</v>
      </c>
      <c r="P400" s="29">
        <f t="shared" si="108"/>
        <v>1</v>
      </c>
      <c r="Q400" s="29" t="str">
        <f t="shared" si="109"/>
        <v/>
      </c>
      <c r="R400" s="29" t="str">
        <f t="shared" si="110"/>
        <v/>
      </c>
      <c r="S400" s="29" t="str">
        <f t="shared" si="111"/>
        <v/>
      </c>
      <c r="T400" s="32" t="str">
        <f t="shared" si="112"/>
        <v/>
      </c>
      <c r="U400" s="32" t="str">
        <f t="shared" si="115"/>
        <v/>
      </c>
      <c r="V400" s="32" t="str">
        <f t="shared" si="116"/>
        <v/>
      </c>
      <c r="W400" s="41">
        <f t="shared" si="113"/>
        <v>3.0254609414271694</v>
      </c>
      <c r="X400" s="6">
        <f t="shared" si="114"/>
        <v>0</v>
      </c>
      <c r="Y400" s="7">
        <f t="shared" si="117"/>
        <v>567</v>
      </c>
      <c r="AA400" s="7">
        <f t="shared" si="118"/>
        <v>0</v>
      </c>
      <c r="AB400" s="7" t="str">
        <f t="shared" si="119"/>
        <v/>
      </c>
      <c r="AC400" s="7">
        <f t="shared" si="120"/>
        <v>0</v>
      </c>
      <c r="AD400" s="7" t="str">
        <f t="shared" si="121"/>
        <v/>
      </c>
      <c r="AE400" s="6">
        <f t="shared" si="122"/>
        <v>0</v>
      </c>
      <c r="AF400" s="69">
        <f t="shared" si="123"/>
        <v>3.0254609414271694</v>
      </c>
      <c r="AG400" s="6">
        <f t="shared" si="124"/>
        <v>235.98595343131922</v>
      </c>
      <c r="AH400" s="6">
        <f t="shared" si="125"/>
        <v>104</v>
      </c>
    </row>
    <row r="401" spans="8:34" x14ac:dyDescent="0.25">
      <c r="H401" s="7">
        <v>408</v>
      </c>
      <c r="I401" s="7" t="s">
        <v>14</v>
      </c>
      <c r="J401" s="8">
        <v>38859</v>
      </c>
      <c r="K401" s="12" t="s">
        <v>17</v>
      </c>
      <c r="L401" s="9">
        <v>69</v>
      </c>
      <c r="M401" s="10">
        <v>208.58962786585158</v>
      </c>
      <c r="N401" s="7" t="s">
        <v>22</v>
      </c>
      <c r="P401" s="29" t="str">
        <f t="shared" si="108"/>
        <v/>
      </c>
      <c r="Q401" s="29" t="str">
        <f t="shared" si="109"/>
        <v/>
      </c>
      <c r="R401" s="29" t="str">
        <f t="shared" si="110"/>
        <v/>
      </c>
      <c r="S401" s="29" t="str">
        <f t="shared" si="111"/>
        <v/>
      </c>
      <c r="T401" s="32" t="str">
        <f t="shared" si="112"/>
        <v/>
      </c>
      <c r="U401" s="32" t="str">
        <f t="shared" si="115"/>
        <v/>
      </c>
      <c r="V401" s="32">
        <f t="shared" si="116"/>
        <v>1</v>
      </c>
      <c r="W401" s="41">
        <f t="shared" si="113"/>
        <v>3.0230380850123417</v>
      </c>
      <c r="X401" s="6">
        <f t="shared" si="114"/>
        <v>0</v>
      </c>
      <c r="Y401" s="7">
        <f t="shared" si="117"/>
        <v>567</v>
      </c>
      <c r="AA401" s="7">
        <f t="shared" si="118"/>
        <v>0</v>
      </c>
      <c r="AB401" s="7" t="str">
        <f t="shared" si="119"/>
        <v/>
      </c>
      <c r="AC401" s="7">
        <f t="shared" si="120"/>
        <v>0</v>
      </c>
      <c r="AD401" s="7" t="str">
        <f t="shared" si="121"/>
        <v/>
      </c>
      <c r="AE401" s="6">
        <f t="shared" si="122"/>
        <v>0</v>
      </c>
      <c r="AF401" s="69">
        <f t="shared" si="123"/>
        <v>3.0230380850123417</v>
      </c>
      <c r="AG401" s="6">
        <f t="shared" si="124"/>
        <v>0</v>
      </c>
      <c r="AH401" s="6">
        <f t="shared" si="125"/>
        <v>604</v>
      </c>
    </row>
    <row r="402" spans="8:34" x14ac:dyDescent="0.25">
      <c r="H402" s="7">
        <v>409</v>
      </c>
      <c r="I402" s="7" t="s">
        <v>7</v>
      </c>
      <c r="J402" s="8">
        <v>38276</v>
      </c>
      <c r="K402" s="12" t="s">
        <v>20</v>
      </c>
      <c r="L402" s="9">
        <v>74</v>
      </c>
      <c r="M402" s="10">
        <v>224.0430547727791</v>
      </c>
      <c r="N402" s="7" t="s">
        <v>24</v>
      </c>
      <c r="P402" s="29" t="str">
        <f t="shared" si="108"/>
        <v/>
      </c>
      <c r="Q402" s="29" t="str">
        <f t="shared" si="109"/>
        <v/>
      </c>
      <c r="R402" s="29" t="str">
        <f t="shared" si="110"/>
        <v/>
      </c>
      <c r="S402" s="29">
        <f t="shared" si="111"/>
        <v>1</v>
      </c>
      <c r="T402" s="32" t="str">
        <f t="shared" si="112"/>
        <v/>
      </c>
      <c r="U402" s="32" t="str">
        <f t="shared" si="115"/>
        <v/>
      </c>
      <c r="V402" s="32" t="str">
        <f t="shared" si="116"/>
        <v/>
      </c>
      <c r="W402" s="41">
        <f t="shared" si="113"/>
        <v>3.0276088482807988</v>
      </c>
      <c r="X402" s="6">
        <f t="shared" si="114"/>
        <v>0</v>
      </c>
      <c r="Y402" s="7">
        <f t="shared" si="117"/>
        <v>567</v>
      </c>
      <c r="AA402" s="7">
        <f t="shared" si="118"/>
        <v>0</v>
      </c>
      <c r="AB402" s="7" t="str">
        <f t="shared" si="119"/>
        <v/>
      </c>
      <c r="AC402" s="7">
        <f t="shared" si="120"/>
        <v>0</v>
      </c>
      <c r="AD402" s="7" t="str">
        <f t="shared" si="121"/>
        <v/>
      </c>
      <c r="AE402" s="6">
        <f t="shared" si="122"/>
        <v>0</v>
      </c>
      <c r="AF402" s="69">
        <f t="shared" si="123"/>
        <v>3.0276088482807988</v>
      </c>
      <c r="AG402" s="6">
        <f t="shared" si="124"/>
        <v>224.0430547727791</v>
      </c>
      <c r="AH402" s="6">
        <f t="shared" si="125"/>
        <v>128</v>
      </c>
    </row>
    <row r="403" spans="8:34" x14ac:dyDescent="0.25">
      <c r="H403" s="7">
        <v>410</v>
      </c>
      <c r="I403" s="7" t="s">
        <v>10</v>
      </c>
      <c r="J403" s="8">
        <v>38562</v>
      </c>
      <c r="K403" s="12" t="s">
        <v>18</v>
      </c>
      <c r="L403" s="9">
        <v>71</v>
      </c>
      <c r="M403" s="10">
        <v>215.12402518996404</v>
      </c>
      <c r="N403" s="7" t="s">
        <v>21</v>
      </c>
      <c r="P403" s="29" t="str">
        <f t="shared" si="108"/>
        <v/>
      </c>
      <c r="Q403" s="29" t="str">
        <f t="shared" si="109"/>
        <v/>
      </c>
      <c r="R403" s="29" t="str">
        <f t="shared" si="110"/>
        <v/>
      </c>
      <c r="S403" s="29" t="str">
        <f t="shared" si="111"/>
        <v/>
      </c>
      <c r="T403" s="32" t="str">
        <f t="shared" si="112"/>
        <v/>
      </c>
      <c r="U403" s="32">
        <f t="shared" si="115"/>
        <v>1</v>
      </c>
      <c r="V403" s="32" t="str">
        <f t="shared" si="116"/>
        <v/>
      </c>
      <c r="W403" s="41">
        <f t="shared" si="113"/>
        <v>3.0299158477459724</v>
      </c>
      <c r="X403" s="6">
        <f t="shared" si="114"/>
        <v>215.12402518996404</v>
      </c>
      <c r="Y403" s="7">
        <f t="shared" si="117"/>
        <v>150</v>
      </c>
      <c r="AA403" s="7">
        <f t="shared" si="118"/>
        <v>1</v>
      </c>
      <c r="AB403" s="7">
        <f t="shared" si="119"/>
        <v>71</v>
      </c>
      <c r="AC403" s="7">
        <f t="shared" si="120"/>
        <v>0</v>
      </c>
      <c r="AD403" s="7" t="str">
        <f t="shared" si="121"/>
        <v/>
      </c>
      <c r="AE403" s="6">
        <f t="shared" si="122"/>
        <v>0</v>
      </c>
      <c r="AF403" s="69">
        <f t="shared" si="123"/>
        <v>3.0299158477459724</v>
      </c>
      <c r="AG403" s="6">
        <f t="shared" si="124"/>
        <v>0</v>
      </c>
      <c r="AH403" s="6">
        <f t="shared" si="125"/>
        <v>604</v>
      </c>
    </row>
    <row r="404" spans="8:34" x14ac:dyDescent="0.25">
      <c r="H404" s="7">
        <v>411</v>
      </c>
      <c r="I404" s="7" t="s">
        <v>7</v>
      </c>
      <c r="J404" s="8">
        <v>38969</v>
      </c>
      <c r="K404" s="12" t="s">
        <v>19</v>
      </c>
      <c r="L404" s="9">
        <v>34</v>
      </c>
      <c r="M404" s="10">
        <v>103.84939593855748</v>
      </c>
      <c r="N404" s="7" t="s">
        <v>22</v>
      </c>
      <c r="P404" s="29" t="str">
        <f t="shared" si="108"/>
        <v/>
      </c>
      <c r="Q404" s="29" t="str">
        <f t="shared" si="109"/>
        <v/>
      </c>
      <c r="R404" s="29" t="str">
        <f t="shared" si="110"/>
        <v/>
      </c>
      <c r="S404" s="29" t="str">
        <f t="shared" si="111"/>
        <v/>
      </c>
      <c r="T404" s="32" t="str">
        <f t="shared" si="112"/>
        <v/>
      </c>
      <c r="U404" s="32" t="str">
        <f t="shared" si="115"/>
        <v/>
      </c>
      <c r="V404" s="32">
        <f t="shared" si="116"/>
        <v>1</v>
      </c>
      <c r="W404" s="41">
        <f t="shared" si="113"/>
        <v>3.0543939981928672</v>
      </c>
      <c r="X404" s="6">
        <f t="shared" si="114"/>
        <v>0</v>
      </c>
      <c r="Y404" s="7">
        <f t="shared" si="117"/>
        <v>567</v>
      </c>
      <c r="AA404" s="7">
        <f t="shared" si="118"/>
        <v>0</v>
      </c>
      <c r="AB404" s="7" t="str">
        <f t="shared" si="119"/>
        <v/>
      </c>
      <c r="AC404" s="7">
        <f t="shared" si="120"/>
        <v>0</v>
      </c>
      <c r="AD404" s="7" t="str">
        <f t="shared" si="121"/>
        <v/>
      </c>
      <c r="AE404" s="6">
        <f t="shared" si="122"/>
        <v>0</v>
      </c>
      <c r="AF404" s="69">
        <f t="shared" si="123"/>
        <v>3.0543939981928672</v>
      </c>
      <c r="AG404" s="6">
        <f t="shared" si="124"/>
        <v>0</v>
      </c>
      <c r="AH404" s="6">
        <f t="shared" si="125"/>
        <v>604</v>
      </c>
    </row>
    <row r="405" spans="8:34" x14ac:dyDescent="0.25">
      <c r="H405" s="7">
        <v>412</v>
      </c>
      <c r="I405" s="7" t="s">
        <v>14</v>
      </c>
      <c r="J405" s="8">
        <v>38507</v>
      </c>
      <c r="K405" s="12" t="s">
        <v>20</v>
      </c>
      <c r="L405" s="9">
        <v>93</v>
      </c>
      <c r="M405" s="10">
        <v>281.17054419951137</v>
      </c>
      <c r="N405" s="7" t="s">
        <v>21</v>
      </c>
      <c r="P405" s="29" t="str">
        <f t="shared" si="108"/>
        <v/>
      </c>
      <c r="Q405" s="29" t="str">
        <f t="shared" si="109"/>
        <v/>
      </c>
      <c r="R405" s="29" t="str">
        <f t="shared" si="110"/>
        <v/>
      </c>
      <c r="S405" s="29" t="str">
        <f t="shared" si="111"/>
        <v/>
      </c>
      <c r="T405" s="32" t="str">
        <f t="shared" si="112"/>
        <v/>
      </c>
      <c r="U405" s="32">
        <f t="shared" si="115"/>
        <v>1</v>
      </c>
      <c r="V405" s="32" t="str">
        <f t="shared" si="116"/>
        <v/>
      </c>
      <c r="W405" s="41">
        <f t="shared" si="113"/>
        <v>3.0233391849409825</v>
      </c>
      <c r="X405" s="6">
        <f t="shared" si="114"/>
        <v>281.17054419951137</v>
      </c>
      <c r="Y405" s="7">
        <f t="shared" si="117"/>
        <v>18</v>
      </c>
      <c r="AA405" s="7">
        <f t="shared" si="118"/>
        <v>0</v>
      </c>
      <c r="AB405" s="7" t="str">
        <f t="shared" si="119"/>
        <v/>
      </c>
      <c r="AC405" s="7">
        <f t="shared" si="120"/>
        <v>1</v>
      </c>
      <c r="AD405" s="7">
        <f t="shared" si="121"/>
        <v>93</v>
      </c>
      <c r="AE405" s="6">
        <f t="shared" si="122"/>
        <v>0</v>
      </c>
      <c r="AF405" s="69">
        <f t="shared" si="123"/>
        <v>3.0233391849409825</v>
      </c>
      <c r="AG405" s="6">
        <f t="shared" si="124"/>
        <v>0</v>
      </c>
      <c r="AH405" s="6">
        <f t="shared" si="125"/>
        <v>604</v>
      </c>
    </row>
    <row r="406" spans="8:34" x14ac:dyDescent="0.25">
      <c r="H406" s="7">
        <v>413</v>
      </c>
      <c r="I406" s="7" t="s">
        <v>8</v>
      </c>
      <c r="J406" s="8">
        <v>38408</v>
      </c>
      <c r="K406" s="12" t="s">
        <v>18</v>
      </c>
      <c r="L406" s="9">
        <v>60</v>
      </c>
      <c r="M406" s="10">
        <v>182.60959965033061</v>
      </c>
      <c r="N406" s="7" t="s">
        <v>23</v>
      </c>
      <c r="P406" s="29" t="str">
        <f t="shared" si="108"/>
        <v/>
      </c>
      <c r="Q406" s="29" t="str">
        <f t="shared" si="109"/>
        <v/>
      </c>
      <c r="R406" s="29" t="str">
        <f t="shared" si="110"/>
        <v/>
      </c>
      <c r="S406" s="29" t="str">
        <f t="shared" si="111"/>
        <v/>
      </c>
      <c r="T406" s="32" t="str">
        <f t="shared" si="112"/>
        <v/>
      </c>
      <c r="U406" s="32">
        <f t="shared" si="115"/>
        <v>1</v>
      </c>
      <c r="V406" s="32" t="str">
        <f t="shared" si="116"/>
        <v/>
      </c>
      <c r="W406" s="41">
        <f t="shared" si="113"/>
        <v>3.04349332750551</v>
      </c>
      <c r="X406" s="6">
        <f t="shared" si="114"/>
        <v>182.60959965033061</v>
      </c>
      <c r="Y406" s="7">
        <f t="shared" si="117"/>
        <v>203</v>
      </c>
      <c r="AA406" s="7">
        <f t="shared" si="118"/>
        <v>1</v>
      </c>
      <c r="AB406" s="7">
        <f t="shared" si="119"/>
        <v>60</v>
      </c>
      <c r="AC406" s="7">
        <f t="shared" si="120"/>
        <v>0</v>
      </c>
      <c r="AD406" s="7" t="str">
        <f t="shared" si="121"/>
        <v/>
      </c>
      <c r="AE406" s="6">
        <f t="shared" si="122"/>
        <v>0</v>
      </c>
      <c r="AF406" s="69">
        <f t="shared" si="123"/>
        <v>3.04349332750551</v>
      </c>
      <c r="AG406" s="6">
        <f t="shared" si="124"/>
        <v>0</v>
      </c>
      <c r="AH406" s="6">
        <f t="shared" si="125"/>
        <v>604</v>
      </c>
    </row>
    <row r="407" spans="8:34" x14ac:dyDescent="0.25">
      <c r="H407" s="7">
        <v>414</v>
      </c>
      <c r="I407" s="7" t="s">
        <v>15</v>
      </c>
      <c r="J407" s="8">
        <v>38100</v>
      </c>
      <c r="K407" s="12" t="s">
        <v>18</v>
      </c>
      <c r="L407" s="9">
        <v>37</v>
      </c>
      <c r="M407" s="10">
        <v>112.43397722732024</v>
      </c>
      <c r="N407" s="7" t="s">
        <v>22</v>
      </c>
      <c r="P407" s="29" t="str">
        <f t="shared" si="108"/>
        <v/>
      </c>
      <c r="Q407" s="29">
        <f t="shared" si="109"/>
        <v>1</v>
      </c>
      <c r="R407" s="29" t="str">
        <f t="shared" si="110"/>
        <v/>
      </c>
      <c r="S407" s="29" t="str">
        <f t="shared" si="111"/>
        <v/>
      </c>
      <c r="T407" s="32" t="str">
        <f t="shared" si="112"/>
        <v/>
      </c>
      <c r="U407" s="32" t="str">
        <f t="shared" si="115"/>
        <v/>
      </c>
      <c r="V407" s="32" t="str">
        <f t="shared" si="116"/>
        <v/>
      </c>
      <c r="W407" s="41">
        <f t="shared" si="113"/>
        <v>3.0387561412789252</v>
      </c>
      <c r="X407" s="6">
        <f t="shared" si="114"/>
        <v>0</v>
      </c>
      <c r="Y407" s="7">
        <f t="shared" si="117"/>
        <v>567</v>
      </c>
      <c r="AA407" s="7">
        <f t="shared" si="118"/>
        <v>0</v>
      </c>
      <c r="AB407" s="7" t="str">
        <f t="shared" si="119"/>
        <v/>
      </c>
      <c r="AC407" s="7">
        <f t="shared" si="120"/>
        <v>0</v>
      </c>
      <c r="AD407" s="7" t="str">
        <f t="shared" si="121"/>
        <v/>
      </c>
      <c r="AE407" s="6">
        <f t="shared" si="122"/>
        <v>0</v>
      </c>
      <c r="AF407" s="69">
        <f t="shared" si="123"/>
        <v>3.0387561412789252</v>
      </c>
      <c r="AG407" s="6">
        <f t="shared" si="124"/>
        <v>112.43397722732024</v>
      </c>
      <c r="AH407" s="6">
        <f t="shared" si="125"/>
        <v>351</v>
      </c>
    </row>
    <row r="408" spans="8:34" x14ac:dyDescent="0.25">
      <c r="H408" s="7">
        <v>415</v>
      </c>
      <c r="I408" s="7" t="s">
        <v>14</v>
      </c>
      <c r="J408" s="8">
        <v>38166</v>
      </c>
      <c r="K408" s="12" t="s">
        <v>16</v>
      </c>
      <c r="L408" s="9">
        <v>26</v>
      </c>
      <c r="M408" s="10">
        <v>79.913804333123736</v>
      </c>
      <c r="N408" s="7" t="s">
        <v>21</v>
      </c>
      <c r="P408" s="29" t="str">
        <f t="shared" si="108"/>
        <v/>
      </c>
      <c r="Q408" s="29">
        <f t="shared" si="109"/>
        <v>1</v>
      </c>
      <c r="R408" s="29" t="str">
        <f t="shared" si="110"/>
        <v/>
      </c>
      <c r="S408" s="29" t="str">
        <f t="shared" si="111"/>
        <v/>
      </c>
      <c r="T408" s="32" t="str">
        <f t="shared" si="112"/>
        <v/>
      </c>
      <c r="U408" s="32" t="str">
        <f t="shared" si="115"/>
        <v/>
      </c>
      <c r="V408" s="32" t="str">
        <f t="shared" si="116"/>
        <v/>
      </c>
      <c r="W408" s="41">
        <f t="shared" si="113"/>
        <v>3.0736078589662976</v>
      </c>
      <c r="X408" s="6">
        <f t="shared" si="114"/>
        <v>0</v>
      </c>
      <c r="Y408" s="7">
        <f t="shared" si="117"/>
        <v>567</v>
      </c>
      <c r="AA408" s="7">
        <f t="shared" si="118"/>
        <v>0</v>
      </c>
      <c r="AB408" s="7" t="str">
        <f t="shared" si="119"/>
        <v/>
      </c>
      <c r="AC408" s="7">
        <f t="shared" si="120"/>
        <v>0</v>
      </c>
      <c r="AD408" s="7" t="str">
        <f t="shared" si="121"/>
        <v/>
      </c>
      <c r="AE408" s="6">
        <f t="shared" si="122"/>
        <v>0</v>
      </c>
      <c r="AF408" s="69">
        <f t="shared" si="123"/>
        <v>3.0736078589662976</v>
      </c>
      <c r="AG408" s="6">
        <f t="shared" si="124"/>
        <v>79.913804333123736</v>
      </c>
      <c r="AH408" s="6">
        <f t="shared" si="125"/>
        <v>423</v>
      </c>
    </row>
    <row r="409" spans="8:34" x14ac:dyDescent="0.25">
      <c r="H409" s="7">
        <v>416</v>
      </c>
      <c r="I409" s="7" t="s">
        <v>10</v>
      </c>
      <c r="J409" s="8">
        <v>38540</v>
      </c>
      <c r="K409" s="12" t="s">
        <v>16</v>
      </c>
      <c r="L409" s="9">
        <v>2</v>
      </c>
      <c r="M409" s="10">
        <v>8.5397555339606015</v>
      </c>
      <c r="N409" s="7" t="s">
        <v>24</v>
      </c>
      <c r="P409" s="29" t="str">
        <f t="shared" si="108"/>
        <v/>
      </c>
      <c r="Q409" s="29" t="str">
        <f t="shared" si="109"/>
        <v/>
      </c>
      <c r="R409" s="29" t="str">
        <f t="shared" si="110"/>
        <v/>
      </c>
      <c r="S409" s="29" t="str">
        <f t="shared" si="111"/>
        <v/>
      </c>
      <c r="T409" s="32" t="str">
        <f t="shared" si="112"/>
        <v/>
      </c>
      <c r="U409" s="32">
        <f t="shared" si="115"/>
        <v>1</v>
      </c>
      <c r="V409" s="32" t="str">
        <f t="shared" si="116"/>
        <v/>
      </c>
      <c r="W409" s="41">
        <f t="shared" si="113"/>
        <v>4.2698777669803007</v>
      </c>
      <c r="X409" s="6">
        <f t="shared" si="114"/>
        <v>8.5397555339606015</v>
      </c>
      <c r="Y409" s="7">
        <f t="shared" si="117"/>
        <v>545</v>
      </c>
      <c r="AA409" s="7">
        <f t="shared" si="118"/>
        <v>1</v>
      </c>
      <c r="AB409" s="7">
        <f t="shared" si="119"/>
        <v>2</v>
      </c>
      <c r="AC409" s="7">
        <f t="shared" si="120"/>
        <v>0</v>
      </c>
      <c r="AD409" s="7" t="str">
        <f t="shared" si="121"/>
        <v/>
      </c>
      <c r="AE409" s="6">
        <f t="shared" si="122"/>
        <v>0</v>
      </c>
      <c r="AF409" s="69">
        <f t="shared" si="123"/>
        <v>4.2698777669803007</v>
      </c>
      <c r="AG409" s="6">
        <f t="shared" si="124"/>
        <v>0</v>
      </c>
      <c r="AH409" s="6">
        <f t="shared" si="125"/>
        <v>604</v>
      </c>
    </row>
    <row r="410" spans="8:34" x14ac:dyDescent="0.25">
      <c r="H410" s="7">
        <v>417</v>
      </c>
      <c r="I410" s="7" t="s">
        <v>12</v>
      </c>
      <c r="J410" s="8">
        <v>38628</v>
      </c>
      <c r="K410" s="12" t="s">
        <v>18</v>
      </c>
      <c r="L410" s="9">
        <v>-9</v>
      </c>
      <c r="M410" s="10">
        <v>-25.920453761182117</v>
      </c>
      <c r="N410" s="7" t="s">
        <v>24</v>
      </c>
      <c r="P410" s="29" t="str">
        <f t="shared" si="108"/>
        <v/>
      </c>
      <c r="Q410" s="29" t="str">
        <f t="shared" si="109"/>
        <v/>
      </c>
      <c r="R410" s="29" t="str">
        <f t="shared" si="110"/>
        <v/>
      </c>
      <c r="S410" s="29" t="str">
        <f t="shared" si="111"/>
        <v/>
      </c>
      <c r="T410" s="32">
        <f t="shared" si="112"/>
        <v>1</v>
      </c>
      <c r="U410" s="32">
        <f t="shared" si="115"/>
        <v>1</v>
      </c>
      <c r="V410" s="32" t="str">
        <f t="shared" si="116"/>
        <v/>
      </c>
      <c r="W410" s="41" t="str">
        <f t="shared" si="113"/>
        <v/>
      </c>
      <c r="X410" s="6">
        <f t="shared" si="114"/>
        <v>-25.920453761182117</v>
      </c>
      <c r="Y410" s="7">
        <f t="shared" si="117"/>
        <v>1887</v>
      </c>
      <c r="AA410" s="7">
        <f t="shared" si="118"/>
        <v>0</v>
      </c>
      <c r="AB410" s="7" t="str">
        <f t="shared" si="119"/>
        <v/>
      </c>
      <c r="AC410" s="7">
        <f t="shared" si="120"/>
        <v>1</v>
      </c>
      <c r="AD410" s="7">
        <f t="shared" si="121"/>
        <v>-9</v>
      </c>
      <c r="AE410" s="6">
        <f t="shared" si="122"/>
        <v>-9</v>
      </c>
      <c r="AF410" s="69" t="str">
        <f t="shared" si="123"/>
        <v/>
      </c>
      <c r="AG410" s="6">
        <f t="shared" si="124"/>
        <v>0</v>
      </c>
      <c r="AH410" s="6">
        <f t="shared" si="125"/>
        <v>604</v>
      </c>
    </row>
    <row r="411" spans="8:34" x14ac:dyDescent="0.25">
      <c r="H411" s="7">
        <v>418</v>
      </c>
      <c r="I411" s="7" t="s">
        <v>7</v>
      </c>
      <c r="J411" s="8">
        <v>38771</v>
      </c>
      <c r="K411" s="12" t="s">
        <v>18</v>
      </c>
      <c r="L411" s="9">
        <v>46</v>
      </c>
      <c r="M411" s="10">
        <v>139.68753059266518</v>
      </c>
      <c r="N411" s="7" t="s">
        <v>23</v>
      </c>
      <c r="P411" s="29" t="str">
        <f t="shared" si="108"/>
        <v/>
      </c>
      <c r="Q411" s="29" t="str">
        <f t="shared" si="109"/>
        <v/>
      </c>
      <c r="R411" s="29" t="str">
        <f t="shared" si="110"/>
        <v/>
      </c>
      <c r="S411" s="29" t="str">
        <f t="shared" si="111"/>
        <v/>
      </c>
      <c r="T411" s="32" t="str">
        <f t="shared" si="112"/>
        <v/>
      </c>
      <c r="U411" s="32" t="str">
        <f t="shared" si="115"/>
        <v/>
      </c>
      <c r="V411" s="32">
        <f t="shared" si="116"/>
        <v>1</v>
      </c>
      <c r="W411" s="41">
        <f t="shared" si="113"/>
        <v>3.0366854476666343</v>
      </c>
      <c r="X411" s="6">
        <f t="shared" si="114"/>
        <v>0</v>
      </c>
      <c r="Y411" s="7">
        <f t="shared" si="117"/>
        <v>567</v>
      </c>
      <c r="AA411" s="7">
        <f t="shared" si="118"/>
        <v>0</v>
      </c>
      <c r="AB411" s="7" t="str">
        <f t="shared" si="119"/>
        <v/>
      </c>
      <c r="AC411" s="7">
        <f t="shared" si="120"/>
        <v>0</v>
      </c>
      <c r="AD411" s="7" t="str">
        <f t="shared" si="121"/>
        <v/>
      </c>
      <c r="AE411" s="6">
        <f t="shared" si="122"/>
        <v>0</v>
      </c>
      <c r="AF411" s="69">
        <f t="shared" si="123"/>
        <v>3.0366854476666343</v>
      </c>
      <c r="AG411" s="6">
        <f t="shared" si="124"/>
        <v>0</v>
      </c>
      <c r="AH411" s="6">
        <f t="shared" si="125"/>
        <v>604</v>
      </c>
    </row>
    <row r="412" spans="8:34" x14ac:dyDescent="0.25">
      <c r="H412" s="7">
        <v>419</v>
      </c>
      <c r="I412" s="7" t="s">
        <v>12</v>
      </c>
      <c r="J412" s="8">
        <v>38056</v>
      </c>
      <c r="K412" s="12" t="s">
        <v>20</v>
      </c>
      <c r="L412" s="9">
        <v>0</v>
      </c>
      <c r="M412" s="10">
        <v>2.3470477551262947</v>
      </c>
      <c r="N412" s="7" t="s">
        <v>22</v>
      </c>
      <c r="P412" s="29">
        <f t="shared" si="108"/>
        <v>1</v>
      </c>
      <c r="Q412" s="29" t="str">
        <f t="shared" si="109"/>
        <v/>
      </c>
      <c r="R412" s="29" t="str">
        <f t="shared" si="110"/>
        <v/>
      </c>
      <c r="S412" s="29" t="str">
        <f t="shared" si="111"/>
        <v/>
      </c>
      <c r="T412" s="32" t="str">
        <f t="shared" si="112"/>
        <v/>
      </c>
      <c r="U412" s="32" t="str">
        <f t="shared" si="115"/>
        <v/>
      </c>
      <c r="V412" s="32" t="str">
        <f t="shared" si="116"/>
        <v/>
      </c>
      <c r="W412" s="41" t="str">
        <f t="shared" si="113"/>
        <v/>
      </c>
      <c r="X412" s="6">
        <f t="shared" si="114"/>
        <v>0</v>
      </c>
      <c r="Y412" s="7">
        <f t="shared" si="117"/>
        <v>567</v>
      </c>
      <c r="AA412" s="7">
        <f t="shared" si="118"/>
        <v>0</v>
      </c>
      <c r="AB412" s="7" t="str">
        <f t="shared" si="119"/>
        <v/>
      </c>
      <c r="AC412" s="7">
        <f t="shared" si="120"/>
        <v>0</v>
      </c>
      <c r="AD412" s="7" t="str">
        <f t="shared" si="121"/>
        <v/>
      </c>
      <c r="AE412" s="6">
        <f t="shared" si="122"/>
        <v>0</v>
      </c>
      <c r="AF412" s="69" t="str">
        <f t="shared" si="123"/>
        <v/>
      </c>
      <c r="AG412" s="6">
        <f t="shared" si="124"/>
        <v>2.3470477551262947</v>
      </c>
      <c r="AH412" s="6">
        <f t="shared" si="125"/>
        <v>598</v>
      </c>
    </row>
    <row r="413" spans="8:34" x14ac:dyDescent="0.25">
      <c r="H413" s="7">
        <v>420</v>
      </c>
      <c r="I413" s="7" t="s">
        <v>8</v>
      </c>
      <c r="J413" s="8">
        <v>38320</v>
      </c>
      <c r="K413" s="12" t="s">
        <v>18</v>
      </c>
      <c r="L413" s="9">
        <v>79</v>
      </c>
      <c r="M413" s="10">
        <v>239.2208514522392</v>
      </c>
      <c r="N413" s="7" t="s">
        <v>24</v>
      </c>
      <c r="P413" s="29" t="str">
        <f t="shared" si="108"/>
        <v/>
      </c>
      <c r="Q413" s="29" t="str">
        <f t="shared" si="109"/>
        <v/>
      </c>
      <c r="R413" s="29" t="str">
        <f t="shared" si="110"/>
        <v/>
      </c>
      <c r="S413" s="29">
        <f t="shared" si="111"/>
        <v>1</v>
      </c>
      <c r="T413" s="32" t="str">
        <f t="shared" si="112"/>
        <v/>
      </c>
      <c r="U413" s="32" t="str">
        <f t="shared" si="115"/>
        <v/>
      </c>
      <c r="V413" s="32" t="str">
        <f t="shared" si="116"/>
        <v/>
      </c>
      <c r="W413" s="41">
        <f t="shared" si="113"/>
        <v>3.0281120436992306</v>
      </c>
      <c r="X413" s="6">
        <f t="shared" si="114"/>
        <v>0</v>
      </c>
      <c r="Y413" s="7">
        <f t="shared" si="117"/>
        <v>567</v>
      </c>
      <c r="AA413" s="7">
        <f t="shared" si="118"/>
        <v>0</v>
      </c>
      <c r="AB413" s="7" t="str">
        <f t="shared" si="119"/>
        <v/>
      </c>
      <c r="AC413" s="7">
        <f t="shared" si="120"/>
        <v>0</v>
      </c>
      <c r="AD413" s="7" t="str">
        <f t="shared" si="121"/>
        <v/>
      </c>
      <c r="AE413" s="6">
        <f t="shared" si="122"/>
        <v>0</v>
      </c>
      <c r="AF413" s="69">
        <f t="shared" si="123"/>
        <v>3.0281120436992306</v>
      </c>
      <c r="AG413" s="6">
        <f t="shared" si="124"/>
        <v>239.2208514522392</v>
      </c>
      <c r="AH413" s="6">
        <f t="shared" si="125"/>
        <v>95</v>
      </c>
    </row>
    <row r="414" spans="8:34" x14ac:dyDescent="0.25">
      <c r="H414" s="7">
        <v>421</v>
      </c>
      <c r="I414" s="7" t="s">
        <v>9</v>
      </c>
      <c r="J414" s="8">
        <v>38364</v>
      </c>
      <c r="K414" s="12" t="s">
        <v>18</v>
      </c>
      <c r="L414" s="9">
        <v>48</v>
      </c>
      <c r="M414" s="10">
        <v>146.50697859164157</v>
      </c>
      <c r="N414" s="7" t="s">
        <v>22</v>
      </c>
      <c r="P414" s="29" t="str">
        <f t="shared" si="108"/>
        <v/>
      </c>
      <c r="Q414" s="29" t="str">
        <f t="shared" si="109"/>
        <v/>
      </c>
      <c r="R414" s="29" t="str">
        <f t="shared" si="110"/>
        <v/>
      </c>
      <c r="S414" s="29" t="str">
        <f t="shared" si="111"/>
        <v/>
      </c>
      <c r="T414" s="32" t="str">
        <f t="shared" si="112"/>
        <v/>
      </c>
      <c r="U414" s="32">
        <f t="shared" si="115"/>
        <v>1</v>
      </c>
      <c r="V414" s="32" t="str">
        <f t="shared" si="116"/>
        <v/>
      </c>
      <c r="W414" s="41">
        <f t="shared" si="113"/>
        <v>3.0522287206591994</v>
      </c>
      <c r="X414" s="6">
        <f t="shared" si="114"/>
        <v>146.50697859164157</v>
      </c>
      <c r="Y414" s="7">
        <f t="shared" si="117"/>
        <v>277</v>
      </c>
      <c r="AA414" s="7">
        <f t="shared" si="118"/>
        <v>1</v>
      </c>
      <c r="AB414" s="7">
        <f t="shared" si="119"/>
        <v>48</v>
      </c>
      <c r="AC414" s="7">
        <f t="shared" si="120"/>
        <v>0</v>
      </c>
      <c r="AD414" s="7" t="str">
        <f t="shared" si="121"/>
        <v/>
      </c>
      <c r="AE414" s="6">
        <f t="shared" si="122"/>
        <v>0</v>
      </c>
      <c r="AF414" s="69">
        <f t="shared" si="123"/>
        <v>3.0522287206591994</v>
      </c>
      <c r="AG414" s="6">
        <f t="shared" si="124"/>
        <v>0</v>
      </c>
      <c r="AH414" s="6">
        <f t="shared" si="125"/>
        <v>604</v>
      </c>
    </row>
    <row r="415" spans="8:34" x14ac:dyDescent="0.25">
      <c r="H415" s="7">
        <v>422</v>
      </c>
      <c r="I415" s="7" t="s">
        <v>10</v>
      </c>
      <c r="J415" s="8">
        <v>38738</v>
      </c>
      <c r="K415" s="12" t="s">
        <v>16</v>
      </c>
      <c r="L415" s="9">
        <v>77</v>
      </c>
      <c r="M415" s="10">
        <v>233.0800910699262</v>
      </c>
      <c r="N415" s="7" t="s">
        <v>23</v>
      </c>
      <c r="P415" s="29" t="str">
        <f t="shared" si="108"/>
        <v/>
      </c>
      <c r="Q415" s="29" t="str">
        <f t="shared" si="109"/>
        <v/>
      </c>
      <c r="R415" s="29" t="str">
        <f t="shared" si="110"/>
        <v/>
      </c>
      <c r="S415" s="29" t="str">
        <f t="shared" si="111"/>
        <v/>
      </c>
      <c r="T415" s="32" t="str">
        <f t="shared" si="112"/>
        <v/>
      </c>
      <c r="U415" s="32" t="str">
        <f t="shared" si="115"/>
        <v/>
      </c>
      <c r="V415" s="32">
        <f t="shared" si="116"/>
        <v>1</v>
      </c>
      <c r="W415" s="41">
        <f t="shared" si="113"/>
        <v>3.0270141697393012</v>
      </c>
      <c r="X415" s="6">
        <f t="shared" si="114"/>
        <v>0</v>
      </c>
      <c r="Y415" s="7">
        <f t="shared" si="117"/>
        <v>567</v>
      </c>
      <c r="AA415" s="7">
        <f t="shared" si="118"/>
        <v>0</v>
      </c>
      <c r="AB415" s="7" t="str">
        <f t="shared" si="119"/>
        <v/>
      </c>
      <c r="AC415" s="7">
        <f t="shared" si="120"/>
        <v>0</v>
      </c>
      <c r="AD415" s="7" t="str">
        <f t="shared" si="121"/>
        <v/>
      </c>
      <c r="AE415" s="6">
        <f t="shared" si="122"/>
        <v>0</v>
      </c>
      <c r="AF415" s="69">
        <f t="shared" si="123"/>
        <v>3.0270141697393012</v>
      </c>
      <c r="AG415" s="6">
        <f t="shared" si="124"/>
        <v>0</v>
      </c>
      <c r="AH415" s="6">
        <f t="shared" si="125"/>
        <v>604</v>
      </c>
    </row>
    <row r="416" spans="8:34" x14ac:dyDescent="0.25">
      <c r="H416" s="7">
        <v>423</v>
      </c>
      <c r="I416" s="7" t="s">
        <v>14</v>
      </c>
      <c r="J416" s="8">
        <v>38760</v>
      </c>
      <c r="K416" s="12" t="s">
        <v>18</v>
      </c>
      <c r="L416" s="9">
        <v>-10</v>
      </c>
      <c r="M416" s="10">
        <v>-26.967932789902449</v>
      </c>
      <c r="N416" s="7" t="s">
        <v>24</v>
      </c>
      <c r="P416" s="29" t="str">
        <f t="shared" si="108"/>
        <v/>
      </c>
      <c r="Q416" s="29" t="str">
        <f t="shared" si="109"/>
        <v/>
      </c>
      <c r="R416" s="29" t="str">
        <f t="shared" si="110"/>
        <v/>
      </c>
      <c r="S416" s="29" t="str">
        <f t="shared" si="111"/>
        <v/>
      </c>
      <c r="T416" s="32" t="str">
        <f t="shared" si="112"/>
        <v/>
      </c>
      <c r="U416" s="32" t="str">
        <f t="shared" si="115"/>
        <v/>
      </c>
      <c r="V416" s="32">
        <f t="shared" si="116"/>
        <v>1</v>
      </c>
      <c r="W416" s="41" t="str">
        <f t="shared" si="113"/>
        <v/>
      </c>
      <c r="X416" s="6">
        <f t="shared" si="114"/>
        <v>0</v>
      </c>
      <c r="Y416" s="7">
        <f t="shared" si="117"/>
        <v>567</v>
      </c>
      <c r="AA416" s="7">
        <f t="shared" si="118"/>
        <v>0</v>
      </c>
      <c r="AB416" s="7" t="str">
        <f t="shared" si="119"/>
        <v/>
      </c>
      <c r="AC416" s="7">
        <f t="shared" si="120"/>
        <v>0</v>
      </c>
      <c r="AD416" s="7" t="str">
        <f t="shared" si="121"/>
        <v/>
      </c>
      <c r="AE416" s="6">
        <f t="shared" si="122"/>
        <v>-10</v>
      </c>
      <c r="AF416" s="69" t="str">
        <f t="shared" si="123"/>
        <v/>
      </c>
      <c r="AG416" s="6">
        <f t="shared" si="124"/>
        <v>0</v>
      </c>
      <c r="AH416" s="6">
        <f t="shared" si="125"/>
        <v>604</v>
      </c>
    </row>
    <row r="417" spans="8:34" x14ac:dyDescent="0.25">
      <c r="H417" s="7">
        <v>424</v>
      </c>
      <c r="I417" s="7" t="s">
        <v>7</v>
      </c>
      <c r="J417" s="8">
        <v>38573</v>
      </c>
      <c r="K417" s="12" t="s">
        <v>19</v>
      </c>
      <c r="L417" s="9">
        <v>45</v>
      </c>
      <c r="M417" s="10">
        <v>137.23163667167327</v>
      </c>
      <c r="N417" s="7" t="s">
        <v>23</v>
      </c>
      <c r="P417" s="29" t="str">
        <f t="shared" si="108"/>
        <v/>
      </c>
      <c r="Q417" s="29" t="str">
        <f t="shared" si="109"/>
        <v/>
      </c>
      <c r="R417" s="29" t="str">
        <f t="shared" si="110"/>
        <v/>
      </c>
      <c r="S417" s="29" t="str">
        <f t="shared" si="111"/>
        <v/>
      </c>
      <c r="T417" s="32" t="str">
        <f t="shared" si="112"/>
        <v/>
      </c>
      <c r="U417" s="32">
        <f t="shared" si="115"/>
        <v>1</v>
      </c>
      <c r="V417" s="32" t="str">
        <f t="shared" si="116"/>
        <v/>
      </c>
      <c r="W417" s="41">
        <f t="shared" si="113"/>
        <v>3.0495919260371838</v>
      </c>
      <c r="X417" s="6">
        <f t="shared" si="114"/>
        <v>137.23163667167327</v>
      </c>
      <c r="Y417" s="7">
        <f t="shared" si="117"/>
        <v>293</v>
      </c>
      <c r="AA417" s="7">
        <f t="shared" si="118"/>
        <v>1</v>
      </c>
      <c r="AB417" s="7">
        <f t="shared" si="119"/>
        <v>45</v>
      </c>
      <c r="AC417" s="7">
        <f t="shared" si="120"/>
        <v>0</v>
      </c>
      <c r="AD417" s="7" t="str">
        <f t="shared" si="121"/>
        <v/>
      </c>
      <c r="AE417" s="6">
        <f t="shared" si="122"/>
        <v>0</v>
      </c>
      <c r="AF417" s="69">
        <f t="shared" si="123"/>
        <v>3.0495919260371838</v>
      </c>
      <c r="AG417" s="6">
        <f t="shared" si="124"/>
        <v>0</v>
      </c>
      <c r="AH417" s="6">
        <f t="shared" si="125"/>
        <v>604</v>
      </c>
    </row>
    <row r="418" spans="8:34" x14ac:dyDescent="0.25">
      <c r="H418" s="7">
        <v>425</v>
      </c>
      <c r="I418" s="7" t="s">
        <v>11</v>
      </c>
      <c r="J418" s="8">
        <v>38375</v>
      </c>
      <c r="K418" s="12" t="s">
        <v>18</v>
      </c>
      <c r="L418" s="9">
        <v>17</v>
      </c>
      <c r="M418" s="10">
        <v>53.565793196028118</v>
      </c>
      <c r="N418" s="7" t="s">
        <v>24</v>
      </c>
      <c r="P418" s="29" t="str">
        <f t="shared" si="108"/>
        <v/>
      </c>
      <c r="Q418" s="29" t="str">
        <f t="shared" si="109"/>
        <v/>
      </c>
      <c r="R418" s="29" t="str">
        <f t="shared" si="110"/>
        <v/>
      </c>
      <c r="S418" s="29" t="str">
        <f t="shared" si="111"/>
        <v/>
      </c>
      <c r="T418" s="32" t="str">
        <f t="shared" si="112"/>
        <v/>
      </c>
      <c r="U418" s="32">
        <f t="shared" si="115"/>
        <v>1</v>
      </c>
      <c r="V418" s="32" t="str">
        <f t="shared" si="116"/>
        <v/>
      </c>
      <c r="W418" s="41">
        <f t="shared" si="113"/>
        <v>3.1509290115310655</v>
      </c>
      <c r="X418" s="6">
        <f t="shared" si="114"/>
        <v>53.565793196028118</v>
      </c>
      <c r="Y418" s="7">
        <f t="shared" si="117"/>
        <v>454</v>
      </c>
      <c r="AA418" s="7">
        <f t="shared" si="118"/>
        <v>1</v>
      </c>
      <c r="AB418" s="7">
        <f t="shared" si="119"/>
        <v>17</v>
      </c>
      <c r="AC418" s="7">
        <f t="shared" si="120"/>
        <v>0</v>
      </c>
      <c r="AD418" s="7" t="str">
        <f t="shared" si="121"/>
        <v/>
      </c>
      <c r="AE418" s="6">
        <f t="shared" si="122"/>
        <v>0</v>
      </c>
      <c r="AF418" s="69">
        <f t="shared" si="123"/>
        <v>3.1509290115310655</v>
      </c>
      <c r="AG418" s="6">
        <f t="shared" si="124"/>
        <v>0</v>
      </c>
      <c r="AH418" s="6">
        <f t="shared" si="125"/>
        <v>604</v>
      </c>
    </row>
    <row r="419" spans="8:34" x14ac:dyDescent="0.25">
      <c r="H419" s="7">
        <v>426</v>
      </c>
      <c r="I419" s="7" t="s">
        <v>14</v>
      </c>
      <c r="J419" s="8">
        <v>38584</v>
      </c>
      <c r="K419" s="12" t="s">
        <v>16</v>
      </c>
      <c r="L419" s="9">
        <v>-4</v>
      </c>
      <c r="M419" s="10">
        <v>-10.36408331456853</v>
      </c>
      <c r="N419" s="7" t="s">
        <v>21</v>
      </c>
      <c r="P419" s="29" t="str">
        <f t="shared" si="108"/>
        <v/>
      </c>
      <c r="Q419" s="29" t="str">
        <f t="shared" si="109"/>
        <v/>
      </c>
      <c r="R419" s="29" t="str">
        <f t="shared" si="110"/>
        <v/>
      </c>
      <c r="S419" s="29" t="str">
        <f t="shared" si="111"/>
        <v/>
      </c>
      <c r="T419" s="32" t="str">
        <f t="shared" si="112"/>
        <v/>
      </c>
      <c r="U419" s="32">
        <f t="shared" si="115"/>
        <v>1</v>
      </c>
      <c r="V419" s="32" t="str">
        <f t="shared" si="116"/>
        <v/>
      </c>
      <c r="W419" s="41" t="str">
        <f t="shared" si="113"/>
        <v/>
      </c>
      <c r="X419" s="6">
        <f t="shared" si="114"/>
        <v>-10.36408331456853</v>
      </c>
      <c r="Y419" s="7">
        <f t="shared" si="117"/>
        <v>1862</v>
      </c>
      <c r="AA419" s="7">
        <f t="shared" si="118"/>
        <v>1</v>
      </c>
      <c r="AB419" s="7">
        <f t="shared" si="119"/>
        <v>-4</v>
      </c>
      <c r="AC419" s="7">
        <f t="shared" si="120"/>
        <v>0</v>
      </c>
      <c r="AD419" s="7" t="str">
        <f t="shared" si="121"/>
        <v/>
      </c>
      <c r="AE419" s="6">
        <f t="shared" si="122"/>
        <v>-4</v>
      </c>
      <c r="AF419" s="69" t="str">
        <f t="shared" si="123"/>
        <v/>
      </c>
      <c r="AG419" s="6">
        <f t="shared" si="124"/>
        <v>0</v>
      </c>
      <c r="AH419" s="6">
        <f t="shared" si="125"/>
        <v>604</v>
      </c>
    </row>
    <row r="420" spans="8:34" x14ac:dyDescent="0.25">
      <c r="H420" s="7">
        <v>427</v>
      </c>
      <c r="I420" s="7" t="s">
        <v>10</v>
      </c>
      <c r="J420" s="8">
        <v>39068</v>
      </c>
      <c r="K420" s="12" t="s">
        <v>20</v>
      </c>
      <c r="L420" s="9">
        <v>43</v>
      </c>
      <c r="M420" s="10">
        <v>130.80350038976189</v>
      </c>
      <c r="N420" s="7" t="s">
        <v>23</v>
      </c>
      <c r="P420" s="29" t="str">
        <f t="shared" si="108"/>
        <v/>
      </c>
      <c r="Q420" s="29" t="str">
        <f t="shared" si="109"/>
        <v/>
      </c>
      <c r="R420" s="29" t="str">
        <f t="shared" si="110"/>
        <v/>
      </c>
      <c r="S420" s="29" t="str">
        <f t="shared" si="111"/>
        <v/>
      </c>
      <c r="T420" s="32" t="str">
        <f t="shared" si="112"/>
        <v/>
      </c>
      <c r="U420" s="32" t="str">
        <f t="shared" si="115"/>
        <v/>
      </c>
      <c r="V420" s="32">
        <f t="shared" si="116"/>
        <v>1</v>
      </c>
      <c r="W420" s="41">
        <f t="shared" si="113"/>
        <v>3.0419418695293463</v>
      </c>
      <c r="X420" s="6">
        <f t="shared" si="114"/>
        <v>0</v>
      </c>
      <c r="Y420" s="7">
        <f t="shared" si="117"/>
        <v>567</v>
      </c>
      <c r="AA420" s="7">
        <f t="shared" si="118"/>
        <v>0</v>
      </c>
      <c r="AB420" s="7" t="str">
        <f t="shared" si="119"/>
        <v/>
      </c>
      <c r="AC420" s="7">
        <f t="shared" si="120"/>
        <v>0</v>
      </c>
      <c r="AD420" s="7" t="str">
        <f t="shared" si="121"/>
        <v/>
      </c>
      <c r="AE420" s="6">
        <f t="shared" si="122"/>
        <v>0</v>
      </c>
      <c r="AF420" s="69">
        <f t="shared" si="123"/>
        <v>3.0419418695293463</v>
      </c>
      <c r="AG420" s="6">
        <f t="shared" si="124"/>
        <v>0</v>
      </c>
      <c r="AH420" s="6">
        <f t="shared" si="125"/>
        <v>604</v>
      </c>
    </row>
    <row r="421" spans="8:34" x14ac:dyDescent="0.25">
      <c r="H421" s="7">
        <v>428</v>
      </c>
      <c r="I421" s="7" t="s">
        <v>11</v>
      </c>
      <c r="J421" s="8">
        <v>38265</v>
      </c>
      <c r="K421" s="12" t="s">
        <v>16</v>
      </c>
      <c r="L421" s="9">
        <v>41</v>
      </c>
      <c r="M421" s="10">
        <v>125.18937528559893</v>
      </c>
      <c r="N421" s="7" t="s">
        <v>23</v>
      </c>
      <c r="P421" s="29" t="str">
        <f t="shared" si="108"/>
        <v/>
      </c>
      <c r="Q421" s="29" t="str">
        <f t="shared" si="109"/>
        <v/>
      </c>
      <c r="R421" s="29" t="str">
        <f t="shared" si="110"/>
        <v/>
      </c>
      <c r="S421" s="29">
        <f t="shared" si="111"/>
        <v>1</v>
      </c>
      <c r="T421" s="32" t="str">
        <f t="shared" si="112"/>
        <v/>
      </c>
      <c r="U421" s="32" t="str">
        <f t="shared" si="115"/>
        <v/>
      </c>
      <c r="V421" s="32" t="str">
        <f t="shared" si="116"/>
        <v/>
      </c>
      <c r="W421" s="41">
        <f t="shared" si="113"/>
        <v>3.0533993972097297</v>
      </c>
      <c r="X421" s="6">
        <f t="shared" si="114"/>
        <v>0</v>
      </c>
      <c r="Y421" s="7">
        <f t="shared" si="117"/>
        <v>567</v>
      </c>
      <c r="AA421" s="7">
        <f t="shared" si="118"/>
        <v>0</v>
      </c>
      <c r="AB421" s="7" t="str">
        <f t="shared" si="119"/>
        <v/>
      </c>
      <c r="AC421" s="7">
        <f t="shared" si="120"/>
        <v>0</v>
      </c>
      <c r="AD421" s="7" t="str">
        <f t="shared" si="121"/>
        <v/>
      </c>
      <c r="AE421" s="6">
        <f t="shared" si="122"/>
        <v>0</v>
      </c>
      <c r="AF421" s="69">
        <f t="shared" si="123"/>
        <v>3.0533993972097297</v>
      </c>
      <c r="AG421" s="6">
        <f t="shared" si="124"/>
        <v>125.18937528559893</v>
      </c>
      <c r="AH421" s="6">
        <f t="shared" si="125"/>
        <v>323</v>
      </c>
    </row>
    <row r="422" spans="8:34" x14ac:dyDescent="0.25">
      <c r="H422" s="7">
        <v>429</v>
      </c>
      <c r="I422" s="7" t="s">
        <v>14</v>
      </c>
      <c r="J422" s="8">
        <v>38892</v>
      </c>
      <c r="K422" s="12" t="s">
        <v>19</v>
      </c>
      <c r="L422" s="9">
        <v>-4</v>
      </c>
      <c r="M422" s="10">
        <v>-9.8762446340450722</v>
      </c>
      <c r="N422" s="7" t="s">
        <v>22</v>
      </c>
      <c r="P422" s="29" t="str">
        <f t="shared" si="108"/>
        <v/>
      </c>
      <c r="Q422" s="29" t="str">
        <f t="shared" si="109"/>
        <v/>
      </c>
      <c r="R422" s="29" t="str">
        <f t="shared" si="110"/>
        <v/>
      </c>
      <c r="S422" s="29" t="str">
        <f t="shared" si="111"/>
        <v/>
      </c>
      <c r="T422" s="32" t="str">
        <f t="shared" si="112"/>
        <v/>
      </c>
      <c r="U422" s="32" t="str">
        <f t="shared" si="115"/>
        <v/>
      </c>
      <c r="V422" s="32">
        <f t="shared" si="116"/>
        <v>1</v>
      </c>
      <c r="W422" s="41" t="str">
        <f t="shared" si="113"/>
        <v/>
      </c>
      <c r="X422" s="6">
        <f t="shared" si="114"/>
        <v>0</v>
      </c>
      <c r="Y422" s="7">
        <f t="shared" si="117"/>
        <v>567</v>
      </c>
      <c r="AA422" s="7">
        <f t="shared" si="118"/>
        <v>0</v>
      </c>
      <c r="AB422" s="7" t="str">
        <f t="shared" si="119"/>
        <v/>
      </c>
      <c r="AC422" s="7">
        <f t="shared" si="120"/>
        <v>0</v>
      </c>
      <c r="AD422" s="7" t="str">
        <f t="shared" si="121"/>
        <v/>
      </c>
      <c r="AE422" s="6">
        <f t="shared" si="122"/>
        <v>-4</v>
      </c>
      <c r="AF422" s="69" t="str">
        <f t="shared" si="123"/>
        <v/>
      </c>
      <c r="AG422" s="6">
        <f t="shared" si="124"/>
        <v>0</v>
      </c>
      <c r="AH422" s="6">
        <f t="shared" si="125"/>
        <v>604</v>
      </c>
    </row>
    <row r="423" spans="8:34" x14ac:dyDescent="0.25">
      <c r="H423" s="7">
        <v>430</v>
      </c>
      <c r="I423" s="7" t="s">
        <v>13</v>
      </c>
      <c r="J423" s="8">
        <v>38243</v>
      </c>
      <c r="K423" s="12" t="s">
        <v>18</v>
      </c>
      <c r="L423" s="9">
        <v>6</v>
      </c>
      <c r="M423" s="10">
        <v>20.388215317654449</v>
      </c>
      <c r="N423" s="7" t="s">
        <v>21</v>
      </c>
      <c r="P423" s="29" t="str">
        <f t="shared" si="108"/>
        <v/>
      </c>
      <c r="Q423" s="29" t="str">
        <f t="shared" si="109"/>
        <v/>
      </c>
      <c r="R423" s="29">
        <f t="shared" si="110"/>
        <v>1</v>
      </c>
      <c r="S423" s="29" t="str">
        <f t="shared" si="111"/>
        <v/>
      </c>
      <c r="T423" s="32" t="str">
        <f t="shared" si="112"/>
        <v/>
      </c>
      <c r="U423" s="32" t="str">
        <f t="shared" si="115"/>
        <v/>
      </c>
      <c r="V423" s="32" t="str">
        <f t="shared" si="116"/>
        <v/>
      </c>
      <c r="W423" s="41">
        <f t="shared" si="113"/>
        <v>3.3980358862757414</v>
      </c>
      <c r="X423" s="6">
        <f t="shared" si="114"/>
        <v>0</v>
      </c>
      <c r="Y423" s="7">
        <f t="shared" si="117"/>
        <v>567</v>
      </c>
      <c r="AA423" s="7">
        <f t="shared" si="118"/>
        <v>0</v>
      </c>
      <c r="AB423" s="7" t="str">
        <f t="shared" si="119"/>
        <v/>
      </c>
      <c r="AC423" s="7">
        <f t="shared" si="120"/>
        <v>0</v>
      </c>
      <c r="AD423" s="7" t="str">
        <f t="shared" si="121"/>
        <v/>
      </c>
      <c r="AE423" s="6">
        <f t="shared" si="122"/>
        <v>0</v>
      </c>
      <c r="AF423" s="69">
        <f t="shared" si="123"/>
        <v>3.3980358862757414</v>
      </c>
      <c r="AG423" s="6">
        <f t="shared" si="124"/>
        <v>20.388215317654449</v>
      </c>
      <c r="AH423" s="6">
        <f t="shared" si="125"/>
        <v>557</v>
      </c>
    </row>
    <row r="424" spans="8:34" x14ac:dyDescent="0.25">
      <c r="H424" s="7">
        <v>431</v>
      </c>
      <c r="I424" s="7" t="s">
        <v>9</v>
      </c>
      <c r="J424" s="8">
        <v>38848</v>
      </c>
      <c r="K424" s="12" t="s">
        <v>18</v>
      </c>
      <c r="L424" s="9">
        <v>8</v>
      </c>
      <c r="M424" s="10">
        <v>25.124465791488021</v>
      </c>
      <c r="N424" s="7" t="s">
        <v>24</v>
      </c>
      <c r="P424" s="29" t="str">
        <f t="shared" si="108"/>
        <v/>
      </c>
      <c r="Q424" s="29" t="str">
        <f t="shared" si="109"/>
        <v/>
      </c>
      <c r="R424" s="29" t="str">
        <f t="shared" si="110"/>
        <v/>
      </c>
      <c r="S424" s="29" t="str">
        <f t="shared" si="111"/>
        <v/>
      </c>
      <c r="T424" s="32" t="str">
        <f t="shared" si="112"/>
        <v/>
      </c>
      <c r="U424" s="32" t="str">
        <f t="shared" si="115"/>
        <v/>
      </c>
      <c r="V424" s="32">
        <f t="shared" si="116"/>
        <v>1</v>
      </c>
      <c r="W424" s="41">
        <f t="shared" si="113"/>
        <v>3.1405582239360026</v>
      </c>
      <c r="X424" s="6">
        <f t="shared" si="114"/>
        <v>0</v>
      </c>
      <c r="Y424" s="7">
        <f t="shared" si="117"/>
        <v>567</v>
      </c>
      <c r="AA424" s="7">
        <f t="shared" si="118"/>
        <v>0</v>
      </c>
      <c r="AB424" s="7" t="str">
        <f t="shared" si="119"/>
        <v/>
      </c>
      <c r="AC424" s="7">
        <f t="shared" si="120"/>
        <v>0</v>
      </c>
      <c r="AD424" s="7" t="str">
        <f t="shared" si="121"/>
        <v/>
      </c>
      <c r="AE424" s="6">
        <f t="shared" si="122"/>
        <v>0</v>
      </c>
      <c r="AF424" s="69">
        <f t="shared" si="123"/>
        <v>3.1405582239360026</v>
      </c>
      <c r="AG424" s="6">
        <f t="shared" si="124"/>
        <v>0</v>
      </c>
      <c r="AH424" s="6">
        <f t="shared" si="125"/>
        <v>604</v>
      </c>
    </row>
    <row r="425" spans="8:34" x14ac:dyDescent="0.25">
      <c r="H425" s="7">
        <v>432</v>
      </c>
      <c r="I425" s="7" t="s">
        <v>8</v>
      </c>
      <c r="J425" s="8">
        <v>38177</v>
      </c>
      <c r="K425" s="12" t="s">
        <v>16</v>
      </c>
      <c r="L425" s="9">
        <v>43</v>
      </c>
      <c r="M425" s="10">
        <v>131.20326238549768</v>
      </c>
      <c r="N425" s="7" t="s">
        <v>23</v>
      </c>
      <c r="P425" s="29" t="str">
        <f t="shared" si="108"/>
        <v/>
      </c>
      <c r="Q425" s="29" t="str">
        <f t="shared" si="109"/>
        <v/>
      </c>
      <c r="R425" s="29">
        <f t="shared" si="110"/>
        <v>1</v>
      </c>
      <c r="S425" s="29" t="str">
        <f t="shared" si="111"/>
        <v/>
      </c>
      <c r="T425" s="32" t="str">
        <f t="shared" si="112"/>
        <v/>
      </c>
      <c r="U425" s="32" t="str">
        <f t="shared" si="115"/>
        <v/>
      </c>
      <c r="V425" s="32" t="str">
        <f t="shared" si="116"/>
        <v/>
      </c>
      <c r="W425" s="41">
        <f t="shared" si="113"/>
        <v>3.0512386601278529</v>
      </c>
      <c r="X425" s="6">
        <f t="shared" si="114"/>
        <v>0</v>
      </c>
      <c r="Y425" s="7">
        <f t="shared" si="117"/>
        <v>567</v>
      </c>
      <c r="AA425" s="7">
        <f t="shared" si="118"/>
        <v>0</v>
      </c>
      <c r="AB425" s="7" t="str">
        <f t="shared" si="119"/>
        <v/>
      </c>
      <c r="AC425" s="7">
        <f t="shared" si="120"/>
        <v>0</v>
      </c>
      <c r="AD425" s="7" t="str">
        <f t="shared" si="121"/>
        <v/>
      </c>
      <c r="AE425" s="6">
        <f t="shared" si="122"/>
        <v>0</v>
      </c>
      <c r="AF425" s="69">
        <f t="shared" si="123"/>
        <v>3.0512386601278529</v>
      </c>
      <c r="AG425" s="6">
        <f t="shared" si="124"/>
        <v>131.20326238549768</v>
      </c>
      <c r="AH425" s="6">
        <f t="shared" si="125"/>
        <v>313</v>
      </c>
    </row>
    <row r="426" spans="8:34" x14ac:dyDescent="0.25">
      <c r="H426" s="7">
        <v>433</v>
      </c>
      <c r="I426" s="7" t="s">
        <v>7</v>
      </c>
      <c r="J426" s="8">
        <v>38144</v>
      </c>
      <c r="K426" s="12" t="s">
        <v>16</v>
      </c>
      <c r="L426" s="9">
        <v>47</v>
      </c>
      <c r="M426" s="10">
        <v>142.67305731753257</v>
      </c>
      <c r="N426" s="7" t="s">
        <v>21</v>
      </c>
      <c r="P426" s="29" t="str">
        <f t="shared" si="108"/>
        <v/>
      </c>
      <c r="Q426" s="29">
        <f t="shared" si="109"/>
        <v>1</v>
      </c>
      <c r="R426" s="29" t="str">
        <f t="shared" si="110"/>
        <v/>
      </c>
      <c r="S426" s="29" t="str">
        <f t="shared" si="111"/>
        <v/>
      </c>
      <c r="T426" s="32" t="str">
        <f t="shared" si="112"/>
        <v/>
      </c>
      <c r="U426" s="32" t="str">
        <f t="shared" si="115"/>
        <v/>
      </c>
      <c r="V426" s="32" t="str">
        <f t="shared" si="116"/>
        <v/>
      </c>
      <c r="W426" s="41">
        <f t="shared" si="113"/>
        <v>3.0355969642028207</v>
      </c>
      <c r="X426" s="6">
        <f t="shared" si="114"/>
        <v>0</v>
      </c>
      <c r="Y426" s="7">
        <f t="shared" si="117"/>
        <v>567</v>
      </c>
      <c r="AA426" s="7">
        <f t="shared" si="118"/>
        <v>0</v>
      </c>
      <c r="AB426" s="7" t="str">
        <f t="shared" si="119"/>
        <v/>
      </c>
      <c r="AC426" s="7">
        <f t="shared" si="120"/>
        <v>0</v>
      </c>
      <c r="AD426" s="7" t="str">
        <f t="shared" si="121"/>
        <v/>
      </c>
      <c r="AE426" s="6">
        <f t="shared" si="122"/>
        <v>0</v>
      </c>
      <c r="AF426" s="69">
        <f t="shared" si="123"/>
        <v>3.0355969642028207</v>
      </c>
      <c r="AG426" s="6">
        <f t="shared" si="124"/>
        <v>142.67305731753257</v>
      </c>
      <c r="AH426" s="6">
        <f t="shared" si="125"/>
        <v>289</v>
      </c>
    </row>
    <row r="427" spans="8:34" x14ac:dyDescent="0.25">
      <c r="H427" s="7">
        <v>434</v>
      </c>
      <c r="I427" s="7" t="s">
        <v>8</v>
      </c>
      <c r="J427" s="8">
        <v>38947</v>
      </c>
      <c r="K427" s="12" t="s">
        <v>17</v>
      </c>
      <c r="L427" s="9">
        <v>13</v>
      </c>
      <c r="M427" s="10">
        <v>41.344467136527072</v>
      </c>
      <c r="N427" s="7" t="s">
        <v>21</v>
      </c>
      <c r="P427" s="29" t="str">
        <f t="shared" si="108"/>
        <v/>
      </c>
      <c r="Q427" s="29" t="str">
        <f t="shared" si="109"/>
        <v/>
      </c>
      <c r="R427" s="29" t="str">
        <f t="shared" si="110"/>
        <v/>
      </c>
      <c r="S427" s="29" t="str">
        <f t="shared" si="111"/>
        <v/>
      </c>
      <c r="T427" s="32" t="str">
        <f t="shared" si="112"/>
        <v/>
      </c>
      <c r="U427" s="32" t="str">
        <f t="shared" si="115"/>
        <v/>
      </c>
      <c r="V427" s="32">
        <f t="shared" si="116"/>
        <v>1</v>
      </c>
      <c r="W427" s="41">
        <f t="shared" si="113"/>
        <v>3.1803436258866977</v>
      </c>
      <c r="X427" s="6">
        <f t="shared" si="114"/>
        <v>0</v>
      </c>
      <c r="Y427" s="7">
        <f t="shared" si="117"/>
        <v>567</v>
      </c>
      <c r="AA427" s="7">
        <f t="shared" si="118"/>
        <v>0</v>
      </c>
      <c r="AB427" s="7" t="str">
        <f t="shared" si="119"/>
        <v/>
      </c>
      <c r="AC427" s="7">
        <f t="shared" si="120"/>
        <v>0</v>
      </c>
      <c r="AD427" s="7" t="str">
        <f t="shared" si="121"/>
        <v/>
      </c>
      <c r="AE427" s="6">
        <f t="shared" si="122"/>
        <v>0</v>
      </c>
      <c r="AF427" s="69">
        <f t="shared" si="123"/>
        <v>3.1803436258866977</v>
      </c>
      <c r="AG427" s="6">
        <f t="shared" si="124"/>
        <v>0</v>
      </c>
      <c r="AH427" s="6">
        <f t="shared" si="125"/>
        <v>604</v>
      </c>
    </row>
    <row r="428" spans="8:34" x14ac:dyDescent="0.25">
      <c r="H428" s="7">
        <v>435</v>
      </c>
      <c r="I428" s="7" t="s">
        <v>14</v>
      </c>
      <c r="J428" s="8">
        <v>38749</v>
      </c>
      <c r="K428" s="12" t="s">
        <v>18</v>
      </c>
      <c r="L428" s="9">
        <v>9</v>
      </c>
      <c r="M428" s="10">
        <v>28.804240494297932</v>
      </c>
      <c r="N428" s="7" t="s">
        <v>23</v>
      </c>
      <c r="P428" s="29" t="str">
        <f t="shared" si="108"/>
        <v/>
      </c>
      <c r="Q428" s="29" t="str">
        <f t="shared" si="109"/>
        <v/>
      </c>
      <c r="R428" s="29" t="str">
        <f t="shared" si="110"/>
        <v/>
      </c>
      <c r="S428" s="29" t="str">
        <f t="shared" si="111"/>
        <v/>
      </c>
      <c r="T428" s="32" t="str">
        <f t="shared" si="112"/>
        <v/>
      </c>
      <c r="U428" s="32" t="str">
        <f t="shared" si="115"/>
        <v/>
      </c>
      <c r="V428" s="32">
        <f t="shared" si="116"/>
        <v>1</v>
      </c>
      <c r="W428" s="41">
        <f t="shared" si="113"/>
        <v>3.2004711660331036</v>
      </c>
      <c r="X428" s="6">
        <f t="shared" si="114"/>
        <v>0</v>
      </c>
      <c r="Y428" s="7">
        <f t="shared" si="117"/>
        <v>567</v>
      </c>
      <c r="AA428" s="7">
        <f t="shared" si="118"/>
        <v>0</v>
      </c>
      <c r="AB428" s="7" t="str">
        <f t="shared" si="119"/>
        <v/>
      </c>
      <c r="AC428" s="7">
        <f t="shared" si="120"/>
        <v>0</v>
      </c>
      <c r="AD428" s="7" t="str">
        <f t="shared" si="121"/>
        <v/>
      </c>
      <c r="AE428" s="6">
        <f t="shared" si="122"/>
        <v>0</v>
      </c>
      <c r="AF428" s="69">
        <f t="shared" si="123"/>
        <v>3.2004711660331036</v>
      </c>
      <c r="AG428" s="6">
        <f t="shared" si="124"/>
        <v>0</v>
      </c>
      <c r="AH428" s="6">
        <f t="shared" si="125"/>
        <v>604</v>
      </c>
    </row>
    <row r="429" spans="8:34" x14ac:dyDescent="0.25">
      <c r="H429" s="7">
        <v>436</v>
      </c>
      <c r="I429" s="7" t="s">
        <v>7</v>
      </c>
      <c r="J429" s="8">
        <v>38045</v>
      </c>
      <c r="K429" s="12" t="s">
        <v>16</v>
      </c>
      <c r="L429" s="9">
        <v>22</v>
      </c>
      <c r="M429" s="10">
        <v>67.510047922862512</v>
      </c>
      <c r="N429" s="7" t="s">
        <v>24</v>
      </c>
      <c r="P429" s="29">
        <f t="shared" si="108"/>
        <v>1</v>
      </c>
      <c r="Q429" s="29" t="str">
        <f t="shared" si="109"/>
        <v/>
      </c>
      <c r="R429" s="29" t="str">
        <f t="shared" si="110"/>
        <v/>
      </c>
      <c r="S429" s="29" t="str">
        <f t="shared" si="111"/>
        <v/>
      </c>
      <c r="T429" s="32" t="str">
        <f t="shared" si="112"/>
        <v/>
      </c>
      <c r="U429" s="32" t="str">
        <f t="shared" si="115"/>
        <v/>
      </c>
      <c r="V429" s="32" t="str">
        <f t="shared" si="116"/>
        <v/>
      </c>
      <c r="W429" s="41">
        <f t="shared" si="113"/>
        <v>3.068638541948296</v>
      </c>
      <c r="X429" s="6">
        <f t="shared" si="114"/>
        <v>0</v>
      </c>
      <c r="Y429" s="7">
        <f t="shared" si="117"/>
        <v>567</v>
      </c>
      <c r="AA429" s="7">
        <f t="shared" si="118"/>
        <v>0</v>
      </c>
      <c r="AB429" s="7" t="str">
        <f t="shared" si="119"/>
        <v/>
      </c>
      <c r="AC429" s="7">
        <f t="shared" si="120"/>
        <v>0</v>
      </c>
      <c r="AD429" s="7" t="str">
        <f t="shared" si="121"/>
        <v/>
      </c>
      <c r="AE429" s="6">
        <f t="shared" si="122"/>
        <v>0</v>
      </c>
      <c r="AF429" s="69">
        <f t="shared" si="123"/>
        <v>3.068638541948296</v>
      </c>
      <c r="AG429" s="6">
        <f t="shared" si="124"/>
        <v>67.510047922862512</v>
      </c>
      <c r="AH429" s="6">
        <f t="shared" si="125"/>
        <v>446</v>
      </c>
    </row>
    <row r="430" spans="8:34" x14ac:dyDescent="0.25">
      <c r="H430" s="7">
        <v>437</v>
      </c>
      <c r="I430" s="7" t="s">
        <v>10</v>
      </c>
      <c r="J430" s="8">
        <v>38793</v>
      </c>
      <c r="K430" s="12" t="s">
        <v>16</v>
      </c>
      <c r="L430" s="9">
        <v>87</v>
      </c>
      <c r="M430" s="10">
        <v>263.06877286650899</v>
      </c>
      <c r="N430" s="7" t="s">
        <v>21</v>
      </c>
      <c r="P430" s="29" t="str">
        <f t="shared" si="108"/>
        <v/>
      </c>
      <c r="Q430" s="29" t="str">
        <f t="shared" si="109"/>
        <v/>
      </c>
      <c r="R430" s="29" t="str">
        <f t="shared" si="110"/>
        <v/>
      </c>
      <c r="S430" s="29" t="str">
        <f t="shared" si="111"/>
        <v/>
      </c>
      <c r="T430" s="32" t="str">
        <f t="shared" si="112"/>
        <v/>
      </c>
      <c r="U430" s="32" t="str">
        <f t="shared" si="115"/>
        <v/>
      </c>
      <c r="V430" s="32">
        <f t="shared" si="116"/>
        <v>1</v>
      </c>
      <c r="W430" s="41">
        <f t="shared" si="113"/>
        <v>3.0237789984656205</v>
      </c>
      <c r="X430" s="6">
        <f t="shared" si="114"/>
        <v>0</v>
      </c>
      <c r="Y430" s="7">
        <f t="shared" si="117"/>
        <v>567</v>
      </c>
      <c r="AA430" s="7">
        <f t="shared" si="118"/>
        <v>0</v>
      </c>
      <c r="AB430" s="7" t="str">
        <f t="shared" si="119"/>
        <v/>
      </c>
      <c r="AC430" s="7">
        <f t="shared" si="120"/>
        <v>0</v>
      </c>
      <c r="AD430" s="7" t="str">
        <f t="shared" si="121"/>
        <v/>
      </c>
      <c r="AE430" s="6">
        <f t="shared" si="122"/>
        <v>0</v>
      </c>
      <c r="AF430" s="69">
        <f t="shared" si="123"/>
        <v>3.0237789984656205</v>
      </c>
      <c r="AG430" s="6">
        <f t="shared" si="124"/>
        <v>0</v>
      </c>
      <c r="AH430" s="6">
        <f t="shared" si="125"/>
        <v>604</v>
      </c>
    </row>
    <row r="431" spans="8:34" x14ac:dyDescent="0.25">
      <c r="H431" s="7">
        <v>438</v>
      </c>
      <c r="I431" s="7" t="s">
        <v>12</v>
      </c>
      <c r="J431" s="8">
        <v>39013</v>
      </c>
      <c r="K431" s="12" t="s">
        <v>18</v>
      </c>
      <c r="L431" s="9">
        <v>15</v>
      </c>
      <c r="M431" s="10">
        <v>46.297252141958666</v>
      </c>
      <c r="N431" s="7" t="s">
        <v>23</v>
      </c>
      <c r="P431" s="29" t="str">
        <f t="shared" si="108"/>
        <v/>
      </c>
      <c r="Q431" s="29" t="str">
        <f t="shared" si="109"/>
        <v/>
      </c>
      <c r="R431" s="29" t="str">
        <f t="shared" si="110"/>
        <v/>
      </c>
      <c r="S431" s="29" t="str">
        <f t="shared" si="111"/>
        <v/>
      </c>
      <c r="T431" s="32" t="str">
        <f t="shared" si="112"/>
        <v/>
      </c>
      <c r="U431" s="32" t="str">
        <f t="shared" si="115"/>
        <v/>
      </c>
      <c r="V431" s="32">
        <f t="shared" si="116"/>
        <v>1</v>
      </c>
      <c r="W431" s="41">
        <f t="shared" si="113"/>
        <v>3.0864834761305775</v>
      </c>
      <c r="X431" s="6">
        <f t="shared" si="114"/>
        <v>0</v>
      </c>
      <c r="Y431" s="7">
        <f t="shared" si="117"/>
        <v>567</v>
      </c>
      <c r="AA431" s="7">
        <f t="shared" si="118"/>
        <v>0</v>
      </c>
      <c r="AB431" s="7" t="str">
        <f t="shared" si="119"/>
        <v/>
      </c>
      <c r="AC431" s="7">
        <f t="shared" si="120"/>
        <v>0</v>
      </c>
      <c r="AD431" s="7" t="str">
        <f t="shared" si="121"/>
        <v/>
      </c>
      <c r="AE431" s="6">
        <f t="shared" si="122"/>
        <v>0</v>
      </c>
      <c r="AF431" s="69">
        <f t="shared" si="123"/>
        <v>3.0864834761305775</v>
      </c>
      <c r="AG431" s="6">
        <f t="shared" si="124"/>
        <v>0</v>
      </c>
      <c r="AH431" s="6">
        <f t="shared" si="125"/>
        <v>604</v>
      </c>
    </row>
    <row r="432" spans="8:34" x14ac:dyDescent="0.25">
      <c r="H432" s="7">
        <v>439</v>
      </c>
      <c r="I432" s="7" t="s">
        <v>15</v>
      </c>
      <c r="J432" s="8">
        <v>39013</v>
      </c>
      <c r="K432" s="12" t="s">
        <v>16</v>
      </c>
      <c r="L432" s="9">
        <v>27</v>
      </c>
      <c r="M432" s="10">
        <v>83.407614775333784</v>
      </c>
      <c r="N432" s="7" t="s">
        <v>23</v>
      </c>
      <c r="P432" s="29" t="str">
        <f t="shared" si="108"/>
        <v/>
      </c>
      <c r="Q432" s="29" t="str">
        <f t="shared" si="109"/>
        <v/>
      </c>
      <c r="R432" s="29" t="str">
        <f t="shared" si="110"/>
        <v/>
      </c>
      <c r="S432" s="29" t="str">
        <f t="shared" si="111"/>
        <v/>
      </c>
      <c r="T432" s="32" t="str">
        <f t="shared" si="112"/>
        <v/>
      </c>
      <c r="U432" s="32" t="str">
        <f t="shared" si="115"/>
        <v/>
      </c>
      <c r="V432" s="32">
        <f t="shared" si="116"/>
        <v>1</v>
      </c>
      <c r="W432" s="41">
        <f t="shared" si="113"/>
        <v>3.0891709176049549</v>
      </c>
      <c r="X432" s="6">
        <f t="shared" si="114"/>
        <v>0</v>
      </c>
      <c r="Y432" s="7">
        <f t="shared" si="117"/>
        <v>567</v>
      </c>
      <c r="AA432" s="7">
        <f t="shared" si="118"/>
        <v>0</v>
      </c>
      <c r="AB432" s="7" t="str">
        <f t="shared" si="119"/>
        <v/>
      </c>
      <c r="AC432" s="7">
        <f t="shared" si="120"/>
        <v>0</v>
      </c>
      <c r="AD432" s="7" t="str">
        <f t="shared" si="121"/>
        <v/>
      </c>
      <c r="AE432" s="6">
        <f t="shared" si="122"/>
        <v>0</v>
      </c>
      <c r="AF432" s="69">
        <f t="shared" si="123"/>
        <v>3.0891709176049549</v>
      </c>
      <c r="AG432" s="6">
        <f t="shared" si="124"/>
        <v>0</v>
      </c>
      <c r="AH432" s="6">
        <f t="shared" si="125"/>
        <v>604</v>
      </c>
    </row>
    <row r="433" spans="8:34" x14ac:dyDescent="0.25">
      <c r="H433" s="7">
        <v>440</v>
      </c>
      <c r="I433" s="7" t="s">
        <v>11</v>
      </c>
      <c r="J433" s="8">
        <v>38837</v>
      </c>
      <c r="K433" s="12" t="s">
        <v>19</v>
      </c>
      <c r="L433" s="9">
        <v>78</v>
      </c>
      <c r="M433" s="10">
        <v>236.44426202228297</v>
      </c>
      <c r="N433" s="7" t="s">
        <v>22</v>
      </c>
      <c r="P433" s="29" t="str">
        <f t="shared" si="108"/>
        <v/>
      </c>
      <c r="Q433" s="29" t="str">
        <f t="shared" si="109"/>
        <v/>
      </c>
      <c r="R433" s="29" t="str">
        <f t="shared" si="110"/>
        <v/>
      </c>
      <c r="S433" s="29" t="str">
        <f t="shared" si="111"/>
        <v/>
      </c>
      <c r="T433" s="32" t="str">
        <f t="shared" si="112"/>
        <v/>
      </c>
      <c r="U433" s="32" t="str">
        <f t="shared" si="115"/>
        <v/>
      </c>
      <c r="V433" s="32">
        <f t="shared" si="116"/>
        <v>1</v>
      </c>
      <c r="W433" s="41">
        <f t="shared" si="113"/>
        <v>3.0313366925933716</v>
      </c>
      <c r="X433" s="6">
        <f t="shared" si="114"/>
        <v>0</v>
      </c>
      <c r="Y433" s="7">
        <f t="shared" si="117"/>
        <v>567</v>
      </c>
      <c r="AA433" s="7">
        <f t="shared" si="118"/>
        <v>0</v>
      </c>
      <c r="AB433" s="7" t="str">
        <f t="shared" si="119"/>
        <v/>
      </c>
      <c r="AC433" s="7">
        <f t="shared" si="120"/>
        <v>0</v>
      </c>
      <c r="AD433" s="7" t="str">
        <f t="shared" si="121"/>
        <v/>
      </c>
      <c r="AE433" s="6">
        <f t="shared" si="122"/>
        <v>0</v>
      </c>
      <c r="AF433" s="69">
        <f t="shared" si="123"/>
        <v>3.0313366925933716</v>
      </c>
      <c r="AG433" s="6">
        <f t="shared" si="124"/>
        <v>0</v>
      </c>
      <c r="AH433" s="6">
        <f t="shared" si="125"/>
        <v>604</v>
      </c>
    </row>
    <row r="434" spans="8:34" x14ac:dyDescent="0.25">
      <c r="H434" s="7">
        <v>441</v>
      </c>
      <c r="I434" s="7" t="s">
        <v>15</v>
      </c>
      <c r="J434" s="8">
        <v>38430</v>
      </c>
      <c r="K434" s="12" t="s">
        <v>20</v>
      </c>
      <c r="L434" s="9">
        <v>27</v>
      </c>
      <c r="M434" s="10">
        <v>82.997777309268898</v>
      </c>
      <c r="N434" s="7" t="s">
        <v>21</v>
      </c>
      <c r="P434" s="29" t="str">
        <f t="shared" si="108"/>
        <v/>
      </c>
      <c r="Q434" s="29" t="str">
        <f t="shared" si="109"/>
        <v/>
      </c>
      <c r="R434" s="29" t="str">
        <f t="shared" si="110"/>
        <v/>
      </c>
      <c r="S434" s="29" t="str">
        <f t="shared" si="111"/>
        <v/>
      </c>
      <c r="T434" s="32" t="str">
        <f t="shared" si="112"/>
        <v/>
      </c>
      <c r="U434" s="32">
        <f t="shared" si="115"/>
        <v>1</v>
      </c>
      <c r="V434" s="32" t="str">
        <f t="shared" si="116"/>
        <v/>
      </c>
      <c r="W434" s="41">
        <f t="shared" si="113"/>
        <v>3.0739917521951443</v>
      </c>
      <c r="X434" s="6">
        <f t="shared" si="114"/>
        <v>82.997777309268898</v>
      </c>
      <c r="Y434" s="7">
        <f t="shared" si="117"/>
        <v>396</v>
      </c>
      <c r="AA434" s="7">
        <f t="shared" si="118"/>
        <v>1</v>
      </c>
      <c r="AB434" s="7">
        <f t="shared" si="119"/>
        <v>27</v>
      </c>
      <c r="AC434" s="7">
        <f t="shared" si="120"/>
        <v>0</v>
      </c>
      <c r="AD434" s="7" t="str">
        <f t="shared" si="121"/>
        <v/>
      </c>
      <c r="AE434" s="6">
        <f t="shared" si="122"/>
        <v>0</v>
      </c>
      <c r="AF434" s="69">
        <f t="shared" si="123"/>
        <v>3.0739917521951443</v>
      </c>
      <c r="AG434" s="6">
        <f t="shared" si="124"/>
        <v>0</v>
      </c>
      <c r="AH434" s="6">
        <f t="shared" si="125"/>
        <v>604</v>
      </c>
    </row>
    <row r="435" spans="8:34" x14ac:dyDescent="0.25">
      <c r="H435" s="7">
        <v>442</v>
      </c>
      <c r="I435" s="7" t="s">
        <v>15</v>
      </c>
      <c r="J435" s="8">
        <v>38012</v>
      </c>
      <c r="K435" s="12" t="s">
        <v>18</v>
      </c>
      <c r="L435" s="9">
        <v>19</v>
      </c>
      <c r="M435" s="10">
        <v>59.621865554565929</v>
      </c>
      <c r="N435" s="7" t="s">
        <v>24</v>
      </c>
      <c r="P435" s="29">
        <f t="shared" si="108"/>
        <v>1</v>
      </c>
      <c r="Q435" s="29" t="str">
        <f t="shared" si="109"/>
        <v/>
      </c>
      <c r="R435" s="29" t="str">
        <f t="shared" si="110"/>
        <v/>
      </c>
      <c r="S435" s="29" t="str">
        <f t="shared" si="111"/>
        <v/>
      </c>
      <c r="T435" s="32" t="str">
        <f t="shared" si="112"/>
        <v/>
      </c>
      <c r="U435" s="32" t="str">
        <f t="shared" si="115"/>
        <v/>
      </c>
      <c r="V435" s="32" t="str">
        <f t="shared" si="116"/>
        <v/>
      </c>
      <c r="W435" s="41">
        <f t="shared" si="113"/>
        <v>3.1379929239245228</v>
      </c>
      <c r="X435" s="6">
        <f t="shared" si="114"/>
        <v>0</v>
      </c>
      <c r="Y435" s="7">
        <f t="shared" si="117"/>
        <v>567</v>
      </c>
      <c r="AA435" s="7">
        <f t="shared" si="118"/>
        <v>0</v>
      </c>
      <c r="AB435" s="7" t="str">
        <f t="shared" si="119"/>
        <v/>
      </c>
      <c r="AC435" s="7">
        <f t="shared" si="120"/>
        <v>0</v>
      </c>
      <c r="AD435" s="7" t="str">
        <f t="shared" si="121"/>
        <v/>
      </c>
      <c r="AE435" s="6">
        <f t="shared" si="122"/>
        <v>0</v>
      </c>
      <c r="AF435" s="69">
        <f t="shared" si="123"/>
        <v>3.1379929239245228</v>
      </c>
      <c r="AG435" s="6">
        <f t="shared" si="124"/>
        <v>59.621865554565929</v>
      </c>
      <c r="AH435" s="6">
        <f t="shared" si="125"/>
        <v>466</v>
      </c>
    </row>
    <row r="436" spans="8:34" x14ac:dyDescent="0.25">
      <c r="H436" s="7">
        <v>443</v>
      </c>
      <c r="I436" s="7" t="s">
        <v>9</v>
      </c>
      <c r="J436" s="8">
        <v>38034</v>
      </c>
      <c r="K436" s="12" t="s">
        <v>20</v>
      </c>
      <c r="L436" s="9">
        <v>0</v>
      </c>
      <c r="M436" s="10">
        <v>2.3705199513077329</v>
      </c>
      <c r="N436" s="7" t="s">
        <v>23</v>
      </c>
      <c r="P436" s="29">
        <f t="shared" si="108"/>
        <v>1</v>
      </c>
      <c r="Q436" s="29" t="str">
        <f t="shared" si="109"/>
        <v/>
      </c>
      <c r="R436" s="29" t="str">
        <f t="shared" si="110"/>
        <v/>
      </c>
      <c r="S436" s="29" t="str">
        <f t="shared" si="111"/>
        <v/>
      </c>
      <c r="T436" s="32" t="str">
        <f t="shared" si="112"/>
        <v/>
      </c>
      <c r="U436" s="32" t="str">
        <f t="shared" si="115"/>
        <v/>
      </c>
      <c r="V436" s="32" t="str">
        <f t="shared" si="116"/>
        <v/>
      </c>
      <c r="W436" s="41" t="str">
        <f t="shared" si="113"/>
        <v/>
      </c>
      <c r="X436" s="6">
        <f t="shared" si="114"/>
        <v>0</v>
      </c>
      <c r="Y436" s="7">
        <f t="shared" si="117"/>
        <v>567</v>
      </c>
      <c r="AA436" s="7">
        <f t="shared" si="118"/>
        <v>0</v>
      </c>
      <c r="AB436" s="7" t="str">
        <f t="shared" si="119"/>
        <v/>
      </c>
      <c r="AC436" s="7">
        <f t="shared" si="120"/>
        <v>0</v>
      </c>
      <c r="AD436" s="7" t="str">
        <f t="shared" si="121"/>
        <v/>
      </c>
      <c r="AE436" s="6">
        <f t="shared" si="122"/>
        <v>0</v>
      </c>
      <c r="AF436" s="69" t="str">
        <f t="shared" si="123"/>
        <v/>
      </c>
      <c r="AG436" s="6">
        <f t="shared" si="124"/>
        <v>2.3705199513077329</v>
      </c>
      <c r="AH436" s="6">
        <f t="shared" si="125"/>
        <v>597</v>
      </c>
    </row>
    <row r="437" spans="8:34" x14ac:dyDescent="0.25">
      <c r="H437" s="7">
        <v>444</v>
      </c>
      <c r="I437" s="7" t="s">
        <v>7</v>
      </c>
      <c r="J437" s="8">
        <v>38331</v>
      </c>
      <c r="K437" s="12" t="s">
        <v>16</v>
      </c>
      <c r="L437" s="9">
        <v>30</v>
      </c>
      <c r="M437" s="10">
        <v>91.969621588308584</v>
      </c>
      <c r="N437" s="7" t="s">
        <v>21</v>
      </c>
      <c r="P437" s="29" t="str">
        <f t="shared" si="108"/>
        <v/>
      </c>
      <c r="Q437" s="29" t="str">
        <f t="shared" si="109"/>
        <v/>
      </c>
      <c r="R437" s="29" t="str">
        <f t="shared" si="110"/>
        <v/>
      </c>
      <c r="S437" s="29">
        <f t="shared" si="111"/>
        <v>1</v>
      </c>
      <c r="T437" s="32" t="str">
        <f t="shared" si="112"/>
        <v/>
      </c>
      <c r="U437" s="32" t="str">
        <f t="shared" si="115"/>
        <v/>
      </c>
      <c r="V437" s="32" t="str">
        <f t="shared" si="116"/>
        <v/>
      </c>
      <c r="W437" s="41">
        <f t="shared" si="113"/>
        <v>3.0656540529436196</v>
      </c>
      <c r="X437" s="6">
        <f t="shared" si="114"/>
        <v>0</v>
      </c>
      <c r="Y437" s="7">
        <f t="shared" si="117"/>
        <v>567</v>
      </c>
      <c r="AA437" s="7">
        <f t="shared" si="118"/>
        <v>0</v>
      </c>
      <c r="AB437" s="7" t="str">
        <f t="shared" si="119"/>
        <v/>
      </c>
      <c r="AC437" s="7">
        <f t="shared" si="120"/>
        <v>0</v>
      </c>
      <c r="AD437" s="7" t="str">
        <f t="shared" si="121"/>
        <v/>
      </c>
      <c r="AE437" s="6">
        <f t="shared" si="122"/>
        <v>0</v>
      </c>
      <c r="AF437" s="69">
        <f t="shared" si="123"/>
        <v>3.0656540529436196</v>
      </c>
      <c r="AG437" s="6">
        <f t="shared" si="124"/>
        <v>91.969621588308584</v>
      </c>
      <c r="AH437" s="6">
        <f t="shared" si="125"/>
        <v>394</v>
      </c>
    </row>
    <row r="438" spans="8:34" x14ac:dyDescent="0.25">
      <c r="H438" s="7">
        <v>445</v>
      </c>
      <c r="I438" s="7" t="s">
        <v>12</v>
      </c>
      <c r="J438" s="8">
        <v>38936</v>
      </c>
      <c r="K438" s="12" t="s">
        <v>19</v>
      </c>
      <c r="L438" s="9">
        <v>17</v>
      </c>
      <c r="M438" s="10">
        <v>52.938579538531904</v>
      </c>
      <c r="N438" s="7" t="s">
        <v>22</v>
      </c>
      <c r="P438" s="29" t="str">
        <f t="shared" si="108"/>
        <v/>
      </c>
      <c r="Q438" s="29" t="str">
        <f t="shared" si="109"/>
        <v/>
      </c>
      <c r="R438" s="29" t="str">
        <f t="shared" si="110"/>
        <v/>
      </c>
      <c r="S438" s="29" t="str">
        <f t="shared" si="111"/>
        <v/>
      </c>
      <c r="T438" s="32" t="str">
        <f t="shared" si="112"/>
        <v/>
      </c>
      <c r="U438" s="32" t="str">
        <f t="shared" si="115"/>
        <v/>
      </c>
      <c r="V438" s="32">
        <f t="shared" si="116"/>
        <v>1</v>
      </c>
      <c r="W438" s="41">
        <f t="shared" si="113"/>
        <v>3.1140340905018769</v>
      </c>
      <c r="X438" s="6">
        <f t="shared" si="114"/>
        <v>0</v>
      </c>
      <c r="Y438" s="7">
        <f t="shared" si="117"/>
        <v>567</v>
      </c>
      <c r="AA438" s="7">
        <f t="shared" si="118"/>
        <v>0</v>
      </c>
      <c r="AB438" s="7" t="str">
        <f t="shared" si="119"/>
        <v/>
      </c>
      <c r="AC438" s="7">
        <f t="shared" si="120"/>
        <v>0</v>
      </c>
      <c r="AD438" s="7" t="str">
        <f t="shared" si="121"/>
        <v/>
      </c>
      <c r="AE438" s="6">
        <f t="shared" si="122"/>
        <v>0</v>
      </c>
      <c r="AF438" s="69">
        <f t="shared" si="123"/>
        <v>3.1140340905018769</v>
      </c>
      <c r="AG438" s="6">
        <f t="shared" si="124"/>
        <v>0</v>
      </c>
      <c r="AH438" s="6">
        <f t="shared" si="125"/>
        <v>604</v>
      </c>
    </row>
    <row r="439" spans="8:34" x14ac:dyDescent="0.25">
      <c r="H439" s="7">
        <v>446</v>
      </c>
      <c r="I439" s="7" t="s">
        <v>8</v>
      </c>
      <c r="J439" s="8">
        <v>38507</v>
      </c>
      <c r="K439" s="12" t="s">
        <v>17</v>
      </c>
      <c r="L439" s="9">
        <v>36</v>
      </c>
      <c r="M439" s="10">
        <v>109.95144430067725</v>
      </c>
      <c r="N439" s="7" t="s">
        <v>21</v>
      </c>
      <c r="P439" s="29" t="str">
        <f t="shared" si="108"/>
        <v/>
      </c>
      <c r="Q439" s="29" t="str">
        <f t="shared" si="109"/>
        <v/>
      </c>
      <c r="R439" s="29" t="str">
        <f t="shared" si="110"/>
        <v/>
      </c>
      <c r="S439" s="29" t="str">
        <f t="shared" si="111"/>
        <v/>
      </c>
      <c r="T439" s="32" t="str">
        <f t="shared" si="112"/>
        <v/>
      </c>
      <c r="U439" s="32">
        <f t="shared" si="115"/>
        <v>1</v>
      </c>
      <c r="V439" s="32" t="str">
        <f t="shared" si="116"/>
        <v/>
      </c>
      <c r="W439" s="41">
        <f t="shared" si="113"/>
        <v>3.0542067861299236</v>
      </c>
      <c r="X439" s="6">
        <f t="shared" si="114"/>
        <v>109.95144430067725</v>
      </c>
      <c r="Y439" s="7">
        <f t="shared" si="117"/>
        <v>341</v>
      </c>
      <c r="AA439" s="7">
        <f t="shared" si="118"/>
        <v>0</v>
      </c>
      <c r="AB439" s="7" t="str">
        <f t="shared" si="119"/>
        <v/>
      </c>
      <c r="AC439" s="7">
        <f t="shared" si="120"/>
        <v>1</v>
      </c>
      <c r="AD439" s="7">
        <f t="shared" si="121"/>
        <v>36</v>
      </c>
      <c r="AE439" s="6">
        <f t="shared" si="122"/>
        <v>0</v>
      </c>
      <c r="AF439" s="69">
        <f t="shared" si="123"/>
        <v>3.0542067861299236</v>
      </c>
      <c r="AG439" s="6">
        <f t="shared" si="124"/>
        <v>0</v>
      </c>
      <c r="AH439" s="6">
        <f t="shared" si="125"/>
        <v>604</v>
      </c>
    </row>
    <row r="440" spans="8:34" x14ac:dyDescent="0.25">
      <c r="H440" s="7">
        <v>447</v>
      </c>
      <c r="I440" s="7" t="s">
        <v>8</v>
      </c>
      <c r="J440" s="8">
        <v>38738</v>
      </c>
      <c r="K440" s="12" t="s">
        <v>18</v>
      </c>
      <c r="L440" s="9">
        <v>-4</v>
      </c>
      <c r="M440" s="10">
        <v>-10.242938195130456</v>
      </c>
      <c r="N440" s="7" t="s">
        <v>21</v>
      </c>
      <c r="P440" s="29" t="str">
        <f t="shared" si="108"/>
        <v/>
      </c>
      <c r="Q440" s="29" t="str">
        <f t="shared" si="109"/>
        <v/>
      </c>
      <c r="R440" s="29" t="str">
        <f t="shared" si="110"/>
        <v/>
      </c>
      <c r="S440" s="29" t="str">
        <f t="shared" si="111"/>
        <v/>
      </c>
      <c r="T440" s="32" t="str">
        <f t="shared" si="112"/>
        <v/>
      </c>
      <c r="U440" s="32" t="str">
        <f t="shared" si="115"/>
        <v/>
      </c>
      <c r="V440" s="32">
        <f t="shared" si="116"/>
        <v>1</v>
      </c>
      <c r="W440" s="41" t="str">
        <f t="shared" si="113"/>
        <v/>
      </c>
      <c r="X440" s="6">
        <f t="shared" si="114"/>
        <v>0</v>
      </c>
      <c r="Y440" s="7">
        <f t="shared" si="117"/>
        <v>567</v>
      </c>
      <c r="AA440" s="7">
        <f t="shared" si="118"/>
        <v>0</v>
      </c>
      <c r="AB440" s="7" t="str">
        <f t="shared" si="119"/>
        <v/>
      </c>
      <c r="AC440" s="7">
        <f t="shared" si="120"/>
        <v>0</v>
      </c>
      <c r="AD440" s="7" t="str">
        <f t="shared" si="121"/>
        <v/>
      </c>
      <c r="AE440" s="6">
        <f t="shared" si="122"/>
        <v>-4</v>
      </c>
      <c r="AF440" s="69" t="str">
        <f t="shared" si="123"/>
        <v/>
      </c>
      <c r="AG440" s="6">
        <f t="shared" si="124"/>
        <v>0</v>
      </c>
      <c r="AH440" s="6">
        <f t="shared" si="125"/>
        <v>604</v>
      </c>
    </row>
    <row r="441" spans="8:34" x14ac:dyDescent="0.25">
      <c r="H441" s="7">
        <v>448</v>
      </c>
      <c r="I441" s="7" t="s">
        <v>15</v>
      </c>
      <c r="J441" s="8">
        <v>38001</v>
      </c>
      <c r="K441" s="12" t="s">
        <v>20</v>
      </c>
      <c r="L441" s="9">
        <v>4</v>
      </c>
      <c r="M441" s="10">
        <v>14.170380845910964</v>
      </c>
      <c r="N441" s="7" t="s">
        <v>24</v>
      </c>
      <c r="P441" s="29">
        <f t="shared" si="108"/>
        <v>1</v>
      </c>
      <c r="Q441" s="29" t="str">
        <f t="shared" si="109"/>
        <v/>
      </c>
      <c r="R441" s="29" t="str">
        <f t="shared" si="110"/>
        <v/>
      </c>
      <c r="S441" s="29" t="str">
        <f t="shared" si="111"/>
        <v/>
      </c>
      <c r="T441" s="32" t="str">
        <f t="shared" si="112"/>
        <v/>
      </c>
      <c r="U441" s="32" t="str">
        <f t="shared" si="115"/>
        <v/>
      </c>
      <c r="V441" s="32" t="str">
        <f t="shared" si="116"/>
        <v/>
      </c>
      <c r="W441" s="41">
        <f t="shared" si="113"/>
        <v>3.542595211477741</v>
      </c>
      <c r="X441" s="6">
        <f t="shared" si="114"/>
        <v>0</v>
      </c>
      <c r="Y441" s="7">
        <f t="shared" si="117"/>
        <v>567</v>
      </c>
      <c r="AA441" s="7">
        <f t="shared" si="118"/>
        <v>0</v>
      </c>
      <c r="AB441" s="7" t="str">
        <f t="shared" si="119"/>
        <v/>
      </c>
      <c r="AC441" s="7">
        <f t="shared" si="120"/>
        <v>0</v>
      </c>
      <c r="AD441" s="7" t="str">
        <f t="shared" si="121"/>
        <v/>
      </c>
      <c r="AE441" s="6">
        <f t="shared" si="122"/>
        <v>0</v>
      </c>
      <c r="AF441" s="69">
        <f t="shared" si="123"/>
        <v>3.542595211477741</v>
      </c>
      <c r="AG441" s="6">
        <f t="shared" si="124"/>
        <v>14.170380845910964</v>
      </c>
      <c r="AH441" s="6">
        <f t="shared" si="125"/>
        <v>577</v>
      </c>
    </row>
    <row r="442" spans="8:34" x14ac:dyDescent="0.25">
      <c r="H442" s="7">
        <v>449</v>
      </c>
      <c r="I442" s="7" t="s">
        <v>9</v>
      </c>
      <c r="J442" s="8">
        <v>38144</v>
      </c>
      <c r="K442" s="12" t="s">
        <v>16</v>
      </c>
      <c r="L442" s="9">
        <v>81</v>
      </c>
      <c r="M442" s="10">
        <v>244.97499865385612</v>
      </c>
      <c r="N442" s="7" t="s">
        <v>24</v>
      </c>
      <c r="P442" s="29" t="str">
        <f t="shared" si="108"/>
        <v/>
      </c>
      <c r="Q442" s="29">
        <f t="shared" si="109"/>
        <v>1</v>
      </c>
      <c r="R442" s="29" t="str">
        <f t="shared" si="110"/>
        <v/>
      </c>
      <c r="S442" s="29" t="str">
        <f t="shared" si="111"/>
        <v/>
      </c>
      <c r="T442" s="32" t="str">
        <f t="shared" si="112"/>
        <v/>
      </c>
      <c r="U442" s="32" t="str">
        <f t="shared" si="115"/>
        <v/>
      </c>
      <c r="V442" s="32" t="str">
        <f t="shared" si="116"/>
        <v/>
      </c>
      <c r="W442" s="41">
        <f t="shared" si="113"/>
        <v>3.0243826994303227</v>
      </c>
      <c r="X442" s="6">
        <f t="shared" si="114"/>
        <v>0</v>
      </c>
      <c r="Y442" s="7">
        <f t="shared" si="117"/>
        <v>567</v>
      </c>
      <c r="AA442" s="7">
        <f t="shared" si="118"/>
        <v>0</v>
      </c>
      <c r="AB442" s="7" t="str">
        <f t="shared" si="119"/>
        <v/>
      </c>
      <c r="AC442" s="7">
        <f t="shared" si="120"/>
        <v>0</v>
      </c>
      <c r="AD442" s="7" t="str">
        <f t="shared" si="121"/>
        <v/>
      </c>
      <c r="AE442" s="6">
        <f t="shared" si="122"/>
        <v>0</v>
      </c>
      <c r="AF442" s="69">
        <f t="shared" si="123"/>
        <v>3.0243826994303227</v>
      </c>
      <c r="AG442" s="6">
        <f t="shared" si="124"/>
        <v>244.97499865385612</v>
      </c>
      <c r="AH442" s="6">
        <f t="shared" si="125"/>
        <v>75</v>
      </c>
    </row>
    <row r="443" spans="8:34" x14ac:dyDescent="0.25">
      <c r="H443" s="7">
        <v>450</v>
      </c>
      <c r="I443" s="7" t="s">
        <v>12</v>
      </c>
      <c r="J443" s="8">
        <v>38342</v>
      </c>
      <c r="K443" s="12" t="s">
        <v>16</v>
      </c>
      <c r="L443" s="9">
        <v>87</v>
      </c>
      <c r="M443" s="10">
        <v>263.83037846281559</v>
      </c>
      <c r="N443" s="7" t="s">
        <v>21</v>
      </c>
      <c r="P443" s="29" t="str">
        <f t="shared" si="108"/>
        <v/>
      </c>
      <c r="Q443" s="29" t="str">
        <f t="shared" si="109"/>
        <v/>
      </c>
      <c r="R443" s="29" t="str">
        <f t="shared" si="110"/>
        <v/>
      </c>
      <c r="S443" s="29">
        <f t="shared" si="111"/>
        <v>1</v>
      </c>
      <c r="T443" s="32" t="str">
        <f t="shared" si="112"/>
        <v/>
      </c>
      <c r="U443" s="32" t="str">
        <f t="shared" si="115"/>
        <v/>
      </c>
      <c r="V443" s="32" t="str">
        <f t="shared" si="116"/>
        <v/>
      </c>
      <c r="W443" s="41">
        <f t="shared" si="113"/>
        <v>3.0325330857794897</v>
      </c>
      <c r="X443" s="6">
        <f t="shared" si="114"/>
        <v>0</v>
      </c>
      <c r="Y443" s="7">
        <f t="shared" si="117"/>
        <v>567</v>
      </c>
      <c r="AA443" s="7">
        <f t="shared" si="118"/>
        <v>0</v>
      </c>
      <c r="AB443" s="7" t="str">
        <f t="shared" si="119"/>
        <v/>
      </c>
      <c r="AC443" s="7">
        <f t="shared" si="120"/>
        <v>0</v>
      </c>
      <c r="AD443" s="7" t="str">
        <f t="shared" si="121"/>
        <v/>
      </c>
      <c r="AE443" s="6">
        <f t="shared" si="122"/>
        <v>0</v>
      </c>
      <c r="AF443" s="69">
        <f t="shared" si="123"/>
        <v>3.0325330857794897</v>
      </c>
      <c r="AG443" s="6">
        <f t="shared" si="124"/>
        <v>263.83037846281559</v>
      </c>
      <c r="AH443" s="6">
        <f t="shared" si="125"/>
        <v>45</v>
      </c>
    </row>
    <row r="444" spans="8:34" x14ac:dyDescent="0.25">
      <c r="H444" s="7">
        <v>451</v>
      </c>
      <c r="I444" s="7" t="s">
        <v>7</v>
      </c>
      <c r="J444" s="8">
        <v>38023</v>
      </c>
      <c r="K444" s="12" t="s">
        <v>16</v>
      </c>
      <c r="L444" s="9">
        <v>13</v>
      </c>
      <c r="M444" s="10">
        <v>40.507831778483222</v>
      </c>
      <c r="N444" s="7" t="s">
        <v>21</v>
      </c>
      <c r="P444" s="29">
        <f t="shared" si="108"/>
        <v>1</v>
      </c>
      <c r="Q444" s="29" t="str">
        <f t="shared" si="109"/>
        <v/>
      </c>
      <c r="R444" s="29" t="str">
        <f t="shared" si="110"/>
        <v/>
      </c>
      <c r="S444" s="29" t="str">
        <f t="shared" si="111"/>
        <v/>
      </c>
      <c r="T444" s="32" t="str">
        <f t="shared" si="112"/>
        <v/>
      </c>
      <c r="U444" s="32" t="str">
        <f t="shared" si="115"/>
        <v/>
      </c>
      <c r="V444" s="32" t="str">
        <f t="shared" si="116"/>
        <v/>
      </c>
      <c r="W444" s="41">
        <f t="shared" si="113"/>
        <v>3.1159870598833246</v>
      </c>
      <c r="X444" s="6">
        <f t="shared" si="114"/>
        <v>0</v>
      </c>
      <c r="Y444" s="7">
        <f t="shared" si="117"/>
        <v>567</v>
      </c>
      <c r="AA444" s="7">
        <f t="shared" si="118"/>
        <v>0</v>
      </c>
      <c r="AB444" s="7" t="str">
        <f t="shared" si="119"/>
        <v/>
      </c>
      <c r="AC444" s="7">
        <f t="shared" si="120"/>
        <v>0</v>
      </c>
      <c r="AD444" s="7" t="str">
        <f t="shared" si="121"/>
        <v/>
      </c>
      <c r="AE444" s="6">
        <f t="shared" si="122"/>
        <v>0</v>
      </c>
      <c r="AF444" s="69">
        <f t="shared" si="123"/>
        <v>3.1159870598833246</v>
      </c>
      <c r="AG444" s="6">
        <f t="shared" si="124"/>
        <v>40.507831778483222</v>
      </c>
      <c r="AH444" s="6">
        <f t="shared" si="125"/>
        <v>505</v>
      </c>
    </row>
    <row r="445" spans="8:34" x14ac:dyDescent="0.25">
      <c r="H445" s="7">
        <v>452</v>
      </c>
      <c r="I445" s="7" t="s">
        <v>10</v>
      </c>
      <c r="J445" s="8">
        <v>38111</v>
      </c>
      <c r="K445" s="12" t="s">
        <v>17</v>
      </c>
      <c r="L445" s="9">
        <v>48</v>
      </c>
      <c r="M445" s="10">
        <v>145.84691044279441</v>
      </c>
      <c r="N445" s="7" t="s">
        <v>24</v>
      </c>
      <c r="P445" s="29" t="str">
        <f t="shared" si="108"/>
        <v/>
      </c>
      <c r="Q445" s="29">
        <f t="shared" si="109"/>
        <v>1</v>
      </c>
      <c r="R445" s="29" t="str">
        <f t="shared" si="110"/>
        <v/>
      </c>
      <c r="S445" s="29" t="str">
        <f t="shared" si="111"/>
        <v/>
      </c>
      <c r="T445" s="32" t="str">
        <f t="shared" si="112"/>
        <v/>
      </c>
      <c r="U445" s="32" t="str">
        <f t="shared" si="115"/>
        <v/>
      </c>
      <c r="V445" s="32" t="str">
        <f t="shared" si="116"/>
        <v/>
      </c>
      <c r="W445" s="41">
        <f t="shared" si="113"/>
        <v>3.0384773008915502</v>
      </c>
      <c r="X445" s="6">
        <f t="shared" si="114"/>
        <v>0</v>
      </c>
      <c r="Y445" s="7">
        <f t="shared" si="117"/>
        <v>567</v>
      </c>
      <c r="AA445" s="7">
        <f t="shared" si="118"/>
        <v>0</v>
      </c>
      <c r="AB445" s="7" t="str">
        <f t="shared" si="119"/>
        <v/>
      </c>
      <c r="AC445" s="7">
        <f t="shared" si="120"/>
        <v>0</v>
      </c>
      <c r="AD445" s="7" t="str">
        <f t="shared" si="121"/>
        <v/>
      </c>
      <c r="AE445" s="6">
        <f t="shared" si="122"/>
        <v>0</v>
      </c>
      <c r="AF445" s="69">
        <f t="shared" si="123"/>
        <v>3.0384773008915502</v>
      </c>
      <c r="AG445" s="6">
        <f t="shared" si="124"/>
        <v>145.84691044279441</v>
      </c>
      <c r="AH445" s="6">
        <f t="shared" si="125"/>
        <v>280</v>
      </c>
    </row>
    <row r="446" spans="8:34" x14ac:dyDescent="0.25">
      <c r="H446" s="7">
        <v>453</v>
      </c>
      <c r="I446" s="7" t="s">
        <v>7</v>
      </c>
      <c r="J446" s="8">
        <v>38628</v>
      </c>
      <c r="K446" s="12" t="s">
        <v>19</v>
      </c>
      <c r="L446" s="9">
        <v>2</v>
      </c>
      <c r="M446" s="10">
        <v>7.0981331873476012</v>
      </c>
      <c r="N446" s="7" t="s">
        <v>23</v>
      </c>
      <c r="P446" s="29" t="str">
        <f t="shared" si="108"/>
        <v/>
      </c>
      <c r="Q446" s="29" t="str">
        <f t="shared" si="109"/>
        <v/>
      </c>
      <c r="R446" s="29" t="str">
        <f t="shared" si="110"/>
        <v/>
      </c>
      <c r="S446" s="29" t="str">
        <f t="shared" si="111"/>
        <v/>
      </c>
      <c r="T446" s="32">
        <f t="shared" si="112"/>
        <v>1</v>
      </c>
      <c r="U446" s="32">
        <f t="shared" si="115"/>
        <v>1</v>
      </c>
      <c r="V446" s="32" t="str">
        <f t="shared" si="116"/>
        <v/>
      </c>
      <c r="W446" s="41">
        <f t="shared" si="113"/>
        <v>3.5490665936738006</v>
      </c>
      <c r="X446" s="6">
        <f t="shared" si="114"/>
        <v>7.0981331873476012</v>
      </c>
      <c r="Y446" s="7">
        <f t="shared" si="117"/>
        <v>554</v>
      </c>
      <c r="AA446" s="7">
        <f t="shared" si="118"/>
        <v>0</v>
      </c>
      <c r="AB446" s="7" t="str">
        <f t="shared" si="119"/>
        <v/>
      </c>
      <c r="AC446" s="7">
        <f t="shared" si="120"/>
        <v>1</v>
      </c>
      <c r="AD446" s="7">
        <f t="shared" si="121"/>
        <v>2</v>
      </c>
      <c r="AE446" s="6">
        <f t="shared" si="122"/>
        <v>0</v>
      </c>
      <c r="AF446" s="69">
        <f t="shared" si="123"/>
        <v>3.5490665936738006</v>
      </c>
      <c r="AG446" s="6">
        <f t="shared" si="124"/>
        <v>0</v>
      </c>
      <c r="AH446" s="6">
        <f t="shared" si="125"/>
        <v>604</v>
      </c>
    </row>
    <row r="447" spans="8:34" x14ac:dyDescent="0.25">
      <c r="H447" s="7">
        <v>454</v>
      </c>
      <c r="I447" s="7" t="s">
        <v>14</v>
      </c>
      <c r="J447" s="8">
        <v>38155</v>
      </c>
      <c r="K447" s="12" t="s">
        <v>17</v>
      </c>
      <c r="L447" s="9">
        <v>32</v>
      </c>
      <c r="M447" s="10">
        <v>98.366647965700452</v>
      </c>
      <c r="N447" s="7" t="s">
        <v>24</v>
      </c>
      <c r="P447" s="29" t="str">
        <f t="shared" si="108"/>
        <v/>
      </c>
      <c r="Q447" s="29">
        <f t="shared" si="109"/>
        <v>1</v>
      </c>
      <c r="R447" s="29" t="str">
        <f t="shared" si="110"/>
        <v/>
      </c>
      <c r="S447" s="29" t="str">
        <f t="shared" si="111"/>
        <v/>
      </c>
      <c r="T447" s="32" t="str">
        <f t="shared" si="112"/>
        <v/>
      </c>
      <c r="U447" s="32" t="str">
        <f t="shared" si="115"/>
        <v/>
      </c>
      <c r="V447" s="32" t="str">
        <f t="shared" si="116"/>
        <v/>
      </c>
      <c r="W447" s="41">
        <f t="shared" si="113"/>
        <v>3.0739577489281391</v>
      </c>
      <c r="X447" s="6">
        <f t="shared" si="114"/>
        <v>0</v>
      </c>
      <c r="Y447" s="7">
        <f t="shared" si="117"/>
        <v>567</v>
      </c>
      <c r="AA447" s="7">
        <f t="shared" si="118"/>
        <v>0</v>
      </c>
      <c r="AB447" s="7" t="str">
        <f t="shared" si="119"/>
        <v/>
      </c>
      <c r="AC447" s="7">
        <f t="shared" si="120"/>
        <v>0</v>
      </c>
      <c r="AD447" s="7" t="str">
        <f t="shared" si="121"/>
        <v/>
      </c>
      <c r="AE447" s="6">
        <f t="shared" si="122"/>
        <v>0</v>
      </c>
      <c r="AF447" s="69">
        <f t="shared" si="123"/>
        <v>3.0739577489281391</v>
      </c>
      <c r="AG447" s="6">
        <f t="shared" si="124"/>
        <v>98.366647965700452</v>
      </c>
      <c r="AH447" s="6">
        <f t="shared" si="125"/>
        <v>379</v>
      </c>
    </row>
    <row r="448" spans="8:34" x14ac:dyDescent="0.25">
      <c r="H448" s="7">
        <v>455</v>
      </c>
      <c r="I448" s="7" t="s">
        <v>9</v>
      </c>
      <c r="J448" s="8">
        <v>38595</v>
      </c>
      <c r="K448" s="12" t="s">
        <v>17</v>
      </c>
      <c r="L448" s="9">
        <v>13</v>
      </c>
      <c r="M448" s="10">
        <v>41.16877365274803</v>
      </c>
      <c r="N448" s="7" t="s">
        <v>23</v>
      </c>
      <c r="P448" s="29" t="str">
        <f t="shared" si="108"/>
        <v/>
      </c>
      <c r="Q448" s="29" t="str">
        <f t="shared" si="109"/>
        <v/>
      </c>
      <c r="R448" s="29" t="str">
        <f t="shared" si="110"/>
        <v/>
      </c>
      <c r="S448" s="29" t="str">
        <f t="shared" si="111"/>
        <v/>
      </c>
      <c r="T448" s="32" t="str">
        <f t="shared" si="112"/>
        <v/>
      </c>
      <c r="U448" s="32">
        <f t="shared" si="115"/>
        <v>1</v>
      </c>
      <c r="V448" s="32" t="str">
        <f t="shared" si="116"/>
        <v/>
      </c>
      <c r="W448" s="41">
        <f t="shared" si="113"/>
        <v>3.1668287425190793</v>
      </c>
      <c r="X448" s="6">
        <f t="shared" si="114"/>
        <v>41.16877365274803</v>
      </c>
      <c r="Y448" s="7">
        <f t="shared" si="117"/>
        <v>476</v>
      </c>
      <c r="AA448" s="7">
        <f t="shared" si="118"/>
        <v>1</v>
      </c>
      <c r="AB448" s="7">
        <f t="shared" si="119"/>
        <v>13</v>
      </c>
      <c r="AC448" s="7">
        <f t="shared" si="120"/>
        <v>0</v>
      </c>
      <c r="AD448" s="7" t="str">
        <f t="shared" si="121"/>
        <v/>
      </c>
      <c r="AE448" s="6">
        <f t="shared" si="122"/>
        <v>0</v>
      </c>
      <c r="AF448" s="69">
        <f t="shared" si="123"/>
        <v>3.1668287425190793</v>
      </c>
      <c r="AG448" s="6">
        <f t="shared" si="124"/>
        <v>0</v>
      </c>
      <c r="AH448" s="6">
        <f t="shared" si="125"/>
        <v>604</v>
      </c>
    </row>
    <row r="449" spans="8:34" x14ac:dyDescent="0.25">
      <c r="H449" s="7">
        <v>456</v>
      </c>
      <c r="I449" s="7" t="s">
        <v>15</v>
      </c>
      <c r="J449" s="8">
        <v>38991</v>
      </c>
      <c r="K449" s="12" t="s">
        <v>20</v>
      </c>
      <c r="L449" s="9">
        <v>94</v>
      </c>
      <c r="M449" s="10">
        <v>283.45251417423401</v>
      </c>
      <c r="N449" s="7" t="s">
        <v>23</v>
      </c>
      <c r="P449" s="29" t="str">
        <f t="shared" si="108"/>
        <v/>
      </c>
      <c r="Q449" s="29" t="str">
        <f t="shared" si="109"/>
        <v/>
      </c>
      <c r="R449" s="29" t="str">
        <f t="shared" si="110"/>
        <v/>
      </c>
      <c r="S449" s="29" t="str">
        <f t="shared" si="111"/>
        <v/>
      </c>
      <c r="T449" s="32" t="str">
        <f t="shared" si="112"/>
        <v/>
      </c>
      <c r="U449" s="32" t="str">
        <f t="shared" si="115"/>
        <v/>
      </c>
      <c r="V449" s="32">
        <f t="shared" si="116"/>
        <v>1</v>
      </c>
      <c r="W449" s="41">
        <f t="shared" si="113"/>
        <v>3.0154522784492981</v>
      </c>
      <c r="X449" s="6">
        <f t="shared" si="114"/>
        <v>0</v>
      </c>
      <c r="Y449" s="7">
        <f t="shared" si="117"/>
        <v>567</v>
      </c>
      <c r="AA449" s="7">
        <f t="shared" si="118"/>
        <v>0</v>
      </c>
      <c r="AB449" s="7" t="str">
        <f t="shared" si="119"/>
        <v/>
      </c>
      <c r="AC449" s="7">
        <f t="shared" si="120"/>
        <v>0</v>
      </c>
      <c r="AD449" s="7" t="str">
        <f t="shared" si="121"/>
        <v/>
      </c>
      <c r="AE449" s="6">
        <f t="shared" si="122"/>
        <v>0</v>
      </c>
      <c r="AF449" s="69">
        <f t="shared" si="123"/>
        <v>3.0154522784492981</v>
      </c>
      <c r="AG449" s="6">
        <f t="shared" si="124"/>
        <v>0</v>
      </c>
      <c r="AH449" s="6">
        <f t="shared" si="125"/>
        <v>604</v>
      </c>
    </row>
    <row r="450" spans="8:34" x14ac:dyDescent="0.25">
      <c r="H450" s="7">
        <v>457</v>
      </c>
      <c r="I450" s="7" t="s">
        <v>14</v>
      </c>
      <c r="J450" s="8">
        <v>38782</v>
      </c>
      <c r="K450" s="12" t="s">
        <v>20</v>
      </c>
      <c r="L450" s="9">
        <v>63</v>
      </c>
      <c r="M450" s="10">
        <v>190.83724952198969</v>
      </c>
      <c r="N450" s="7" t="s">
        <v>24</v>
      </c>
      <c r="P450" s="29" t="str">
        <f t="shared" si="108"/>
        <v/>
      </c>
      <c r="Q450" s="29" t="str">
        <f t="shared" si="109"/>
        <v/>
      </c>
      <c r="R450" s="29" t="str">
        <f t="shared" si="110"/>
        <v/>
      </c>
      <c r="S450" s="29" t="str">
        <f t="shared" si="111"/>
        <v/>
      </c>
      <c r="T450" s="32" t="str">
        <f t="shared" si="112"/>
        <v/>
      </c>
      <c r="U450" s="32" t="str">
        <f t="shared" si="115"/>
        <v/>
      </c>
      <c r="V450" s="32">
        <f t="shared" si="116"/>
        <v>1</v>
      </c>
      <c r="W450" s="41">
        <f t="shared" si="113"/>
        <v>3.0291626908252334</v>
      </c>
      <c r="X450" s="6">
        <f t="shared" si="114"/>
        <v>0</v>
      </c>
      <c r="Y450" s="7">
        <f t="shared" si="117"/>
        <v>567</v>
      </c>
      <c r="AA450" s="7">
        <f t="shared" si="118"/>
        <v>0</v>
      </c>
      <c r="AB450" s="7" t="str">
        <f t="shared" si="119"/>
        <v/>
      </c>
      <c r="AC450" s="7">
        <f t="shared" si="120"/>
        <v>0</v>
      </c>
      <c r="AD450" s="7" t="str">
        <f t="shared" si="121"/>
        <v/>
      </c>
      <c r="AE450" s="6">
        <f t="shared" si="122"/>
        <v>0</v>
      </c>
      <c r="AF450" s="69">
        <f t="shared" si="123"/>
        <v>3.0291626908252334</v>
      </c>
      <c r="AG450" s="6">
        <f t="shared" si="124"/>
        <v>0</v>
      </c>
      <c r="AH450" s="6">
        <f t="shared" si="125"/>
        <v>604</v>
      </c>
    </row>
    <row r="451" spans="8:34" x14ac:dyDescent="0.25">
      <c r="H451" s="7">
        <v>458</v>
      </c>
      <c r="I451" s="7" t="s">
        <v>10</v>
      </c>
      <c r="J451" s="8">
        <v>38881</v>
      </c>
      <c r="K451" s="12" t="s">
        <v>18</v>
      </c>
      <c r="L451" s="9">
        <v>45</v>
      </c>
      <c r="M451" s="10">
        <v>136.97942653814263</v>
      </c>
      <c r="N451" s="7" t="s">
        <v>23</v>
      </c>
      <c r="P451" s="29" t="str">
        <f t="shared" ref="P451:P514" si="126">IF(AND((MONTH(J451))&lt;4,YEAR(J451)=2004),1,"")</f>
        <v/>
      </c>
      <c r="Q451" s="29" t="str">
        <f t="shared" ref="Q451:Q514" si="127">IF(AND(3&lt;(MONTH(J451)),(MONTH(J451)&lt;7),YEAR(J451)=2004),1,"")</f>
        <v/>
      </c>
      <c r="R451" s="29" t="str">
        <f t="shared" ref="R451:R514" si="128">IF(AND(6&lt;(MONTH(J451)),(MONTH(J451)&lt;10),YEAR(J451)=2004),1,"")</f>
        <v/>
      </c>
      <c r="S451" s="29" t="str">
        <f t="shared" ref="S451:S514" si="129">IF(AND(9&lt;(MONTH(J451)),(MONTH(J451)&lt;13),YEAR(J451)=2004),1,"")</f>
        <v/>
      </c>
      <c r="T451" s="32" t="str">
        <f t="shared" ref="T451:T514" si="130">IF(AND((9&lt;MONTH(J451)),YEAR(J451)=2005),1,"")</f>
        <v/>
      </c>
      <c r="U451" s="32" t="str">
        <f t="shared" si="115"/>
        <v/>
      </c>
      <c r="V451" s="32">
        <f t="shared" si="116"/>
        <v>1</v>
      </c>
      <c r="W451" s="41">
        <f t="shared" ref="W451:W514" si="131">IF(L451&gt;0,M451/L451,"")</f>
        <v>3.0439872564031698</v>
      </c>
      <c r="X451" s="6">
        <f t="shared" ref="X451:X514" si="132">IF(U451=1,M451,0)</f>
        <v>0</v>
      </c>
      <c r="Y451" s="7">
        <f t="shared" si="117"/>
        <v>567</v>
      </c>
      <c r="AA451" s="7">
        <f t="shared" si="118"/>
        <v>0</v>
      </c>
      <c r="AB451" s="7" t="str">
        <f t="shared" si="119"/>
        <v/>
      </c>
      <c r="AC451" s="7">
        <f t="shared" si="120"/>
        <v>0</v>
      </c>
      <c r="AD451" s="7" t="str">
        <f t="shared" si="121"/>
        <v/>
      </c>
      <c r="AE451" s="6">
        <f t="shared" si="122"/>
        <v>0</v>
      </c>
      <c r="AF451" s="69">
        <f t="shared" si="123"/>
        <v>3.0439872564031698</v>
      </c>
      <c r="AG451" s="6">
        <f t="shared" si="124"/>
        <v>0</v>
      </c>
      <c r="AH451" s="6">
        <f t="shared" si="125"/>
        <v>604</v>
      </c>
    </row>
    <row r="452" spans="8:34" x14ac:dyDescent="0.25">
      <c r="H452" s="7">
        <v>459</v>
      </c>
      <c r="I452" s="7" t="s">
        <v>11</v>
      </c>
      <c r="J452" s="8">
        <v>38452</v>
      </c>
      <c r="K452" s="12" t="s">
        <v>20</v>
      </c>
      <c r="L452" s="9">
        <v>71</v>
      </c>
      <c r="M452" s="10">
        <v>214.76898776471646</v>
      </c>
      <c r="N452" s="7" t="s">
        <v>21</v>
      </c>
      <c r="P452" s="29" t="str">
        <f t="shared" si="126"/>
        <v/>
      </c>
      <c r="Q452" s="29" t="str">
        <f t="shared" si="127"/>
        <v/>
      </c>
      <c r="R452" s="29" t="str">
        <f t="shared" si="128"/>
        <v/>
      </c>
      <c r="S452" s="29" t="str">
        <f t="shared" si="129"/>
        <v/>
      </c>
      <c r="T452" s="32" t="str">
        <f t="shared" si="130"/>
        <v/>
      </c>
      <c r="U452" s="32">
        <f t="shared" ref="U452:U515" si="133">IF(YEAR(J452)=2005,1,"")</f>
        <v>1</v>
      </c>
      <c r="V452" s="32" t="str">
        <f t="shared" ref="V452:V515" si="134">IF(YEAR(J452)=2006,1,"")</f>
        <v/>
      </c>
      <c r="W452" s="41">
        <f t="shared" si="131"/>
        <v>3.0249153206298094</v>
      </c>
      <c r="X452" s="6">
        <f t="shared" si="132"/>
        <v>214.76898776471646</v>
      </c>
      <c r="Y452" s="7">
        <f t="shared" ref="Y452:Y515" si="135">RANK(X452,$X$3:$X$1893)</f>
        <v>153</v>
      </c>
      <c r="AA452" s="7">
        <f t="shared" ref="AA452:AA515" si="136">IF(AND(OR((MONTH(J452))=1,(MONTH(J452))=2,(MONTH(J452))=3,(MONTH(J452))=7,(MONTH(J452))=8,(MONTH(J452))=9),YEAR(J452)=2005),1,0)</f>
        <v>0</v>
      </c>
      <c r="AB452" s="7" t="str">
        <f t="shared" ref="AB452:AB515" si="137">IF(AA452=1,L452,"")</f>
        <v/>
      </c>
      <c r="AC452" s="7">
        <f t="shared" ref="AC452:AC515" si="138">IF(AND(OR((MONTH(J452))=4,(MONTH(J452))=5,(MONTH(J452))=6,(MONTH(J452))=10,(MONTH(J452))=11,(MONTH(J452))=12),YEAR(J452)=2005),1,0)</f>
        <v>1</v>
      </c>
      <c r="AD452" s="7">
        <f t="shared" ref="AD452:AD515" si="139">IF(AC452=1,L452,"")</f>
        <v>71</v>
      </c>
      <c r="AE452" s="6">
        <f t="shared" ref="AE452:AE515" si="140">IF(L452&lt;0,L452,0)</f>
        <v>0</v>
      </c>
      <c r="AF452" s="69">
        <f t="shared" ref="AF452:AF515" si="141">IF(L452&gt;0,W452,"")</f>
        <v>3.0249153206298094</v>
      </c>
      <c r="AG452" s="6">
        <f t="shared" ref="AG452:AG515" si="142">IF(AND((M452&gt;0),(YEAR(J452)=2004)),M452,0)</f>
        <v>0</v>
      </c>
      <c r="AH452" s="6">
        <f t="shared" ref="AH452:AH515" si="143">RANK(AG452,$AG$3:$AG$1893)</f>
        <v>604</v>
      </c>
    </row>
    <row r="453" spans="8:34" x14ac:dyDescent="0.25">
      <c r="H453" s="7">
        <v>460</v>
      </c>
      <c r="I453" s="7" t="s">
        <v>11</v>
      </c>
      <c r="J453" s="8">
        <v>38100</v>
      </c>
      <c r="K453" s="12" t="s">
        <v>20</v>
      </c>
      <c r="L453" s="9">
        <v>74</v>
      </c>
      <c r="M453" s="10">
        <v>224.18238847872837</v>
      </c>
      <c r="N453" s="7" t="s">
        <v>24</v>
      </c>
      <c r="P453" s="29" t="str">
        <f t="shared" si="126"/>
        <v/>
      </c>
      <c r="Q453" s="29">
        <f t="shared" si="127"/>
        <v>1</v>
      </c>
      <c r="R453" s="29" t="str">
        <f t="shared" si="128"/>
        <v/>
      </c>
      <c r="S453" s="29" t="str">
        <f t="shared" si="129"/>
        <v/>
      </c>
      <c r="T453" s="32" t="str">
        <f t="shared" si="130"/>
        <v/>
      </c>
      <c r="U453" s="32" t="str">
        <f t="shared" si="133"/>
        <v/>
      </c>
      <c r="V453" s="32" t="str">
        <f t="shared" si="134"/>
        <v/>
      </c>
      <c r="W453" s="41">
        <f t="shared" si="131"/>
        <v>3.0294917361990321</v>
      </c>
      <c r="X453" s="6">
        <f t="shared" si="132"/>
        <v>0</v>
      </c>
      <c r="Y453" s="7">
        <f t="shared" si="135"/>
        <v>567</v>
      </c>
      <c r="AA453" s="7">
        <f t="shared" si="136"/>
        <v>0</v>
      </c>
      <c r="AB453" s="7" t="str">
        <f t="shared" si="137"/>
        <v/>
      </c>
      <c r="AC453" s="7">
        <f t="shared" si="138"/>
        <v>0</v>
      </c>
      <c r="AD453" s="7" t="str">
        <f t="shared" si="139"/>
        <v/>
      </c>
      <c r="AE453" s="6">
        <f t="shared" si="140"/>
        <v>0</v>
      </c>
      <c r="AF453" s="69">
        <f t="shared" si="141"/>
        <v>3.0294917361990321</v>
      </c>
      <c r="AG453" s="6">
        <f t="shared" si="142"/>
        <v>224.18238847872837</v>
      </c>
      <c r="AH453" s="6">
        <f t="shared" si="143"/>
        <v>126</v>
      </c>
    </row>
    <row r="454" spans="8:34" x14ac:dyDescent="0.25">
      <c r="H454" s="7">
        <v>461</v>
      </c>
      <c r="I454" s="7" t="s">
        <v>9</v>
      </c>
      <c r="J454" s="8">
        <v>38012</v>
      </c>
      <c r="K454" s="12" t="s">
        <v>20</v>
      </c>
      <c r="L454" s="9">
        <v>48</v>
      </c>
      <c r="M454" s="10">
        <v>145.64951342948135</v>
      </c>
      <c r="N454" s="7" t="s">
        <v>23</v>
      </c>
      <c r="P454" s="29">
        <f t="shared" si="126"/>
        <v>1</v>
      </c>
      <c r="Q454" s="29" t="str">
        <f t="shared" si="127"/>
        <v/>
      </c>
      <c r="R454" s="29" t="str">
        <f t="shared" si="128"/>
        <v/>
      </c>
      <c r="S454" s="29" t="str">
        <f t="shared" si="129"/>
        <v/>
      </c>
      <c r="T454" s="32" t="str">
        <f t="shared" si="130"/>
        <v/>
      </c>
      <c r="U454" s="32" t="str">
        <f t="shared" si="133"/>
        <v/>
      </c>
      <c r="V454" s="32" t="str">
        <f t="shared" si="134"/>
        <v/>
      </c>
      <c r="W454" s="41">
        <f t="shared" si="131"/>
        <v>3.0343648631141948</v>
      </c>
      <c r="X454" s="6">
        <f t="shared" si="132"/>
        <v>0</v>
      </c>
      <c r="Y454" s="7">
        <f t="shared" si="135"/>
        <v>567</v>
      </c>
      <c r="AA454" s="7">
        <f t="shared" si="136"/>
        <v>0</v>
      </c>
      <c r="AB454" s="7" t="str">
        <f t="shared" si="137"/>
        <v/>
      </c>
      <c r="AC454" s="7">
        <f t="shared" si="138"/>
        <v>0</v>
      </c>
      <c r="AD454" s="7" t="str">
        <f t="shared" si="139"/>
        <v/>
      </c>
      <c r="AE454" s="6">
        <f t="shared" si="140"/>
        <v>0</v>
      </c>
      <c r="AF454" s="69">
        <f t="shared" si="141"/>
        <v>3.0343648631141948</v>
      </c>
      <c r="AG454" s="6">
        <f t="shared" si="142"/>
        <v>145.64951342948135</v>
      </c>
      <c r="AH454" s="6">
        <f t="shared" si="143"/>
        <v>282</v>
      </c>
    </row>
    <row r="455" spans="8:34" x14ac:dyDescent="0.25">
      <c r="H455" s="7">
        <v>462</v>
      </c>
      <c r="I455" s="7" t="s">
        <v>12</v>
      </c>
      <c r="J455" s="8">
        <v>38045</v>
      </c>
      <c r="K455" s="12" t="s">
        <v>17</v>
      </c>
      <c r="L455" s="9">
        <v>63</v>
      </c>
      <c r="M455" s="10">
        <v>191.1884163928766</v>
      </c>
      <c r="N455" s="7" t="s">
        <v>24</v>
      </c>
      <c r="P455" s="29">
        <f t="shared" si="126"/>
        <v>1</v>
      </c>
      <c r="Q455" s="29" t="str">
        <f t="shared" si="127"/>
        <v/>
      </c>
      <c r="R455" s="29" t="str">
        <f t="shared" si="128"/>
        <v/>
      </c>
      <c r="S455" s="29" t="str">
        <f t="shared" si="129"/>
        <v/>
      </c>
      <c r="T455" s="32" t="str">
        <f t="shared" si="130"/>
        <v/>
      </c>
      <c r="U455" s="32" t="str">
        <f t="shared" si="133"/>
        <v/>
      </c>
      <c r="V455" s="32" t="str">
        <f t="shared" si="134"/>
        <v/>
      </c>
      <c r="W455" s="41">
        <f t="shared" si="131"/>
        <v>3.0347367681408985</v>
      </c>
      <c r="X455" s="6">
        <f t="shared" si="132"/>
        <v>0</v>
      </c>
      <c r="Y455" s="7">
        <f t="shared" si="135"/>
        <v>567</v>
      </c>
      <c r="AA455" s="7">
        <f t="shared" si="136"/>
        <v>0</v>
      </c>
      <c r="AB455" s="7" t="str">
        <f t="shared" si="137"/>
        <v/>
      </c>
      <c r="AC455" s="7">
        <f t="shared" si="138"/>
        <v>0</v>
      </c>
      <c r="AD455" s="7" t="str">
        <f t="shared" si="139"/>
        <v/>
      </c>
      <c r="AE455" s="6">
        <f t="shared" si="140"/>
        <v>0</v>
      </c>
      <c r="AF455" s="69">
        <f t="shared" si="141"/>
        <v>3.0347367681408985</v>
      </c>
      <c r="AG455" s="6">
        <f t="shared" si="142"/>
        <v>191.1884163928766</v>
      </c>
      <c r="AH455" s="6">
        <f t="shared" si="143"/>
        <v>191</v>
      </c>
    </row>
    <row r="456" spans="8:34" x14ac:dyDescent="0.25">
      <c r="H456" s="7">
        <v>463</v>
      </c>
      <c r="I456" s="7" t="s">
        <v>11</v>
      </c>
      <c r="J456" s="8">
        <v>38463</v>
      </c>
      <c r="K456" s="12" t="s">
        <v>17</v>
      </c>
      <c r="L456" s="9">
        <v>48</v>
      </c>
      <c r="M456" s="10">
        <v>145.69127497854927</v>
      </c>
      <c r="N456" s="7" t="s">
        <v>23</v>
      </c>
      <c r="P456" s="29" t="str">
        <f t="shared" si="126"/>
        <v/>
      </c>
      <c r="Q456" s="29" t="str">
        <f t="shared" si="127"/>
        <v/>
      </c>
      <c r="R456" s="29" t="str">
        <f t="shared" si="128"/>
        <v/>
      </c>
      <c r="S456" s="29" t="str">
        <f t="shared" si="129"/>
        <v/>
      </c>
      <c r="T456" s="32" t="str">
        <f t="shared" si="130"/>
        <v/>
      </c>
      <c r="U456" s="32">
        <f t="shared" si="133"/>
        <v>1</v>
      </c>
      <c r="V456" s="32" t="str">
        <f t="shared" si="134"/>
        <v/>
      </c>
      <c r="W456" s="41">
        <f t="shared" si="131"/>
        <v>3.0352348953864432</v>
      </c>
      <c r="X456" s="6">
        <f t="shared" si="132"/>
        <v>145.69127497854927</v>
      </c>
      <c r="Y456" s="7">
        <f t="shared" si="135"/>
        <v>280</v>
      </c>
      <c r="AA456" s="7">
        <f t="shared" si="136"/>
        <v>0</v>
      </c>
      <c r="AB456" s="7" t="str">
        <f t="shared" si="137"/>
        <v/>
      </c>
      <c r="AC456" s="7">
        <f t="shared" si="138"/>
        <v>1</v>
      </c>
      <c r="AD456" s="7">
        <f t="shared" si="139"/>
        <v>48</v>
      </c>
      <c r="AE456" s="6">
        <f t="shared" si="140"/>
        <v>0</v>
      </c>
      <c r="AF456" s="69">
        <f t="shared" si="141"/>
        <v>3.0352348953864432</v>
      </c>
      <c r="AG456" s="6">
        <f t="shared" si="142"/>
        <v>0</v>
      </c>
      <c r="AH456" s="6">
        <f t="shared" si="143"/>
        <v>604</v>
      </c>
    </row>
    <row r="457" spans="8:34" x14ac:dyDescent="0.25">
      <c r="H457" s="7">
        <v>464</v>
      </c>
      <c r="I457" s="7" t="s">
        <v>8</v>
      </c>
      <c r="J457" s="8">
        <v>38958</v>
      </c>
      <c r="K457" s="12" t="s">
        <v>20</v>
      </c>
      <c r="L457" s="9">
        <v>26</v>
      </c>
      <c r="M457" s="10">
        <v>80.6144268681997</v>
      </c>
      <c r="N457" s="7" t="s">
        <v>22</v>
      </c>
      <c r="P457" s="29" t="str">
        <f t="shared" si="126"/>
        <v/>
      </c>
      <c r="Q457" s="29" t="str">
        <f t="shared" si="127"/>
        <v/>
      </c>
      <c r="R457" s="29" t="str">
        <f t="shared" si="128"/>
        <v/>
      </c>
      <c r="S457" s="29" t="str">
        <f t="shared" si="129"/>
        <v/>
      </c>
      <c r="T457" s="32" t="str">
        <f t="shared" si="130"/>
        <v/>
      </c>
      <c r="U457" s="32" t="str">
        <f t="shared" si="133"/>
        <v/>
      </c>
      <c r="V457" s="32">
        <f t="shared" si="134"/>
        <v>1</v>
      </c>
      <c r="W457" s="41">
        <f t="shared" si="131"/>
        <v>3.1005548795461424</v>
      </c>
      <c r="X457" s="6">
        <f t="shared" si="132"/>
        <v>0</v>
      </c>
      <c r="Y457" s="7">
        <f t="shared" si="135"/>
        <v>567</v>
      </c>
      <c r="AA457" s="7">
        <f t="shared" si="136"/>
        <v>0</v>
      </c>
      <c r="AB457" s="7" t="str">
        <f t="shared" si="137"/>
        <v/>
      </c>
      <c r="AC457" s="7">
        <f t="shared" si="138"/>
        <v>0</v>
      </c>
      <c r="AD457" s="7" t="str">
        <f t="shared" si="139"/>
        <v/>
      </c>
      <c r="AE457" s="6">
        <f t="shared" si="140"/>
        <v>0</v>
      </c>
      <c r="AF457" s="69">
        <f t="shared" si="141"/>
        <v>3.1005548795461424</v>
      </c>
      <c r="AG457" s="6">
        <f t="shared" si="142"/>
        <v>0</v>
      </c>
      <c r="AH457" s="6">
        <f t="shared" si="143"/>
        <v>604</v>
      </c>
    </row>
    <row r="458" spans="8:34" x14ac:dyDescent="0.25">
      <c r="H458" s="7">
        <v>465</v>
      </c>
      <c r="I458" s="7" t="s">
        <v>9</v>
      </c>
      <c r="J458" s="8">
        <v>38881</v>
      </c>
      <c r="K458" s="12" t="s">
        <v>16</v>
      </c>
      <c r="L458" s="9">
        <v>58</v>
      </c>
      <c r="M458" s="10">
        <v>176.26520049915879</v>
      </c>
      <c r="N458" s="7" t="s">
        <v>21</v>
      </c>
      <c r="P458" s="29" t="str">
        <f t="shared" si="126"/>
        <v/>
      </c>
      <c r="Q458" s="29" t="str">
        <f t="shared" si="127"/>
        <v/>
      </c>
      <c r="R458" s="29" t="str">
        <f t="shared" si="128"/>
        <v/>
      </c>
      <c r="S458" s="29" t="str">
        <f t="shared" si="129"/>
        <v/>
      </c>
      <c r="T458" s="32" t="str">
        <f t="shared" si="130"/>
        <v/>
      </c>
      <c r="U458" s="32" t="str">
        <f t="shared" si="133"/>
        <v/>
      </c>
      <c r="V458" s="32">
        <f t="shared" si="134"/>
        <v>1</v>
      </c>
      <c r="W458" s="41">
        <f t="shared" si="131"/>
        <v>3.0390551810199793</v>
      </c>
      <c r="X458" s="6">
        <f t="shared" si="132"/>
        <v>0</v>
      </c>
      <c r="Y458" s="7">
        <f t="shared" si="135"/>
        <v>567</v>
      </c>
      <c r="AA458" s="7">
        <f t="shared" si="136"/>
        <v>0</v>
      </c>
      <c r="AB458" s="7" t="str">
        <f t="shared" si="137"/>
        <v/>
      </c>
      <c r="AC458" s="7">
        <f t="shared" si="138"/>
        <v>0</v>
      </c>
      <c r="AD458" s="7" t="str">
        <f t="shared" si="139"/>
        <v/>
      </c>
      <c r="AE458" s="6">
        <f t="shared" si="140"/>
        <v>0</v>
      </c>
      <c r="AF458" s="69">
        <f t="shared" si="141"/>
        <v>3.0390551810199793</v>
      </c>
      <c r="AG458" s="6">
        <f t="shared" si="142"/>
        <v>0</v>
      </c>
      <c r="AH458" s="6">
        <f t="shared" si="143"/>
        <v>604</v>
      </c>
    </row>
    <row r="459" spans="8:34" x14ac:dyDescent="0.25">
      <c r="H459" s="7">
        <v>466</v>
      </c>
      <c r="I459" s="7" t="s">
        <v>10</v>
      </c>
      <c r="J459" s="8">
        <v>38760</v>
      </c>
      <c r="K459" s="12" t="s">
        <v>17</v>
      </c>
      <c r="L459" s="9">
        <v>2</v>
      </c>
      <c r="M459" s="10">
        <v>8.7479494068217463</v>
      </c>
      <c r="N459" s="7" t="s">
        <v>22</v>
      </c>
      <c r="P459" s="29" t="str">
        <f t="shared" si="126"/>
        <v/>
      </c>
      <c r="Q459" s="29" t="str">
        <f t="shared" si="127"/>
        <v/>
      </c>
      <c r="R459" s="29" t="str">
        <f t="shared" si="128"/>
        <v/>
      </c>
      <c r="S459" s="29" t="str">
        <f t="shared" si="129"/>
        <v/>
      </c>
      <c r="T459" s="32" t="str">
        <f t="shared" si="130"/>
        <v/>
      </c>
      <c r="U459" s="32" t="str">
        <f t="shared" si="133"/>
        <v/>
      </c>
      <c r="V459" s="32">
        <f t="shared" si="134"/>
        <v>1</v>
      </c>
      <c r="W459" s="41">
        <f t="shared" si="131"/>
        <v>4.3739747034108731</v>
      </c>
      <c r="X459" s="6">
        <f t="shared" si="132"/>
        <v>0</v>
      </c>
      <c r="Y459" s="7">
        <f t="shared" si="135"/>
        <v>567</v>
      </c>
      <c r="AA459" s="7">
        <f t="shared" si="136"/>
        <v>0</v>
      </c>
      <c r="AB459" s="7" t="str">
        <f t="shared" si="137"/>
        <v/>
      </c>
      <c r="AC459" s="7">
        <f t="shared" si="138"/>
        <v>0</v>
      </c>
      <c r="AD459" s="7" t="str">
        <f t="shared" si="139"/>
        <v/>
      </c>
      <c r="AE459" s="6">
        <f t="shared" si="140"/>
        <v>0</v>
      </c>
      <c r="AF459" s="69">
        <f t="shared" si="141"/>
        <v>4.3739747034108731</v>
      </c>
      <c r="AG459" s="6">
        <f t="shared" si="142"/>
        <v>0</v>
      </c>
      <c r="AH459" s="6">
        <f t="shared" si="143"/>
        <v>604</v>
      </c>
    </row>
    <row r="460" spans="8:34" x14ac:dyDescent="0.25">
      <c r="H460" s="7">
        <v>467</v>
      </c>
      <c r="I460" s="7" t="s">
        <v>11</v>
      </c>
      <c r="J460" s="8">
        <v>38936</v>
      </c>
      <c r="K460" s="12" t="s">
        <v>17</v>
      </c>
      <c r="L460" s="9">
        <v>36</v>
      </c>
      <c r="M460" s="10">
        <v>109.67661001591094</v>
      </c>
      <c r="N460" s="7" t="s">
        <v>22</v>
      </c>
      <c r="P460" s="29" t="str">
        <f t="shared" si="126"/>
        <v/>
      </c>
      <c r="Q460" s="29" t="str">
        <f t="shared" si="127"/>
        <v/>
      </c>
      <c r="R460" s="29" t="str">
        <f t="shared" si="128"/>
        <v/>
      </c>
      <c r="S460" s="29" t="str">
        <f t="shared" si="129"/>
        <v/>
      </c>
      <c r="T460" s="32" t="str">
        <f t="shared" si="130"/>
        <v/>
      </c>
      <c r="U460" s="32" t="str">
        <f t="shared" si="133"/>
        <v/>
      </c>
      <c r="V460" s="32">
        <f t="shared" si="134"/>
        <v>1</v>
      </c>
      <c r="W460" s="41">
        <f t="shared" si="131"/>
        <v>3.0465725004419704</v>
      </c>
      <c r="X460" s="6">
        <f t="shared" si="132"/>
        <v>0</v>
      </c>
      <c r="Y460" s="7">
        <f t="shared" si="135"/>
        <v>567</v>
      </c>
      <c r="AA460" s="7">
        <f t="shared" si="136"/>
        <v>0</v>
      </c>
      <c r="AB460" s="7" t="str">
        <f t="shared" si="137"/>
        <v/>
      </c>
      <c r="AC460" s="7">
        <f t="shared" si="138"/>
        <v>0</v>
      </c>
      <c r="AD460" s="7" t="str">
        <f t="shared" si="139"/>
        <v/>
      </c>
      <c r="AE460" s="6">
        <f t="shared" si="140"/>
        <v>0</v>
      </c>
      <c r="AF460" s="69">
        <f t="shared" si="141"/>
        <v>3.0465725004419704</v>
      </c>
      <c r="AG460" s="6">
        <f t="shared" si="142"/>
        <v>0</v>
      </c>
      <c r="AH460" s="6">
        <f t="shared" si="143"/>
        <v>604</v>
      </c>
    </row>
    <row r="461" spans="8:34" x14ac:dyDescent="0.25">
      <c r="H461" s="7">
        <v>468</v>
      </c>
      <c r="I461" s="7" t="s">
        <v>15</v>
      </c>
      <c r="J461" s="8">
        <v>38529</v>
      </c>
      <c r="K461" s="12" t="s">
        <v>20</v>
      </c>
      <c r="L461" s="9">
        <v>22</v>
      </c>
      <c r="M461" s="10">
        <v>68.355074793823817</v>
      </c>
      <c r="N461" s="7" t="s">
        <v>24</v>
      </c>
      <c r="P461" s="29" t="str">
        <f t="shared" si="126"/>
        <v/>
      </c>
      <c r="Q461" s="29" t="str">
        <f t="shared" si="127"/>
        <v/>
      </c>
      <c r="R461" s="29" t="str">
        <f t="shared" si="128"/>
        <v/>
      </c>
      <c r="S461" s="29" t="str">
        <f t="shared" si="129"/>
        <v/>
      </c>
      <c r="T461" s="32" t="str">
        <f t="shared" si="130"/>
        <v/>
      </c>
      <c r="U461" s="32">
        <f t="shared" si="133"/>
        <v>1</v>
      </c>
      <c r="V461" s="32" t="str">
        <f t="shared" si="134"/>
        <v/>
      </c>
      <c r="W461" s="41">
        <f t="shared" si="131"/>
        <v>3.1070488542647188</v>
      </c>
      <c r="X461" s="6">
        <f t="shared" si="132"/>
        <v>68.355074793823817</v>
      </c>
      <c r="Y461" s="7">
        <f t="shared" si="135"/>
        <v>430</v>
      </c>
      <c r="AA461" s="7">
        <f t="shared" si="136"/>
        <v>0</v>
      </c>
      <c r="AB461" s="7" t="str">
        <f t="shared" si="137"/>
        <v/>
      </c>
      <c r="AC461" s="7">
        <f t="shared" si="138"/>
        <v>1</v>
      </c>
      <c r="AD461" s="7">
        <f t="shared" si="139"/>
        <v>22</v>
      </c>
      <c r="AE461" s="6">
        <f t="shared" si="140"/>
        <v>0</v>
      </c>
      <c r="AF461" s="69">
        <f t="shared" si="141"/>
        <v>3.1070488542647188</v>
      </c>
      <c r="AG461" s="6">
        <f t="shared" si="142"/>
        <v>0</v>
      </c>
      <c r="AH461" s="6">
        <f t="shared" si="143"/>
        <v>604</v>
      </c>
    </row>
    <row r="462" spans="8:34" x14ac:dyDescent="0.25">
      <c r="H462" s="7">
        <v>469</v>
      </c>
      <c r="I462" s="7" t="s">
        <v>15</v>
      </c>
      <c r="J462" s="8">
        <v>38573</v>
      </c>
      <c r="K462" s="12" t="s">
        <v>17</v>
      </c>
      <c r="L462" s="9">
        <v>92</v>
      </c>
      <c r="M462" s="10">
        <v>277.66680522408262</v>
      </c>
      <c r="N462" s="7" t="s">
        <v>22</v>
      </c>
      <c r="P462" s="29" t="str">
        <f t="shared" si="126"/>
        <v/>
      </c>
      <c r="Q462" s="29" t="str">
        <f t="shared" si="127"/>
        <v/>
      </c>
      <c r="R462" s="29" t="str">
        <f t="shared" si="128"/>
        <v/>
      </c>
      <c r="S462" s="29" t="str">
        <f t="shared" si="129"/>
        <v/>
      </c>
      <c r="T462" s="32" t="str">
        <f t="shared" si="130"/>
        <v/>
      </c>
      <c r="U462" s="32">
        <f t="shared" si="133"/>
        <v>1</v>
      </c>
      <c r="V462" s="32" t="str">
        <f t="shared" si="134"/>
        <v/>
      </c>
      <c r="W462" s="41">
        <f t="shared" si="131"/>
        <v>3.0181174480878545</v>
      </c>
      <c r="X462" s="6">
        <f t="shared" si="132"/>
        <v>277.66680522408262</v>
      </c>
      <c r="Y462" s="7">
        <f t="shared" si="135"/>
        <v>32</v>
      </c>
      <c r="AA462" s="7">
        <f t="shared" si="136"/>
        <v>1</v>
      </c>
      <c r="AB462" s="7">
        <f t="shared" si="137"/>
        <v>92</v>
      </c>
      <c r="AC462" s="7">
        <f t="shared" si="138"/>
        <v>0</v>
      </c>
      <c r="AD462" s="7" t="str">
        <f t="shared" si="139"/>
        <v/>
      </c>
      <c r="AE462" s="6">
        <f t="shared" si="140"/>
        <v>0</v>
      </c>
      <c r="AF462" s="69">
        <f t="shared" si="141"/>
        <v>3.0181174480878545</v>
      </c>
      <c r="AG462" s="6">
        <f t="shared" si="142"/>
        <v>0</v>
      </c>
      <c r="AH462" s="6">
        <f t="shared" si="143"/>
        <v>604</v>
      </c>
    </row>
    <row r="463" spans="8:34" x14ac:dyDescent="0.25">
      <c r="H463" s="7">
        <v>470</v>
      </c>
      <c r="I463" s="7" t="s">
        <v>7</v>
      </c>
      <c r="J463" s="8">
        <v>38265</v>
      </c>
      <c r="K463" s="12" t="s">
        <v>18</v>
      </c>
      <c r="L463" s="9">
        <v>29</v>
      </c>
      <c r="M463" s="10">
        <v>88.713589465763263</v>
      </c>
      <c r="N463" s="7" t="s">
        <v>24</v>
      </c>
      <c r="P463" s="29" t="str">
        <f t="shared" si="126"/>
        <v/>
      </c>
      <c r="Q463" s="29" t="str">
        <f t="shared" si="127"/>
        <v/>
      </c>
      <c r="R463" s="29" t="str">
        <f t="shared" si="128"/>
        <v/>
      </c>
      <c r="S463" s="29">
        <f t="shared" si="129"/>
        <v>1</v>
      </c>
      <c r="T463" s="32" t="str">
        <f t="shared" si="130"/>
        <v/>
      </c>
      <c r="U463" s="32" t="str">
        <f t="shared" si="133"/>
        <v/>
      </c>
      <c r="V463" s="32" t="str">
        <f t="shared" si="134"/>
        <v/>
      </c>
      <c r="W463" s="41">
        <f t="shared" si="131"/>
        <v>3.0590892919228709</v>
      </c>
      <c r="X463" s="6">
        <f t="shared" si="132"/>
        <v>0</v>
      </c>
      <c r="Y463" s="7">
        <f t="shared" si="135"/>
        <v>567</v>
      </c>
      <c r="AA463" s="7">
        <f t="shared" si="136"/>
        <v>0</v>
      </c>
      <c r="AB463" s="7" t="str">
        <f t="shared" si="137"/>
        <v/>
      </c>
      <c r="AC463" s="7">
        <f t="shared" si="138"/>
        <v>0</v>
      </c>
      <c r="AD463" s="7" t="str">
        <f t="shared" si="139"/>
        <v/>
      </c>
      <c r="AE463" s="6">
        <f t="shared" si="140"/>
        <v>0</v>
      </c>
      <c r="AF463" s="69">
        <f t="shared" si="141"/>
        <v>3.0590892919228709</v>
      </c>
      <c r="AG463" s="6">
        <f t="shared" si="142"/>
        <v>88.713589465763263</v>
      </c>
      <c r="AH463" s="6">
        <f t="shared" si="143"/>
        <v>406</v>
      </c>
    </row>
    <row r="464" spans="8:34" x14ac:dyDescent="0.25">
      <c r="H464" s="7">
        <v>471</v>
      </c>
      <c r="I464" s="7" t="s">
        <v>9</v>
      </c>
      <c r="J464" s="8">
        <v>39002</v>
      </c>
      <c r="K464" s="12" t="s">
        <v>17</v>
      </c>
      <c r="L464" s="9">
        <v>42</v>
      </c>
      <c r="M464" s="10">
        <v>128.17075092766001</v>
      </c>
      <c r="N464" s="7" t="s">
        <v>21</v>
      </c>
      <c r="P464" s="29" t="str">
        <f t="shared" si="126"/>
        <v/>
      </c>
      <c r="Q464" s="29" t="str">
        <f t="shared" si="127"/>
        <v/>
      </c>
      <c r="R464" s="29" t="str">
        <f t="shared" si="128"/>
        <v/>
      </c>
      <c r="S464" s="29" t="str">
        <f t="shared" si="129"/>
        <v/>
      </c>
      <c r="T464" s="32" t="str">
        <f t="shared" si="130"/>
        <v/>
      </c>
      <c r="U464" s="32" t="str">
        <f t="shared" si="133"/>
        <v/>
      </c>
      <c r="V464" s="32">
        <f t="shared" si="134"/>
        <v>1</v>
      </c>
      <c r="W464" s="41">
        <f t="shared" si="131"/>
        <v>3.0516845458966668</v>
      </c>
      <c r="X464" s="6">
        <f t="shared" si="132"/>
        <v>0</v>
      </c>
      <c r="Y464" s="7">
        <f t="shared" si="135"/>
        <v>567</v>
      </c>
      <c r="AA464" s="7">
        <f t="shared" si="136"/>
        <v>0</v>
      </c>
      <c r="AB464" s="7" t="str">
        <f t="shared" si="137"/>
        <v/>
      </c>
      <c r="AC464" s="7">
        <f t="shared" si="138"/>
        <v>0</v>
      </c>
      <c r="AD464" s="7" t="str">
        <f t="shared" si="139"/>
        <v/>
      </c>
      <c r="AE464" s="6">
        <f t="shared" si="140"/>
        <v>0</v>
      </c>
      <c r="AF464" s="69">
        <f t="shared" si="141"/>
        <v>3.0516845458966668</v>
      </c>
      <c r="AG464" s="6">
        <f t="shared" si="142"/>
        <v>0</v>
      </c>
      <c r="AH464" s="6">
        <f t="shared" si="143"/>
        <v>604</v>
      </c>
    </row>
    <row r="465" spans="8:34" x14ac:dyDescent="0.25">
      <c r="H465" s="7">
        <v>472</v>
      </c>
      <c r="I465" s="7" t="s">
        <v>12</v>
      </c>
      <c r="J465" s="8">
        <v>38100</v>
      </c>
      <c r="K465" s="12" t="s">
        <v>17</v>
      </c>
      <c r="L465" s="9">
        <v>25</v>
      </c>
      <c r="M465" s="10">
        <v>77.315706522508677</v>
      </c>
      <c r="N465" s="7" t="s">
        <v>21</v>
      </c>
      <c r="P465" s="29" t="str">
        <f t="shared" si="126"/>
        <v/>
      </c>
      <c r="Q465" s="29">
        <f t="shared" si="127"/>
        <v>1</v>
      </c>
      <c r="R465" s="29" t="str">
        <f t="shared" si="128"/>
        <v/>
      </c>
      <c r="S465" s="29" t="str">
        <f t="shared" si="129"/>
        <v/>
      </c>
      <c r="T465" s="32" t="str">
        <f t="shared" si="130"/>
        <v/>
      </c>
      <c r="U465" s="32" t="str">
        <f t="shared" si="133"/>
        <v/>
      </c>
      <c r="V465" s="32" t="str">
        <f t="shared" si="134"/>
        <v/>
      </c>
      <c r="W465" s="41">
        <f t="shared" si="131"/>
        <v>3.092628260900347</v>
      </c>
      <c r="X465" s="6">
        <f t="shared" si="132"/>
        <v>0</v>
      </c>
      <c r="Y465" s="7">
        <f t="shared" si="135"/>
        <v>567</v>
      </c>
      <c r="AA465" s="7">
        <f t="shared" si="136"/>
        <v>0</v>
      </c>
      <c r="AB465" s="7" t="str">
        <f t="shared" si="137"/>
        <v/>
      </c>
      <c r="AC465" s="7">
        <f t="shared" si="138"/>
        <v>0</v>
      </c>
      <c r="AD465" s="7" t="str">
        <f t="shared" si="139"/>
        <v/>
      </c>
      <c r="AE465" s="6">
        <f t="shared" si="140"/>
        <v>0</v>
      </c>
      <c r="AF465" s="69">
        <f t="shared" si="141"/>
        <v>3.092628260900347</v>
      </c>
      <c r="AG465" s="6">
        <f t="shared" si="142"/>
        <v>77.315706522508677</v>
      </c>
      <c r="AH465" s="6">
        <f t="shared" si="143"/>
        <v>427</v>
      </c>
    </row>
    <row r="466" spans="8:34" x14ac:dyDescent="0.25">
      <c r="H466" s="7">
        <v>473</v>
      </c>
      <c r="I466" s="7" t="s">
        <v>11</v>
      </c>
      <c r="J466" s="8">
        <v>38430</v>
      </c>
      <c r="K466" s="12" t="s">
        <v>18</v>
      </c>
      <c r="L466" s="9">
        <v>40</v>
      </c>
      <c r="M466" s="10">
        <v>122.53928167294391</v>
      </c>
      <c r="N466" s="7" t="s">
        <v>22</v>
      </c>
      <c r="P466" s="29" t="str">
        <f t="shared" si="126"/>
        <v/>
      </c>
      <c r="Q466" s="29" t="str">
        <f t="shared" si="127"/>
        <v/>
      </c>
      <c r="R466" s="29" t="str">
        <f t="shared" si="128"/>
        <v/>
      </c>
      <c r="S466" s="29" t="str">
        <f t="shared" si="129"/>
        <v/>
      </c>
      <c r="T466" s="32" t="str">
        <f t="shared" si="130"/>
        <v/>
      </c>
      <c r="U466" s="32">
        <f t="shared" si="133"/>
        <v>1</v>
      </c>
      <c r="V466" s="32" t="str">
        <f t="shared" si="134"/>
        <v/>
      </c>
      <c r="W466" s="41">
        <f t="shared" si="131"/>
        <v>3.063482041823598</v>
      </c>
      <c r="X466" s="6">
        <f t="shared" si="132"/>
        <v>122.53928167294391</v>
      </c>
      <c r="Y466" s="7">
        <f t="shared" si="135"/>
        <v>314</v>
      </c>
      <c r="AA466" s="7">
        <f t="shared" si="136"/>
        <v>1</v>
      </c>
      <c r="AB466" s="7">
        <f t="shared" si="137"/>
        <v>40</v>
      </c>
      <c r="AC466" s="7">
        <f t="shared" si="138"/>
        <v>0</v>
      </c>
      <c r="AD466" s="7" t="str">
        <f t="shared" si="139"/>
        <v/>
      </c>
      <c r="AE466" s="6">
        <f t="shared" si="140"/>
        <v>0</v>
      </c>
      <c r="AF466" s="69">
        <f t="shared" si="141"/>
        <v>3.063482041823598</v>
      </c>
      <c r="AG466" s="6">
        <f t="shared" si="142"/>
        <v>0</v>
      </c>
      <c r="AH466" s="6">
        <f t="shared" si="143"/>
        <v>604</v>
      </c>
    </row>
    <row r="467" spans="8:34" x14ac:dyDescent="0.25">
      <c r="H467" s="7">
        <v>474</v>
      </c>
      <c r="I467" s="7" t="s">
        <v>15</v>
      </c>
      <c r="J467" s="8">
        <v>38111</v>
      </c>
      <c r="K467" s="12" t="s">
        <v>17</v>
      </c>
      <c r="L467" s="9">
        <v>3</v>
      </c>
      <c r="M467" s="10">
        <v>10.570883063872969</v>
      </c>
      <c r="N467" s="7" t="s">
        <v>21</v>
      </c>
      <c r="P467" s="29" t="str">
        <f t="shared" si="126"/>
        <v/>
      </c>
      <c r="Q467" s="29">
        <f t="shared" si="127"/>
        <v>1</v>
      </c>
      <c r="R467" s="29" t="str">
        <f t="shared" si="128"/>
        <v/>
      </c>
      <c r="S467" s="29" t="str">
        <f t="shared" si="129"/>
        <v/>
      </c>
      <c r="T467" s="32" t="str">
        <f t="shared" si="130"/>
        <v/>
      </c>
      <c r="U467" s="32" t="str">
        <f t="shared" si="133"/>
        <v/>
      </c>
      <c r="V467" s="32" t="str">
        <f t="shared" si="134"/>
        <v/>
      </c>
      <c r="W467" s="41">
        <f t="shared" si="131"/>
        <v>3.5236276879576565</v>
      </c>
      <c r="X467" s="6">
        <f t="shared" si="132"/>
        <v>0</v>
      </c>
      <c r="Y467" s="7">
        <f t="shared" si="135"/>
        <v>567</v>
      </c>
      <c r="AA467" s="7">
        <f t="shared" si="136"/>
        <v>0</v>
      </c>
      <c r="AB467" s="7" t="str">
        <f t="shared" si="137"/>
        <v/>
      </c>
      <c r="AC467" s="7">
        <f t="shared" si="138"/>
        <v>0</v>
      </c>
      <c r="AD467" s="7" t="str">
        <f t="shared" si="139"/>
        <v/>
      </c>
      <c r="AE467" s="6">
        <f t="shared" si="140"/>
        <v>0</v>
      </c>
      <c r="AF467" s="69">
        <f t="shared" si="141"/>
        <v>3.5236276879576565</v>
      </c>
      <c r="AG467" s="6">
        <f t="shared" si="142"/>
        <v>10.570883063872969</v>
      </c>
      <c r="AH467" s="6">
        <f t="shared" si="143"/>
        <v>585</v>
      </c>
    </row>
    <row r="468" spans="8:34" x14ac:dyDescent="0.25">
      <c r="H468" s="7">
        <v>475</v>
      </c>
      <c r="I468" s="7" t="s">
        <v>7</v>
      </c>
      <c r="J468" s="8">
        <v>38551</v>
      </c>
      <c r="K468" s="12" t="s">
        <v>18</v>
      </c>
      <c r="L468" s="9">
        <v>-1</v>
      </c>
      <c r="M468" s="10">
        <v>-0.82178994105370951</v>
      </c>
      <c r="N468" s="7" t="s">
        <v>21</v>
      </c>
      <c r="P468" s="29" t="str">
        <f t="shared" si="126"/>
        <v/>
      </c>
      <c r="Q468" s="29" t="str">
        <f t="shared" si="127"/>
        <v/>
      </c>
      <c r="R468" s="29" t="str">
        <f t="shared" si="128"/>
        <v/>
      </c>
      <c r="S468" s="29" t="str">
        <f t="shared" si="129"/>
        <v/>
      </c>
      <c r="T468" s="32" t="str">
        <f t="shared" si="130"/>
        <v/>
      </c>
      <c r="U468" s="32">
        <f t="shared" si="133"/>
        <v>1</v>
      </c>
      <c r="V468" s="32" t="str">
        <f t="shared" si="134"/>
        <v/>
      </c>
      <c r="W468" s="41" t="str">
        <f t="shared" si="131"/>
        <v/>
      </c>
      <c r="X468" s="6">
        <f t="shared" si="132"/>
        <v>-0.82178994105370951</v>
      </c>
      <c r="Y468" s="7">
        <f t="shared" si="135"/>
        <v>1842</v>
      </c>
      <c r="AA468" s="7">
        <f t="shared" si="136"/>
        <v>1</v>
      </c>
      <c r="AB468" s="7">
        <f t="shared" si="137"/>
        <v>-1</v>
      </c>
      <c r="AC468" s="7">
        <f t="shared" si="138"/>
        <v>0</v>
      </c>
      <c r="AD468" s="7" t="str">
        <f t="shared" si="139"/>
        <v/>
      </c>
      <c r="AE468" s="6">
        <f t="shared" si="140"/>
        <v>-1</v>
      </c>
      <c r="AF468" s="69" t="str">
        <f t="shared" si="141"/>
        <v/>
      </c>
      <c r="AG468" s="6">
        <f t="shared" si="142"/>
        <v>0</v>
      </c>
      <c r="AH468" s="6">
        <f t="shared" si="143"/>
        <v>604</v>
      </c>
    </row>
    <row r="469" spans="8:34" x14ac:dyDescent="0.25">
      <c r="H469" s="7">
        <v>476</v>
      </c>
      <c r="I469" s="7" t="s">
        <v>9</v>
      </c>
      <c r="J469" s="8">
        <v>38969</v>
      </c>
      <c r="K469" s="12" t="s">
        <v>18</v>
      </c>
      <c r="L469" s="9">
        <v>12</v>
      </c>
      <c r="M469" s="10">
        <v>37.686101056343105</v>
      </c>
      <c r="N469" s="7" t="s">
        <v>24</v>
      </c>
      <c r="P469" s="29" t="str">
        <f t="shared" si="126"/>
        <v/>
      </c>
      <c r="Q469" s="29" t="str">
        <f t="shared" si="127"/>
        <v/>
      </c>
      <c r="R469" s="29" t="str">
        <f t="shared" si="128"/>
        <v/>
      </c>
      <c r="S469" s="29" t="str">
        <f t="shared" si="129"/>
        <v/>
      </c>
      <c r="T469" s="32" t="str">
        <f t="shared" si="130"/>
        <v/>
      </c>
      <c r="U469" s="32" t="str">
        <f t="shared" si="133"/>
        <v/>
      </c>
      <c r="V469" s="32">
        <f t="shared" si="134"/>
        <v>1</v>
      </c>
      <c r="W469" s="41">
        <f t="shared" si="131"/>
        <v>3.1405084213619254</v>
      </c>
      <c r="X469" s="6">
        <f t="shared" si="132"/>
        <v>0</v>
      </c>
      <c r="Y469" s="7">
        <f t="shared" si="135"/>
        <v>567</v>
      </c>
      <c r="AA469" s="7">
        <f t="shared" si="136"/>
        <v>0</v>
      </c>
      <c r="AB469" s="7" t="str">
        <f t="shared" si="137"/>
        <v/>
      </c>
      <c r="AC469" s="7">
        <f t="shared" si="138"/>
        <v>0</v>
      </c>
      <c r="AD469" s="7" t="str">
        <f t="shared" si="139"/>
        <v/>
      </c>
      <c r="AE469" s="6">
        <f t="shared" si="140"/>
        <v>0</v>
      </c>
      <c r="AF469" s="69">
        <f t="shared" si="141"/>
        <v>3.1405084213619254</v>
      </c>
      <c r="AG469" s="6">
        <f t="shared" si="142"/>
        <v>0</v>
      </c>
      <c r="AH469" s="6">
        <f t="shared" si="143"/>
        <v>604</v>
      </c>
    </row>
    <row r="470" spans="8:34" x14ac:dyDescent="0.25">
      <c r="H470" s="7">
        <v>477</v>
      </c>
      <c r="I470" s="7" t="s">
        <v>15</v>
      </c>
      <c r="J470" s="8">
        <v>38155</v>
      </c>
      <c r="K470" s="12" t="s">
        <v>16</v>
      </c>
      <c r="L470" s="9">
        <v>0</v>
      </c>
      <c r="M470" s="10">
        <v>2.0013600167772623</v>
      </c>
      <c r="N470" s="7" t="s">
        <v>21</v>
      </c>
      <c r="P470" s="29" t="str">
        <f t="shared" si="126"/>
        <v/>
      </c>
      <c r="Q470" s="29">
        <f t="shared" si="127"/>
        <v>1</v>
      </c>
      <c r="R470" s="29" t="str">
        <f t="shared" si="128"/>
        <v/>
      </c>
      <c r="S470" s="29" t="str">
        <f t="shared" si="129"/>
        <v/>
      </c>
      <c r="T470" s="32" t="str">
        <f t="shared" si="130"/>
        <v/>
      </c>
      <c r="U470" s="32" t="str">
        <f t="shared" si="133"/>
        <v/>
      </c>
      <c r="V470" s="32" t="str">
        <f t="shared" si="134"/>
        <v/>
      </c>
      <c r="W470" s="41" t="str">
        <f t="shared" si="131"/>
        <v/>
      </c>
      <c r="X470" s="6">
        <f t="shared" si="132"/>
        <v>0</v>
      </c>
      <c r="Y470" s="7">
        <f t="shared" si="135"/>
        <v>567</v>
      </c>
      <c r="AA470" s="7">
        <f t="shared" si="136"/>
        <v>0</v>
      </c>
      <c r="AB470" s="7" t="str">
        <f t="shared" si="137"/>
        <v/>
      </c>
      <c r="AC470" s="7">
        <f t="shared" si="138"/>
        <v>0</v>
      </c>
      <c r="AD470" s="7" t="str">
        <f t="shared" si="139"/>
        <v/>
      </c>
      <c r="AE470" s="6">
        <f t="shared" si="140"/>
        <v>0</v>
      </c>
      <c r="AF470" s="69" t="str">
        <f t="shared" si="141"/>
        <v/>
      </c>
      <c r="AG470" s="6">
        <f t="shared" si="142"/>
        <v>2.0013600167772623</v>
      </c>
      <c r="AH470" s="6">
        <f t="shared" si="143"/>
        <v>599</v>
      </c>
    </row>
    <row r="471" spans="8:34" x14ac:dyDescent="0.25">
      <c r="H471" s="7">
        <v>478</v>
      </c>
      <c r="I471" s="7" t="s">
        <v>8</v>
      </c>
      <c r="J471" s="8">
        <v>38760</v>
      </c>
      <c r="K471" s="12" t="s">
        <v>17</v>
      </c>
      <c r="L471" s="9">
        <v>35</v>
      </c>
      <c r="M471" s="10">
        <v>106.26347084870943</v>
      </c>
      <c r="N471" s="7" t="s">
        <v>21</v>
      </c>
      <c r="P471" s="29" t="str">
        <f t="shared" si="126"/>
        <v/>
      </c>
      <c r="Q471" s="29" t="str">
        <f t="shared" si="127"/>
        <v/>
      </c>
      <c r="R471" s="29" t="str">
        <f t="shared" si="128"/>
        <v/>
      </c>
      <c r="S471" s="29" t="str">
        <f t="shared" si="129"/>
        <v/>
      </c>
      <c r="T471" s="32" t="str">
        <f t="shared" si="130"/>
        <v/>
      </c>
      <c r="U471" s="32" t="str">
        <f t="shared" si="133"/>
        <v/>
      </c>
      <c r="V471" s="32">
        <f t="shared" si="134"/>
        <v>1</v>
      </c>
      <c r="W471" s="41">
        <f t="shared" si="131"/>
        <v>3.0360991671059838</v>
      </c>
      <c r="X471" s="6">
        <f t="shared" si="132"/>
        <v>0</v>
      </c>
      <c r="Y471" s="7">
        <f t="shared" si="135"/>
        <v>567</v>
      </c>
      <c r="AA471" s="7">
        <f t="shared" si="136"/>
        <v>0</v>
      </c>
      <c r="AB471" s="7" t="str">
        <f t="shared" si="137"/>
        <v/>
      </c>
      <c r="AC471" s="7">
        <f t="shared" si="138"/>
        <v>0</v>
      </c>
      <c r="AD471" s="7" t="str">
        <f t="shared" si="139"/>
        <v/>
      </c>
      <c r="AE471" s="6">
        <f t="shared" si="140"/>
        <v>0</v>
      </c>
      <c r="AF471" s="69">
        <f t="shared" si="141"/>
        <v>3.0360991671059838</v>
      </c>
      <c r="AG471" s="6">
        <f t="shared" si="142"/>
        <v>0</v>
      </c>
      <c r="AH471" s="6">
        <f t="shared" si="143"/>
        <v>604</v>
      </c>
    </row>
    <row r="472" spans="8:34" x14ac:dyDescent="0.25">
      <c r="H472" s="7">
        <v>479</v>
      </c>
      <c r="I472" s="7" t="s">
        <v>13</v>
      </c>
      <c r="J472" s="8">
        <v>38496</v>
      </c>
      <c r="K472" s="12" t="s">
        <v>18</v>
      </c>
      <c r="L472" s="9">
        <v>2</v>
      </c>
      <c r="M472" s="10">
        <v>7.6817477771075868</v>
      </c>
      <c r="N472" s="7" t="s">
        <v>24</v>
      </c>
      <c r="P472" s="29" t="str">
        <f t="shared" si="126"/>
        <v/>
      </c>
      <c r="Q472" s="29" t="str">
        <f t="shared" si="127"/>
        <v/>
      </c>
      <c r="R472" s="29" t="str">
        <f t="shared" si="128"/>
        <v/>
      </c>
      <c r="S472" s="29" t="str">
        <f t="shared" si="129"/>
        <v/>
      </c>
      <c r="T472" s="32" t="str">
        <f t="shared" si="130"/>
        <v/>
      </c>
      <c r="U472" s="32">
        <f t="shared" si="133"/>
        <v>1</v>
      </c>
      <c r="V472" s="32" t="str">
        <f t="shared" si="134"/>
        <v/>
      </c>
      <c r="W472" s="41">
        <f t="shared" si="131"/>
        <v>3.8408738885537934</v>
      </c>
      <c r="X472" s="6">
        <f t="shared" si="132"/>
        <v>7.6817477771075868</v>
      </c>
      <c r="Y472" s="7">
        <f t="shared" si="135"/>
        <v>551</v>
      </c>
      <c r="AA472" s="7">
        <f t="shared" si="136"/>
        <v>0</v>
      </c>
      <c r="AB472" s="7" t="str">
        <f t="shared" si="137"/>
        <v/>
      </c>
      <c r="AC472" s="7">
        <f t="shared" si="138"/>
        <v>1</v>
      </c>
      <c r="AD472" s="7">
        <f t="shared" si="139"/>
        <v>2</v>
      </c>
      <c r="AE472" s="6">
        <f t="shared" si="140"/>
        <v>0</v>
      </c>
      <c r="AF472" s="69">
        <f t="shared" si="141"/>
        <v>3.8408738885537934</v>
      </c>
      <c r="AG472" s="6">
        <f t="shared" si="142"/>
        <v>0</v>
      </c>
      <c r="AH472" s="6">
        <f t="shared" si="143"/>
        <v>604</v>
      </c>
    </row>
    <row r="473" spans="8:34" x14ac:dyDescent="0.25">
      <c r="H473" s="7">
        <v>480</v>
      </c>
      <c r="I473" s="7" t="s">
        <v>10</v>
      </c>
      <c r="J473" s="8">
        <v>38859</v>
      </c>
      <c r="K473" s="12" t="s">
        <v>19</v>
      </c>
      <c r="L473" s="9">
        <v>10</v>
      </c>
      <c r="M473" s="10">
        <v>31.785155418327982</v>
      </c>
      <c r="N473" s="7" t="s">
        <v>24</v>
      </c>
      <c r="P473" s="29" t="str">
        <f t="shared" si="126"/>
        <v/>
      </c>
      <c r="Q473" s="29" t="str">
        <f t="shared" si="127"/>
        <v/>
      </c>
      <c r="R473" s="29" t="str">
        <f t="shared" si="128"/>
        <v/>
      </c>
      <c r="S473" s="29" t="str">
        <f t="shared" si="129"/>
        <v/>
      </c>
      <c r="T473" s="32" t="str">
        <f t="shared" si="130"/>
        <v/>
      </c>
      <c r="U473" s="32" t="str">
        <f t="shared" si="133"/>
        <v/>
      </c>
      <c r="V473" s="32">
        <f t="shared" si="134"/>
        <v>1</v>
      </c>
      <c r="W473" s="41">
        <f t="shared" si="131"/>
        <v>3.1785155418327982</v>
      </c>
      <c r="X473" s="6">
        <f t="shared" si="132"/>
        <v>0</v>
      </c>
      <c r="Y473" s="7">
        <f t="shared" si="135"/>
        <v>567</v>
      </c>
      <c r="AA473" s="7">
        <f t="shared" si="136"/>
        <v>0</v>
      </c>
      <c r="AB473" s="7" t="str">
        <f t="shared" si="137"/>
        <v/>
      </c>
      <c r="AC473" s="7">
        <f t="shared" si="138"/>
        <v>0</v>
      </c>
      <c r="AD473" s="7" t="str">
        <f t="shared" si="139"/>
        <v/>
      </c>
      <c r="AE473" s="6">
        <f t="shared" si="140"/>
        <v>0</v>
      </c>
      <c r="AF473" s="69">
        <f t="shared" si="141"/>
        <v>3.1785155418327982</v>
      </c>
      <c r="AG473" s="6">
        <f t="shared" si="142"/>
        <v>0</v>
      </c>
      <c r="AH473" s="6">
        <f t="shared" si="143"/>
        <v>604</v>
      </c>
    </row>
    <row r="474" spans="8:34" x14ac:dyDescent="0.25">
      <c r="H474" s="7">
        <v>481</v>
      </c>
      <c r="I474" s="7" t="s">
        <v>14</v>
      </c>
      <c r="J474" s="8">
        <v>38639</v>
      </c>
      <c r="K474" s="12" t="s">
        <v>16</v>
      </c>
      <c r="L474" s="9">
        <v>6</v>
      </c>
      <c r="M474" s="10">
        <v>19.733545359470948</v>
      </c>
      <c r="N474" s="7" t="s">
        <v>22</v>
      </c>
      <c r="P474" s="29" t="str">
        <f t="shared" si="126"/>
        <v/>
      </c>
      <c r="Q474" s="29" t="str">
        <f t="shared" si="127"/>
        <v/>
      </c>
      <c r="R474" s="29" t="str">
        <f t="shared" si="128"/>
        <v/>
      </c>
      <c r="S474" s="29" t="str">
        <f t="shared" si="129"/>
        <v/>
      </c>
      <c r="T474" s="32">
        <f t="shared" si="130"/>
        <v>1</v>
      </c>
      <c r="U474" s="32">
        <f t="shared" si="133"/>
        <v>1</v>
      </c>
      <c r="V474" s="32" t="str">
        <f t="shared" si="134"/>
        <v/>
      </c>
      <c r="W474" s="41">
        <f t="shared" si="131"/>
        <v>3.2889242265784913</v>
      </c>
      <c r="X474" s="6">
        <f t="shared" si="132"/>
        <v>19.733545359470948</v>
      </c>
      <c r="Y474" s="7">
        <f t="shared" si="135"/>
        <v>525</v>
      </c>
      <c r="AA474" s="7">
        <f t="shared" si="136"/>
        <v>0</v>
      </c>
      <c r="AB474" s="7" t="str">
        <f t="shared" si="137"/>
        <v/>
      </c>
      <c r="AC474" s="7">
        <f t="shared" si="138"/>
        <v>1</v>
      </c>
      <c r="AD474" s="7">
        <f t="shared" si="139"/>
        <v>6</v>
      </c>
      <c r="AE474" s="6">
        <f t="shared" si="140"/>
        <v>0</v>
      </c>
      <c r="AF474" s="69">
        <f t="shared" si="141"/>
        <v>3.2889242265784913</v>
      </c>
      <c r="AG474" s="6">
        <f t="shared" si="142"/>
        <v>0</v>
      </c>
      <c r="AH474" s="6">
        <f t="shared" si="143"/>
        <v>604</v>
      </c>
    </row>
    <row r="475" spans="8:34" x14ac:dyDescent="0.25">
      <c r="H475" s="7">
        <v>482</v>
      </c>
      <c r="I475" s="7" t="s">
        <v>14</v>
      </c>
      <c r="J475" s="8">
        <v>38056</v>
      </c>
      <c r="K475" s="12" t="s">
        <v>17</v>
      </c>
      <c r="L475" s="9">
        <v>4</v>
      </c>
      <c r="M475" s="10">
        <v>14.10456917940213</v>
      </c>
      <c r="N475" s="7" t="s">
        <v>23</v>
      </c>
      <c r="P475" s="29">
        <f t="shared" si="126"/>
        <v>1</v>
      </c>
      <c r="Q475" s="29" t="str">
        <f t="shared" si="127"/>
        <v/>
      </c>
      <c r="R475" s="29" t="str">
        <f t="shared" si="128"/>
        <v/>
      </c>
      <c r="S475" s="29" t="str">
        <f t="shared" si="129"/>
        <v/>
      </c>
      <c r="T475" s="32" t="str">
        <f t="shared" si="130"/>
        <v/>
      </c>
      <c r="U475" s="32" t="str">
        <f t="shared" si="133"/>
        <v/>
      </c>
      <c r="V475" s="32" t="str">
        <f t="shared" si="134"/>
        <v/>
      </c>
      <c r="W475" s="41">
        <f t="shared" si="131"/>
        <v>3.5261422948505325</v>
      </c>
      <c r="X475" s="6">
        <f t="shared" si="132"/>
        <v>0</v>
      </c>
      <c r="Y475" s="7">
        <f t="shared" si="135"/>
        <v>567</v>
      </c>
      <c r="AA475" s="7">
        <f t="shared" si="136"/>
        <v>0</v>
      </c>
      <c r="AB475" s="7" t="str">
        <f t="shared" si="137"/>
        <v/>
      </c>
      <c r="AC475" s="7">
        <f t="shared" si="138"/>
        <v>0</v>
      </c>
      <c r="AD475" s="7" t="str">
        <f t="shared" si="139"/>
        <v/>
      </c>
      <c r="AE475" s="6">
        <f t="shared" si="140"/>
        <v>0</v>
      </c>
      <c r="AF475" s="69">
        <f t="shared" si="141"/>
        <v>3.5261422948505325</v>
      </c>
      <c r="AG475" s="6">
        <f t="shared" si="142"/>
        <v>14.10456917940213</v>
      </c>
      <c r="AH475" s="6">
        <f t="shared" si="143"/>
        <v>578</v>
      </c>
    </row>
    <row r="476" spans="8:34" x14ac:dyDescent="0.25">
      <c r="H476" s="7">
        <v>483</v>
      </c>
      <c r="I476" s="7" t="s">
        <v>15</v>
      </c>
      <c r="J476" s="8">
        <v>39002</v>
      </c>
      <c r="K476" s="12" t="s">
        <v>20</v>
      </c>
      <c r="L476" s="9">
        <v>91</v>
      </c>
      <c r="M476" s="10">
        <v>274.92032051274288</v>
      </c>
      <c r="N476" s="7" t="s">
        <v>24</v>
      </c>
      <c r="P476" s="29" t="str">
        <f t="shared" si="126"/>
        <v/>
      </c>
      <c r="Q476" s="29" t="str">
        <f t="shared" si="127"/>
        <v/>
      </c>
      <c r="R476" s="29" t="str">
        <f t="shared" si="128"/>
        <v/>
      </c>
      <c r="S476" s="29" t="str">
        <f t="shared" si="129"/>
        <v/>
      </c>
      <c r="T476" s="32" t="str">
        <f t="shared" si="130"/>
        <v/>
      </c>
      <c r="U476" s="32" t="str">
        <f t="shared" si="133"/>
        <v/>
      </c>
      <c r="V476" s="32">
        <f t="shared" si="134"/>
        <v>1</v>
      </c>
      <c r="W476" s="41">
        <f t="shared" si="131"/>
        <v>3.0211024232169548</v>
      </c>
      <c r="X476" s="6">
        <f t="shared" si="132"/>
        <v>0</v>
      </c>
      <c r="Y476" s="7">
        <f t="shared" si="135"/>
        <v>567</v>
      </c>
      <c r="AA476" s="7">
        <f t="shared" si="136"/>
        <v>0</v>
      </c>
      <c r="AB476" s="7" t="str">
        <f t="shared" si="137"/>
        <v/>
      </c>
      <c r="AC476" s="7">
        <f t="shared" si="138"/>
        <v>0</v>
      </c>
      <c r="AD476" s="7" t="str">
        <f t="shared" si="139"/>
        <v/>
      </c>
      <c r="AE476" s="6">
        <f t="shared" si="140"/>
        <v>0</v>
      </c>
      <c r="AF476" s="69">
        <f t="shared" si="141"/>
        <v>3.0211024232169548</v>
      </c>
      <c r="AG476" s="6">
        <f t="shared" si="142"/>
        <v>0</v>
      </c>
      <c r="AH476" s="6">
        <f t="shared" si="143"/>
        <v>604</v>
      </c>
    </row>
    <row r="477" spans="8:34" x14ac:dyDescent="0.25">
      <c r="H477" s="7">
        <v>484</v>
      </c>
      <c r="I477" s="7" t="s">
        <v>14</v>
      </c>
      <c r="J477" s="8">
        <v>38903</v>
      </c>
      <c r="K477" s="12" t="s">
        <v>17</v>
      </c>
      <c r="L477" s="9">
        <v>12</v>
      </c>
      <c r="M477" s="10">
        <v>37.877226411963186</v>
      </c>
      <c r="N477" s="7" t="s">
        <v>24</v>
      </c>
      <c r="P477" s="29" t="str">
        <f t="shared" si="126"/>
        <v/>
      </c>
      <c r="Q477" s="29" t="str">
        <f t="shared" si="127"/>
        <v/>
      </c>
      <c r="R477" s="29" t="str">
        <f t="shared" si="128"/>
        <v/>
      </c>
      <c r="S477" s="29" t="str">
        <f t="shared" si="129"/>
        <v/>
      </c>
      <c r="T477" s="32" t="str">
        <f t="shared" si="130"/>
        <v/>
      </c>
      <c r="U477" s="32" t="str">
        <f t="shared" si="133"/>
        <v/>
      </c>
      <c r="V477" s="32">
        <f t="shared" si="134"/>
        <v>1</v>
      </c>
      <c r="W477" s="41">
        <f t="shared" si="131"/>
        <v>3.1564355343302655</v>
      </c>
      <c r="X477" s="6">
        <f t="shared" si="132"/>
        <v>0</v>
      </c>
      <c r="Y477" s="7">
        <f t="shared" si="135"/>
        <v>567</v>
      </c>
      <c r="AA477" s="7">
        <f t="shared" si="136"/>
        <v>0</v>
      </c>
      <c r="AB477" s="7" t="str">
        <f t="shared" si="137"/>
        <v/>
      </c>
      <c r="AC477" s="7">
        <f t="shared" si="138"/>
        <v>0</v>
      </c>
      <c r="AD477" s="7" t="str">
        <f t="shared" si="139"/>
        <v/>
      </c>
      <c r="AE477" s="6">
        <f t="shared" si="140"/>
        <v>0</v>
      </c>
      <c r="AF477" s="69">
        <f t="shared" si="141"/>
        <v>3.1564355343302655</v>
      </c>
      <c r="AG477" s="6">
        <f t="shared" si="142"/>
        <v>0</v>
      </c>
      <c r="AH477" s="6">
        <f t="shared" si="143"/>
        <v>604</v>
      </c>
    </row>
    <row r="478" spans="8:34" x14ac:dyDescent="0.25">
      <c r="H478" s="7">
        <v>485</v>
      </c>
      <c r="I478" s="7" t="s">
        <v>10</v>
      </c>
      <c r="J478" s="8">
        <v>38298</v>
      </c>
      <c r="K478" s="12" t="s">
        <v>18</v>
      </c>
      <c r="L478" s="9">
        <v>21</v>
      </c>
      <c r="M478" s="10">
        <v>65.281423150866814</v>
      </c>
      <c r="N478" s="7" t="s">
        <v>23</v>
      </c>
      <c r="P478" s="29" t="str">
        <f t="shared" si="126"/>
        <v/>
      </c>
      <c r="Q478" s="29" t="str">
        <f t="shared" si="127"/>
        <v/>
      </c>
      <c r="R478" s="29" t="str">
        <f t="shared" si="128"/>
        <v/>
      </c>
      <c r="S478" s="29">
        <f t="shared" si="129"/>
        <v>1</v>
      </c>
      <c r="T478" s="32" t="str">
        <f t="shared" si="130"/>
        <v/>
      </c>
      <c r="U478" s="32" t="str">
        <f t="shared" si="133"/>
        <v/>
      </c>
      <c r="V478" s="32" t="str">
        <f t="shared" si="134"/>
        <v/>
      </c>
      <c r="W478" s="41">
        <f t="shared" si="131"/>
        <v>3.1086391976603247</v>
      </c>
      <c r="X478" s="6">
        <f t="shared" si="132"/>
        <v>0</v>
      </c>
      <c r="Y478" s="7">
        <f t="shared" si="135"/>
        <v>567</v>
      </c>
      <c r="AA478" s="7">
        <f t="shared" si="136"/>
        <v>0</v>
      </c>
      <c r="AB478" s="7" t="str">
        <f t="shared" si="137"/>
        <v/>
      </c>
      <c r="AC478" s="7">
        <f t="shared" si="138"/>
        <v>0</v>
      </c>
      <c r="AD478" s="7" t="str">
        <f t="shared" si="139"/>
        <v/>
      </c>
      <c r="AE478" s="6">
        <f t="shared" si="140"/>
        <v>0</v>
      </c>
      <c r="AF478" s="69">
        <f t="shared" si="141"/>
        <v>3.1086391976603247</v>
      </c>
      <c r="AG478" s="6">
        <f t="shared" si="142"/>
        <v>65.281423150866814</v>
      </c>
      <c r="AH478" s="6">
        <f t="shared" si="143"/>
        <v>450</v>
      </c>
    </row>
    <row r="479" spans="8:34" x14ac:dyDescent="0.25">
      <c r="H479" s="7">
        <v>486</v>
      </c>
      <c r="I479" s="7" t="s">
        <v>14</v>
      </c>
      <c r="J479" s="8">
        <v>38441</v>
      </c>
      <c r="K479" s="12" t="s">
        <v>20</v>
      </c>
      <c r="L479" s="9">
        <v>44</v>
      </c>
      <c r="M479" s="10">
        <v>134.31454889834902</v>
      </c>
      <c r="N479" s="7" t="s">
        <v>23</v>
      </c>
      <c r="P479" s="29" t="str">
        <f t="shared" si="126"/>
        <v/>
      </c>
      <c r="Q479" s="29" t="str">
        <f t="shared" si="127"/>
        <v/>
      </c>
      <c r="R479" s="29" t="str">
        <f t="shared" si="128"/>
        <v/>
      </c>
      <c r="S479" s="29" t="str">
        <f t="shared" si="129"/>
        <v/>
      </c>
      <c r="T479" s="32" t="str">
        <f t="shared" si="130"/>
        <v/>
      </c>
      <c r="U479" s="32">
        <f t="shared" si="133"/>
        <v>1</v>
      </c>
      <c r="V479" s="32" t="str">
        <f t="shared" si="134"/>
        <v/>
      </c>
      <c r="W479" s="41">
        <f t="shared" si="131"/>
        <v>3.0526033840533868</v>
      </c>
      <c r="X479" s="6">
        <f t="shared" si="132"/>
        <v>134.31454889834902</v>
      </c>
      <c r="Y479" s="7">
        <f t="shared" si="135"/>
        <v>300</v>
      </c>
      <c r="AA479" s="7">
        <f t="shared" si="136"/>
        <v>1</v>
      </c>
      <c r="AB479" s="7">
        <f t="shared" si="137"/>
        <v>44</v>
      </c>
      <c r="AC479" s="7">
        <f t="shared" si="138"/>
        <v>0</v>
      </c>
      <c r="AD479" s="7" t="str">
        <f t="shared" si="139"/>
        <v/>
      </c>
      <c r="AE479" s="6">
        <f t="shared" si="140"/>
        <v>0</v>
      </c>
      <c r="AF479" s="69">
        <f t="shared" si="141"/>
        <v>3.0526033840533868</v>
      </c>
      <c r="AG479" s="6">
        <f t="shared" si="142"/>
        <v>0</v>
      </c>
      <c r="AH479" s="6">
        <f t="shared" si="143"/>
        <v>604</v>
      </c>
    </row>
    <row r="480" spans="8:34" x14ac:dyDescent="0.25">
      <c r="H480" s="7">
        <v>487</v>
      </c>
      <c r="I480" s="7" t="s">
        <v>7</v>
      </c>
      <c r="J480" s="8">
        <v>38375</v>
      </c>
      <c r="K480" s="12" t="s">
        <v>16</v>
      </c>
      <c r="L480" s="9">
        <v>75</v>
      </c>
      <c r="M480" s="10">
        <v>227.09867242909783</v>
      </c>
      <c r="N480" s="7" t="s">
        <v>23</v>
      </c>
      <c r="P480" s="29" t="str">
        <f t="shared" si="126"/>
        <v/>
      </c>
      <c r="Q480" s="29" t="str">
        <f t="shared" si="127"/>
        <v/>
      </c>
      <c r="R480" s="29" t="str">
        <f t="shared" si="128"/>
        <v/>
      </c>
      <c r="S480" s="29" t="str">
        <f t="shared" si="129"/>
        <v/>
      </c>
      <c r="T480" s="32" t="str">
        <f t="shared" si="130"/>
        <v/>
      </c>
      <c r="U480" s="32">
        <f t="shared" si="133"/>
        <v>1</v>
      </c>
      <c r="V480" s="32" t="str">
        <f t="shared" si="134"/>
        <v/>
      </c>
      <c r="W480" s="41">
        <f t="shared" si="131"/>
        <v>3.0279822990546377</v>
      </c>
      <c r="X480" s="6">
        <f t="shared" si="132"/>
        <v>227.09867242909783</v>
      </c>
      <c r="Y480" s="7">
        <f t="shared" si="135"/>
        <v>126</v>
      </c>
      <c r="AA480" s="7">
        <f t="shared" si="136"/>
        <v>1</v>
      </c>
      <c r="AB480" s="7">
        <f t="shared" si="137"/>
        <v>75</v>
      </c>
      <c r="AC480" s="7">
        <f t="shared" si="138"/>
        <v>0</v>
      </c>
      <c r="AD480" s="7" t="str">
        <f t="shared" si="139"/>
        <v/>
      </c>
      <c r="AE480" s="6">
        <f t="shared" si="140"/>
        <v>0</v>
      </c>
      <c r="AF480" s="69">
        <f t="shared" si="141"/>
        <v>3.0279822990546377</v>
      </c>
      <c r="AG480" s="6">
        <f t="shared" si="142"/>
        <v>0</v>
      </c>
      <c r="AH480" s="6">
        <f t="shared" si="143"/>
        <v>604</v>
      </c>
    </row>
    <row r="481" spans="8:34" x14ac:dyDescent="0.25">
      <c r="H481" s="7">
        <v>488</v>
      </c>
      <c r="I481" s="7" t="s">
        <v>7</v>
      </c>
      <c r="J481" s="8">
        <v>38188</v>
      </c>
      <c r="K481" s="12" t="s">
        <v>16</v>
      </c>
      <c r="L481" s="9">
        <v>37</v>
      </c>
      <c r="M481" s="10">
        <v>112.99692232382439</v>
      </c>
      <c r="N481" s="7" t="s">
        <v>21</v>
      </c>
      <c r="P481" s="29" t="str">
        <f t="shared" si="126"/>
        <v/>
      </c>
      <c r="Q481" s="29" t="str">
        <f t="shared" si="127"/>
        <v/>
      </c>
      <c r="R481" s="29">
        <f t="shared" si="128"/>
        <v>1</v>
      </c>
      <c r="S481" s="29" t="str">
        <f t="shared" si="129"/>
        <v/>
      </c>
      <c r="T481" s="32" t="str">
        <f t="shared" si="130"/>
        <v/>
      </c>
      <c r="U481" s="32" t="str">
        <f t="shared" si="133"/>
        <v/>
      </c>
      <c r="V481" s="32" t="str">
        <f t="shared" si="134"/>
        <v/>
      </c>
      <c r="W481" s="41">
        <f t="shared" si="131"/>
        <v>3.0539708736168754</v>
      </c>
      <c r="X481" s="6">
        <f t="shared" si="132"/>
        <v>0</v>
      </c>
      <c r="Y481" s="7">
        <f t="shared" si="135"/>
        <v>567</v>
      </c>
      <c r="AA481" s="7">
        <f t="shared" si="136"/>
        <v>0</v>
      </c>
      <c r="AB481" s="7" t="str">
        <f t="shared" si="137"/>
        <v/>
      </c>
      <c r="AC481" s="7">
        <f t="shared" si="138"/>
        <v>0</v>
      </c>
      <c r="AD481" s="7" t="str">
        <f t="shared" si="139"/>
        <v/>
      </c>
      <c r="AE481" s="6">
        <f t="shared" si="140"/>
        <v>0</v>
      </c>
      <c r="AF481" s="69">
        <f t="shared" si="141"/>
        <v>3.0539708736168754</v>
      </c>
      <c r="AG481" s="6">
        <f t="shared" si="142"/>
        <v>112.99692232382439</v>
      </c>
      <c r="AH481" s="6">
        <f t="shared" si="143"/>
        <v>346</v>
      </c>
    </row>
    <row r="482" spans="8:34" x14ac:dyDescent="0.25">
      <c r="H482" s="7">
        <v>489</v>
      </c>
      <c r="I482" s="7" t="s">
        <v>10</v>
      </c>
      <c r="J482" s="8">
        <v>38925</v>
      </c>
      <c r="K482" s="12" t="s">
        <v>16</v>
      </c>
      <c r="L482" s="9">
        <v>58</v>
      </c>
      <c r="M482" s="10">
        <v>176.06598986452823</v>
      </c>
      <c r="N482" s="7" t="s">
        <v>22</v>
      </c>
      <c r="P482" s="29" t="str">
        <f t="shared" si="126"/>
        <v/>
      </c>
      <c r="Q482" s="29" t="str">
        <f t="shared" si="127"/>
        <v/>
      </c>
      <c r="R482" s="29" t="str">
        <f t="shared" si="128"/>
        <v/>
      </c>
      <c r="S482" s="29" t="str">
        <f t="shared" si="129"/>
        <v/>
      </c>
      <c r="T482" s="32" t="str">
        <f t="shared" si="130"/>
        <v/>
      </c>
      <c r="U482" s="32" t="str">
        <f t="shared" si="133"/>
        <v/>
      </c>
      <c r="V482" s="32">
        <f t="shared" si="134"/>
        <v>1</v>
      </c>
      <c r="W482" s="41">
        <f t="shared" si="131"/>
        <v>3.0356205149056592</v>
      </c>
      <c r="X482" s="6">
        <f t="shared" si="132"/>
        <v>0</v>
      </c>
      <c r="Y482" s="7">
        <f t="shared" si="135"/>
        <v>567</v>
      </c>
      <c r="AA482" s="7">
        <f t="shared" si="136"/>
        <v>0</v>
      </c>
      <c r="AB482" s="7" t="str">
        <f t="shared" si="137"/>
        <v/>
      </c>
      <c r="AC482" s="7">
        <f t="shared" si="138"/>
        <v>0</v>
      </c>
      <c r="AD482" s="7" t="str">
        <f t="shared" si="139"/>
        <v/>
      </c>
      <c r="AE482" s="6">
        <f t="shared" si="140"/>
        <v>0</v>
      </c>
      <c r="AF482" s="69">
        <f t="shared" si="141"/>
        <v>3.0356205149056592</v>
      </c>
      <c r="AG482" s="6">
        <f t="shared" si="142"/>
        <v>0</v>
      </c>
      <c r="AH482" s="6">
        <f t="shared" si="143"/>
        <v>604</v>
      </c>
    </row>
    <row r="483" spans="8:34" x14ac:dyDescent="0.25">
      <c r="H483" s="7">
        <v>490</v>
      </c>
      <c r="I483" s="7" t="s">
        <v>14</v>
      </c>
      <c r="J483" s="8">
        <v>38760</v>
      </c>
      <c r="K483" s="12" t="s">
        <v>16</v>
      </c>
      <c r="L483" s="9">
        <v>74</v>
      </c>
      <c r="M483" s="10">
        <v>223.60878513520231</v>
      </c>
      <c r="N483" s="7" t="s">
        <v>21</v>
      </c>
      <c r="P483" s="29" t="str">
        <f t="shared" si="126"/>
        <v/>
      </c>
      <c r="Q483" s="29" t="str">
        <f t="shared" si="127"/>
        <v/>
      </c>
      <c r="R483" s="29" t="str">
        <f t="shared" si="128"/>
        <v/>
      </c>
      <c r="S483" s="29" t="str">
        <f t="shared" si="129"/>
        <v/>
      </c>
      <c r="T483" s="32" t="str">
        <f t="shared" si="130"/>
        <v/>
      </c>
      <c r="U483" s="32" t="str">
        <f t="shared" si="133"/>
        <v/>
      </c>
      <c r="V483" s="32">
        <f t="shared" si="134"/>
        <v>1</v>
      </c>
      <c r="W483" s="41">
        <f t="shared" si="131"/>
        <v>3.0217403396648961</v>
      </c>
      <c r="X483" s="6">
        <f t="shared" si="132"/>
        <v>0</v>
      </c>
      <c r="Y483" s="7">
        <f t="shared" si="135"/>
        <v>567</v>
      </c>
      <c r="AA483" s="7">
        <f t="shared" si="136"/>
        <v>0</v>
      </c>
      <c r="AB483" s="7" t="str">
        <f t="shared" si="137"/>
        <v/>
      </c>
      <c r="AC483" s="7">
        <f t="shared" si="138"/>
        <v>0</v>
      </c>
      <c r="AD483" s="7" t="str">
        <f t="shared" si="139"/>
        <v/>
      </c>
      <c r="AE483" s="6">
        <f t="shared" si="140"/>
        <v>0</v>
      </c>
      <c r="AF483" s="69">
        <f t="shared" si="141"/>
        <v>3.0217403396648961</v>
      </c>
      <c r="AG483" s="6">
        <f t="shared" si="142"/>
        <v>0</v>
      </c>
      <c r="AH483" s="6">
        <f t="shared" si="143"/>
        <v>604</v>
      </c>
    </row>
    <row r="484" spans="8:34" x14ac:dyDescent="0.25">
      <c r="H484" s="7">
        <v>491</v>
      </c>
      <c r="I484" s="7" t="s">
        <v>8</v>
      </c>
      <c r="J484" s="8">
        <v>38144</v>
      </c>
      <c r="K484" s="12" t="s">
        <v>18</v>
      </c>
      <c r="L484" s="9">
        <v>64</v>
      </c>
      <c r="M484" s="10">
        <v>193.54947188165715</v>
      </c>
      <c r="N484" s="7" t="s">
        <v>21</v>
      </c>
      <c r="P484" s="29" t="str">
        <f t="shared" si="126"/>
        <v/>
      </c>
      <c r="Q484" s="29">
        <f t="shared" si="127"/>
        <v>1</v>
      </c>
      <c r="R484" s="29" t="str">
        <f t="shared" si="128"/>
        <v/>
      </c>
      <c r="S484" s="29" t="str">
        <f t="shared" si="129"/>
        <v/>
      </c>
      <c r="T484" s="32" t="str">
        <f t="shared" si="130"/>
        <v/>
      </c>
      <c r="U484" s="32" t="str">
        <f t="shared" si="133"/>
        <v/>
      </c>
      <c r="V484" s="32" t="str">
        <f t="shared" si="134"/>
        <v/>
      </c>
      <c r="W484" s="41">
        <f t="shared" si="131"/>
        <v>3.024210498150893</v>
      </c>
      <c r="X484" s="6">
        <f t="shared" si="132"/>
        <v>0</v>
      </c>
      <c r="Y484" s="7">
        <f t="shared" si="135"/>
        <v>567</v>
      </c>
      <c r="AA484" s="7">
        <f t="shared" si="136"/>
        <v>0</v>
      </c>
      <c r="AB484" s="7" t="str">
        <f t="shared" si="137"/>
        <v/>
      </c>
      <c r="AC484" s="7">
        <f t="shared" si="138"/>
        <v>0</v>
      </c>
      <c r="AD484" s="7" t="str">
        <f t="shared" si="139"/>
        <v/>
      </c>
      <c r="AE484" s="6">
        <f t="shared" si="140"/>
        <v>0</v>
      </c>
      <c r="AF484" s="69">
        <f t="shared" si="141"/>
        <v>3.024210498150893</v>
      </c>
      <c r="AG484" s="6">
        <f t="shared" si="142"/>
        <v>193.54947188165715</v>
      </c>
      <c r="AH484" s="6">
        <f t="shared" si="143"/>
        <v>186</v>
      </c>
    </row>
    <row r="485" spans="8:34" x14ac:dyDescent="0.25">
      <c r="H485" s="7">
        <v>492</v>
      </c>
      <c r="I485" s="7" t="s">
        <v>7</v>
      </c>
      <c r="J485" s="8">
        <v>38683</v>
      </c>
      <c r="K485" s="12" t="s">
        <v>19</v>
      </c>
      <c r="L485" s="9">
        <v>53</v>
      </c>
      <c r="M485" s="10">
        <v>160.46113209921771</v>
      </c>
      <c r="N485" s="7" t="s">
        <v>21</v>
      </c>
      <c r="P485" s="29" t="str">
        <f t="shared" si="126"/>
        <v/>
      </c>
      <c r="Q485" s="29" t="str">
        <f t="shared" si="127"/>
        <v/>
      </c>
      <c r="R485" s="29" t="str">
        <f t="shared" si="128"/>
        <v/>
      </c>
      <c r="S485" s="29" t="str">
        <f t="shared" si="129"/>
        <v/>
      </c>
      <c r="T485" s="32">
        <f t="shared" si="130"/>
        <v>1</v>
      </c>
      <c r="U485" s="32">
        <f t="shared" si="133"/>
        <v>1</v>
      </c>
      <c r="V485" s="32" t="str">
        <f t="shared" si="134"/>
        <v/>
      </c>
      <c r="W485" s="41">
        <f t="shared" si="131"/>
        <v>3.027568530173919</v>
      </c>
      <c r="X485" s="6">
        <f t="shared" si="132"/>
        <v>160.46113209921771</v>
      </c>
      <c r="Y485" s="7">
        <f t="shared" si="135"/>
        <v>240</v>
      </c>
      <c r="AA485" s="7">
        <f t="shared" si="136"/>
        <v>0</v>
      </c>
      <c r="AB485" s="7" t="str">
        <f t="shared" si="137"/>
        <v/>
      </c>
      <c r="AC485" s="7">
        <f t="shared" si="138"/>
        <v>1</v>
      </c>
      <c r="AD485" s="7">
        <f t="shared" si="139"/>
        <v>53</v>
      </c>
      <c r="AE485" s="6">
        <f t="shared" si="140"/>
        <v>0</v>
      </c>
      <c r="AF485" s="69">
        <f t="shared" si="141"/>
        <v>3.027568530173919</v>
      </c>
      <c r="AG485" s="6">
        <f t="shared" si="142"/>
        <v>0</v>
      </c>
      <c r="AH485" s="6">
        <f t="shared" si="143"/>
        <v>604</v>
      </c>
    </row>
    <row r="486" spans="8:34" x14ac:dyDescent="0.25">
      <c r="H486" s="7">
        <v>493</v>
      </c>
      <c r="I486" s="7" t="s">
        <v>9</v>
      </c>
      <c r="J486" s="8">
        <v>38100</v>
      </c>
      <c r="K486" s="12" t="s">
        <v>16</v>
      </c>
      <c r="L486" s="9">
        <v>-1</v>
      </c>
      <c r="M486" s="10">
        <v>-0.45003305566648821</v>
      </c>
      <c r="N486" s="7" t="s">
        <v>22</v>
      </c>
      <c r="P486" s="29" t="str">
        <f t="shared" si="126"/>
        <v/>
      </c>
      <c r="Q486" s="29">
        <f t="shared" si="127"/>
        <v>1</v>
      </c>
      <c r="R486" s="29" t="str">
        <f t="shared" si="128"/>
        <v/>
      </c>
      <c r="S486" s="29" t="str">
        <f t="shared" si="129"/>
        <v/>
      </c>
      <c r="T486" s="32" t="str">
        <f t="shared" si="130"/>
        <v/>
      </c>
      <c r="U486" s="32" t="str">
        <f t="shared" si="133"/>
        <v/>
      </c>
      <c r="V486" s="32" t="str">
        <f t="shared" si="134"/>
        <v/>
      </c>
      <c r="W486" s="41" t="str">
        <f t="shared" si="131"/>
        <v/>
      </c>
      <c r="X486" s="6">
        <f t="shared" si="132"/>
        <v>0</v>
      </c>
      <c r="Y486" s="7">
        <f t="shared" si="135"/>
        <v>567</v>
      </c>
      <c r="AA486" s="7">
        <f t="shared" si="136"/>
        <v>0</v>
      </c>
      <c r="AB486" s="7" t="str">
        <f t="shared" si="137"/>
        <v/>
      </c>
      <c r="AC486" s="7">
        <f t="shared" si="138"/>
        <v>0</v>
      </c>
      <c r="AD486" s="7" t="str">
        <f t="shared" si="139"/>
        <v/>
      </c>
      <c r="AE486" s="6">
        <f t="shared" si="140"/>
        <v>-1</v>
      </c>
      <c r="AF486" s="69" t="str">
        <f t="shared" si="141"/>
        <v/>
      </c>
      <c r="AG486" s="6">
        <f t="shared" si="142"/>
        <v>0</v>
      </c>
      <c r="AH486" s="6">
        <f t="shared" si="143"/>
        <v>604</v>
      </c>
    </row>
    <row r="487" spans="8:34" x14ac:dyDescent="0.25">
      <c r="H487" s="7">
        <v>494</v>
      </c>
      <c r="I487" s="7" t="s">
        <v>9</v>
      </c>
      <c r="J487" s="8">
        <v>38782</v>
      </c>
      <c r="K487" s="12" t="s">
        <v>20</v>
      </c>
      <c r="L487" s="9">
        <v>21</v>
      </c>
      <c r="M487" s="10">
        <v>65.06546054796479</v>
      </c>
      <c r="N487" s="7" t="s">
        <v>23</v>
      </c>
      <c r="P487" s="29" t="str">
        <f t="shared" si="126"/>
        <v/>
      </c>
      <c r="Q487" s="29" t="str">
        <f t="shared" si="127"/>
        <v/>
      </c>
      <c r="R487" s="29" t="str">
        <f t="shared" si="128"/>
        <v/>
      </c>
      <c r="S487" s="29" t="str">
        <f t="shared" si="129"/>
        <v/>
      </c>
      <c r="T487" s="32" t="str">
        <f t="shared" si="130"/>
        <v/>
      </c>
      <c r="U487" s="32" t="str">
        <f t="shared" si="133"/>
        <v/>
      </c>
      <c r="V487" s="32">
        <f t="shared" si="134"/>
        <v>1</v>
      </c>
      <c r="W487" s="41">
        <f t="shared" si="131"/>
        <v>3.0983552641887995</v>
      </c>
      <c r="X487" s="6">
        <f t="shared" si="132"/>
        <v>0</v>
      </c>
      <c r="Y487" s="7">
        <f t="shared" si="135"/>
        <v>567</v>
      </c>
      <c r="AA487" s="7">
        <f t="shared" si="136"/>
        <v>0</v>
      </c>
      <c r="AB487" s="7" t="str">
        <f t="shared" si="137"/>
        <v/>
      </c>
      <c r="AC487" s="7">
        <f t="shared" si="138"/>
        <v>0</v>
      </c>
      <c r="AD487" s="7" t="str">
        <f t="shared" si="139"/>
        <v/>
      </c>
      <c r="AE487" s="6">
        <f t="shared" si="140"/>
        <v>0</v>
      </c>
      <c r="AF487" s="69">
        <f t="shared" si="141"/>
        <v>3.0983552641887995</v>
      </c>
      <c r="AG487" s="6">
        <f t="shared" si="142"/>
        <v>0</v>
      </c>
      <c r="AH487" s="6">
        <f t="shared" si="143"/>
        <v>604</v>
      </c>
    </row>
    <row r="488" spans="8:34" x14ac:dyDescent="0.25">
      <c r="H488" s="7">
        <v>495</v>
      </c>
      <c r="I488" s="7" t="s">
        <v>14</v>
      </c>
      <c r="J488" s="8">
        <v>38771</v>
      </c>
      <c r="K488" s="12" t="s">
        <v>20</v>
      </c>
      <c r="L488" s="9">
        <v>90</v>
      </c>
      <c r="M488" s="10">
        <v>271.33770442615577</v>
      </c>
      <c r="N488" s="7" t="s">
        <v>24</v>
      </c>
      <c r="P488" s="29" t="str">
        <f t="shared" si="126"/>
        <v/>
      </c>
      <c r="Q488" s="29" t="str">
        <f t="shared" si="127"/>
        <v/>
      </c>
      <c r="R488" s="29" t="str">
        <f t="shared" si="128"/>
        <v/>
      </c>
      <c r="S488" s="29" t="str">
        <f t="shared" si="129"/>
        <v/>
      </c>
      <c r="T488" s="32" t="str">
        <f t="shared" si="130"/>
        <v/>
      </c>
      <c r="U488" s="32" t="str">
        <f t="shared" si="133"/>
        <v/>
      </c>
      <c r="V488" s="32">
        <f t="shared" si="134"/>
        <v>1</v>
      </c>
      <c r="W488" s="41">
        <f t="shared" si="131"/>
        <v>3.0148633825128419</v>
      </c>
      <c r="X488" s="6">
        <f t="shared" si="132"/>
        <v>0</v>
      </c>
      <c r="Y488" s="7">
        <f t="shared" si="135"/>
        <v>567</v>
      </c>
      <c r="AA488" s="7">
        <f t="shared" si="136"/>
        <v>0</v>
      </c>
      <c r="AB488" s="7" t="str">
        <f t="shared" si="137"/>
        <v/>
      </c>
      <c r="AC488" s="7">
        <f t="shared" si="138"/>
        <v>0</v>
      </c>
      <c r="AD488" s="7" t="str">
        <f t="shared" si="139"/>
        <v/>
      </c>
      <c r="AE488" s="6">
        <f t="shared" si="140"/>
        <v>0</v>
      </c>
      <c r="AF488" s="69">
        <f t="shared" si="141"/>
        <v>3.0148633825128419</v>
      </c>
      <c r="AG488" s="6">
        <f t="shared" si="142"/>
        <v>0</v>
      </c>
      <c r="AH488" s="6">
        <f t="shared" si="143"/>
        <v>604</v>
      </c>
    </row>
    <row r="489" spans="8:34" x14ac:dyDescent="0.25">
      <c r="H489" s="7">
        <v>496</v>
      </c>
      <c r="I489" s="7" t="s">
        <v>14</v>
      </c>
      <c r="J489" s="8">
        <v>38650</v>
      </c>
      <c r="K489" s="12" t="s">
        <v>19</v>
      </c>
      <c r="L489" s="9">
        <v>61</v>
      </c>
      <c r="M489" s="10">
        <v>184.82822454861244</v>
      </c>
      <c r="N489" s="7" t="s">
        <v>22</v>
      </c>
      <c r="P489" s="29" t="str">
        <f t="shared" si="126"/>
        <v/>
      </c>
      <c r="Q489" s="29" t="str">
        <f t="shared" si="127"/>
        <v/>
      </c>
      <c r="R489" s="29" t="str">
        <f t="shared" si="128"/>
        <v/>
      </c>
      <c r="S489" s="29" t="str">
        <f t="shared" si="129"/>
        <v/>
      </c>
      <c r="T489" s="32">
        <f t="shared" si="130"/>
        <v>1</v>
      </c>
      <c r="U489" s="32">
        <f t="shared" si="133"/>
        <v>1</v>
      </c>
      <c r="V489" s="32" t="str">
        <f t="shared" si="134"/>
        <v/>
      </c>
      <c r="W489" s="41">
        <f t="shared" si="131"/>
        <v>3.0299708942395482</v>
      </c>
      <c r="X489" s="6">
        <f t="shared" si="132"/>
        <v>184.82822454861244</v>
      </c>
      <c r="Y489" s="7">
        <f t="shared" si="135"/>
        <v>197</v>
      </c>
      <c r="AA489" s="7">
        <f t="shared" si="136"/>
        <v>0</v>
      </c>
      <c r="AB489" s="7" t="str">
        <f t="shared" si="137"/>
        <v/>
      </c>
      <c r="AC489" s="7">
        <f t="shared" si="138"/>
        <v>1</v>
      </c>
      <c r="AD489" s="7">
        <f t="shared" si="139"/>
        <v>61</v>
      </c>
      <c r="AE489" s="6">
        <f t="shared" si="140"/>
        <v>0</v>
      </c>
      <c r="AF489" s="69">
        <f t="shared" si="141"/>
        <v>3.0299708942395482</v>
      </c>
      <c r="AG489" s="6">
        <f t="shared" si="142"/>
        <v>0</v>
      </c>
      <c r="AH489" s="6">
        <f t="shared" si="143"/>
        <v>604</v>
      </c>
    </row>
    <row r="490" spans="8:34" x14ac:dyDescent="0.25">
      <c r="H490" s="7">
        <v>497</v>
      </c>
      <c r="I490" s="7" t="s">
        <v>7</v>
      </c>
      <c r="J490" s="8">
        <v>38485</v>
      </c>
      <c r="K490" s="12" t="s">
        <v>20</v>
      </c>
      <c r="L490" s="9">
        <v>64</v>
      </c>
      <c r="M490" s="10">
        <v>193.98125439867269</v>
      </c>
      <c r="N490" s="7" t="s">
        <v>24</v>
      </c>
      <c r="P490" s="29" t="str">
        <f t="shared" si="126"/>
        <v/>
      </c>
      <c r="Q490" s="29" t="str">
        <f t="shared" si="127"/>
        <v/>
      </c>
      <c r="R490" s="29" t="str">
        <f t="shared" si="128"/>
        <v/>
      </c>
      <c r="S490" s="29" t="str">
        <f t="shared" si="129"/>
        <v/>
      </c>
      <c r="T490" s="32" t="str">
        <f t="shared" si="130"/>
        <v/>
      </c>
      <c r="U490" s="32">
        <f t="shared" si="133"/>
        <v>1</v>
      </c>
      <c r="V490" s="32" t="str">
        <f t="shared" si="134"/>
        <v/>
      </c>
      <c r="W490" s="41">
        <f t="shared" si="131"/>
        <v>3.0309570999792608</v>
      </c>
      <c r="X490" s="6">
        <f t="shared" si="132"/>
        <v>193.98125439867269</v>
      </c>
      <c r="Y490" s="7">
        <f t="shared" si="135"/>
        <v>186</v>
      </c>
      <c r="AA490" s="7">
        <f t="shared" si="136"/>
        <v>0</v>
      </c>
      <c r="AB490" s="7" t="str">
        <f t="shared" si="137"/>
        <v/>
      </c>
      <c r="AC490" s="7">
        <f t="shared" si="138"/>
        <v>1</v>
      </c>
      <c r="AD490" s="7">
        <f t="shared" si="139"/>
        <v>64</v>
      </c>
      <c r="AE490" s="6">
        <f t="shared" si="140"/>
        <v>0</v>
      </c>
      <c r="AF490" s="69">
        <f t="shared" si="141"/>
        <v>3.0309570999792608</v>
      </c>
      <c r="AG490" s="6">
        <f t="shared" si="142"/>
        <v>0</v>
      </c>
      <c r="AH490" s="6">
        <f t="shared" si="143"/>
        <v>604</v>
      </c>
    </row>
    <row r="491" spans="8:34" x14ac:dyDescent="0.25">
      <c r="H491" s="7">
        <v>498</v>
      </c>
      <c r="I491" s="7" t="s">
        <v>10</v>
      </c>
      <c r="J491" s="8">
        <v>38782</v>
      </c>
      <c r="K491" s="12" t="s">
        <v>16</v>
      </c>
      <c r="L491" s="9">
        <v>79</v>
      </c>
      <c r="M491" s="10">
        <v>238.60895261406517</v>
      </c>
      <c r="N491" s="7" t="s">
        <v>24</v>
      </c>
      <c r="P491" s="29" t="str">
        <f t="shared" si="126"/>
        <v/>
      </c>
      <c r="Q491" s="29" t="str">
        <f t="shared" si="127"/>
        <v/>
      </c>
      <c r="R491" s="29" t="str">
        <f t="shared" si="128"/>
        <v/>
      </c>
      <c r="S491" s="29" t="str">
        <f t="shared" si="129"/>
        <v/>
      </c>
      <c r="T491" s="32" t="str">
        <f t="shared" si="130"/>
        <v/>
      </c>
      <c r="U491" s="32" t="str">
        <f t="shared" si="133"/>
        <v/>
      </c>
      <c r="V491" s="32">
        <f t="shared" si="134"/>
        <v>1</v>
      </c>
      <c r="W491" s="41">
        <f t="shared" si="131"/>
        <v>3.0203664887856352</v>
      </c>
      <c r="X491" s="6">
        <f t="shared" si="132"/>
        <v>0</v>
      </c>
      <c r="Y491" s="7">
        <f t="shared" si="135"/>
        <v>567</v>
      </c>
      <c r="AA491" s="7">
        <f t="shared" si="136"/>
        <v>0</v>
      </c>
      <c r="AB491" s="7" t="str">
        <f t="shared" si="137"/>
        <v/>
      </c>
      <c r="AC491" s="7">
        <f t="shared" si="138"/>
        <v>0</v>
      </c>
      <c r="AD491" s="7" t="str">
        <f t="shared" si="139"/>
        <v/>
      </c>
      <c r="AE491" s="6">
        <f t="shared" si="140"/>
        <v>0</v>
      </c>
      <c r="AF491" s="69">
        <f t="shared" si="141"/>
        <v>3.0203664887856352</v>
      </c>
      <c r="AG491" s="6">
        <f t="shared" si="142"/>
        <v>0</v>
      </c>
      <c r="AH491" s="6">
        <f t="shared" si="143"/>
        <v>604</v>
      </c>
    </row>
    <row r="492" spans="8:34" x14ac:dyDescent="0.25">
      <c r="H492" s="7">
        <v>499</v>
      </c>
      <c r="I492" s="7" t="s">
        <v>10</v>
      </c>
      <c r="J492" s="8">
        <v>38848</v>
      </c>
      <c r="K492" s="12" t="s">
        <v>18</v>
      </c>
      <c r="L492" s="9">
        <v>11</v>
      </c>
      <c r="M492" s="10">
        <v>34.580350260479243</v>
      </c>
      <c r="N492" s="7" t="s">
        <v>23</v>
      </c>
      <c r="P492" s="29" t="str">
        <f t="shared" si="126"/>
        <v/>
      </c>
      <c r="Q492" s="29" t="str">
        <f t="shared" si="127"/>
        <v/>
      </c>
      <c r="R492" s="29" t="str">
        <f t="shared" si="128"/>
        <v/>
      </c>
      <c r="S492" s="29" t="str">
        <f t="shared" si="129"/>
        <v/>
      </c>
      <c r="T492" s="32" t="str">
        <f t="shared" si="130"/>
        <v/>
      </c>
      <c r="U492" s="32" t="str">
        <f t="shared" si="133"/>
        <v/>
      </c>
      <c r="V492" s="32">
        <f t="shared" si="134"/>
        <v>1</v>
      </c>
      <c r="W492" s="41">
        <f t="shared" si="131"/>
        <v>3.1436682054981131</v>
      </c>
      <c r="X492" s="6">
        <f t="shared" si="132"/>
        <v>0</v>
      </c>
      <c r="Y492" s="7">
        <f t="shared" si="135"/>
        <v>567</v>
      </c>
      <c r="AA492" s="7">
        <f t="shared" si="136"/>
        <v>0</v>
      </c>
      <c r="AB492" s="7" t="str">
        <f t="shared" si="137"/>
        <v/>
      </c>
      <c r="AC492" s="7">
        <f t="shared" si="138"/>
        <v>0</v>
      </c>
      <c r="AD492" s="7" t="str">
        <f t="shared" si="139"/>
        <v/>
      </c>
      <c r="AE492" s="6">
        <f t="shared" si="140"/>
        <v>0</v>
      </c>
      <c r="AF492" s="69">
        <f t="shared" si="141"/>
        <v>3.1436682054981131</v>
      </c>
      <c r="AG492" s="6">
        <f t="shared" si="142"/>
        <v>0</v>
      </c>
      <c r="AH492" s="6">
        <f t="shared" si="143"/>
        <v>604</v>
      </c>
    </row>
    <row r="493" spans="8:34" x14ac:dyDescent="0.25">
      <c r="H493" s="7">
        <v>500</v>
      </c>
      <c r="I493" s="7" t="s">
        <v>11</v>
      </c>
      <c r="J493" s="8">
        <v>38881</v>
      </c>
      <c r="K493" s="12" t="s">
        <v>20</v>
      </c>
      <c r="L493" s="9">
        <v>17</v>
      </c>
      <c r="M493" s="10">
        <v>52.992178326548526</v>
      </c>
      <c r="N493" s="7" t="s">
        <v>22</v>
      </c>
      <c r="P493" s="29" t="str">
        <f t="shared" si="126"/>
        <v/>
      </c>
      <c r="Q493" s="29" t="str">
        <f t="shared" si="127"/>
        <v/>
      </c>
      <c r="R493" s="29" t="str">
        <f t="shared" si="128"/>
        <v/>
      </c>
      <c r="S493" s="29" t="str">
        <f t="shared" si="129"/>
        <v/>
      </c>
      <c r="T493" s="32" t="str">
        <f t="shared" si="130"/>
        <v/>
      </c>
      <c r="U493" s="32" t="str">
        <f t="shared" si="133"/>
        <v/>
      </c>
      <c r="V493" s="32">
        <f t="shared" si="134"/>
        <v>1</v>
      </c>
      <c r="W493" s="41">
        <f t="shared" si="131"/>
        <v>3.1171869603852076</v>
      </c>
      <c r="X493" s="6">
        <f t="shared" si="132"/>
        <v>0</v>
      </c>
      <c r="Y493" s="7">
        <f t="shared" si="135"/>
        <v>567</v>
      </c>
      <c r="AA493" s="7">
        <f t="shared" si="136"/>
        <v>0</v>
      </c>
      <c r="AB493" s="7" t="str">
        <f t="shared" si="137"/>
        <v/>
      </c>
      <c r="AC493" s="7">
        <f t="shared" si="138"/>
        <v>0</v>
      </c>
      <c r="AD493" s="7" t="str">
        <f t="shared" si="139"/>
        <v/>
      </c>
      <c r="AE493" s="6">
        <f t="shared" si="140"/>
        <v>0</v>
      </c>
      <c r="AF493" s="69">
        <f t="shared" si="141"/>
        <v>3.1171869603852076</v>
      </c>
      <c r="AG493" s="6">
        <f t="shared" si="142"/>
        <v>0</v>
      </c>
      <c r="AH493" s="6">
        <f t="shared" si="143"/>
        <v>604</v>
      </c>
    </row>
    <row r="494" spans="8:34" x14ac:dyDescent="0.25">
      <c r="H494" s="7">
        <v>501</v>
      </c>
      <c r="I494" s="7" t="s">
        <v>11</v>
      </c>
      <c r="J494" s="8">
        <v>39002</v>
      </c>
      <c r="K494" s="12" t="s">
        <v>17</v>
      </c>
      <c r="L494" s="9">
        <v>-10</v>
      </c>
      <c r="M494" s="10">
        <v>-28.507437864458012</v>
      </c>
      <c r="N494" s="7" t="s">
        <v>24</v>
      </c>
      <c r="P494" s="29" t="str">
        <f t="shared" si="126"/>
        <v/>
      </c>
      <c r="Q494" s="29" t="str">
        <f t="shared" si="127"/>
        <v/>
      </c>
      <c r="R494" s="29" t="str">
        <f t="shared" si="128"/>
        <v/>
      </c>
      <c r="S494" s="29" t="str">
        <f t="shared" si="129"/>
        <v/>
      </c>
      <c r="T494" s="32" t="str">
        <f t="shared" si="130"/>
        <v/>
      </c>
      <c r="U494" s="32" t="str">
        <f t="shared" si="133"/>
        <v/>
      </c>
      <c r="V494" s="32">
        <f t="shared" si="134"/>
        <v>1</v>
      </c>
      <c r="W494" s="41" t="str">
        <f t="shared" si="131"/>
        <v/>
      </c>
      <c r="X494" s="6">
        <f t="shared" si="132"/>
        <v>0</v>
      </c>
      <c r="Y494" s="7">
        <f t="shared" si="135"/>
        <v>567</v>
      </c>
      <c r="AA494" s="7">
        <f t="shared" si="136"/>
        <v>0</v>
      </c>
      <c r="AB494" s="7" t="str">
        <f t="shared" si="137"/>
        <v/>
      </c>
      <c r="AC494" s="7">
        <f t="shared" si="138"/>
        <v>0</v>
      </c>
      <c r="AD494" s="7" t="str">
        <f t="shared" si="139"/>
        <v/>
      </c>
      <c r="AE494" s="6">
        <f t="shared" si="140"/>
        <v>-10</v>
      </c>
      <c r="AF494" s="69" t="str">
        <f t="shared" si="141"/>
        <v/>
      </c>
      <c r="AG494" s="6">
        <f t="shared" si="142"/>
        <v>0</v>
      </c>
      <c r="AH494" s="6">
        <f t="shared" si="143"/>
        <v>604</v>
      </c>
    </row>
    <row r="495" spans="8:34" x14ac:dyDescent="0.25">
      <c r="H495" s="7">
        <v>502</v>
      </c>
      <c r="I495" s="7" t="s">
        <v>12</v>
      </c>
      <c r="J495" s="8">
        <v>38111</v>
      </c>
      <c r="K495" s="12" t="s">
        <v>20</v>
      </c>
      <c r="L495" s="9">
        <v>61</v>
      </c>
      <c r="M495" s="10">
        <v>185.38151200169028</v>
      </c>
      <c r="N495" s="7" t="s">
        <v>21</v>
      </c>
      <c r="P495" s="29" t="str">
        <f t="shared" si="126"/>
        <v/>
      </c>
      <c r="Q495" s="29">
        <f t="shared" si="127"/>
        <v>1</v>
      </c>
      <c r="R495" s="29" t="str">
        <f t="shared" si="128"/>
        <v/>
      </c>
      <c r="S495" s="29" t="str">
        <f t="shared" si="129"/>
        <v/>
      </c>
      <c r="T495" s="32" t="str">
        <f t="shared" si="130"/>
        <v/>
      </c>
      <c r="U495" s="32" t="str">
        <f t="shared" si="133"/>
        <v/>
      </c>
      <c r="V495" s="32" t="str">
        <f t="shared" si="134"/>
        <v/>
      </c>
      <c r="W495" s="41">
        <f t="shared" si="131"/>
        <v>3.0390411803555786</v>
      </c>
      <c r="X495" s="6">
        <f t="shared" si="132"/>
        <v>0</v>
      </c>
      <c r="Y495" s="7">
        <f t="shared" si="135"/>
        <v>567</v>
      </c>
      <c r="AA495" s="7">
        <f t="shared" si="136"/>
        <v>0</v>
      </c>
      <c r="AB495" s="7" t="str">
        <f t="shared" si="137"/>
        <v/>
      </c>
      <c r="AC495" s="7">
        <f t="shared" si="138"/>
        <v>0</v>
      </c>
      <c r="AD495" s="7" t="str">
        <f t="shared" si="139"/>
        <v/>
      </c>
      <c r="AE495" s="6">
        <f t="shared" si="140"/>
        <v>0</v>
      </c>
      <c r="AF495" s="69">
        <f t="shared" si="141"/>
        <v>3.0390411803555786</v>
      </c>
      <c r="AG495" s="6">
        <f t="shared" si="142"/>
        <v>185.38151200169028</v>
      </c>
      <c r="AH495" s="6">
        <f t="shared" si="143"/>
        <v>212</v>
      </c>
    </row>
    <row r="496" spans="8:34" x14ac:dyDescent="0.25">
      <c r="H496" s="7">
        <v>503</v>
      </c>
      <c r="I496" s="7" t="s">
        <v>9</v>
      </c>
      <c r="J496" s="8">
        <v>38540</v>
      </c>
      <c r="K496" s="12" t="s">
        <v>16</v>
      </c>
      <c r="L496" s="9">
        <v>81</v>
      </c>
      <c r="M496" s="10">
        <v>245.19138414086007</v>
      </c>
      <c r="N496" s="7" t="s">
        <v>23</v>
      </c>
      <c r="P496" s="29" t="str">
        <f t="shared" si="126"/>
        <v/>
      </c>
      <c r="Q496" s="29" t="str">
        <f t="shared" si="127"/>
        <v/>
      </c>
      <c r="R496" s="29" t="str">
        <f t="shared" si="128"/>
        <v/>
      </c>
      <c r="S496" s="29" t="str">
        <f t="shared" si="129"/>
        <v/>
      </c>
      <c r="T496" s="32" t="str">
        <f t="shared" si="130"/>
        <v/>
      </c>
      <c r="U496" s="32">
        <f t="shared" si="133"/>
        <v>1</v>
      </c>
      <c r="V496" s="32" t="str">
        <f t="shared" si="134"/>
        <v/>
      </c>
      <c r="W496" s="41">
        <f t="shared" si="131"/>
        <v>3.0270541251958032</v>
      </c>
      <c r="X496" s="6">
        <f t="shared" si="132"/>
        <v>245.19138414086007</v>
      </c>
      <c r="Y496" s="7">
        <f t="shared" si="135"/>
        <v>94</v>
      </c>
      <c r="AA496" s="7">
        <f t="shared" si="136"/>
        <v>1</v>
      </c>
      <c r="AB496" s="7">
        <f t="shared" si="137"/>
        <v>81</v>
      </c>
      <c r="AC496" s="7">
        <f t="shared" si="138"/>
        <v>0</v>
      </c>
      <c r="AD496" s="7" t="str">
        <f t="shared" si="139"/>
        <v/>
      </c>
      <c r="AE496" s="6">
        <f t="shared" si="140"/>
        <v>0</v>
      </c>
      <c r="AF496" s="69">
        <f t="shared" si="141"/>
        <v>3.0270541251958032</v>
      </c>
      <c r="AG496" s="6">
        <f t="shared" si="142"/>
        <v>0</v>
      </c>
      <c r="AH496" s="6">
        <f t="shared" si="143"/>
        <v>604</v>
      </c>
    </row>
    <row r="497" spans="8:34" x14ac:dyDescent="0.25">
      <c r="H497" s="7">
        <v>504</v>
      </c>
      <c r="I497" s="7" t="s">
        <v>11</v>
      </c>
      <c r="J497" s="8">
        <v>38342</v>
      </c>
      <c r="K497" s="12" t="s">
        <v>20</v>
      </c>
      <c r="L497" s="9">
        <v>86</v>
      </c>
      <c r="M497" s="10">
        <v>259.65061904974743</v>
      </c>
      <c r="N497" s="7" t="s">
        <v>24</v>
      </c>
      <c r="P497" s="29" t="str">
        <f t="shared" si="126"/>
        <v/>
      </c>
      <c r="Q497" s="29" t="str">
        <f t="shared" si="127"/>
        <v/>
      </c>
      <c r="R497" s="29" t="str">
        <f t="shared" si="128"/>
        <v/>
      </c>
      <c r="S497" s="29">
        <f t="shared" si="129"/>
        <v>1</v>
      </c>
      <c r="T497" s="32" t="str">
        <f t="shared" si="130"/>
        <v/>
      </c>
      <c r="U497" s="32" t="str">
        <f t="shared" si="133"/>
        <v/>
      </c>
      <c r="V497" s="32" t="str">
        <f t="shared" si="134"/>
        <v/>
      </c>
      <c r="W497" s="41">
        <f t="shared" si="131"/>
        <v>3.0191932447645051</v>
      </c>
      <c r="X497" s="6">
        <f t="shared" si="132"/>
        <v>0</v>
      </c>
      <c r="Y497" s="7">
        <f t="shared" si="135"/>
        <v>567</v>
      </c>
      <c r="AA497" s="7">
        <f t="shared" si="136"/>
        <v>0</v>
      </c>
      <c r="AB497" s="7" t="str">
        <f t="shared" si="137"/>
        <v/>
      </c>
      <c r="AC497" s="7">
        <f t="shared" si="138"/>
        <v>0</v>
      </c>
      <c r="AD497" s="7" t="str">
        <f t="shared" si="139"/>
        <v/>
      </c>
      <c r="AE497" s="6">
        <f t="shared" si="140"/>
        <v>0</v>
      </c>
      <c r="AF497" s="69">
        <f t="shared" si="141"/>
        <v>3.0191932447645051</v>
      </c>
      <c r="AG497" s="6">
        <f t="shared" si="142"/>
        <v>259.65061904974743</v>
      </c>
      <c r="AH497" s="6">
        <f t="shared" si="143"/>
        <v>56</v>
      </c>
    </row>
    <row r="498" spans="8:34" x14ac:dyDescent="0.25">
      <c r="H498" s="7">
        <v>505</v>
      </c>
      <c r="I498" s="7" t="s">
        <v>12</v>
      </c>
      <c r="J498" s="8">
        <v>38166</v>
      </c>
      <c r="K498" s="12" t="s">
        <v>16</v>
      </c>
      <c r="L498" s="9">
        <v>-6</v>
      </c>
      <c r="M498" s="10">
        <v>-16.598209454734359</v>
      </c>
      <c r="N498" s="7" t="s">
        <v>24</v>
      </c>
      <c r="P498" s="29" t="str">
        <f t="shared" si="126"/>
        <v/>
      </c>
      <c r="Q498" s="29">
        <f t="shared" si="127"/>
        <v>1</v>
      </c>
      <c r="R498" s="29" t="str">
        <f t="shared" si="128"/>
        <v/>
      </c>
      <c r="S498" s="29" t="str">
        <f t="shared" si="129"/>
        <v/>
      </c>
      <c r="T498" s="32" t="str">
        <f t="shared" si="130"/>
        <v/>
      </c>
      <c r="U498" s="32" t="str">
        <f t="shared" si="133"/>
        <v/>
      </c>
      <c r="V498" s="32" t="str">
        <f t="shared" si="134"/>
        <v/>
      </c>
      <c r="W498" s="41" t="str">
        <f t="shared" si="131"/>
        <v/>
      </c>
      <c r="X498" s="6">
        <f t="shared" si="132"/>
        <v>0</v>
      </c>
      <c r="Y498" s="7">
        <f t="shared" si="135"/>
        <v>567</v>
      </c>
      <c r="AA498" s="7">
        <f t="shared" si="136"/>
        <v>0</v>
      </c>
      <c r="AB498" s="7" t="str">
        <f t="shared" si="137"/>
        <v/>
      </c>
      <c r="AC498" s="7">
        <f t="shared" si="138"/>
        <v>0</v>
      </c>
      <c r="AD498" s="7" t="str">
        <f t="shared" si="139"/>
        <v/>
      </c>
      <c r="AE498" s="6">
        <f t="shared" si="140"/>
        <v>-6</v>
      </c>
      <c r="AF498" s="69" t="str">
        <f t="shared" si="141"/>
        <v/>
      </c>
      <c r="AG498" s="6">
        <f t="shared" si="142"/>
        <v>0</v>
      </c>
      <c r="AH498" s="6">
        <f t="shared" si="143"/>
        <v>604</v>
      </c>
    </row>
    <row r="499" spans="8:34" x14ac:dyDescent="0.25">
      <c r="H499" s="7">
        <v>506</v>
      </c>
      <c r="I499" s="7" t="s">
        <v>14</v>
      </c>
      <c r="J499" s="8">
        <v>38617</v>
      </c>
      <c r="K499" s="12" t="s">
        <v>19</v>
      </c>
      <c r="L499" s="9">
        <v>75</v>
      </c>
      <c r="M499" s="10">
        <v>226.29108110625336</v>
      </c>
      <c r="N499" s="7" t="s">
        <v>23</v>
      </c>
      <c r="P499" s="29" t="str">
        <f t="shared" si="126"/>
        <v/>
      </c>
      <c r="Q499" s="29" t="str">
        <f t="shared" si="127"/>
        <v/>
      </c>
      <c r="R499" s="29" t="str">
        <f t="shared" si="128"/>
        <v/>
      </c>
      <c r="S499" s="29" t="str">
        <f t="shared" si="129"/>
        <v/>
      </c>
      <c r="T499" s="32" t="str">
        <f t="shared" si="130"/>
        <v/>
      </c>
      <c r="U499" s="32">
        <f t="shared" si="133"/>
        <v>1</v>
      </c>
      <c r="V499" s="32" t="str">
        <f t="shared" si="134"/>
        <v/>
      </c>
      <c r="W499" s="41">
        <f t="shared" si="131"/>
        <v>3.0172144147500446</v>
      </c>
      <c r="X499" s="6">
        <f t="shared" si="132"/>
        <v>226.29108110625336</v>
      </c>
      <c r="Y499" s="7">
        <f t="shared" si="135"/>
        <v>130</v>
      </c>
      <c r="AA499" s="7">
        <f t="shared" si="136"/>
        <v>1</v>
      </c>
      <c r="AB499" s="7">
        <f t="shared" si="137"/>
        <v>75</v>
      </c>
      <c r="AC499" s="7">
        <f t="shared" si="138"/>
        <v>0</v>
      </c>
      <c r="AD499" s="7" t="str">
        <f t="shared" si="139"/>
        <v/>
      </c>
      <c r="AE499" s="6">
        <f t="shared" si="140"/>
        <v>0</v>
      </c>
      <c r="AF499" s="69">
        <f t="shared" si="141"/>
        <v>3.0172144147500446</v>
      </c>
      <c r="AG499" s="6">
        <f t="shared" si="142"/>
        <v>0</v>
      </c>
      <c r="AH499" s="6">
        <f t="shared" si="143"/>
        <v>604</v>
      </c>
    </row>
    <row r="500" spans="8:34" x14ac:dyDescent="0.25">
      <c r="H500" s="7">
        <v>507</v>
      </c>
      <c r="I500" s="7" t="s">
        <v>10</v>
      </c>
      <c r="J500" s="8">
        <v>38551</v>
      </c>
      <c r="K500" s="12" t="s">
        <v>20</v>
      </c>
      <c r="L500" s="9">
        <v>87</v>
      </c>
      <c r="M500" s="10">
        <v>262.49660177211871</v>
      </c>
      <c r="N500" s="7" t="s">
        <v>23</v>
      </c>
      <c r="P500" s="29" t="str">
        <f t="shared" si="126"/>
        <v/>
      </c>
      <c r="Q500" s="29" t="str">
        <f t="shared" si="127"/>
        <v/>
      </c>
      <c r="R500" s="29" t="str">
        <f t="shared" si="128"/>
        <v/>
      </c>
      <c r="S500" s="29" t="str">
        <f t="shared" si="129"/>
        <v/>
      </c>
      <c r="T500" s="32" t="str">
        <f t="shared" si="130"/>
        <v/>
      </c>
      <c r="U500" s="32">
        <f t="shared" si="133"/>
        <v>1</v>
      </c>
      <c r="V500" s="32" t="str">
        <f t="shared" si="134"/>
        <v/>
      </c>
      <c r="W500" s="41">
        <f t="shared" si="131"/>
        <v>3.0172023192197552</v>
      </c>
      <c r="X500" s="6">
        <f t="shared" si="132"/>
        <v>262.49660177211871</v>
      </c>
      <c r="Y500" s="7">
        <f t="shared" si="135"/>
        <v>60</v>
      </c>
      <c r="AA500" s="7">
        <f t="shared" si="136"/>
        <v>1</v>
      </c>
      <c r="AB500" s="7">
        <f t="shared" si="137"/>
        <v>87</v>
      </c>
      <c r="AC500" s="7">
        <f t="shared" si="138"/>
        <v>0</v>
      </c>
      <c r="AD500" s="7" t="str">
        <f t="shared" si="139"/>
        <v/>
      </c>
      <c r="AE500" s="6">
        <f t="shared" si="140"/>
        <v>0</v>
      </c>
      <c r="AF500" s="69">
        <f t="shared" si="141"/>
        <v>3.0172023192197552</v>
      </c>
      <c r="AG500" s="6">
        <f t="shared" si="142"/>
        <v>0</v>
      </c>
      <c r="AH500" s="6">
        <f t="shared" si="143"/>
        <v>604</v>
      </c>
    </row>
    <row r="501" spans="8:34" x14ac:dyDescent="0.25">
      <c r="H501" s="7">
        <v>508</v>
      </c>
      <c r="I501" s="7" t="s">
        <v>15</v>
      </c>
      <c r="J501" s="8">
        <v>38914</v>
      </c>
      <c r="K501" s="12" t="s">
        <v>18</v>
      </c>
      <c r="L501" s="9">
        <v>15</v>
      </c>
      <c r="M501" s="10">
        <v>47.143262888260409</v>
      </c>
      <c r="N501" s="7" t="s">
        <v>23</v>
      </c>
      <c r="P501" s="29" t="str">
        <f t="shared" si="126"/>
        <v/>
      </c>
      <c r="Q501" s="29" t="str">
        <f t="shared" si="127"/>
        <v/>
      </c>
      <c r="R501" s="29" t="str">
        <f t="shared" si="128"/>
        <v/>
      </c>
      <c r="S501" s="29" t="str">
        <f t="shared" si="129"/>
        <v/>
      </c>
      <c r="T501" s="32" t="str">
        <f t="shared" si="130"/>
        <v/>
      </c>
      <c r="U501" s="32" t="str">
        <f t="shared" si="133"/>
        <v/>
      </c>
      <c r="V501" s="32">
        <f t="shared" si="134"/>
        <v>1</v>
      </c>
      <c r="W501" s="41">
        <f t="shared" si="131"/>
        <v>3.1428841925506941</v>
      </c>
      <c r="X501" s="6">
        <f t="shared" si="132"/>
        <v>0</v>
      </c>
      <c r="Y501" s="7">
        <f t="shared" si="135"/>
        <v>567</v>
      </c>
      <c r="AA501" s="7">
        <f t="shared" si="136"/>
        <v>0</v>
      </c>
      <c r="AB501" s="7" t="str">
        <f t="shared" si="137"/>
        <v/>
      </c>
      <c r="AC501" s="7">
        <f t="shared" si="138"/>
        <v>0</v>
      </c>
      <c r="AD501" s="7" t="str">
        <f t="shared" si="139"/>
        <v/>
      </c>
      <c r="AE501" s="6">
        <f t="shared" si="140"/>
        <v>0</v>
      </c>
      <c r="AF501" s="69">
        <f t="shared" si="141"/>
        <v>3.1428841925506941</v>
      </c>
      <c r="AG501" s="6">
        <f t="shared" si="142"/>
        <v>0</v>
      </c>
      <c r="AH501" s="6">
        <f t="shared" si="143"/>
        <v>604</v>
      </c>
    </row>
    <row r="502" spans="8:34" x14ac:dyDescent="0.25">
      <c r="H502" s="7">
        <v>509</v>
      </c>
      <c r="I502" s="7" t="s">
        <v>14</v>
      </c>
      <c r="J502" s="8">
        <v>38430</v>
      </c>
      <c r="K502" s="12" t="s">
        <v>19</v>
      </c>
      <c r="L502" s="9">
        <v>6</v>
      </c>
      <c r="M502" s="10">
        <v>20.042838163999704</v>
      </c>
      <c r="N502" s="7" t="s">
        <v>24</v>
      </c>
      <c r="P502" s="29" t="str">
        <f t="shared" si="126"/>
        <v/>
      </c>
      <c r="Q502" s="29" t="str">
        <f t="shared" si="127"/>
        <v/>
      </c>
      <c r="R502" s="29" t="str">
        <f t="shared" si="128"/>
        <v/>
      </c>
      <c r="S502" s="29" t="str">
        <f t="shared" si="129"/>
        <v/>
      </c>
      <c r="T502" s="32" t="str">
        <f t="shared" si="130"/>
        <v/>
      </c>
      <c r="U502" s="32">
        <f t="shared" si="133"/>
        <v>1</v>
      </c>
      <c r="V502" s="32" t="str">
        <f t="shared" si="134"/>
        <v/>
      </c>
      <c r="W502" s="41">
        <f t="shared" si="131"/>
        <v>3.3404730273332839</v>
      </c>
      <c r="X502" s="6">
        <f t="shared" si="132"/>
        <v>20.042838163999704</v>
      </c>
      <c r="Y502" s="7">
        <f t="shared" si="135"/>
        <v>523</v>
      </c>
      <c r="AA502" s="7">
        <f t="shared" si="136"/>
        <v>1</v>
      </c>
      <c r="AB502" s="7">
        <f t="shared" si="137"/>
        <v>6</v>
      </c>
      <c r="AC502" s="7">
        <f t="shared" si="138"/>
        <v>0</v>
      </c>
      <c r="AD502" s="7" t="str">
        <f t="shared" si="139"/>
        <v/>
      </c>
      <c r="AE502" s="6">
        <f t="shared" si="140"/>
        <v>0</v>
      </c>
      <c r="AF502" s="69">
        <f t="shared" si="141"/>
        <v>3.3404730273332839</v>
      </c>
      <c r="AG502" s="6">
        <f t="shared" si="142"/>
        <v>0</v>
      </c>
      <c r="AH502" s="6">
        <f t="shared" si="143"/>
        <v>604</v>
      </c>
    </row>
    <row r="503" spans="8:34" x14ac:dyDescent="0.25">
      <c r="H503" s="7">
        <v>510</v>
      </c>
      <c r="I503" s="7" t="s">
        <v>10</v>
      </c>
      <c r="J503" s="8">
        <v>38045</v>
      </c>
      <c r="K503" s="12" t="s">
        <v>16</v>
      </c>
      <c r="L503" s="9">
        <v>4</v>
      </c>
      <c r="M503" s="10">
        <v>14.012285541104387</v>
      </c>
      <c r="N503" s="7" t="s">
        <v>24</v>
      </c>
      <c r="P503" s="29">
        <f t="shared" si="126"/>
        <v>1</v>
      </c>
      <c r="Q503" s="29" t="str">
        <f t="shared" si="127"/>
        <v/>
      </c>
      <c r="R503" s="29" t="str">
        <f t="shared" si="128"/>
        <v/>
      </c>
      <c r="S503" s="29" t="str">
        <f t="shared" si="129"/>
        <v/>
      </c>
      <c r="T503" s="32" t="str">
        <f t="shared" si="130"/>
        <v/>
      </c>
      <c r="U503" s="32" t="str">
        <f t="shared" si="133"/>
        <v/>
      </c>
      <c r="V503" s="32" t="str">
        <f t="shared" si="134"/>
        <v/>
      </c>
      <c r="W503" s="41">
        <f t="shared" si="131"/>
        <v>3.5030713852760966</v>
      </c>
      <c r="X503" s="6">
        <f t="shared" si="132"/>
        <v>0</v>
      </c>
      <c r="Y503" s="7">
        <f t="shared" si="135"/>
        <v>567</v>
      </c>
      <c r="AA503" s="7">
        <f t="shared" si="136"/>
        <v>0</v>
      </c>
      <c r="AB503" s="7" t="str">
        <f t="shared" si="137"/>
        <v/>
      </c>
      <c r="AC503" s="7">
        <f t="shared" si="138"/>
        <v>0</v>
      </c>
      <c r="AD503" s="7" t="str">
        <f t="shared" si="139"/>
        <v/>
      </c>
      <c r="AE503" s="6">
        <f t="shared" si="140"/>
        <v>0</v>
      </c>
      <c r="AF503" s="69">
        <f t="shared" si="141"/>
        <v>3.5030713852760966</v>
      </c>
      <c r="AG503" s="6">
        <f t="shared" si="142"/>
        <v>14.012285541104387</v>
      </c>
      <c r="AH503" s="6">
        <f t="shared" si="143"/>
        <v>579</v>
      </c>
    </row>
    <row r="504" spans="8:34" x14ac:dyDescent="0.25">
      <c r="H504" s="7">
        <v>511</v>
      </c>
      <c r="I504" s="7" t="s">
        <v>14</v>
      </c>
      <c r="J504" s="8">
        <v>38815</v>
      </c>
      <c r="K504" s="12" t="s">
        <v>16</v>
      </c>
      <c r="L504" s="9">
        <v>56</v>
      </c>
      <c r="M504" s="10">
        <v>169.24877716888537</v>
      </c>
      <c r="N504" s="7" t="s">
        <v>23</v>
      </c>
      <c r="P504" s="29" t="str">
        <f t="shared" si="126"/>
        <v/>
      </c>
      <c r="Q504" s="29" t="str">
        <f t="shared" si="127"/>
        <v/>
      </c>
      <c r="R504" s="29" t="str">
        <f t="shared" si="128"/>
        <v/>
      </c>
      <c r="S504" s="29" t="str">
        <f t="shared" si="129"/>
        <v/>
      </c>
      <c r="T504" s="32" t="str">
        <f t="shared" si="130"/>
        <v/>
      </c>
      <c r="U504" s="32" t="str">
        <f t="shared" si="133"/>
        <v/>
      </c>
      <c r="V504" s="32">
        <f t="shared" si="134"/>
        <v>1</v>
      </c>
      <c r="W504" s="41">
        <f t="shared" si="131"/>
        <v>3.0222995923015246</v>
      </c>
      <c r="X504" s="6">
        <f t="shared" si="132"/>
        <v>0</v>
      </c>
      <c r="Y504" s="7">
        <f t="shared" si="135"/>
        <v>567</v>
      </c>
      <c r="AA504" s="7">
        <f t="shared" si="136"/>
        <v>0</v>
      </c>
      <c r="AB504" s="7" t="str">
        <f t="shared" si="137"/>
        <v/>
      </c>
      <c r="AC504" s="7">
        <f t="shared" si="138"/>
        <v>0</v>
      </c>
      <c r="AD504" s="7" t="str">
        <f t="shared" si="139"/>
        <v/>
      </c>
      <c r="AE504" s="6">
        <f t="shared" si="140"/>
        <v>0</v>
      </c>
      <c r="AF504" s="69">
        <f t="shared" si="141"/>
        <v>3.0222995923015246</v>
      </c>
      <c r="AG504" s="6">
        <f t="shared" si="142"/>
        <v>0</v>
      </c>
      <c r="AH504" s="6">
        <f t="shared" si="143"/>
        <v>604</v>
      </c>
    </row>
    <row r="505" spans="8:34" x14ac:dyDescent="0.25">
      <c r="H505" s="7">
        <v>512</v>
      </c>
      <c r="I505" s="7" t="s">
        <v>7</v>
      </c>
      <c r="J505" s="8">
        <v>38111</v>
      </c>
      <c r="K505" s="12" t="s">
        <v>18</v>
      </c>
      <c r="L505" s="9">
        <v>76</v>
      </c>
      <c r="M505" s="10">
        <v>230.1804612249874</v>
      </c>
      <c r="N505" s="7" t="s">
        <v>21</v>
      </c>
      <c r="P505" s="29" t="str">
        <f t="shared" si="126"/>
        <v/>
      </c>
      <c r="Q505" s="29">
        <f t="shared" si="127"/>
        <v>1</v>
      </c>
      <c r="R505" s="29" t="str">
        <f t="shared" si="128"/>
        <v/>
      </c>
      <c r="S505" s="29" t="str">
        <f t="shared" si="129"/>
        <v/>
      </c>
      <c r="T505" s="32" t="str">
        <f t="shared" si="130"/>
        <v/>
      </c>
      <c r="U505" s="32" t="str">
        <f t="shared" si="133"/>
        <v/>
      </c>
      <c r="V505" s="32" t="str">
        <f t="shared" si="134"/>
        <v/>
      </c>
      <c r="W505" s="41">
        <f t="shared" si="131"/>
        <v>3.0286902792761499</v>
      </c>
      <c r="X505" s="6">
        <f t="shared" si="132"/>
        <v>0</v>
      </c>
      <c r="Y505" s="7">
        <f t="shared" si="135"/>
        <v>567</v>
      </c>
      <c r="AA505" s="7">
        <f t="shared" si="136"/>
        <v>0</v>
      </c>
      <c r="AB505" s="7" t="str">
        <f t="shared" si="137"/>
        <v/>
      </c>
      <c r="AC505" s="7">
        <f t="shared" si="138"/>
        <v>0</v>
      </c>
      <c r="AD505" s="7" t="str">
        <f t="shared" si="139"/>
        <v/>
      </c>
      <c r="AE505" s="6">
        <f t="shared" si="140"/>
        <v>0</v>
      </c>
      <c r="AF505" s="69">
        <f t="shared" si="141"/>
        <v>3.0286902792761499</v>
      </c>
      <c r="AG505" s="6">
        <f t="shared" si="142"/>
        <v>230.1804612249874</v>
      </c>
      <c r="AH505" s="6">
        <f t="shared" si="143"/>
        <v>116</v>
      </c>
    </row>
    <row r="506" spans="8:34" x14ac:dyDescent="0.25">
      <c r="H506" s="7">
        <v>513</v>
      </c>
      <c r="I506" s="7" t="s">
        <v>8</v>
      </c>
      <c r="J506" s="8">
        <v>38540</v>
      </c>
      <c r="K506" s="12" t="s">
        <v>19</v>
      </c>
      <c r="L506" s="9">
        <v>27</v>
      </c>
      <c r="M506" s="10">
        <v>82.599143929902795</v>
      </c>
      <c r="N506" s="7" t="s">
        <v>21</v>
      </c>
      <c r="P506" s="29" t="str">
        <f t="shared" si="126"/>
        <v/>
      </c>
      <c r="Q506" s="29" t="str">
        <f t="shared" si="127"/>
        <v/>
      </c>
      <c r="R506" s="29" t="str">
        <f t="shared" si="128"/>
        <v/>
      </c>
      <c r="S506" s="29" t="str">
        <f t="shared" si="129"/>
        <v/>
      </c>
      <c r="T506" s="32" t="str">
        <f t="shared" si="130"/>
        <v/>
      </c>
      <c r="U506" s="32">
        <f t="shared" si="133"/>
        <v>1</v>
      </c>
      <c r="V506" s="32" t="str">
        <f t="shared" si="134"/>
        <v/>
      </c>
      <c r="W506" s="41">
        <f t="shared" si="131"/>
        <v>3.0592275529593627</v>
      </c>
      <c r="X506" s="6">
        <f t="shared" si="132"/>
        <v>82.599143929902795</v>
      </c>
      <c r="Y506" s="7">
        <f t="shared" si="135"/>
        <v>400</v>
      </c>
      <c r="AA506" s="7">
        <f t="shared" si="136"/>
        <v>1</v>
      </c>
      <c r="AB506" s="7">
        <f t="shared" si="137"/>
        <v>27</v>
      </c>
      <c r="AC506" s="7">
        <f t="shared" si="138"/>
        <v>0</v>
      </c>
      <c r="AD506" s="7" t="str">
        <f t="shared" si="139"/>
        <v/>
      </c>
      <c r="AE506" s="6">
        <f t="shared" si="140"/>
        <v>0</v>
      </c>
      <c r="AF506" s="69">
        <f t="shared" si="141"/>
        <v>3.0592275529593627</v>
      </c>
      <c r="AG506" s="6">
        <f t="shared" si="142"/>
        <v>0</v>
      </c>
      <c r="AH506" s="6">
        <f t="shared" si="143"/>
        <v>604</v>
      </c>
    </row>
    <row r="507" spans="8:34" x14ac:dyDescent="0.25">
      <c r="H507" s="7">
        <v>514</v>
      </c>
      <c r="I507" s="7" t="s">
        <v>7</v>
      </c>
      <c r="J507" s="8">
        <v>38705</v>
      </c>
      <c r="K507" s="12" t="s">
        <v>18</v>
      </c>
      <c r="L507" s="9">
        <v>58</v>
      </c>
      <c r="M507" s="10">
        <v>175.77181619024202</v>
      </c>
      <c r="N507" s="7" t="s">
        <v>21</v>
      </c>
      <c r="P507" s="29" t="str">
        <f t="shared" si="126"/>
        <v/>
      </c>
      <c r="Q507" s="29" t="str">
        <f t="shared" si="127"/>
        <v/>
      </c>
      <c r="R507" s="29" t="str">
        <f t="shared" si="128"/>
        <v/>
      </c>
      <c r="S507" s="29" t="str">
        <f t="shared" si="129"/>
        <v/>
      </c>
      <c r="T507" s="32">
        <f t="shared" si="130"/>
        <v>1</v>
      </c>
      <c r="U507" s="32">
        <f t="shared" si="133"/>
        <v>1</v>
      </c>
      <c r="V507" s="32" t="str">
        <f t="shared" si="134"/>
        <v/>
      </c>
      <c r="W507" s="41">
        <f t="shared" si="131"/>
        <v>3.0305485550041729</v>
      </c>
      <c r="X507" s="6">
        <f t="shared" si="132"/>
        <v>175.77181619024202</v>
      </c>
      <c r="Y507" s="7">
        <f t="shared" si="135"/>
        <v>218</v>
      </c>
      <c r="AA507" s="7">
        <f t="shared" si="136"/>
        <v>0</v>
      </c>
      <c r="AB507" s="7" t="str">
        <f t="shared" si="137"/>
        <v/>
      </c>
      <c r="AC507" s="7">
        <f t="shared" si="138"/>
        <v>1</v>
      </c>
      <c r="AD507" s="7">
        <f t="shared" si="139"/>
        <v>58</v>
      </c>
      <c r="AE507" s="6">
        <f t="shared" si="140"/>
        <v>0</v>
      </c>
      <c r="AF507" s="69">
        <f t="shared" si="141"/>
        <v>3.0305485550041729</v>
      </c>
      <c r="AG507" s="6">
        <f t="shared" si="142"/>
        <v>0</v>
      </c>
      <c r="AH507" s="6">
        <f t="shared" si="143"/>
        <v>604</v>
      </c>
    </row>
    <row r="508" spans="8:34" x14ac:dyDescent="0.25">
      <c r="H508" s="7">
        <v>515</v>
      </c>
      <c r="I508" s="7" t="s">
        <v>14</v>
      </c>
      <c r="J508" s="8">
        <v>38034</v>
      </c>
      <c r="K508" s="12" t="s">
        <v>19</v>
      </c>
      <c r="L508" s="9">
        <v>67</v>
      </c>
      <c r="M508" s="10">
        <v>202.62226122372601</v>
      </c>
      <c r="N508" s="7" t="s">
        <v>24</v>
      </c>
      <c r="P508" s="29">
        <f t="shared" si="126"/>
        <v>1</v>
      </c>
      <c r="Q508" s="29" t="str">
        <f t="shared" si="127"/>
        <v/>
      </c>
      <c r="R508" s="29" t="str">
        <f t="shared" si="128"/>
        <v/>
      </c>
      <c r="S508" s="29" t="str">
        <f t="shared" si="129"/>
        <v/>
      </c>
      <c r="T508" s="32" t="str">
        <f t="shared" si="130"/>
        <v/>
      </c>
      <c r="U508" s="32" t="str">
        <f t="shared" si="133"/>
        <v/>
      </c>
      <c r="V508" s="32" t="str">
        <f t="shared" si="134"/>
        <v/>
      </c>
      <c r="W508" s="41">
        <f t="shared" si="131"/>
        <v>3.0242128540854627</v>
      </c>
      <c r="X508" s="6">
        <f t="shared" si="132"/>
        <v>0</v>
      </c>
      <c r="Y508" s="7">
        <f t="shared" si="135"/>
        <v>567</v>
      </c>
      <c r="AA508" s="7">
        <f t="shared" si="136"/>
        <v>0</v>
      </c>
      <c r="AB508" s="7" t="str">
        <f t="shared" si="137"/>
        <v/>
      </c>
      <c r="AC508" s="7">
        <f t="shared" si="138"/>
        <v>0</v>
      </c>
      <c r="AD508" s="7" t="str">
        <f t="shared" si="139"/>
        <v/>
      </c>
      <c r="AE508" s="6">
        <f t="shared" si="140"/>
        <v>0</v>
      </c>
      <c r="AF508" s="69">
        <f t="shared" si="141"/>
        <v>3.0242128540854627</v>
      </c>
      <c r="AG508" s="6">
        <f t="shared" si="142"/>
        <v>202.62226122372601</v>
      </c>
      <c r="AH508" s="6">
        <f t="shared" si="143"/>
        <v>170</v>
      </c>
    </row>
    <row r="509" spans="8:34" x14ac:dyDescent="0.25">
      <c r="H509" s="7">
        <v>516</v>
      </c>
      <c r="I509" s="7" t="s">
        <v>11</v>
      </c>
      <c r="J509" s="8">
        <v>38606</v>
      </c>
      <c r="K509" s="12" t="s">
        <v>17</v>
      </c>
      <c r="L509" s="9">
        <v>79</v>
      </c>
      <c r="M509" s="10">
        <v>238.78594564649822</v>
      </c>
      <c r="N509" s="7" t="s">
        <v>21</v>
      </c>
      <c r="P509" s="29" t="str">
        <f t="shared" si="126"/>
        <v/>
      </c>
      <c r="Q509" s="29" t="str">
        <f t="shared" si="127"/>
        <v/>
      </c>
      <c r="R509" s="29" t="str">
        <f t="shared" si="128"/>
        <v/>
      </c>
      <c r="S509" s="29" t="str">
        <f t="shared" si="129"/>
        <v/>
      </c>
      <c r="T509" s="32" t="str">
        <f t="shared" si="130"/>
        <v/>
      </c>
      <c r="U509" s="32">
        <f t="shared" si="133"/>
        <v>1</v>
      </c>
      <c r="V509" s="32" t="str">
        <f t="shared" si="134"/>
        <v/>
      </c>
      <c r="W509" s="41">
        <f t="shared" si="131"/>
        <v>3.0226069069176988</v>
      </c>
      <c r="X509" s="6">
        <f t="shared" si="132"/>
        <v>238.78594564649822</v>
      </c>
      <c r="Y509" s="7">
        <f t="shared" si="135"/>
        <v>108</v>
      </c>
      <c r="AA509" s="7">
        <f t="shared" si="136"/>
        <v>1</v>
      </c>
      <c r="AB509" s="7">
        <f t="shared" si="137"/>
        <v>79</v>
      </c>
      <c r="AC509" s="7">
        <f t="shared" si="138"/>
        <v>0</v>
      </c>
      <c r="AD509" s="7" t="str">
        <f t="shared" si="139"/>
        <v/>
      </c>
      <c r="AE509" s="6">
        <f t="shared" si="140"/>
        <v>0</v>
      </c>
      <c r="AF509" s="69">
        <f t="shared" si="141"/>
        <v>3.0226069069176988</v>
      </c>
      <c r="AG509" s="6">
        <f t="shared" si="142"/>
        <v>0</v>
      </c>
      <c r="AH509" s="6">
        <f t="shared" si="143"/>
        <v>604</v>
      </c>
    </row>
    <row r="510" spans="8:34" x14ac:dyDescent="0.25">
      <c r="H510" s="7">
        <v>517</v>
      </c>
      <c r="I510" s="7" t="s">
        <v>12</v>
      </c>
      <c r="J510" s="8">
        <v>38243</v>
      </c>
      <c r="K510" s="12" t="s">
        <v>20</v>
      </c>
      <c r="L510" s="9">
        <v>38</v>
      </c>
      <c r="M510" s="10">
        <v>116.68598743448534</v>
      </c>
      <c r="N510" s="7" t="s">
        <v>21</v>
      </c>
      <c r="P510" s="29" t="str">
        <f t="shared" si="126"/>
        <v/>
      </c>
      <c r="Q510" s="29" t="str">
        <f t="shared" si="127"/>
        <v/>
      </c>
      <c r="R510" s="29">
        <f t="shared" si="128"/>
        <v>1</v>
      </c>
      <c r="S510" s="29" t="str">
        <f t="shared" si="129"/>
        <v/>
      </c>
      <c r="T510" s="32" t="str">
        <f t="shared" si="130"/>
        <v/>
      </c>
      <c r="U510" s="32" t="str">
        <f t="shared" si="133"/>
        <v/>
      </c>
      <c r="V510" s="32" t="str">
        <f t="shared" si="134"/>
        <v/>
      </c>
      <c r="W510" s="41">
        <f t="shared" si="131"/>
        <v>3.0706838798548772</v>
      </c>
      <c r="X510" s="6">
        <f t="shared" si="132"/>
        <v>0</v>
      </c>
      <c r="Y510" s="7">
        <f t="shared" si="135"/>
        <v>567</v>
      </c>
      <c r="AA510" s="7">
        <f t="shared" si="136"/>
        <v>0</v>
      </c>
      <c r="AB510" s="7" t="str">
        <f t="shared" si="137"/>
        <v/>
      </c>
      <c r="AC510" s="7">
        <f t="shared" si="138"/>
        <v>0</v>
      </c>
      <c r="AD510" s="7" t="str">
        <f t="shared" si="139"/>
        <v/>
      </c>
      <c r="AE510" s="6">
        <f t="shared" si="140"/>
        <v>0</v>
      </c>
      <c r="AF510" s="69">
        <f t="shared" si="141"/>
        <v>3.0706838798548772</v>
      </c>
      <c r="AG510" s="6">
        <f t="shared" si="142"/>
        <v>116.68598743448534</v>
      </c>
      <c r="AH510" s="6">
        <f t="shared" si="143"/>
        <v>338</v>
      </c>
    </row>
    <row r="511" spans="8:34" x14ac:dyDescent="0.25">
      <c r="H511" s="7">
        <v>518</v>
      </c>
      <c r="I511" s="7" t="s">
        <v>7</v>
      </c>
      <c r="J511" s="8">
        <v>38078</v>
      </c>
      <c r="K511" s="12" t="s">
        <v>20</v>
      </c>
      <c r="L511" s="9">
        <v>4</v>
      </c>
      <c r="M511" s="10">
        <v>13.641635237019504</v>
      </c>
      <c r="N511" s="7" t="s">
        <v>21</v>
      </c>
      <c r="P511" s="29" t="str">
        <f t="shared" si="126"/>
        <v/>
      </c>
      <c r="Q511" s="29">
        <f t="shared" si="127"/>
        <v>1</v>
      </c>
      <c r="R511" s="29" t="str">
        <f t="shared" si="128"/>
        <v/>
      </c>
      <c r="S511" s="29" t="str">
        <f t="shared" si="129"/>
        <v/>
      </c>
      <c r="T511" s="32" t="str">
        <f t="shared" si="130"/>
        <v/>
      </c>
      <c r="U511" s="32" t="str">
        <f t="shared" si="133"/>
        <v/>
      </c>
      <c r="V511" s="32" t="str">
        <f t="shared" si="134"/>
        <v/>
      </c>
      <c r="W511" s="41">
        <f t="shared" si="131"/>
        <v>3.4104088092548759</v>
      </c>
      <c r="X511" s="6">
        <f t="shared" si="132"/>
        <v>0</v>
      </c>
      <c r="Y511" s="7">
        <f t="shared" si="135"/>
        <v>567</v>
      </c>
      <c r="AA511" s="7">
        <f t="shared" si="136"/>
        <v>0</v>
      </c>
      <c r="AB511" s="7" t="str">
        <f t="shared" si="137"/>
        <v/>
      </c>
      <c r="AC511" s="7">
        <f t="shared" si="138"/>
        <v>0</v>
      </c>
      <c r="AD511" s="7" t="str">
        <f t="shared" si="139"/>
        <v/>
      </c>
      <c r="AE511" s="6">
        <f t="shared" si="140"/>
        <v>0</v>
      </c>
      <c r="AF511" s="69">
        <f t="shared" si="141"/>
        <v>3.4104088092548759</v>
      </c>
      <c r="AG511" s="6">
        <f t="shared" si="142"/>
        <v>13.641635237019504</v>
      </c>
      <c r="AH511" s="6">
        <f t="shared" si="143"/>
        <v>581</v>
      </c>
    </row>
    <row r="512" spans="8:34" x14ac:dyDescent="0.25">
      <c r="H512" s="7">
        <v>519</v>
      </c>
      <c r="I512" s="7" t="s">
        <v>10</v>
      </c>
      <c r="J512" s="8">
        <v>38793</v>
      </c>
      <c r="K512" s="12" t="s">
        <v>16</v>
      </c>
      <c r="L512" s="9">
        <v>45</v>
      </c>
      <c r="M512" s="10">
        <v>137.06873634212499</v>
      </c>
      <c r="N512" s="7" t="s">
        <v>21</v>
      </c>
      <c r="P512" s="29" t="str">
        <f t="shared" si="126"/>
        <v/>
      </c>
      <c r="Q512" s="29" t="str">
        <f t="shared" si="127"/>
        <v/>
      </c>
      <c r="R512" s="29" t="str">
        <f t="shared" si="128"/>
        <v/>
      </c>
      <c r="S512" s="29" t="str">
        <f t="shared" si="129"/>
        <v/>
      </c>
      <c r="T512" s="32" t="str">
        <f t="shared" si="130"/>
        <v/>
      </c>
      <c r="U512" s="32" t="str">
        <f t="shared" si="133"/>
        <v/>
      </c>
      <c r="V512" s="32">
        <f t="shared" si="134"/>
        <v>1</v>
      </c>
      <c r="W512" s="41">
        <f t="shared" si="131"/>
        <v>3.0459719187138887</v>
      </c>
      <c r="X512" s="6">
        <f t="shared" si="132"/>
        <v>0</v>
      </c>
      <c r="Y512" s="7">
        <f t="shared" si="135"/>
        <v>567</v>
      </c>
      <c r="AA512" s="7">
        <f t="shared" si="136"/>
        <v>0</v>
      </c>
      <c r="AB512" s="7" t="str">
        <f t="shared" si="137"/>
        <v/>
      </c>
      <c r="AC512" s="7">
        <f t="shared" si="138"/>
        <v>0</v>
      </c>
      <c r="AD512" s="7" t="str">
        <f t="shared" si="139"/>
        <v/>
      </c>
      <c r="AE512" s="6">
        <f t="shared" si="140"/>
        <v>0</v>
      </c>
      <c r="AF512" s="69">
        <f t="shared" si="141"/>
        <v>3.0459719187138887</v>
      </c>
      <c r="AG512" s="6">
        <f t="shared" si="142"/>
        <v>0</v>
      </c>
      <c r="AH512" s="6">
        <f t="shared" si="143"/>
        <v>604</v>
      </c>
    </row>
    <row r="513" spans="8:34" x14ac:dyDescent="0.25">
      <c r="H513" s="7">
        <v>520</v>
      </c>
      <c r="I513" s="7" t="s">
        <v>7</v>
      </c>
      <c r="J513" s="8">
        <v>38122</v>
      </c>
      <c r="K513" s="12" t="s">
        <v>18</v>
      </c>
      <c r="L513" s="9">
        <v>10</v>
      </c>
      <c r="M513" s="10">
        <v>32.194899991771997</v>
      </c>
      <c r="N513" s="7" t="s">
        <v>23</v>
      </c>
      <c r="P513" s="29" t="str">
        <f t="shared" si="126"/>
        <v/>
      </c>
      <c r="Q513" s="29">
        <f t="shared" si="127"/>
        <v>1</v>
      </c>
      <c r="R513" s="29" t="str">
        <f t="shared" si="128"/>
        <v/>
      </c>
      <c r="S513" s="29" t="str">
        <f t="shared" si="129"/>
        <v/>
      </c>
      <c r="T513" s="32" t="str">
        <f t="shared" si="130"/>
        <v/>
      </c>
      <c r="U513" s="32" t="str">
        <f t="shared" si="133"/>
        <v/>
      </c>
      <c r="V513" s="32" t="str">
        <f t="shared" si="134"/>
        <v/>
      </c>
      <c r="W513" s="41">
        <f t="shared" si="131"/>
        <v>3.2194899991771999</v>
      </c>
      <c r="X513" s="6">
        <f t="shared" si="132"/>
        <v>0</v>
      </c>
      <c r="Y513" s="7">
        <f t="shared" si="135"/>
        <v>567</v>
      </c>
      <c r="AA513" s="7">
        <f t="shared" si="136"/>
        <v>0</v>
      </c>
      <c r="AB513" s="7" t="str">
        <f t="shared" si="137"/>
        <v/>
      </c>
      <c r="AC513" s="7">
        <f t="shared" si="138"/>
        <v>0</v>
      </c>
      <c r="AD513" s="7" t="str">
        <f t="shared" si="139"/>
        <v/>
      </c>
      <c r="AE513" s="6">
        <f t="shared" si="140"/>
        <v>0</v>
      </c>
      <c r="AF513" s="69">
        <f t="shared" si="141"/>
        <v>3.2194899991771999</v>
      </c>
      <c r="AG513" s="6">
        <f t="shared" si="142"/>
        <v>32.194899991771997</v>
      </c>
      <c r="AH513" s="6">
        <f t="shared" si="143"/>
        <v>525</v>
      </c>
    </row>
    <row r="514" spans="8:34" x14ac:dyDescent="0.25">
      <c r="H514" s="7">
        <v>521</v>
      </c>
      <c r="I514" s="7" t="s">
        <v>8</v>
      </c>
      <c r="J514" s="8">
        <v>38661</v>
      </c>
      <c r="K514" s="12" t="s">
        <v>18</v>
      </c>
      <c r="L514" s="9">
        <v>86</v>
      </c>
      <c r="M514" s="10">
        <v>260.39717870163332</v>
      </c>
      <c r="N514" s="7" t="s">
        <v>22</v>
      </c>
      <c r="P514" s="29" t="str">
        <f t="shared" si="126"/>
        <v/>
      </c>
      <c r="Q514" s="29" t="str">
        <f t="shared" si="127"/>
        <v/>
      </c>
      <c r="R514" s="29" t="str">
        <f t="shared" si="128"/>
        <v/>
      </c>
      <c r="S514" s="29" t="str">
        <f t="shared" si="129"/>
        <v/>
      </c>
      <c r="T514" s="32">
        <f t="shared" si="130"/>
        <v>1</v>
      </c>
      <c r="U514" s="32">
        <f t="shared" si="133"/>
        <v>1</v>
      </c>
      <c r="V514" s="32" t="str">
        <f t="shared" si="134"/>
        <v/>
      </c>
      <c r="W514" s="41">
        <f t="shared" si="131"/>
        <v>3.0278741709492247</v>
      </c>
      <c r="X514" s="6">
        <f t="shared" si="132"/>
        <v>260.39717870163332</v>
      </c>
      <c r="Y514" s="7">
        <f t="shared" si="135"/>
        <v>61</v>
      </c>
      <c r="AA514" s="7">
        <f t="shared" si="136"/>
        <v>0</v>
      </c>
      <c r="AB514" s="7" t="str">
        <f t="shared" si="137"/>
        <v/>
      </c>
      <c r="AC514" s="7">
        <f t="shared" si="138"/>
        <v>1</v>
      </c>
      <c r="AD514" s="7">
        <f t="shared" si="139"/>
        <v>86</v>
      </c>
      <c r="AE514" s="6">
        <f t="shared" si="140"/>
        <v>0</v>
      </c>
      <c r="AF514" s="69">
        <f t="shared" si="141"/>
        <v>3.0278741709492247</v>
      </c>
      <c r="AG514" s="6">
        <f t="shared" si="142"/>
        <v>0</v>
      </c>
      <c r="AH514" s="6">
        <f t="shared" si="143"/>
        <v>604</v>
      </c>
    </row>
    <row r="515" spans="8:34" x14ac:dyDescent="0.25">
      <c r="H515" s="7">
        <v>522</v>
      </c>
      <c r="I515" s="7" t="s">
        <v>15</v>
      </c>
      <c r="J515" s="8">
        <v>38848</v>
      </c>
      <c r="K515" s="12" t="s">
        <v>18</v>
      </c>
      <c r="L515" s="9">
        <v>75</v>
      </c>
      <c r="M515" s="10">
        <v>226.71443824204945</v>
      </c>
      <c r="N515" s="7" t="s">
        <v>23</v>
      </c>
      <c r="P515" s="29" t="str">
        <f t="shared" ref="P515:P578" si="144">IF(AND((MONTH(J515))&lt;4,YEAR(J515)=2004),1,"")</f>
        <v/>
      </c>
      <c r="Q515" s="29" t="str">
        <f t="shared" ref="Q515:Q578" si="145">IF(AND(3&lt;(MONTH(J515)),(MONTH(J515)&lt;7),YEAR(J515)=2004),1,"")</f>
        <v/>
      </c>
      <c r="R515" s="29" t="str">
        <f t="shared" ref="R515:R578" si="146">IF(AND(6&lt;(MONTH(J515)),(MONTH(J515)&lt;10),YEAR(J515)=2004),1,"")</f>
        <v/>
      </c>
      <c r="S515" s="29" t="str">
        <f t="shared" ref="S515:S578" si="147">IF(AND(9&lt;(MONTH(J515)),(MONTH(J515)&lt;13),YEAR(J515)=2004),1,"")</f>
        <v/>
      </c>
      <c r="T515" s="32" t="str">
        <f t="shared" ref="T515:T578" si="148">IF(AND((9&lt;MONTH(J515)),YEAR(J515)=2005),1,"")</f>
        <v/>
      </c>
      <c r="U515" s="32" t="str">
        <f t="shared" si="133"/>
        <v/>
      </c>
      <c r="V515" s="32">
        <f t="shared" si="134"/>
        <v>1</v>
      </c>
      <c r="W515" s="41">
        <f t="shared" ref="W515:W578" si="149">IF(L515&gt;0,M515/L515,"")</f>
        <v>3.0228591765606594</v>
      </c>
      <c r="X515" s="6">
        <f t="shared" ref="X515:X578" si="150">IF(U515=1,M515,0)</f>
        <v>0</v>
      </c>
      <c r="Y515" s="7">
        <f t="shared" si="135"/>
        <v>567</v>
      </c>
      <c r="AA515" s="7">
        <f t="shared" si="136"/>
        <v>0</v>
      </c>
      <c r="AB515" s="7" t="str">
        <f t="shared" si="137"/>
        <v/>
      </c>
      <c r="AC515" s="7">
        <f t="shared" si="138"/>
        <v>0</v>
      </c>
      <c r="AD515" s="7" t="str">
        <f t="shared" si="139"/>
        <v/>
      </c>
      <c r="AE515" s="6">
        <f t="shared" si="140"/>
        <v>0</v>
      </c>
      <c r="AF515" s="69">
        <f t="shared" si="141"/>
        <v>3.0228591765606594</v>
      </c>
      <c r="AG515" s="6">
        <f t="shared" si="142"/>
        <v>0</v>
      </c>
      <c r="AH515" s="6">
        <f t="shared" si="143"/>
        <v>604</v>
      </c>
    </row>
    <row r="516" spans="8:34" x14ac:dyDescent="0.25">
      <c r="H516" s="7">
        <v>523</v>
      </c>
      <c r="I516" s="7" t="s">
        <v>13</v>
      </c>
      <c r="J516" s="8">
        <v>38430</v>
      </c>
      <c r="K516" s="12" t="s">
        <v>16</v>
      </c>
      <c r="L516" s="9">
        <v>77</v>
      </c>
      <c r="M516" s="10">
        <v>232.49630521155086</v>
      </c>
      <c r="N516" s="7" t="s">
        <v>23</v>
      </c>
      <c r="P516" s="29" t="str">
        <f t="shared" si="144"/>
        <v/>
      </c>
      <c r="Q516" s="29" t="str">
        <f t="shared" si="145"/>
        <v/>
      </c>
      <c r="R516" s="29" t="str">
        <f t="shared" si="146"/>
        <v/>
      </c>
      <c r="S516" s="29" t="str">
        <f t="shared" si="147"/>
        <v/>
      </c>
      <c r="T516" s="32" t="str">
        <f t="shared" si="148"/>
        <v/>
      </c>
      <c r="U516" s="32">
        <f t="shared" ref="U516:U579" si="151">IF(YEAR(J516)=2005,1,"")</f>
        <v>1</v>
      </c>
      <c r="V516" s="32" t="str">
        <f t="shared" ref="V516:V579" si="152">IF(YEAR(J516)=2006,1,"")</f>
        <v/>
      </c>
      <c r="W516" s="41">
        <f t="shared" si="149"/>
        <v>3.0194325352149463</v>
      </c>
      <c r="X516" s="6">
        <f t="shared" si="150"/>
        <v>232.49630521155086</v>
      </c>
      <c r="Y516" s="7">
        <f t="shared" ref="Y516:Y579" si="153">RANK(X516,$X$3:$X$1893)</f>
        <v>121</v>
      </c>
      <c r="AA516" s="7">
        <f t="shared" ref="AA516:AA579" si="154">IF(AND(OR((MONTH(J516))=1,(MONTH(J516))=2,(MONTH(J516))=3,(MONTH(J516))=7,(MONTH(J516))=8,(MONTH(J516))=9),YEAR(J516)=2005),1,0)</f>
        <v>1</v>
      </c>
      <c r="AB516" s="7">
        <f t="shared" ref="AB516:AB579" si="155">IF(AA516=1,L516,"")</f>
        <v>77</v>
      </c>
      <c r="AC516" s="7">
        <f t="shared" ref="AC516:AC579" si="156">IF(AND(OR((MONTH(J516))=4,(MONTH(J516))=5,(MONTH(J516))=6,(MONTH(J516))=10,(MONTH(J516))=11,(MONTH(J516))=12),YEAR(J516)=2005),1,0)</f>
        <v>0</v>
      </c>
      <c r="AD516" s="7" t="str">
        <f t="shared" ref="AD516:AD579" si="157">IF(AC516=1,L516,"")</f>
        <v/>
      </c>
      <c r="AE516" s="6">
        <f t="shared" ref="AE516:AE579" si="158">IF(L516&lt;0,L516,0)</f>
        <v>0</v>
      </c>
      <c r="AF516" s="69">
        <f t="shared" ref="AF516:AF579" si="159">IF(L516&gt;0,W516,"")</f>
        <v>3.0194325352149463</v>
      </c>
      <c r="AG516" s="6">
        <f t="shared" ref="AG516:AG579" si="160">IF(AND((M516&gt;0),(YEAR(J516)=2004)),M516,0)</f>
        <v>0</v>
      </c>
      <c r="AH516" s="6">
        <f t="shared" ref="AH516:AH579" si="161">RANK(AG516,$AG$3:$AG$1893)</f>
        <v>604</v>
      </c>
    </row>
    <row r="517" spans="8:34" x14ac:dyDescent="0.25">
      <c r="H517" s="7">
        <v>524</v>
      </c>
      <c r="I517" s="7" t="s">
        <v>13</v>
      </c>
      <c r="J517" s="8">
        <v>38067</v>
      </c>
      <c r="K517" s="12" t="s">
        <v>16</v>
      </c>
      <c r="L517" s="9">
        <v>10</v>
      </c>
      <c r="M517" s="10">
        <v>31.818132134554009</v>
      </c>
      <c r="N517" s="7" t="s">
        <v>23</v>
      </c>
      <c r="P517" s="29">
        <f t="shared" si="144"/>
        <v>1</v>
      </c>
      <c r="Q517" s="29" t="str">
        <f t="shared" si="145"/>
        <v/>
      </c>
      <c r="R517" s="29" t="str">
        <f t="shared" si="146"/>
        <v/>
      </c>
      <c r="S517" s="29" t="str">
        <f t="shared" si="147"/>
        <v/>
      </c>
      <c r="T517" s="32" t="str">
        <f t="shared" si="148"/>
        <v/>
      </c>
      <c r="U517" s="32" t="str">
        <f t="shared" si="151"/>
        <v/>
      </c>
      <c r="V517" s="32" t="str">
        <f t="shared" si="152"/>
        <v/>
      </c>
      <c r="W517" s="41">
        <f t="shared" si="149"/>
        <v>3.1818132134554009</v>
      </c>
      <c r="X517" s="6">
        <f t="shared" si="150"/>
        <v>0</v>
      </c>
      <c r="Y517" s="7">
        <f t="shared" si="153"/>
        <v>567</v>
      </c>
      <c r="AA517" s="7">
        <f t="shared" si="154"/>
        <v>0</v>
      </c>
      <c r="AB517" s="7" t="str">
        <f t="shared" si="155"/>
        <v/>
      </c>
      <c r="AC517" s="7">
        <f t="shared" si="156"/>
        <v>0</v>
      </c>
      <c r="AD517" s="7" t="str">
        <f t="shared" si="157"/>
        <v/>
      </c>
      <c r="AE517" s="6">
        <f t="shared" si="158"/>
        <v>0</v>
      </c>
      <c r="AF517" s="69">
        <f t="shared" si="159"/>
        <v>3.1818132134554009</v>
      </c>
      <c r="AG517" s="6">
        <f t="shared" si="160"/>
        <v>31.818132134554009</v>
      </c>
      <c r="AH517" s="6">
        <f t="shared" si="161"/>
        <v>529</v>
      </c>
    </row>
    <row r="518" spans="8:34" x14ac:dyDescent="0.25">
      <c r="H518" s="7">
        <v>525</v>
      </c>
      <c r="I518" s="7" t="s">
        <v>12</v>
      </c>
      <c r="J518" s="8">
        <v>38265</v>
      </c>
      <c r="K518" s="12" t="s">
        <v>18</v>
      </c>
      <c r="L518" s="9">
        <v>62</v>
      </c>
      <c r="M518" s="10">
        <v>188.38088235582651</v>
      </c>
      <c r="N518" s="7" t="s">
        <v>23</v>
      </c>
      <c r="P518" s="29" t="str">
        <f t="shared" si="144"/>
        <v/>
      </c>
      <c r="Q518" s="29" t="str">
        <f t="shared" si="145"/>
        <v/>
      </c>
      <c r="R518" s="29" t="str">
        <f t="shared" si="146"/>
        <v/>
      </c>
      <c r="S518" s="29">
        <f t="shared" si="147"/>
        <v>1</v>
      </c>
      <c r="T518" s="32" t="str">
        <f t="shared" si="148"/>
        <v/>
      </c>
      <c r="U518" s="32" t="str">
        <f t="shared" si="151"/>
        <v/>
      </c>
      <c r="V518" s="32" t="str">
        <f t="shared" si="152"/>
        <v/>
      </c>
      <c r="W518" s="41">
        <f t="shared" si="149"/>
        <v>3.0384013283197824</v>
      </c>
      <c r="X518" s="6">
        <f t="shared" si="150"/>
        <v>0</v>
      </c>
      <c r="Y518" s="7">
        <f t="shared" si="153"/>
        <v>567</v>
      </c>
      <c r="AA518" s="7">
        <f t="shared" si="154"/>
        <v>0</v>
      </c>
      <c r="AB518" s="7" t="str">
        <f t="shared" si="155"/>
        <v/>
      </c>
      <c r="AC518" s="7">
        <f t="shared" si="156"/>
        <v>0</v>
      </c>
      <c r="AD518" s="7" t="str">
        <f t="shared" si="157"/>
        <v/>
      </c>
      <c r="AE518" s="6">
        <f t="shared" si="158"/>
        <v>0</v>
      </c>
      <c r="AF518" s="69">
        <f t="shared" si="159"/>
        <v>3.0384013283197824</v>
      </c>
      <c r="AG518" s="6">
        <f t="shared" si="160"/>
        <v>188.38088235582651</v>
      </c>
      <c r="AH518" s="6">
        <f t="shared" si="161"/>
        <v>202</v>
      </c>
    </row>
    <row r="519" spans="8:34" x14ac:dyDescent="0.25">
      <c r="H519" s="7">
        <v>526</v>
      </c>
      <c r="I519" s="7" t="s">
        <v>7</v>
      </c>
      <c r="J519" s="8">
        <v>38012</v>
      </c>
      <c r="K519" s="12" t="s">
        <v>17</v>
      </c>
      <c r="L519" s="9">
        <v>73</v>
      </c>
      <c r="M519" s="10">
        <v>221.29214849175239</v>
      </c>
      <c r="N519" s="7" t="s">
        <v>24</v>
      </c>
      <c r="P519" s="29">
        <f t="shared" si="144"/>
        <v>1</v>
      </c>
      <c r="Q519" s="29" t="str">
        <f t="shared" si="145"/>
        <v/>
      </c>
      <c r="R519" s="29" t="str">
        <f t="shared" si="146"/>
        <v/>
      </c>
      <c r="S519" s="29" t="str">
        <f t="shared" si="147"/>
        <v/>
      </c>
      <c r="T519" s="32" t="str">
        <f t="shared" si="148"/>
        <v/>
      </c>
      <c r="U519" s="32" t="str">
        <f t="shared" si="151"/>
        <v/>
      </c>
      <c r="V519" s="32" t="str">
        <f t="shared" si="152"/>
        <v/>
      </c>
      <c r="W519" s="41">
        <f t="shared" si="149"/>
        <v>3.0313992944075667</v>
      </c>
      <c r="X519" s="6">
        <f t="shared" si="150"/>
        <v>0</v>
      </c>
      <c r="Y519" s="7">
        <f t="shared" si="153"/>
        <v>567</v>
      </c>
      <c r="AA519" s="7">
        <f t="shared" si="154"/>
        <v>0</v>
      </c>
      <c r="AB519" s="7" t="str">
        <f t="shared" si="155"/>
        <v/>
      </c>
      <c r="AC519" s="7">
        <f t="shared" si="156"/>
        <v>0</v>
      </c>
      <c r="AD519" s="7" t="str">
        <f t="shared" si="157"/>
        <v/>
      </c>
      <c r="AE519" s="6">
        <f t="shared" si="158"/>
        <v>0</v>
      </c>
      <c r="AF519" s="69">
        <f t="shared" si="159"/>
        <v>3.0313992944075667</v>
      </c>
      <c r="AG519" s="6">
        <f t="shared" si="160"/>
        <v>221.29214849175239</v>
      </c>
      <c r="AH519" s="6">
        <f t="shared" si="161"/>
        <v>131</v>
      </c>
    </row>
    <row r="520" spans="8:34" x14ac:dyDescent="0.25">
      <c r="H520" s="7">
        <v>527</v>
      </c>
      <c r="I520" s="7" t="s">
        <v>14</v>
      </c>
      <c r="J520" s="8">
        <v>38001</v>
      </c>
      <c r="K520" s="12" t="s">
        <v>18</v>
      </c>
      <c r="L520" s="9">
        <v>62</v>
      </c>
      <c r="M520" s="10">
        <v>187.23352558776915</v>
      </c>
      <c r="N520" s="7" t="s">
        <v>21</v>
      </c>
      <c r="P520" s="29">
        <f t="shared" si="144"/>
        <v>1</v>
      </c>
      <c r="Q520" s="29" t="str">
        <f t="shared" si="145"/>
        <v/>
      </c>
      <c r="R520" s="29" t="str">
        <f t="shared" si="146"/>
        <v/>
      </c>
      <c r="S520" s="29" t="str">
        <f t="shared" si="147"/>
        <v/>
      </c>
      <c r="T520" s="32" t="str">
        <f t="shared" si="148"/>
        <v/>
      </c>
      <c r="U520" s="32" t="str">
        <f t="shared" si="151"/>
        <v/>
      </c>
      <c r="V520" s="32" t="str">
        <f t="shared" si="152"/>
        <v/>
      </c>
      <c r="W520" s="41">
        <f t="shared" si="149"/>
        <v>3.0198955739962767</v>
      </c>
      <c r="X520" s="6">
        <f t="shared" si="150"/>
        <v>0</v>
      </c>
      <c r="Y520" s="7">
        <f t="shared" si="153"/>
        <v>567</v>
      </c>
      <c r="AA520" s="7">
        <f t="shared" si="154"/>
        <v>0</v>
      </c>
      <c r="AB520" s="7" t="str">
        <f t="shared" si="155"/>
        <v/>
      </c>
      <c r="AC520" s="7">
        <f t="shared" si="156"/>
        <v>0</v>
      </c>
      <c r="AD520" s="7" t="str">
        <f t="shared" si="157"/>
        <v/>
      </c>
      <c r="AE520" s="6">
        <f t="shared" si="158"/>
        <v>0</v>
      </c>
      <c r="AF520" s="69">
        <f t="shared" si="159"/>
        <v>3.0198955739962767</v>
      </c>
      <c r="AG520" s="6">
        <f t="shared" si="160"/>
        <v>187.23352558776915</v>
      </c>
      <c r="AH520" s="6">
        <f t="shared" si="161"/>
        <v>210</v>
      </c>
    </row>
    <row r="521" spans="8:34" x14ac:dyDescent="0.25">
      <c r="H521" s="7">
        <v>528</v>
      </c>
      <c r="I521" s="7" t="s">
        <v>10</v>
      </c>
      <c r="J521" s="8">
        <v>38892</v>
      </c>
      <c r="K521" s="12" t="s">
        <v>20</v>
      </c>
      <c r="L521" s="9">
        <v>11</v>
      </c>
      <c r="M521" s="10">
        <v>35.723241285873279</v>
      </c>
      <c r="N521" s="7" t="s">
        <v>24</v>
      </c>
      <c r="P521" s="29" t="str">
        <f t="shared" si="144"/>
        <v/>
      </c>
      <c r="Q521" s="29" t="str">
        <f t="shared" si="145"/>
        <v/>
      </c>
      <c r="R521" s="29" t="str">
        <f t="shared" si="146"/>
        <v/>
      </c>
      <c r="S521" s="29" t="str">
        <f t="shared" si="147"/>
        <v/>
      </c>
      <c r="T521" s="32" t="str">
        <f t="shared" si="148"/>
        <v/>
      </c>
      <c r="U521" s="32" t="str">
        <f t="shared" si="151"/>
        <v/>
      </c>
      <c r="V521" s="32">
        <f t="shared" si="152"/>
        <v>1</v>
      </c>
      <c r="W521" s="41">
        <f t="shared" si="149"/>
        <v>3.2475673896248436</v>
      </c>
      <c r="X521" s="6">
        <f t="shared" si="150"/>
        <v>0</v>
      </c>
      <c r="Y521" s="7">
        <f t="shared" si="153"/>
        <v>567</v>
      </c>
      <c r="AA521" s="7">
        <f t="shared" si="154"/>
        <v>0</v>
      </c>
      <c r="AB521" s="7" t="str">
        <f t="shared" si="155"/>
        <v/>
      </c>
      <c r="AC521" s="7">
        <f t="shared" si="156"/>
        <v>0</v>
      </c>
      <c r="AD521" s="7" t="str">
        <f t="shared" si="157"/>
        <v/>
      </c>
      <c r="AE521" s="6">
        <f t="shared" si="158"/>
        <v>0</v>
      </c>
      <c r="AF521" s="69">
        <f t="shared" si="159"/>
        <v>3.2475673896248436</v>
      </c>
      <c r="AG521" s="6">
        <f t="shared" si="160"/>
        <v>0</v>
      </c>
      <c r="AH521" s="6">
        <f t="shared" si="161"/>
        <v>604</v>
      </c>
    </row>
    <row r="522" spans="8:34" x14ac:dyDescent="0.25">
      <c r="H522" s="7">
        <v>529</v>
      </c>
      <c r="I522" s="7" t="s">
        <v>8</v>
      </c>
      <c r="J522" s="8">
        <v>38705</v>
      </c>
      <c r="K522" s="12" t="s">
        <v>20</v>
      </c>
      <c r="L522" s="9">
        <v>28</v>
      </c>
      <c r="M522" s="10">
        <v>86.078223340302799</v>
      </c>
      <c r="N522" s="7" t="s">
        <v>21</v>
      </c>
      <c r="P522" s="29" t="str">
        <f t="shared" si="144"/>
        <v/>
      </c>
      <c r="Q522" s="29" t="str">
        <f t="shared" si="145"/>
        <v/>
      </c>
      <c r="R522" s="29" t="str">
        <f t="shared" si="146"/>
        <v/>
      </c>
      <c r="S522" s="29" t="str">
        <f t="shared" si="147"/>
        <v/>
      </c>
      <c r="T522" s="32">
        <f t="shared" si="148"/>
        <v>1</v>
      </c>
      <c r="U522" s="32">
        <f t="shared" si="151"/>
        <v>1</v>
      </c>
      <c r="V522" s="32" t="str">
        <f t="shared" si="152"/>
        <v/>
      </c>
      <c r="W522" s="41">
        <f t="shared" si="149"/>
        <v>3.0742222621536714</v>
      </c>
      <c r="X522" s="6">
        <f t="shared" si="150"/>
        <v>86.078223340302799</v>
      </c>
      <c r="Y522" s="7">
        <f t="shared" si="153"/>
        <v>387</v>
      </c>
      <c r="AA522" s="7">
        <f t="shared" si="154"/>
        <v>0</v>
      </c>
      <c r="AB522" s="7" t="str">
        <f t="shared" si="155"/>
        <v/>
      </c>
      <c r="AC522" s="7">
        <f t="shared" si="156"/>
        <v>1</v>
      </c>
      <c r="AD522" s="7">
        <f t="shared" si="157"/>
        <v>28</v>
      </c>
      <c r="AE522" s="6">
        <f t="shared" si="158"/>
        <v>0</v>
      </c>
      <c r="AF522" s="69">
        <f t="shared" si="159"/>
        <v>3.0742222621536714</v>
      </c>
      <c r="AG522" s="6">
        <f t="shared" si="160"/>
        <v>0</v>
      </c>
      <c r="AH522" s="6">
        <f t="shared" si="161"/>
        <v>604</v>
      </c>
    </row>
    <row r="523" spans="8:34" x14ac:dyDescent="0.25">
      <c r="H523" s="7">
        <v>530</v>
      </c>
      <c r="I523" s="7" t="s">
        <v>8</v>
      </c>
      <c r="J523" s="8">
        <v>38221</v>
      </c>
      <c r="K523" s="12" t="s">
        <v>20</v>
      </c>
      <c r="L523" s="9">
        <v>57</v>
      </c>
      <c r="M523" s="10">
        <v>172.3620870689609</v>
      </c>
      <c r="N523" s="7" t="s">
        <v>23</v>
      </c>
      <c r="P523" s="29" t="str">
        <f t="shared" si="144"/>
        <v/>
      </c>
      <c r="Q523" s="29" t="str">
        <f t="shared" si="145"/>
        <v/>
      </c>
      <c r="R523" s="29">
        <f t="shared" si="146"/>
        <v>1</v>
      </c>
      <c r="S523" s="29" t="str">
        <f t="shared" si="147"/>
        <v/>
      </c>
      <c r="T523" s="32" t="str">
        <f t="shared" si="148"/>
        <v/>
      </c>
      <c r="U523" s="32" t="str">
        <f t="shared" si="151"/>
        <v/>
      </c>
      <c r="V523" s="32" t="str">
        <f t="shared" si="152"/>
        <v/>
      </c>
      <c r="W523" s="41">
        <f t="shared" si="149"/>
        <v>3.023896264367735</v>
      </c>
      <c r="X523" s="6">
        <f t="shared" si="150"/>
        <v>0</v>
      </c>
      <c r="Y523" s="7">
        <f t="shared" si="153"/>
        <v>567</v>
      </c>
      <c r="AA523" s="7">
        <f t="shared" si="154"/>
        <v>0</v>
      </c>
      <c r="AB523" s="7" t="str">
        <f t="shared" si="155"/>
        <v/>
      </c>
      <c r="AC523" s="7">
        <f t="shared" si="156"/>
        <v>0</v>
      </c>
      <c r="AD523" s="7" t="str">
        <f t="shared" si="157"/>
        <v/>
      </c>
      <c r="AE523" s="6">
        <f t="shared" si="158"/>
        <v>0</v>
      </c>
      <c r="AF523" s="69">
        <f t="shared" si="159"/>
        <v>3.023896264367735</v>
      </c>
      <c r="AG523" s="6">
        <f t="shared" si="160"/>
        <v>172.3620870689609</v>
      </c>
      <c r="AH523" s="6">
        <f t="shared" si="161"/>
        <v>233</v>
      </c>
    </row>
    <row r="524" spans="8:34" x14ac:dyDescent="0.25">
      <c r="H524" s="7">
        <v>531</v>
      </c>
      <c r="I524" s="7" t="s">
        <v>15</v>
      </c>
      <c r="J524" s="8">
        <v>38331</v>
      </c>
      <c r="K524" s="12" t="s">
        <v>16</v>
      </c>
      <c r="L524" s="9">
        <v>34</v>
      </c>
      <c r="M524" s="10">
        <v>103.4937406460938</v>
      </c>
      <c r="N524" s="7" t="s">
        <v>21</v>
      </c>
      <c r="P524" s="29" t="str">
        <f t="shared" si="144"/>
        <v/>
      </c>
      <c r="Q524" s="29" t="str">
        <f t="shared" si="145"/>
        <v/>
      </c>
      <c r="R524" s="29" t="str">
        <f t="shared" si="146"/>
        <v/>
      </c>
      <c r="S524" s="29">
        <f t="shared" si="147"/>
        <v>1</v>
      </c>
      <c r="T524" s="32" t="str">
        <f t="shared" si="148"/>
        <v/>
      </c>
      <c r="U524" s="32" t="str">
        <f t="shared" si="151"/>
        <v/>
      </c>
      <c r="V524" s="32" t="str">
        <f t="shared" si="152"/>
        <v/>
      </c>
      <c r="W524" s="41">
        <f t="shared" si="149"/>
        <v>3.0439335484145236</v>
      </c>
      <c r="X524" s="6">
        <f t="shared" si="150"/>
        <v>0</v>
      </c>
      <c r="Y524" s="7">
        <f t="shared" si="153"/>
        <v>567</v>
      </c>
      <c r="AA524" s="7">
        <f t="shared" si="154"/>
        <v>0</v>
      </c>
      <c r="AB524" s="7" t="str">
        <f t="shared" si="155"/>
        <v/>
      </c>
      <c r="AC524" s="7">
        <f t="shared" si="156"/>
        <v>0</v>
      </c>
      <c r="AD524" s="7" t="str">
        <f t="shared" si="157"/>
        <v/>
      </c>
      <c r="AE524" s="6">
        <f t="shared" si="158"/>
        <v>0</v>
      </c>
      <c r="AF524" s="69">
        <f t="shared" si="159"/>
        <v>3.0439335484145236</v>
      </c>
      <c r="AG524" s="6">
        <f t="shared" si="160"/>
        <v>103.4937406460938</v>
      </c>
      <c r="AH524" s="6">
        <f t="shared" si="161"/>
        <v>367</v>
      </c>
    </row>
    <row r="525" spans="8:34" x14ac:dyDescent="0.25">
      <c r="H525" s="7">
        <v>532</v>
      </c>
      <c r="I525" s="7" t="s">
        <v>14</v>
      </c>
      <c r="J525" s="8">
        <v>38639</v>
      </c>
      <c r="K525" s="12" t="s">
        <v>16</v>
      </c>
      <c r="L525" s="9">
        <v>89</v>
      </c>
      <c r="M525" s="10">
        <v>267.86415015075153</v>
      </c>
      <c r="N525" s="7" t="s">
        <v>23</v>
      </c>
      <c r="P525" s="29" t="str">
        <f t="shared" si="144"/>
        <v/>
      </c>
      <c r="Q525" s="29" t="str">
        <f t="shared" si="145"/>
        <v/>
      </c>
      <c r="R525" s="29" t="str">
        <f t="shared" si="146"/>
        <v/>
      </c>
      <c r="S525" s="29" t="str">
        <f t="shared" si="147"/>
        <v/>
      </c>
      <c r="T525" s="32">
        <f t="shared" si="148"/>
        <v>1</v>
      </c>
      <c r="U525" s="32">
        <f t="shared" si="151"/>
        <v>1</v>
      </c>
      <c r="V525" s="32" t="str">
        <f t="shared" si="152"/>
        <v/>
      </c>
      <c r="W525" s="41">
        <f t="shared" si="149"/>
        <v>3.009709552255635</v>
      </c>
      <c r="X525" s="6">
        <f t="shared" si="150"/>
        <v>267.86415015075153</v>
      </c>
      <c r="Y525" s="7">
        <f t="shared" si="153"/>
        <v>52</v>
      </c>
      <c r="AA525" s="7">
        <f t="shared" si="154"/>
        <v>0</v>
      </c>
      <c r="AB525" s="7" t="str">
        <f t="shared" si="155"/>
        <v/>
      </c>
      <c r="AC525" s="7">
        <f t="shared" si="156"/>
        <v>1</v>
      </c>
      <c r="AD525" s="7">
        <f t="shared" si="157"/>
        <v>89</v>
      </c>
      <c r="AE525" s="6">
        <f t="shared" si="158"/>
        <v>0</v>
      </c>
      <c r="AF525" s="69">
        <f t="shared" si="159"/>
        <v>3.009709552255635</v>
      </c>
      <c r="AG525" s="6">
        <f t="shared" si="160"/>
        <v>0</v>
      </c>
      <c r="AH525" s="6">
        <f t="shared" si="161"/>
        <v>604</v>
      </c>
    </row>
    <row r="526" spans="8:34" x14ac:dyDescent="0.25">
      <c r="H526" s="7">
        <v>533</v>
      </c>
      <c r="I526" s="7" t="s">
        <v>8</v>
      </c>
      <c r="J526" s="8">
        <v>38254</v>
      </c>
      <c r="K526" s="12" t="s">
        <v>17</v>
      </c>
      <c r="L526" s="9">
        <v>32</v>
      </c>
      <c r="M526" s="10">
        <v>97.889348643674225</v>
      </c>
      <c r="N526" s="7" t="s">
        <v>22</v>
      </c>
      <c r="P526" s="29" t="str">
        <f t="shared" si="144"/>
        <v/>
      </c>
      <c r="Q526" s="29" t="str">
        <f t="shared" si="145"/>
        <v/>
      </c>
      <c r="R526" s="29">
        <f t="shared" si="146"/>
        <v>1</v>
      </c>
      <c r="S526" s="29" t="str">
        <f t="shared" si="147"/>
        <v/>
      </c>
      <c r="T526" s="32" t="str">
        <f t="shared" si="148"/>
        <v/>
      </c>
      <c r="U526" s="32" t="str">
        <f t="shared" si="151"/>
        <v/>
      </c>
      <c r="V526" s="32" t="str">
        <f t="shared" si="152"/>
        <v/>
      </c>
      <c r="W526" s="41">
        <f t="shared" si="149"/>
        <v>3.0590421451148195</v>
      </c>
      <c r="X526" s="6">
        <f t="shared" si="150"/>
        <v>0</v>
      </c>
      <c r="Y526" s="7">
        <f t="shared" si="153"/>
        <v>567</v>
      </c>
      <c r="AA526" s="7">
        <f t="shared" si="154"/>
        <v>0</v>
      </c>
      <c r="AB526" s="7" t="str">
        <f t="shared" si="155"/>
        <v/>
      </c>
      <c r="AC526" s="7">
        <f t="shared" si="156"/>
        <v>0</v>
      </c>
      <c r="AD526" s="7" t="str">
        <f t="shared" si="157"/>
        <v/>
      </c>
      <c r="AE526" s="6">
        <f t="shared" si="158"/>
        <v>0</v>
      </c>
      <c r="AF526" s="69">
        <f t="shared" si="159"/>
        <v>3.0590421451148195</v>
      </c>
      <c r="AG526" s="6">
        <f t="shared" si="160"/>
        <v>97.889348643674225</v>
      </c>
      <c r="AH526" s="6">
        <f t="shared" si="161"/>
        <v>381</v>
      </c>
    </row>
    <row r="527" spans="8:34" x14ac:dyDescent="0.25">
      <c r="H527" s="7">
        <v>534</v>
      </c>
      <c r="I527" s="7" t="s">
        <v>10</v>
      </c>
      <c r="J527" s="8">
        <v>39046</v>
      </c>
      <c r="K527" s="12" t="s">
        <v>16</v>
      </c>
      <c r="L527" s="9">
        <v>38</v>
      </c>
      <c r="M527" s="10">
        <v>116.04458768996518</v>
      </c>
      <c r="N527" s="7" t="s">
        <v>24</v>
      </c>
      <c r="P527" s="29" t="str">
        <f t="shared" si="144"/>
        <v/>
      </c>
      <c r="Q527" s="29" t="str">
        <f t="shared" si="145"/>
        <v/>
      </c>
      <c r="R527" s="29" t="str">
        <f t="shared" si="146"/>
        <v/>
      </c>
      <c r="S527" s="29" t="str">
        <f t="shared" si="147"/>
        <v/>
      </c>
      <c r="T527" s="32" t="str">
        <f t="shared" si="148"/>
        <v/>
      </c>
      <c r="U527" s="32" t="str">
        <f t="shared" si="151"/>
        <v/>
      </c>
      <c r="V527" s="32">
        <f t="shared" si="152"/>
        <v>1</v>
      </c>
      <c r="W527" s="41">
        <f t="shared" si="149"/>
        <v>3.05380493920961</v>
      </c>
      <c r="X527" s="6">
        <f t="shared" si="150"/>
        <v>0</v>
      </c>
      <c r="Y527" s="7">
        <f t="shared" si="153"/>
        <v>567</v>
      </c>
      <c r="AA527" s="7">
        <f t="shared" si="154"/>
        <v>0</v>
      </c>
      <c r="AB527" s="7" t="str">
        <f t="shared" si="155"/>
        <v/>
      </c>
      <c r="AC527" s="7">
        <f t="shared" si="156"/>
        <v>0</v>
      </c>
      <c r="AD527" s="7" t="str">
        <f t="shared" si="157"/>
        <v/>
      </c>
      <c r="AE527" s="6">
        <f t="shared" si="158"/>
        <v>0</v>
      </c>
      <c r="AF527" s="69">
        <f t="shared" si="159"/>
        <v>3.05380493920961</v>
      </c>
      <c r="AG527" s="6">
        <f t="shared" si="160"/>
        <v>0</v>
      </c>
      <c r="AH527" s="6">
        <f t="shared" si="161"/>
        <v>604</v>
      </c>
    </row>
    <row r="528" spans="8:34" x14ac:dyDescent="0.25">
      <c r="H528" s="7">
        <v>535</v>
      </c>
      <c r="I528" s="7" t="s">
        <v>12</v>
      </c>
      <c r="J528" s="8">
        <v>38584</v>
      </c>
      <c r="K528" s="12" t="s">
        <v>17</v>
      </c>
      <c r="L528" s="9">
        <v>82</v>
      </c>
      <c r="M528" s="10">
        <v>248.04707692390426</v>
      </c>
      <c r="N528" s="7" t="s">
        <v>24</v>
      </c>
      <c r="P528" s="29" t="str">
        <f t="shared" si="144"/>
        <v/>
      </c>
      <c r="Q528" s="29" t="str">
        <f t="shared" si="145"/>
        <v/>
      </c>
      <c r="R528" s="29" t="str">
        <f t="shared" si="146"/>
        <v/>
      </c>
      <c r="S528" s="29" t="str">
        <f t="shared" si="147"/>
        <v/>
      </c>
      <c r="T528" s="32" t="str">
        <f t="shared" si="148"/>
        <v/>
      </c>
      <c r="U528" s="32">
        <f t="shared" si="151"/>
        <v>1</v>
      </c>
      <c r="V528" s="32" t="str">
        <f t="shared" si="152"/>
        <v/>
      </c>
      <c r="W528" s="41">
        <f t="shared" si="149"/>
        <v>3.0249643527305397</v>
      </c>
      <c r="X528" s="6">
        <f t="shared" si="150"/>
        <v>248.04707692390426</v>
      </c>
      <c r="Y528" s="7">
        <f t="shared" si="153"/>
        <v>87</v>
      </c>
      <c r="AA528" s="7">
        <f t="shared" si="154"/>
        <v>1</v>
      </c>
      <c r="AB528" s="7">
        <f t="shared" si="155"/>
        <v>82</v>
      </c>
      <c r="AC528" s="7">
        <f t="shared" si="156"/>
        <v>0</v>
      </c>
      <c r="AD528" s="7" t="str">
        <f t="shared" si="157"/>
        <v/>
      </c>
      <c r="AE528" s="6">
        <f t="shared" si="158"/>
        <v>0</v>
      </c>
      <c r="AF528" s="69">
        <f t="shared" si="159"/>
        <v>3.0249643527305397</v>
      </c>
      <c r="AG528" s="6">
        <f t="shared" si="160"/>
        <v>0</v>
      </c>
      <c r="AH528" s="6">
        <f t="shared" si="161"/>
        <v>604</v>
      </c>
    </row>
    <row r="529" spans="8:34" x14ac:dyDescent="0.25">
      <c r="H529" s="7">
        <v>536</v>
      </c>
      <c r="I529" s="7" t="s">
        <v>14</v>
      </c>
      <c r="J529" s="8">
        <v>38133</v>
      </c>
      <c r="K529" s="12" t="s">
        <v>18</v>
      </c>
      <c r="L529" s="9">
        <v>29</v>
      </c>
      <c r="M529" s="10">
        <v>89.294687359204545</v>
      </c>
      <c r="N529" s="7" t="s">
        <v>21</v>
      </c>
      <c r="P529" s="29" t="str">
        <f t="shared" si="144"/>
        <v/>
      </c>
      <c r="Q529" s="29">
        <f t="shared" si="145"/>
        <v>1</v>
      </c>
      <c r="R529" s="29" t="str">
        <f t="shared" si="146"/>
        <v/>
      </c>
      <c r="S529" s="29" t="str">
        <f t="shared" si="147"/>
        <v/>
      </c>
      <c r="T529" s="32" t="str">
        <f t="shared" si="148"/>
        <v/>
      </c>
      <c r="U529" s="32" t="str">
        <f t="shared" si="151"/>
        <v/>
      </c>
      <c r="V529" s="32" t="str">
        <f t="shared" si="152"/>
        <v/>
      </c>
      <c r="W529" s="41">
        <f t="shared" si="149"/>
        <v>3.0791271503173983</v>
      </c>
      <c r="X529" s="6">
        <f t="shared" si="150"/>
        <v>0</v>
      </c>
      <c r="Y529" s="7">
        <f t="shared" si="153"/>
        <v>567</v>
      </c>
      <c r="AA529" s="7">
        <f t="shared" si="154"/>
        <v>0</v>
      </c>
      <c r="AB529" s="7" t="str">
        <f t="shared" si="155"/>
        <v/>
      </c>
      <c r="AC529" s="7">
        <f t="shared" si="156"/>
        <v>0</v>
      </c>
      <c r="AD529" s="7" t="str">
        <f t="shared" si="157"/>
        <v/>
      </c>
      <c r="AE529" s="6">
        <f t="shared" si="158"/>
        <v>0</v>
      </c>
      <c r="AF529" s="69">
        <f t="shared" si="159"/>
        <v>3.0791271503173983</v>
      </c>
      <c r="AG529" s="6">
        <f t="shared" si="160"/>
        <v>89.294687359204545</v>
      </c>
      <c r="AH529" s="6">
        <f t="shared" si="161"/>
        <v>402</v>
      </c>
    </row>
    <row r="530" spans="8:34" x14ac:dyDescent="0.25">
      <c r="H530" s="7">
        <v>537</v>
      </c>
      <c r="I530" s="7" t="s">
        <v>13</v>
      </c>
      <c r="J530" s="8">
        <v>38991</v>
      </c>
      <c r="K530" s="12" t="s">
        <v>19</v>
      </c>
      <c r="L530" s="9">
        <v>17</v>
      </c>
      <c r="M530" s="10">
        <v>52.246197330854876</v>
      </c>
      <c r="N530" s="7" t="s">
        <v>23</v>
      </c>
      <c r="P530" s="29" t="str">
        <f t="shared" si="144"/>
        <v/>
      </c>
      <c r="Q530" s="29" t="str">
        <f t="shared" si="145"/>
        <v/>
      </c>
      <c r="R530" s="29" t="str">
        <f t="shared" si="146"/>
        <v/>
      </c>
      <c r="S530" s="29" t="str">
        <f t="shared" si="147"/>
        <v/>
      </c>
      <c r="T530" s="32" t="str">
        <f t="shared" si="148"/>
        <v/>
      </c>
      <c r="U530" s="32" t="str">
        <f t="shared" si="151"/>
        <v/>
      </c>
      <c r="V530" s="32">
        <f t="shared" si="152"/>
        <v>1</v>
      </c>
      <c r="W530" s="41">
        <f t="shared" si="149"/>
        <v>3.0733057253444045</v>
      </c>
      <c r="X530" s="6">
        <f t="shared" si="150"/>
        <v>0</v>
      </c>
      <c r="Y530" s="7">
        <f t="shared" si="153"/>
        <v>567</v>
      </c>
      <c r="AA530" s="7">
        <f t="shared" si="154"/>
        <v>0</v>
      </c>
      <c r="AB530" s="7" t="str">
        <f t="shared" si="155"/>
        <v/>
      </c>
      <c r="AC530" s="7">
        <f t="shared" si="156"/>
        <v>0</v>
      </c>
      <c r="AD530" s="7" t="str">
        <f t="shared" si="157"/>
        <v/>
      </c>
      <c r="AE530" s="6">
        <f t="shared" si="158"/>
        <v>0</v>
      </c>
      <c r="AF530" s="69">
        <f t="shared" si="159"/>
        <v>3.0733057253444045</v>
      </c>
      <c r="AG530" s="6">
        <f t="shared" si="160"/>
        <v>0</v>
      </c>
      <c r="AH530" s="6">
        <f t="shared" si="161"/>
        <v>604</v>
      </c>
    </row>
    <row r="531" spans="8:34" x14ac:dyDescent="0.25">
      <c r="H531" s="7">
        <v>538</v>
      </c>
      <c r="I531" s="7" t="s">
        <v>8</v>
      </c>
      <c r="J531" s="8">
        <v>38210</v>
      </c>
      <c r="K531" s="12" t="s">
        <v>16</v>
      </c>
      <c r="L531" s="9">
        <v>50</v>
      </c>
      <c r="M531" s="10">
        <v>151.86525901218997</v>
      </c>
      <c r="N531" s="7" t="s">
        <v>24</v>
      </c>
      <c r="P531" s="29" t="str">
        <f t="shared" si="144"/>
        <v/>
      </c>
      <c r="Q531" s="29" t="str">
        <f t="shared" si="145"/>
        <v/>
      </c>
      <c r="R531" s="29">
        <f t="shared" si="146"/>
        <v>1</v>
      </c>
      <c r="S531" s="29" t="str">
        <f t="shared" si="147"/>
        <v/>
      </c>
      <c r="T531" s="32" t="str">
        <f t="shared" si="148"/>
        <v/>
      </c>
      <c r="U531" s="32" t="str">
        <f t="shared" si="151"/>
        <v/>
      </c>
      <c r="V531" s="32" t="str">
        <f t="shared" si="152"/>
        <v/>
      </c>
      <c r="W531" s="41">
        <f t="shared" si="149"/>
        <v>3.0373051802437994</v>
      </c>
      <c r="X531" s="6">
        <f t="shared" si="150"/>
        <v>0</v>
      </c>
      <c r="Y531" s="7">
        <f t="shared" si="153"/>
        <v>567</v>
      </c>
      <c r="AA531" s="7">
        <f t="shared" si="154"/>
        <v>0</v>
      </c>
      <c r="AB531" s="7" t="str">
        <f t="shared" si="155"/>
        <v/>
      </c>
      <c r="AC531" s="7">
        <f t="shared" si="156"/>
        <v>0</v>
      </c>
      <c r="AD531" s="7" t="str">
        <f t="shared" si="157"/>
        <v/>
      </c>
      <c r="AE531" s="6">
        <f t="shared" si="158"/>
        <v>0</v>
      </c>
      <c r="AF531" s="69">
        <f t="shared" si="159"/>
        <v>3.0373051802437994</v>
      </c>
      <c r="AG531" s="6">
        <f t="shared" si="160"/>
        <v>151.86525901218997</v>
      </c>
      <c r="AH531" s="6">
        <f t="shared" si="161"/>
        <v>272</v>
      </c>
    </row>
    <row r="532" spans="8:34" x14ac:dyDescent="0.25">
      <c r="H532" s="7">
        <v>539</v>
      </c>
      <c r="I532" s="7" t="s">
        <v>11</v>
      </c>
      <c r="J532" s="8">
        <v>38078</v>
      </c>
      <c r="K532" s="12" t="s">
        <v>19</v>
      </c>
      <c r="L532" s="9">
        <v>7</v>
      </c>
      <c r="M532" s="10">
        <v>22.95994805531884</v>
      </c>
      <c r="N532" s="7" t="s">
        <v>24</v>
      </c>
      <c r="P532" s="29" t="str">
        <f t="shared" si="144"/>
        <v/>
      </c>
      <c r="Q532" s="29">
        <f t="shared" si="145"/>
        <v>1</v>
      </c>
      <c r="R532" s="29" t="str">
        <f t="shared" si="146"/>
        <v/>
      </c>
      <c r="S532" s="29" t="str">
        <f t="shared" si="147"/>
        <v/>
      </c>
      <c r="T532" s="32" t="str">
        <f t="shared" si="148"/>
        <v/>
      </c>
      <c r="U532" s="32" t="str">
        <f t="shared" si="151"/>
        <v/>
      </c>
      <c r="V532" s="32" t="str">
        <f t="shared" si="152"/>
        <v/>
      </c>
      <c r="W532" s="41">
        <f t="shared" si="149"/>
        <v>3.279992579331263</v>
      </c>
      <c r="X532" s="6">
        <f t="shared" si="150"/>
        <v>0</v>
      </c>
      <c r="Y532" s="7">
        <f t="shared" si="153"/>
        <v>567</v>
      </c>
      <c r="AA532" s="7">
        <f t="shared" si="154"/>
        <v>0</v>
      </c>
      <c r="AB532" s="7" t="str">
        <f t="shared" si="155"/>
        <v/>
      </c>
      <c r="AC532" s="7">
        <f t="shared" si="156"/>
        <v>0</v>
      </c>
      <c r="AD532" s="7" t="str">
        <f t="shared" si="157"/>
        <v/>
      </c>
      <c r="AE532" s="6">
        <f t="shared" si="158"/>
        <v>0</v>
      </c>
      <c r="AF532" s="69">
        <f t="shared" si="159"/>
        <v>3.279992579331263</v>
      </c>
      <c r="AG532" s="6">
        <f t="shared" si="160"/>
        <v>22.95994805531884</v>
      </c>
      <c r="AH532" s="6">
        <f t="shared" si="161"/>
        <v>552</v>
      </c>
    </row>
    <row r="533" spans="8:34" x14ac:dyDescent="0.25">
      <c r="H533" s="7">
        <v>540</v>
      </c>
      <c r="I533" s="7" t="s">
        <v>9</v>
      </c>
      <c r="J533" s="8">
        <v>38430</v>
      </c>
      <c r="K533" s="12" t="s">
        <v>17</v>
      </c>
      <c r="L533" s="9">
        <v>50</v>
      </c>
      <c r="M533" s="10">
        <v>151.36182402448466</v>
      </c>
      <c r="N533" s="7" t="s">
        <v>24</v>
      </c>
      <c r="P533" s="29" t="str">
        <f t="shared" si="144"/>
        <v/>
      </c>
      <c r="Q533" s="29" t="str">
        <f t="shared" si="145"/>
        <v/>
      </c>
      <c r="R533" s="29" t="str">
        <f t="shared" si="146"/>
        <v/>
      </c>
      <c r="S533" s="29" t="str">
        <f t="shared" si="147"/>
        <v/>
      </c>
      <c r="T533" s="32" t="str">
        <f t="shared" si="148"/>
        <v/>
      </c>
      <c r="U533" s="32">
        <f t="shared" si="151"/>
        <v>1</v>
      </c>
      <c r="V533" s="32" t="str">
        <f t="shared" si="152"/>
        <v/>
      </c>
      <c r="W533" s="41">
        <f t="shared" si="149"/>
        <v>3.0272364804896932</v>
      </c>
      <c r="X533" s="6">
        <f t="shared" si="150"/>
        <v>151.36182402448466</v>
      </c>
      <c r="Y533" s="7">
        <f t="shared" si="153"/>
        <v>271</v>
      </c>
      <c r="AA533" s="7">
        <f t="shared" si="154"/>
        <v>1</v>
      </c>
      <c r="AB533" s="7">
        <f t="shared" si="155"/>
        <v>50</v>
      </c>
      <c r="AC533" s="7">
        <f t="shared" si="156"/>
        <v>0</v>
      </c>
      <c r="AD533" s="7" t="str">
        <f t="shared" si="157"/>
        <v/>
      </c>
      <c r="AE533" s="6">
        <f t="shared" si="158"/>
        <v>0</v>
      </c>
      <c r="AF533" s="69">
        <f t="shared" si="159"/>
        <v>3.0272364804896932</v>
      </c>
      <c r="AG533" s="6">
        <f t="shared" si="160"/>
        <v>0</v>
      </c>
      <c r="AH533" s="6">
        <f t="shared" si="161"/>
        <v>604</v>
      </c>
    </row>
    <row r="534" spans="8:34" x14ac:dyDescent="0.25">
      <c r="H534" s="7">
        <v>541</v>
      </c>
      <c r="I534" s="7" t="s">
        <v>12</v>
      </c>
      <c r="J534" s="8">
        <v>38408</v>
      </c>
      <c r="K534" s="12" t="s">
        <v>19</v>
      </c>
      <c r="L534" s="9">
        <v>20</v>
      </c>
      <c r="M534" s="10">
        <v>61.878678847796238</v>
      </c>
      <c r="N534" s="7" t="s">
        <v>22</v>
      </c>
      <c r="P534" s="29" t="str">
        <f t="shared" si="144"/>
        <v/>
      </c>
      <c r="Q534" s="29" t="str">
        <f t="shared" si="145"/>
        <v/>
      </c>
      <c r="R534" s="29" t="str">
        <f t="shared" si="146"/>
        <v/>
      </c>
      <c r="S534" s="29" t="str">
        <f t="shared" si="147"/>
        <v/>
      </c>
      <c r="T534" s="32" t="str">
        <f t="shared" si="148"/>
        <v/>
      </c>
      <c r="U534" s="32">
        <f t="shared" si="151"/>
        <v>1</v>
      </c>
      <c r="V534" s="32" t="str">
        <f t="shared" si="152"/>
        <v/>
      </c>
      <c r="W534" s="41">
        <f t="shared" si="149"/>
        <v>3.0939339423898118</v>
      </c>
      <c r="X534" s="6">
        <f t="shared" si="150"/>
        <v>61.878678847796238</v>
      </c>
      <c r="Y534" s="7">
        <f t="shared" si="153"/>
        <v>440</v>
      </c>
      <c r="AA534" s="7">
        <f t="shared" si="154"/>
        <v>1</v>
      </c>
      <c r="AB534" s="7">
        <f t="shared" si="155"/>
        <v>20</v>
      </c>
      <c r="AC534" s="7">
        <f t="shared" si="156"/>
        <v>0</v>
      </c>
      <c r="AD534" s="7" t="str">
        <f t="shared" si="157"/>
        <v/>
      </c>
      <c r="AE534" s="6">
        <f t="shared" si="158"/>
        <v>0</v>
      </c>
      <c r="AF534" s="69">
        <f t="shared" si="159"/>
        <v>3.0939339423898118</v>
      </c>
      <c r="AG534" s="6">
        <f t="shared" si="160"/>
        <v>0</v>
      </c>
      <c r="AH534" s="6">
        <f t="shared" si="161"/>
        <v>604</v>
      </c>
    </row>
    <row r="535" spans="8:34" x14ac:dyDescent="0.25">
      <c r="H535" s="7">
        <v>542</v>
      </c>
      <c r="I535" s="7" t="s">
        <v>14</v>
      </c>
      <c r="J535" s="8">
        <v>38408</v>
      </c>
      <c r="K535" s="12" t="s">
        <v>18</v>
      </c>
      <c r="L535" s="9">
        <v>37</v>
      </c>
      <c r="M535" s="10">
        <v>112.83363370259229</v>
      </c>
      <c r="N535" s="7" t="s">
        <v>24</v>
      </c>
      <c r="P535" s="29" t="str">
        <f t="shared" si="144"/>
        <v/>
      </c>
      <c r="Q535" s="29" t="str">
        <f t="shared" si="145"/>
        <v/>
      </c>
      <c r="R535" s="29" t="str">
        <f t="shared" si="146"/>
        <v/>
      </c>
      <c r="S535" s="29" t="str">
        <f t="shared" si="147"/>
        <v/>
      </c>
      <c r="T535" s="32" t="str">
        <f t="shared" si="148"/>
        <v/>
      </c>
      <c r="U535" s="32">
        <f t="shared" si="151"/>
        <v>1</v>
      </c>
      <c r="V535" s="32" t="str">
        <f t="shared" si="152"/>
        <v/>
      </c>
      <c r="W535" s="41">
        <f t="shared" si="149"/>
        <v>3.0495576676376297</v>
      </c>
      <c r="X535" s="6">
        <f t="shared" si="150"/>
        <v>112.83363370259229</v>
      </c>
      <c r="Y535" s="7">
        <f t="shared" si="153"/>
        <v>335</v>
      </c>
      <c r="AA535" s="7">
        <f t="shared" si="154"/>
        <v>1</v>
      </c>
      <c r="AB535" s="7">
        <f t="shared" si="155"/>
        <v>37</v>
      </c>
      <c r="AC535" s="7">
        <f t="shared" si="156"/>
        <v>0</v>
      </c>
      <c r="AD535" s="7" t="str">
        <f t="shared" si="157"/>
        <v/>
      </c>
      <c r="AE535" s="6">
        <f t="shared" si="158"/>
        <v>0</v>
      </c>
      <c r="AF535" s="69">
        <f t="shared" si="159"/>
        <v>3.0495576676376297</v>
      </c>
      <c r="AG535" s="6">
        <f t="shared" si="160"/>
        <v>0</v>
      </c>
      <c r="AH535" s="6">
        <f t="shared" si="161"/>
        <v>604</v>
      </c>
    </row>
    <row r="536" spans="8:34" x14ac:dyDescent="0.25">
      <c r="H536" s="7">
        <v>543</v>
      </c>
      <c r="I536" s="7" t="s">
        <v>10</v>
      </c>
      <c r="J536" s="8">
        <v>38232</v>
      </c>
      <c r="K536" s="12" t="s">
        <v>20</v>
      </c>
      <c r="L536" s="9">
        <v>58</v>
      </c>
      <c r="M536" s="10">
        <v>176.6097113560426</v>
      </c>
      <c r="N536" s="7" t="s">
        <v>24</v>
      </c>
      <c r="P536" s="29" t="str">
        <f t="shared" si="144"/>
        <v/>
      </c>
      <c r="Q536" s="29" t="str">
        <f t="shared" si="145"/>
        <v/>
      </c>
      <c r="R536" s="29">
        <f t="shared" si="146"/>
        <v>1</v>
      </c>
      <c r="S536" s="29" t="str">
        <f t="shared" si="147"/>
        <v/>
      </c>
      <c r="T536" s="32" t="str">
        <f t="shared" si="148"/>
        <v/>
      </c>
      <c r="U536" s="32" t="str">
        <f t="shared" si="151"/>
        <v/>
      </c>
      <c r="V536" s="32" t="str">
        <f t="shared" si="152"/>
        <v/>
      </c>
      <c r="W536" s="41">
        <f t="shared" si="149"/>
        <v>3.0449950233800447</v>
      </c>
      <c r="X536" s="6">
        <f t="shared" si="150"/>
        <v>0</v>
      </c>
      <c r="Y536" s="7">
        <f t="shared" si="153"/>
        <v>567</v>
      </c>
      <c r="AA536" s="7">
        <f t="shared" si="154"/>
        <v>0</v>
      </c>
      <c r="AB536" s="7" t="str">
        <f t="shared" si="155"/>
        <v/>
      </c>
      <c r="AC536" s="7">
        <f t="shared" si="156"/>
        <v>0</v>
      </c>
      <c r="AD536" s="7" t="str">
        <f t="shared" si="157"/>
        <v/>
      </c>
      <c r="AE536" s="6">
        <f t="shared" si="158"/>
        <v>0</v>
      </c>
      <c r="AF536" s="69">
        <f t="shared" si="159"/>
        <v>3.0449950233800447</v>
      </c>
      <c r="AG536" s="6">
        <f t="shared" si="160"/>
        <v>176.6097113560426</v>
      </c>
      <c r="AH536" s="6">
        <f t="shared" si="161"/>
        <v>225</v>
      </c>
    </row>
    <row r="537" spans="8:34" x14ac:dyDescent="0.25">
      <c r="H537" s="7">
        <v>544</v>
      </c>
      <c r="I537" s="7" t="s">
        <v>11</v>
      </c>
      <c r="J537" s="8">
        <v>38738</v>
      </c>
      <c r="K537" s="12" t="s">
        <v>18</v>
      </c>
      <c r="L537" s="9">
        <v>25</v>
      </c>
      <c r="M537" s="10">
        <v>76.920283125674487</v>
      </c>
      <c r="N537" s="7" t="s">
        <v>21</v>
      </c>
      <c r="P537" s="29" t="str">
        <f t="shared" si="144"/>
        <v/>
      </c>
      <c r="Q537" s="29" t="str">
        <f t="shared" si="145"/>
        <v/>
      </c>
      <c r="R537" s="29" t="str">
        <f t="shared" si="146"/>
        <v/>
      </c>
      <c r="S537" s="29" t="str">
        <f t="shared" si="147"/>
        <v/>
      </c>
      <c r="T537" s="32" t="str">
        <f t="shared" si="148"/>
        <v/>
      </c>
      <c r="U537" s="32" t="str">
        <f t="shared" si="151"/>
        <v/>
      </c>
      <c r="V537" s="32">
        <f t="shared" si="152"/>
        <v>1</v>
      </c>
      <c r="W537" s="41">
        <f t="shared" si="149"/>
        <v>3.0768113250269793</v>
      </c>
      <c r="X537" s="6">
        <f t="shared" si="150"/>
        <v>0</v>
      </c>
      <c r="Y537" s="7">
        <f t="shared" si="153"/>
        <v>567</v>
      </c>
      <c r="AA537" s="7">
        <f t="shared" si="154"/>
        <v>0</v>
      </c>
      <c r="AB537" s="7" t="str">
        <f t="shared" si="155"/>
        <v/>
      </c>
      <c r="AC537" s="7">
        <f t="shared" si="156"/>
        <v>0</v>
      </c>
      <c r="AD537" s="7" t="str">
        <f t="shared" si="157"/>
        <v/>
      </c>
      <c r="AE537" s="6">
        <f t="shared" si="158"/>
        <v>0</v>
      </c>
      <c r="AF537" s="69">
        <f t="shared" si="159"/>
        <v>3.0768113250269793</v>
      </c>
      <c r="AG537" s="6">
        <f t="shared" si="160"/>
        <v>0</v>
      </c>
      <c r="AH537" s="6">
        <f t="shared" si="161"/>
        <v>604</v>
      </c>
    </row>
    <row r="538" spans="8:34" x14ac:dyDescent="0.25">
      <c r="H538" s="7">
        <v>545</v>
      </c>
      <c r="I538" s="7" t="s">
        <v>8</v>
      </c>
      <c r="J538" s="8">
        <v>38078</v>
      </c>
      <c r="K538" s="12" t="s">
        <v>16</v>
      </c>
      <c r="L538" s="9">
        <v>34</v>
      </c>
      <c r="M538" s="10">
        <v>103.18208157525912</v>
      </c>
      <c r="N538" s="7" t="s">
        <v>22</v>
      </c>
      <c r="P538" s="29" t="str">
        <f t="shared" si="144"/>
        <v/>
      </c>
      <c r="Q538" s="29">
        <f t="shared" si="145"/>
        <v>1</v>
      </c>
      <c r="R538" s="29" t="str">
        <f t="shared" si="146"/>
        <v/>
      </c>
      <c r="S538" s="29" t="str">
        <f t="shared" si="147"/>
        <v/>
      </c>
      <c r="T538" s="32" t="str">
        <f t="shared" si="148"/>
        <v/>
      </c>
      <c r="U538" s="32" t="str">
        <f t="shared" si="151"/>
        <v/>
      </c>
      <c r="V538" s="32" t="str">
        <f t="shared" si="152"/>
        <v/>
      </c>
      <c r="W538" s="41">
        <f t="shared" si="149"/>
        <v>3.0347671051546801</v>
      </c>
      <c r="X538" s="6">
        <f t="shared" si="150"/>
        <v>0</v>
      </c>
      <c r="Y538" s="7">
        <f t="shared" si="153"/>
        <v>567</v>
      </c>
      <c r="AA538" s="7">
        <f t="shared" si="154"/>
        <v>0</v>
      </c>
      <c r="AB538" s="7" t="str">
        <f t="shared" si="155"/>
        <v/>
      </c>
      <c r="AC538" s="7">
        <f t="shared" si="156"/>
        <v>0</v>
      </c>
      <c r="AD538" s="7" t="str">
        <f t="shared" si="157"/>
        <v/>
      </c>
      <c r="AE538" s="6">
        <f t="shared" si="158"/>
        <v>0</v>
      </c>
      <c r="AF538" s="69">
        <f t="shared" si="159"/>
        <v>3.0347671051546801</v>
      </c>
      <c r="AG538" s="6">
        <f t="shared" si="160"/>
        <v>103.18208157525912</v>
      </c>
      <c r="AH538" s="6">
        <f t="shared" si="161"/>
        <v>368</v>
      </c>
    </row>
    <row r="539" spans="8:34" x14ac:dyDescent="0.25">
      <c r="H539" s="7">
        <v>546</v>
      </c>
      <c r="I539" s="7" t="s">
        <v>7</v>
      </c>
      <c r="J539" s="8">
        <v>39013</v>
      </c>
      <c r="K539" s="12" t="s">
        <v>18</v>
      </c>
      <c r="L539" s="9">
        <v>3</v>
      </c>
      <c r="M539" s="10">
        <v>11.582072936390588</v>
      </c>
      <c r="N539" s="7" t="s">
        <v>22</v>
      </c>
      <c r="P539" s="29" t="str">
        <f t="shared" si="144"/>
        <v/>
      </c>
      <c r="Q539" s="29" t="str">
        <f t="shared" si="145"/>
        <v/>
      </c>
      <c r="R539" s="29" t="str">
        <f t="shared" si="146"/>
        <v/>
      </c>
      <c r="S539" s="29" t="str">
        <f t="shared" si="147"/>
        <v/>
      </c>
      <c r="T539" s="32" t="str">
        <f t="shared" si="148"/>
        <v/>
      </c>
      <c r="U539" s="32" t="str">
        <f t="shared" si="151"/>
        <v/>
      </c>
      <c r="V539" s="32">
        <f t="shared" si="152"/>
        <v>1</v>
      </c>
      <c r="W539" s="41">
        <f t="shared" si="149"/>
        <v>3.8606909787968626</v>
      </c>
      <c r="X539" s="6">
        <f t="shared" si="150"/>
        <v>0</v>
      </c>
      <c r="Y539" s="7">
        <f t="shared" si="153"/>
        <v>567</v>
      </c>
      <c r="AA539" s="7">
        <f t="shared" si="154"/>
        <v>0</v>
      </c>
      <c r="AB539" s="7" t="str">
        <f t="shared" si="155"/>
        <v/>
      </c>
      <c r="AC539" s="7">
        <f t="shared" si="156"/>
        <v>0</v>
      </c>
      <c r="AD539" s="7" t="str">
        <f t="shared" si="157"/>
        <v/>
      </c>
      <c r="AE539" s="6">
        <f t="shared" si="158"/>
        <v>0</v>
      </c>
      <c r="AF539" s="69">
        <f t="shared" si="159"/>
        <v>3.8606909787968626</v>
      </c>
      <c r="AG539" s="6">
        <f t="shared" si="160"/>
        <v>0</v>
      </c>
      <c r="AH539" s="6">
        <f t="shared" si="161"/>
        <v>604</v>
      </c>
    </row>
    <row r="540" spans="8:34" x14ac:dyDescent="0.25">
      <c r="H540" s="7">
        <v>547</v>
      </c>
      <c r="I540" s="7" t="s">
        <v>7</v>
      </c>
      <c r="J540" s="8">
        <v>38991</v>
      </c>
      <c r="K540" s="12" t="s">
        <v>19</v>
      </c>
      <c r="L540" s="9">
        <v>63</v>
      </c>
      <c r="M540" s="10">
        <v>190.58521809047551</v>
      </c>
      <c r="N540" s="7" t="s">
        <v>24</v>
      </c>
      <c r="P540" s="29" t="str">
        <f t="shared" si="144"/>
        <v/>
      </c>
      <c r="Q540" s="29" t="str">
        <f t="shared" si="145"/>
        <v/>
      </c>
      <c r="R540" s="29" t="str">
        <f t="shared" si="146"/>
        <v/>
      </c>
      <c r="S540" s="29" t="str">
        <f t="shared" si="147"/>
        <v/>
      </c>
      <c r="T540" s="32" t="str">
        <f t="shared" si="148"/>
        <v/>
      </c>
      <c r="U540" s="32" t="str">
        <f t="shared" si="151"/>
        <v/>
      </c>
      <c r="V540" s="32">
        <f t="shared" si="152"/>
        <v>1</v>
      </c>
      <c r="W540" s="41">
        <f t="shared" si="149"/>
        <v>3.0251621919123095</v>
      </c>
      <c r="X540" s="6">
        <f t="shared" si="150"/>
        <v>0</v>
      </c>
      <c r="Y540" s="7">
        <f t="shared" si="153"/>
        <v>567</v>
      </c>
      <c r="AA540" s="7">
        <f t="shared" si="154"/>
        <v>0</v>
      </c>
      <c r="AB540" s="7" t="str">
        <f t="shared" si="155"/>
        <v/>
      </c>
      <c r="AC540" s="7">
        <f t="shared" si="156"/>
        <v>0</v>
      </c>
      <c r="AD540" s="7" t="str">
        <f t="shared" si="157"/>
        <v/>
      </c>
      <c r="AE540" s="6">
        <f t="shared" si="158"/>
        <v>0</v>
      </c>
      <c r="AF540" s="69">
        <f t="shared" si="159"/>
        <v>3.0251621919123095</v>
      </c>
      <c r="AG540" s="6">
        <f t="shared" si="160"/>
        <v>0</v>
      </c>
      <c r="AH540" s="6">
        <f t="shared" si="161"/>
        <v>604</v>
      </c>
    </row>
    <row r="541" spans="8:34" x14ac:dyDescent="0.25">
      <c r="H541" s="7">
        <v>548</v>
      </c>
      <c r="I541" s="7" t="s">
        <v>7</v>
      </c>
      <c r="J541" s="8">
        <v>38727</v>
      </c>
      <c r="K541" s="12" t="s">
        <v>16</v>
      </c>
      <c r="L541" s="9">
        <v>44</v>
      </c>
      <c r="M541" s="10">
        <v>133.61508244900483</v>
      </c>
      <c r="N541" s="7" t="s">
        <v>22</v>
      </c>
      <c r="P541" s="29" t="str">
        <f t="shared" si="144"/>
        <v/>
      </c>
      <c r="Q541" s="29" t="str">
        <f t="shared" si="145"/>
        <v/>
      </c>
      <c r="R541" s="29" t="str">
        <f t="shared" si="146"/>
        <v/>
      </c>
      <c r="S541" s="29" t="str">
        <f t="shared" si="147"/>
        <v/>
      </c>
      <c r="T541" s="32" t="str">
        <f t="shared" si="148"/>
        <v/>
      </c>
      <c r="U541" s="32" t="str">
        <f t="shared" si="151"/>
        <v/>
      </c>
      <c r="V541" s="32">
        <f t="shared" si="152"/>
        <v>1</v>
      </c>
      <c r="W541" s="41">
        <f t="shared" si="149"/>
        <v>3.0367064192955642</v>
      </c>
      <c r="X541" s="6">
        <f t="shared" si="150"/>
        <v>0</v>
      </c>
      <c r="Y541" s="7">
        <f t="shared" si="153"/>
        <v>567</v>
      </c>
      <c r="AA541" s="7">
        <f t="shared" si="154"/>
        <v>0</v>
      </c>
      <c r="AB541" s="7" t="str">
        <f t="shared" si="155"/>
        <v/>
      </c>
      <c r="AC541" s="7">
        <f t="shared" si="156"/>
        <v>0</v>
      </c>
      <c r="AD541" s="7" t="str">
        <f t="shared" si="157"/>
        <v/>
      </c>
      <c r="AE541" s="6">
        <f t="shared" si="158"/>
        <v>0</v>
      </c>
      <c r="AF541" s="69">
        <f t="shared" si="159"/>
        <v>3.0367064192955642</v>
      </c>
      <c r="AG541" s="6">
        <f t="shared" si="160"/>
        <v>0</v>
      </c>
      <c r="AH541" s="6">
        <f t="shared" si="161"/>
        <v>604</v>
      </c>
    </row>
    <row r="542" spans="8:34" x14ac:dyDescent="0.25">
      <c r="H542" s="7">
        <v>549</v>
      </c>
      <c r="I542" s="7" t="s">
        <v>15</v>
      </c>
      <c r="J542" s="8">
        <v>38089</v>
      </c>
      <c r="K542" s="12" t="s">
        <v>16</v>
      </c>
      <c r="L542" s="9">
        <v>87</v>
      </c>
      <c r="M542" s="10">
        <v>263.16283259571526</v>
      </c>
      <c r="N542" s="7" t="s">
        <v>22</v>
      </c>
      <c r="P542" s="29" t="str">
        <f t="shared" si="144"/>
        <v/>
      </c>
      <c r="Q542" s="29">
        <f t="shared" si="145"/>
        <v>1</v>
      </c>
      <c r="R542" s="29" t="str">
        <f t="shared" si="146"/>
        <v/>
      </c>
      <c r="S542" s="29" t="str">
        <f t="shared" si="147"/>
        <v/>
      </c>
      <c r="T542" s="32" t="str">
        <f t="shared" si="148"/>
        <v/>
      </c>
      <c r="U542" s="32" t="str">
        <f t="shared" si="151"/>
        <v/>
      </c>
      <c r="V542" s="32" t="str">
        <f t="shared" si="152"/>
        <v/>
      </c>
      <c r="W542" s="41">
        <f t="shared" si="149"/>
        <v>3.0248601447783363</v>
      </c>
      <c r="X542" s="6">
        <f t="shared" si="150"/>
        <v>0</v>
      </c>
      <c r="Y542" s="7">
        <f t="shared" si="153"/>
        <v>567</v>
      </c>
      <c r="AA542" s="7">
        <f t="shared" si="154"/>
        <v>0</v>
      </c>
      <c r="AB542" s="7" t="str">
        <f t="shared" si="155"/>
        <v/>
      </c>
      <c r="AC542" s="7">
        <f t="shared" si="156"/>
        <v>0</v>
      </c>
      <c r="AD542" s="7" t="str">
        <f t="shared" si="157"/>
        <v/>
      </c>
      <c r="AE542" s="6">
        <f t="shared" si="158"/>
        <v>0</v>
      </c>
      <c r="AF542" s="69">
        <f t="shared" si="159"/>
        <v>3.0248601447783363</v>
      </c>
      <c r="AG542" s="6">
        <f t="shared" si="160"/>
        <v>263.16283259571526</v>
      </c>
      <c r="AH542" s="6">
        <f t="shared" si="161"/>
        <v>47</v>
      </c>
    </row>
    <row r="543" spans="8:34" x14ac:dyDescent="0.25">
      <c r="H543" s="7">
        <v>550</v>
      </c>
      <c r="I543" s="7" t="s">
        <v>14</v>
      </c>
      <c r="J543" s="8">
        <v>38408</v>
      </c>
      <c r="K543" s="12" t="s">
        <v>19</v>
      </c>
      <c r="L543" s="9">
        <v>4</v>
      </c>
      <c r="M543" s="10">
        <v>14.191095035521025</v>
      </c>
      <c r="N543" s="7" t="s">
        <v>21</v>
      </c>
      <c r="P543" s="29" t="str">
        <f t="shared" si="144"/>
        <v/>
      </c>
      <c r="Q543" s="29" t="str">
        <f t="shared" si="145"/>
        <v/>
      </c>
      <c r="R543" s="29" t="str">
        <f t="shared" si="146"/>
        <v/>
      </c>
      <c r="S543" s="29" t="str">
        <f t="shared" si="147"/>
        <v/>
      </c>
      <c r="T543" s="32" t="str">
        <f t="shared" si="148"/>
        <v/>
      </c>
      <c r="U543" s="32">
        <f t="shared" si="151"/>
        <v>1</v>
      </c>
      <c r="V543" s="32" t="str">
        <f t="shared" si="152"/>
        <v/>
      </c>
      <c r="W543" s="41">
        <f t="shared" si="149"/>
        <v>3.5477737588802563</v>
      </c>
      <c r="X543" s="6">
        <f t="shared" si="150"/>
        <v>14.191095035521025</v>
      </c>
      <c r="Y543" s="7">
        <f t="shared" si="153"/>
        <v>537</v>
      </c>
      <c r="AA543" s="7">
        <f t="shared" si="154"/>
        <v>1</v>
      </c>
      <c r="AB543" s="7">
        <f t="shared" si="155"/>
        <v>4</v>
      </c>
      <c r="AC543" s="7">
        <f t="shared" si="156"/>
        <v>0</v>
      </c>
      <c r="AD543" s="7" t="str">
        <f t="shared" si="157"/>
        <v/>
      </c>
      <c r="AE543" s="6">
        <f t="shared" si="158"/>
        <v>0</v>
      </c>
      <c r="AF543" s="69">
        <f t="shared" si="159"/>
        <v>3.5477737588802563</v>
      </c>
      <c r="AG543" s="6">
        <f t="shared" si="160"/>
        <v>0</v>
      </c>
      <c r="AH543" s="6">
        <f t="shared" si="161"/>
        <v>604</v>
      </c>
    </row>
    <row r="544" spans="8:34" x14ac:dyDescent="0.25">
      <c r="H544" s="7">
        <v>551</v>
      </c>
      <c r="I544" s="7" t="s">
        <v>9</v>
      </c>
      <c r="J544" s="8">
        <v>38826</v>
      </c>
      <c r="K544" s="12" t="s">
        <v>18</v>
      </c>
      <c r="L544" s="9">
        <v>93</v>
      </c>
      <c r="M544" s="10">
        <v>281.17072628162578</v>
      </c>
      <c r="N544" s="7" t="s">
        <v>22</v>
      </c>
      <c r="P544" s="29" t="str">
        <f t="shared" si="144"/>
        <v/>
      </c>
      <c r="Q544" s="29" t="str">
        <f t="shared" si="145"/>
        <v/>
      </c>
      <c r="R544" s="29" t="str">
        <f t="shared" si="146"/>
        <v/>
      </c>
      <c r="S544" s="29" t="str">
        <f t="shared" si="147"/>
        <v/>
      </c>
      <c r="T544" s="32" t="str">
        <f t="shared" si="148"/>
        <v/>
      </c>
      <c r="U544" s="32" t="str">
        <f t="shared" si="151"/>
        <v/>
      </c>
      <c r="V544" s="32">
        <f t="shared" si="152"/>
        <v>1</v>
      </c>
      <c r="W544" s="41">
        <f t="shared" si="149"/>
        <v>3.0233411428131802</v>
      </c>
      <c r="X544" s="6">
        <f t="shared" si="150"/>
        <v>0</v>
      </c>
      <c r="Y544" s="7">
        <f t="shared" si="153"/>
        <v>567</v>
      </c>
      <c r="AA544" s="7">
        <f t="shared" si="154"/>
        <v>0</v>
      </c>
      <c r="AB544" s="7" t="str">
        <f t="shared" si="155"/>
        <v/>
      </c>
      <c r="AC544" s="7">
        <f t="shared" si="156"/>
        <v>0</v>
      </c>
      <c r="AD544" s="7" t="str">
        <f t="shared" si="157"/>
        <v/>
      </c>
      <c r="AE544" s="6">
        <f t="shared" si="158"/>
        <v>0</v>
      </c>
      <c r="AF544" s="69">
        <f t="shared" si="159"/>
        <v>3.0233411428131802</v>
      </c>
      <c r="AG544" s="6">
        <f t="shared" si="160"/>
        <v>0</v>
      </c>
      <c r="AH544" s="6">
        <f t="shared" si="161"/>
        <v>604</v>
      </c>
    </row>
    <row r="545" spans="8:34" x14ac:dyDescent="0.25">
      <c r="H545" s="7">
        <v>552</v>
      </c>
      <c r="I545" s="7" t="s">
        <v>12</v>
      </c>
      <c r="J545" s="8">
        <v>38320</v>
      </c>
      <c r="K545" s="12" t="s">
        <v>19</v>
      </c>
      <c r="L545" s="9">
        <v>10</v>
      </c>
      <c r="M545" s="10">
        <v>32.065090501540446</v>
      </c>
      <c r="N545" s="7" t="s">
        <v>24</v>
      </c>
      <c r="P545" s="29" t="str">
        <f t="shared" si="144"/>
        <v/>
      </c>
      <c r="Q545" s="29" t="str">
        <f t="shared" si="145"/>
        <v/>
      </c>
      <c r="R545" s="29" t="str">
        <f t="shared" si="146"/>
        <v/>
      </c>
      <c r="S545" s="29">
        <f t="shared" si="147"/>
        <v>1</v>
      </c>
      <c r="T545" s="32" t="str">
        <f t="shared" si="148"/>
        <v/>
      </c>
      <c r="U545" s="32" t="str">
        <f t="shared" si="151"/>
        <v/>
      </c>
      <c r="V545" s="32" t="str">
        <f t="shared" si="152"/>
        <v/>
      </c>
      <c r="W545" s="41">
        <f t="shared" si="149"/>
        <v>3.2065090501540445</v>
      </c>
      <c r="X545" s="6">
        <f t="shared" si="150"/>
        <v>0</v>
      </c>
      <c r="Y545" s="7">
        <f t="shared" si="153"/>
        <v>567</v>
      </c>
      <c r="AA545" s="7">
        <f t="shared" si="154"/>
        <v>0</v>
      </c>
      <c r="AB545" s="7" t="str">
        <f t="shared" si="155"/>
        <v/>
      </c>
      <c r="AC545" s="7">
        <f t="shared" si="156"/>
        <v>0</v>
      </c>
      <c r="AD545" s="7" t="str">
        <f t="shared" si="157"/>
        <v/>
      </c>
      <c r="AE545" s="6">
        <f t="shared" si="158"/>
        <v>0</v>
      </c>
      <c r="AF545" s="69">
        <f t="shared" si="159"/>
        <v>3.2065090501540445</v>
      </c>
      <c r="AG545" s="6">
        <f t="shared" si="160"/>
        <v>32.065090501540446</v>
      </c>
      <c r="AH545" s="6">
        <f t="shared" si="161"/>
        <v>526</v>
      </c>
    </row>
    <row r="546" spans="8:34" x14ac:dyDescent="0.25">
      <c r="H546" s="7">
        <v>553</v>
      </c>
      <c r="I546" s="7" t="s">
        <v>10</v>
      </c>
      <c r="J546" s="8">
        <v>39068</v>
      </c>
      <c r="K546" s="12" t="s">
        <v>20</v>
      </c>
      <c r="L546" s="9">
        <v>19</v>
      </c>
      <c r="M546" s="10">
        <v>58.972126169367577</v>
      </c>
      <c r="N546" s="7" t="s">
        <v>24</v>
      </c>
      <c r="P546" s="29" t="str">
        <f t="shared" si="144"/>
        <v/>
      </c>
      <c r="Q546" s="29" t="str">
        <f t="shared" si="145"/>
        <v/>
      </c>
      <c r="R546" s="29" t="str">
        <f t="shared" si="146"/>
        <v/>
      </c>
      <c r="S546" s="29" t="str">
        <f t="shared" si="147"/>
        <v/>
      </c>
      <c r="T546" s="32" t="str">
        <f t="shared" si="148"/>
        <v/>
      </c>
      <c r="U546" s="32" t="str">
        <f t="shared" si="151"/>
        <v/>
      </c>
      <c r="V546" s="32">
        <f t="shared" si="152"/>
        <v>1</v>
      </c>
      <c r="W546" s="41">
        <f t="shared" si="149"/>
        <v>3.103796114177241</v>
      </c>
      <c r="X546" s="6">
        <f t="shared" si="150"/>
        <v>0</v>
      </c>
      <c r="Y546" s="7">
        <f t="shared" si="153"/>
        <v>567</v>
      </c>
      <c r="AA546" s="7">
        <f t="shared" si="154"/>
        <v>0</v>
      </c>
      <c r="AB546" s="7" t="str">
        <f t="shared" si="155"/>
        <v/>
      </c>
      <c r="AC546" s="7">
        <f t="shared" si="156"/>
        <v>0</v>
      </c>
      <c r="AD546" s="7" t="str">
        <f t="shared" si="157"/>
        <v/>
      </c>
      <c r="AE546" s="6">
        <f t="shared" si="158"/>
        <v>0</v>
      </c>
      <c r="AF546" s="69">
        <f t="shared" si="159"/>
        <v>3.103796114177241</v>
      </c>
      <c r="AG546" s="6">
        <f t="shared" si="160"/>
        <v>0</v>
      </c>
      <c r="AH546" s="6">
        <f t="shared" si="161"/>
        <v>604</v>
      </c>
    </row>
    <row r="547" spans="8:34" x14ac:dyDescent="0.25">
      <c r="H547" s="7">
        <v>554</v>
      </c>
      <c r="I547" s="7" t="s">
        <v>8</v>
      </c>
      <c r="J547" s="8">
        <v>38551</v>
      </c>
      <c r="K547" s="12" t="s">
        <v>16</v>
      </c>
      <c r="L547" s="9">
        <v>30</v>
      </c>
      <c r="M547" s="10">
        <v>92.527630840276103</v>
      </c>
      <c r="N547" s="7" t="s">
        <v>21</v>
      </c>
      <c r="P547" s="29" t="str">
        <f t="shared" si="144"/>
        <v/>
      </c>
      <c r="Q547" s="29" t="str">
        <f t="shared" si="145"/>
        <v/>
      </c>
      <c r="R547" s="29" t="str">
        <f t="shared" si="146"/>
        <v/>
      </c>
      <c r="S547" s="29" t="str">
        <f t="shared" si="147"/>
        <v/>
      </c>
      <c r="T547" s="32" t="str">
        <f t="shared" si="148"/>
        <v/>
      </c>
      <c r="U547" s="32">
        <f t="shared" si="151"/>
        <v>1</v>
      </c>
      <c r="V547" s="32" t="str">
        <f t="shared" si="152"/>
        <v/>
      </c>
      <c r="W547" s="41">
        <f t="shared" si="149"/>
        <v>3.0842543613425368</v>
      </c>
      <c r="X547" s="6">
        <f t="shared" si="150"/>
        <v>92.527630840276103</v>
      </c>
      <c r="Y547" s="7">
        <f t="shared" si="153"/>
        <v>371</v>
      </c>
      <c r="AA547" s="7">
        <f t="shared" si="154"/>
        <v>1</v>
      </c>
      <c r="AB547" s="7">
        <f t="shared" si="155"/>
        <v>30</v>
      </c>
      <c r="AC547" s="7">
        <f t="shared" si="156"/>
        <v>0</v>
      </c>
      <c r="AD547" s="7" t="str">
        <f t="shared" si="157"/>
        <v/>
      </c>
      <c r="AE547" s="6">
        <f t="shared" si="158"/>
        <v>0</v>
      </c>
      <c r="AF547" s="69">
        <f t="shared" si="159"/>
        <v>3.0842543613425368</v>
      </c>
      <c r="AG547" s="6">
        <f t="shared" si="160"/>
        <v>0</v>
      </c>
      <c r="AH547" s="6">
        <f t="shared" si="161"/>
        <v>604</v>
      </c>
    </row>
    <row r="548" spans="8:34" x14ac:dyDescent="0.25">
      <c r="H548" s="7">
        <v>555</v>
      </c>
      <c r="I548" s="7" t="s">
        <v>9</v>
      </c>
      <c r="J548" s="8">
        <v>39035</v>
      </c>
      <c r="K548" s="12" t="s">
        <v>20</v>
      </c>
      <c r="L548" s="9">
        <v>-1</v>
      </c>
      <c r="M548" s="10">
        <v>-1.2782372664639507</v>
      </c>
      <c r="N548" s="7" t="s">
        <v>21</v>
      </c>
      <c r="P548" s="29" t="str">
        <f t="shared" si="144"/>
        <v/>
      </c>
      <c r="Q548" s="29" t="str">
        <f t="shared" si="145"/>
        <v/>
      </c>
      <c r="R548" s="29" t="str">
        <f t="shared" si="146"/>
        <v/>
      </c>
      <c r="S548" s="29" t="str">
        <f t="shared" si="147"/>
        <v/>
      </c>
      <c r="T548" s="32" t="str">
        <f t="shared" si="148"/>
        <v/>
      </c>
      <c r="U548" s="32" t="str">
        <f t="shared" si="151"/>
        <v/>
      </c>
      <c r="V548" s="32">
        <f t="shared" si="152"/>
        <v>1</v>
      </c>
      <c r="W548" s="41" t="str">
        <f t="shared" si="149"/>
        <v/>
      </c>
      <c r="X548" s="6">
        <f t="shared" si="150"/>
        <v>0</v>
      </c>
      <c r="Y548" s="7">
        <f t="shared" si="153"/>
        <v>567</v>
      </c>
      <c r="AA548" s="7">
        <f t="shared" si="154"/>
        <v>0</v>
      </c>
      <c r="AB548" s="7" t="str">
        <f t="shared" si="155"/>
        <v/>
      </c>
      <c r="AC548" s="7">
        <f t="shared" si="156"/>
        <v>0</v>
      </c>
      <c r="AD548" s="7" t="str">
        <f t="shared" si="157"/>
        <v/>
      </c>
      <c r="AE548" s="6">
        <f t="shared" si="158"/>
        <v>-1</v>
      </c>
      <c r="AF548" s="69" t="str">
        <f t="shared" si="159"/>
        <v/>
      </c>
      <c r="AG548" s="6">
        <f t="shared" si="160"/>
        <v>0</v>
      </c>
      <c r="AH548" s="6">
        <f t="shared" si="161"/>
        <v>604</v>
      </c>
    </row>
    <row r="549" spans="8:34" x14ac:dyDescent="0.25">
      <c r="H549" s="7">
        <v>556</v>
      </c>
      <c r="I549" s="7" t="s">
        <v>14</v>
      </c>
      <c r="J549" s="8">
        <v>38837</v>
      </c>
      <c r="K549" s="12" t="s">
        <v>16</v>
      </c>
      <c r="L549" s="9">
        <v>46</v>
      </c>
      <c r="M549" s="10">
        <v>139.41162650743053</v>
      </c>
      <c r="N549" s="7" t="s">
        <v>24</v>
      </c>
      <c r="P549" s="29" t="str">
        <f t="shared" si="144"/>
        <v/>
      </c>
      <c r="Q549" s="29" t="str">
        <f t="shared" si="145"/>
        <v/>
      </c>
      <c r="R549" s="29" t="str">
        <f t="shared" si="146"/>
        <v/>
      </c>
      <c r="S549" s="29" t="str">
        <f t="shared" si="147"/>
        <v/>
      </c>
      <c r="T549" s="32" t="str">
        <f t="shared" si="148"/>
        <v/>
      </c>
      <c r="U549" s="32" t="str">
        <f t="shared" si="151"/>
        <v/>
      </c>
      <c r="V549" s="32">
        <f t="shared" si="152"/>
        <v>1</v>
      </c>
      <c r="W549" s="41">
        <f t="shared" si="149"/>
        <v>3.0306875327702287</v>
      </c>
      <c r="X549" s="6">
        <f t="shared" si="150"/>
        <v>0</v>
      </c>
      <c r="Y549" s="7">
        <f t="shared" si="153"/>
        <v>567</v>
      </c>
      <c r="AA549" s="7">
        <f t="shared" si="154"/>
        <v>0</v>
      </c>
      <c r="AB549" s="7" t="str">
        <f t="shared" si="155"/>
        <v/>
      </c>
      <c r="AC549" s="7">
        <f t="shared" si="156"/>
        <v>0</v>
      </c>
      <c r="AD549" s="7" t="str">
        <f t="shared" si="157"/>
        <v/>
      </c>
      <c r="AE549" s="6">
        <f t="shared" si="158"/>
        <v>0</v>
      </c>
      <c r="AF549" s="69">
        <f t="shared" si="159"/>
        <v>3.0306875327702287</v>
      </c>
      <c r="AG549" s="6">
        <f t="shared" si="160"/>
        <v>0</v>
      </c>
      <c r="AH549" s="6">
        <f t="shared" si="161"/>
        <v>604</v>
      </c>
    </row>
    <row r="550" spans="8:34" x14ac:dyDescent="0.25">
      <c r="H550" s="7">
        <v>557</v>
      </c>
      <c r="I550" s="7" t="s">
        <v>12</v>
      </c>
      <c r="J550" s="8">
        <v>38232</v>
      </c>
      <c r="K550" s="12" t="s">
        <v>18</v>
      </c>
      <c r="L550" s="9">
        <v>44</v>
      </c>
      <c r="M550" s="10">
        <v>133.50877739627518</v>
      </c>
      <c r="N550" s="7" t="s">
        <v>22</v>
      </c>
      <c r="P550" s="29" t="str">
        <f t="shared" si="144"/>
        <v/>
      </c>
      <c r="Q550" s="29" t="str">
        <f t="shared" si="145"/>
        <v/>
      </c>
      <c r="R550" s="29">
        <f t="shared" si="146"/>
        <v>1</v>
      </c>
      <c r="S550" s="29" t="str">
        <f t="shared" si="147"/>
        <v/>
      </c>
      <c r="T550" s="32" t="str">
        <f t="shared" si="148"/>
        <v/>
      </c>
      <c r="U550" s="32" t="str">
        <f t="shared" si="151"/>
        <v/>
      </c>
      <c r="V550" s="32" t="str">
        <f t="shared" si="152"/>
        <v/>
      </c>
      <c r="W550" s="41">
        <f t="shared" si="149"/>
        <v>3.0342903953698905</v>
      </c>
      <c r="X550" s="6">
        <f t="shared" si="150"/>
        <v>0</v>
      </c>
      <c r="Y550" s="7">
        <f t="shared" si="153"/>
        <v>567</v>
      </c>
      <c r="AA550" s="7">
        <f t="shared" si="154"/>
        <v>0</v>
      </c>
      <c r="AB550" s="7" t="str">
        <f t="shared" si="155"/>
        <v/>
      </c>
      <c r="AC550" s="7">
        <f t="shared" si="156"/>
        <v>0</v>
      </c>
      <c r="AD550" s="7" t="str">
        <f t="shared" si="157"/>
        <v/>
      </c>
      <c r="AE550" s="6">
        <f t="shared" si="158"/>
        <v>0</v>
      </c>
      <c r="AF550" s="69">
        <f t="shared" si="159"/>
        <v>3.0342903953698905</v>
      </c>
      <c r="AG550" s="6">
        <f t="shared" si="160"/>
        <v>133.50877739627518</v>
      </c>
      <c r="AH550" s="6">
        <f t="shared" si="161"/>
        <v>311</v>
      </c>
    </row>
    <row r="551" spans="8:34" x14ac:dyDescent="0.25">
      <c r="H551" s="7">
        <v>558</v>
      </c>
      <c r="I551" s="7" t="s">
        <v>7</v>
      </c>
      <c r="J551" s="8">
        <v>38287</v>
      </c>
      <c r="K551" s="12" t="s">
        <v>16</v>
      </c>
      <c r="L551" s="9">
        <v>47</v>
      </c>
      <c r="M551" s="10">
        <v>143.21221530085697</v>
      </c>
      <c r="N551" s="7" t="s">
        <v>22</v>
      </c>
      <c r="P551" s="29" t="str">
        <f t="shared" si="144"/>
        <v/>
      </c>
      <c r="Q551" s="29" t="str">
        <f t="shared" si="145"/>
        <v/>
      </c>
      <c r="R551" s="29" t="str">
        <f t="shared" si="146"/>
        <v/>
      </c>
      <c r="S551" s="29">
        <f t="shared" si="147"/>
        <v>1</v>
      </c>
      <c r="T551" s="32" t="str">
        <f t="shared" si="148"/>
        <v/>
      </c>
      <c r="U551" s="32" t="str">
        <f t="shared" si="151"/>
        <v/>
      </c>
      <c r="V551" s="32" t="str">
        <f t="shared" si="152"/>
        <v/>
      </c>
      <c r="W551" s="41">
        <f t="shared" si="149"/>
        <v>3.0470684106565313</v>
      </c>
      <c r="X551" s="6">
        <f t="shared" si="150"/>
        <v>0</v>
      </c>
      <c r="Y551" s="7">
        <f t="shared" si="153"/>
        <v>567</v>
      </c>
      <c r="AA551" s="7">
        <f t="shared" si="154"/>
        <v>0</v>
      </c>
      <c r="AB551" s="7" t="str">
        <f t="shared" si="155"/>
        <v/>
      </c>
      <c r="AC551" s="7">
        <f t="shared" si="156"/>
        <v>0</v>
      </c>
      <c r="AD551" s="7" t="str">
        <f t="shared" si="157"/>
        <v/>
      </c>
      <c r="AE551" s="6">
        <f t="shared" si="158"/>
        <v>0</v>
      </c>
      <c r="AF551" s="69">
        <f t="shared" si="159"/>
        <v>3.0470684106565313</v>
      </c>
      <c r="AG551" s="6">
        <f t="shared" si="160"/>
        <v>143.21221530085697</v>
      </c>
      <c r="AH551" s="6">
        <f t="shared" si="161"/>
        <v>285</v>
      </c>
    </row>
    <row r="552" spans="8:34" x14ac:dyDescent="0.25">
      <c r="H552" s="7">
        <v>559</v>
      </c>
      <c r="I552" s="7" t="s">
        <v>14</v>
      </c>
      <c r="J552" s="8">
        <v>38969</v>
      </c>
      <c r="K552" s="12" t="s">
        <v>16</v>
      </c>
      <c r="L552" s="9">
        <v>86</v>
      </c>
      <c r="M552" s="10">
        <v>260.39157259526775</v>
      </c>
      <c r="N552" s="7" t="s">
        <v>24</v>
      </c>
      <c r="P552" s="29" t="str">
        <f t="shared" si="144"/>
        <v/>
      </c>
      <c r="Q552" s="29" t="str">
        <f t="shared" si="145"/>
        <v/>
      </c>
      <c r="R552" s="29" t="str">
        <f t="shared" si="146"/>
        <v/>
      </c>
      <c r="S552" s="29" t="str">
        <f t="shared" si="147"/>
        <v/>
      </c>
      <c r="T552" s="32" t="str">
        <f t="shared" si="148"/>
        <v/>
      </c>
      <c r="U552" s="32" t="str">
        <f t="shared" si="151"/>
        <v/>
      </c>
      <c r="V552" s="32">
        <f t="shared" si="152"/>
        <v>1</v>
      </c>
      <c r="W552" s="41">
        <f t="shared" si="149"/>
        <v>3.0278089836659041</v>
      </c>
      <c r="X552" s="6">
        <f t="shared" si="150"/>
        <v>0</v>
      </c>
      <c r="Y552" s="7">
        <f t="shared" si="153"/>
        <v>567</v>
      </c>
      <c r="AA552" s="7">
        <f t="shared" si="154"/>
        <v>0</v>
      </c>
      <c r="AB552" s="7" t="str">
        <f t="shared" si="155"/>
        <v/>
      </c>
      <c r="AC552" s="7">
        <f t="shared" si="156"/>
        <v>0</v>
      </c>
      <c r="AD552" s="7" t="str">
        <f t="shared" si="157"/>
        <v/>
      </c>
      <c r="AE552" s="6">
        <f t="shared" si="158"/>
        <v>0</v>
      </c>
      <c r="AF552" s="69">
        <f t="shared" si="159"/>
        <v>3.0278089836659041</v>
      </c>
      <c r="AG552" s="6">
        <f t="shared" si="160"/>
        <v>0</v>
      </c>
      <c r="AH552" s="6">
        <f t="shared" si="161"/>
        <v>604</v>
      </c>
    </row>
    <row r="553" spans="8:34" x14ac:dyDescent="0.25">
      <c r="H553" s="7">
        <v>560</v>
      </c>
      <c r="I553" s="7" t="s">
        <v>14</v>
      </c>
      <c r="J553" s="8">
        <v>38925</v>
      </c>
      <c r="K553" s="12" t="s">
        <v>18</v>
      </c>
      <c r="L553" s="9">
        <v>76</v>
      </c>
      <c r="M553" s="10">
        <v>229.96347977242982</v>
      </c>
      <c r="N553" s="7" t="s">
        <v>22</v>
      </c>
      <c r="P553" s="29" t="str">
        <f t="shared" si="144"/>
        <v/>
      </c>
      <c r="Q553" s="29" t="str">
        <f t="shared" si="145"/>
        <v/>
      </c>
      <c r="R553" s="29" t="str">
        <f t="shared" si="146"/>
        <v/>
      </c>
      <c r="S553" s="29" t="str">
        <f t="shared" si="147"/>
        <v/>
      </c>
      <c r="T553" s="32" t="str">
        <f t="shared" si="148"/>
        <v/>
      </c>
      <c r="U553" s="32" t="str">
        <f t="shared" si="151"/>
        <v/>
      </c>
      <c r="V553" s="32">
        <f t="shared" si="152"/>
        <v>1</v>
      </c>
      <c r="W553" s="41">
        <f t="shared" si="149"/>
        <v>3.0258352601635501</v>
      </c>
      <c r="X553" s="6">
        <f t="shared" si="150"/>
        <v>0</v>
      </c>
      <c r="Y553" s="7">
        <f t="shared" si="153"/>
        <v>567</v>
      </c>
      <c r="AA553" s="7">
        <f t="shared" si="154"/>
        <v>0</v>
      </c>
      <c r="AB553" s="7" t="str">
        <f t="shared" si="155"/>
        <v/>
      </c>
      <c r="AC553" s="7">
        <f t="shared" si="156"/>
        <v>0</v>
      </c>
      <c r="AD553" s="7" t="str">
        <f t="shared" si="157"/>
        <v/>
      </c>
      <c r="AE553" s="6">
        <f t="shared" si="158"/>
        <v>0</v>
      </c>
      <c r="AF553" s="69">
        <f t="shared" si="159"/>
        <v>3.0258352601635501</v>
      </c>
      <c r="AG553" s="6">
        <f t="shared" si="160"/>
        <v>0</v>
      </c>
      <c r="AH553" s="6">
        <f t="shared" si="161"/>
        <v>604</v>
      </c>
    </row>
    <row r="554" spans="8:34" x14ac:dyDescent="0.25">
      <c r="H554" s="7">
        <v>561</v>
      </c>
      <c r="I554" s="7" t="s">
        <v>10</v>
      </c>
      <c r="J554" s="8">
        <v>38078</v>
      </c>
      <c r="K554" s="12" t="s">
        <v>20</v>
      </c>
      <c r="L554" s="9">
        <v>55</v>
      </c>
      <c r="M554" s="10">
        <v>166.99029890676019</v>
      </c>
      <c r="N554" s="7" t="s">
        <v>23</v>
      </c>
      <c r="P554" s="29" t="str">
        <f t="shared" si="144"/>
        <v/>
      </c>
      <c r="Q554" s="29">
        <f t="shared" si="145"/>
        <v>1</v>
      </c>
      <c r="R554" s="29" t="str">
        <f t="shared" si="146"/>
        <v/>
      </c>
      <c r="S554" s="29" t="str">
        <f t="shared" si="147"/>
        <v/>
      </c>
      <c r="T554" s="32" t="str">
        <f t="shared" si="148"/>
        <v/>
      </c>
      <c r="U554" s="32" t="str">
        <f t="shared" si="151"/>
        <v/>
      </c>
      <c r="V554" s="32" t="str">
        <f t="shared" si="152"/>
        <v/>
      </c>
      <c r="W554" s="41">
        <f t="shared" si="149"/>
        <v>3.0361872528501852</v>
      </c>
      <c r="X554" s="6">
        <f t="shared" si="150"/>
        <v>0</v>
      </c>
      <c r="Y554" s="7">
        <f t="shared" si="153"/>
        <v>567</v>
      </c>
      <c r="AA554" s="7">
        <f t="shared" si="154"/>
        <v>0</v>
      </c>
      <c r="AB554" s="7" t="str">
        <f t="shared" si="155"/>
        <v/>
      </c>
      <c r="AC554" s="7">
        <f t="shared" si="156"/>
        <v>0</v>
      </c>
      <c r="AD554" s="7" t="str">
        <f t="shared" si="157"/>
        <v/>
      </c>
      <c r="AE554" s="6">
        <f t="shared" si="158"/>
        <v>0</v>
      </c>
      <c r="AF554" s="69">
        <f t="shared" si="159"/>
        <v>3.0361872528501852</v>
      </c>
      <c r="AG554" s="6">
        <f t="shared" si="160"/>
        <v>166.99029890676019</v>
      </c>
      <c r="AH554" s="6">
        <f t="shared" si="161"/>
        <v>247</v>
      </c>
    </row>
    <row r="555" spans="8:34" x14ac:dyDescent="0.25">
      <c r="H555" s="7">
        <v>562</v>
      </c>
      <c r="I555" s="7" t="s">
        <v>9</v>
      </c>
      <c r="J555" s="8">
        <v>38133</v>
      </c>
      <c r="K555" s="12" t="s">
        <v>16</v>
      </c>
      <c r="L555" s="9">
        <v>-1</v>
      </c>
      <c r="M555" s="10">
        <v>-0.79289798318866422</v>
      </c>
      <c r="N555" s="7" t="s">
        <v>21</v>
      </c>
      <c r="P555" s="29" t="str">
        <f t="shared" si="144"/>
        <v/>
      </c>
      <c r="Q555" s="29">
        <f t="shared" si="145"/>
        <v>1</v>
      </c>
      <c r="R555" s="29" t="str">
        <f t="shared" si="146"/>
        <v/>
      </c>
      <c r="S555" s="29" t="str">
        <f t="shared" si="147"/>
        <v/>
      </c>
      <c r="T555" s="32" t="str">
        <f t="shared" si="148"/>
        <v/>
      </c>
      <c r="U555" s="32" t="str">
        <f t="shared" si="151"/>
        <v/>
      </c>
      <c r="V555" s="32" t="str">
        <f t="shared" si="152"/>
        <v/>
      </c>
      <c r="W555" s="41" t="str">
        <f t="shared" si="149"/>
        <v/>
      </c>
      <c r="X555" s="6">
        <f t="shared" si="150"/>
        <v>0</v>
      </c>
      <c r="Y555" s="7">
        <f t="shared" si="153"/>
        <v>567</v>
      </c>
      <c r="AA555" s="7">
        <f t="shared" si="154"/>
        <v>0</v>
      </c>
      <c r="AB555" s="7" t="str">
        <f t="shared" si="155"/>
        <v/>
      </c>
      <c r="AC555" s="7">
        <f t="shared" si="156"/>
        <v>0</v>
      </c>
      <c r="AD555" s="7" t="str">
        <f t="shared" si="157"/>
        <v/>
      </c>
      <c r="AE555" s="6">
        <f t="shared" si="158"/>
        <v>-1</v>
      </c>
      <c r="AF555" s="69" t="str">
        <f t="shared" si="159"/>
        <v/>
      </c>
      <c r="AG555" s="6">
        <f t="shared" si="160"/>
        <v>0</v>
      </c>
      <c r="AH555" s="6">
        <f t="shared" si="161"/>
        <v>604</v>
      </c>
    </row>
    <row r="556" spans="8:34" x14ac:dyDescent="0.25">
      <c r="H556" s="7">
        <v>563</v>
      </c>
      <c r="I556" s="7" t="s">
        <v>9</v>
      </c>
      <c r="J556" s="8">
        <v>38188</v>
      </c>
      <c r="K556" s="12" t="s">
        <v>20</v>
      </c>
      <c r="L556" s="9">
        <v>62</v>
      </c>
      <c r="M556" s="10">
        <v>187.63361707571198</v>
      </c>
      <c r="N556" s="7" t="s">
        <v>23</v>
      </c>
      <c r="P556" s="29" t="str">
        <f t="shared" si="144"/>
        <v/>
      </c>
      <c r="Q556" s="29" t="str">
        <f t="shared" si="145"/>
        <v/>
      </c>
      <c r="R556" s="29">
        <f t="shared" si="146"/>
        <v>1</v>
      </c>
      <c r="S556" s="29" t="str">
        <f t="shared" si="147"/>
        <v/>
      </c>
      <c r="T556" s="32" t="str">
        <f t="shared" si="148"/>
        <v/>
      </c>
      <c r="U556" s="32" t="str">
        <f t="shared" si="151"/>
        <v/>
      </c>
      <c r="V556" s="32" t="str">
        <f t="shared" si="152"/>
        <v/>
      </c>
      <c r="W556" s="41">
        <f t="shared" si="149"/>
        <v>3.0263486625114835</v>
      </c>
      <c r="X556" s="6">
        <f t="shared" si="150"/>
        <v>0</v>
      </c>
      <c r="Y556" s="7">
        <f t="shared" si="153"/>
        <v>567</v>
      </c>
      <c r="AA556" s="7">
        <f t="shared" si="154"/>
        <v>0</v>
      </c>
      <c r="AB556" s="7" t="str">
        <f t="shared" si="155"/>
        <v/>
      </c>
      <c r="AC556" s="7">
        <f t="shared" si="156"/>
        <v>0</v>
      </c>
      <c r="AD556" s="7" t="str">
        <f t="shared" si="157"/>
        <v/>
      </c>
      <c r="AE556" s="6">
        <f t="shared" si="158"/>
        <v>0</v>
      </c>
      <c r="AF556" s="69">
        <f t="shared" si="159"/>
        <v>3.0263486625114835</v>
      </c>
      <c r="AG556" s="6">
        <f t="shared" si="160"/>
        <v>187.63361707571198</v>
      </c>
      <c r="AH556" s="6">
        <f t="shared" si="161"/>
        <v>206</v>
      </c>
    </row>
    <row r="557" spans="8:34" x14ac:dyDescent="0.25">
      <c r="H557" s="7">
        <v>564</v>
      </c>
      <c r="I557" s="7" t="s">
        <v>9</v>
      </c>
      <c r="J557" s="8">
        <v>38012</v>
      </c>
      <c r="K557" s="12" t="s">
        <v>18</v>
      </c>
      <c r="L557" s="9">
        <v>73</v>
      </c>
      <c r="M557" s="10">
        <v>220.96515803490902</v>
      </c>
      <c r="N557" s="7" t="s">
        <v>22</v>
      </c>
      <c r="P557" s="29">
        <f t="shared" si="144"/>
        <v>1</v>
      </c>
      <c r="Q557" s="29" t="str">
        <f t="shared" si="145"/>
        <v/>
      </c>
      <c r="R557" s="29" t="str">
        <f t="shared" si="146"/>
        <v/>
      </c>
      <c r="S557" s="29" t="str">
        <f t="shared" si="147"/>
        <v/>
      </c>
      <c r="T557" s="32" t="str">
        <f t="shared" si="148"/>
        <v/>
      </c>
      <c r="U557" s="32" t="str">
        <f t="shared" si="151"/>
        <v/>
      </c>
      <c r="V557" s="32" t="str">
        <f t="shared" si="152"/>
        <v/>
      </c>
      <c r="W557" s="41">
        <f t="shared" si="149"/>
        <v>3.0269199730809455</v>
      </c>
      <c r="X557" s="6">
        <f t="shared" si="150"/>
        <v>0</v>
      </c>
      <c r="Y557" s="7">
        <f t="shared" si="153"/>
        <v>567</v>
      </c>
      <c r="AA557" s="7">
        <f t="shared" si="154"/>
        <v>0</v>
      </c>
      <c r="AB557" s="7" t="str">
        <f t="shared" si="155"/>
        <v/>
      </c>
      <c r="AC557" s="7">
        <f t="shared" si="156"/>
        <v>0</v>
      </c>
      <c r="AD557" s="7" t="str">
        <f t="shared" si="157"/>
        <v/>
      </c>
      <c r="AE557" s="6">
        <f t="shared" si="158"/>
        <v>0</v>
      </c>
      <c r="AF557" s="69">
        <f t="shared" si="159"/>
        <v>3.0269199730809455</v>
      </c>
      <c r="AG557" s="6">
        <f t="shared" si="160"/>
        <v>220.96515803490902</v>
      </c>
      <c r="AH557" s="6">
        <f t="shared" si="161"/>
        <v>134</v>
      </c>
    </row>
    <row r="558" spans="8:34" x14ac:dyDescent="0.25">
      <c r="H558" s="7">
        <v>565</v>
      </c>
      <c r="I558" s="7" t="s">
        <v>8</v>
      </c>
      <c r="J558" s="8">
        <v>38298</v>
      </c>
      <c r="K558" s="12" t="s">
        <v>19</v>
      </c>
      <c r="L558" s="9">
        <v>12</v>
      </c>
      <c r="M558" s="10">
        <v>38.43875396047023</v>
      </c>
      <c r="N558" s="7" t="s">
        <v>23</v>
      </c>
      <c r="P558" s="29" t="str">
        <f t="shared" si="144"/>
        <v/>
      </c>
      <c r="Q558" s="29" t="str">
        <f t="shared" si="145"/>
        <v/>
      </c>
      <c r="R558" s="29" t="str">
        <f t="shared" si="146"/>
        <v/>
      </c>
      <c r="S558" s="29">
        <f t="shared" si="147"/>
        <v>1</v>
      </c>
      <c r="T558" s="32" t="str">
        <f t="shared" si="148"/>
        <v/>
      </c>
      <c r="U558" s="32" t="str">
        <f t="shared" si="151"/>
        <v/>
      </c>
      <c r="V558" s="32" t="str">
        <f t="shared" si="152"/>
        <v/>
      </c>
      <c r="W558" s="41">
        <f t="shared" si="149"/>
        <v>3.2032294967058523</v>
      </c>
      <c r="X558" s="6">
        <f t="shared" si="150"/>
        <v>0</v>
      </c>
      <c r="Y558" s="7">
        <f t="shared" si="153"/>
        <v>567</v>
      </c>
      <c r="AA558" s="7">
        <f t="shared" si="154"/>
        <v>0</v>
      </c>
      <c r="AB558" s="7" t="str">
        <f t="shared" si="155"/>
        <v/>
      </c>
      <c r="AC558" s="7">
        <f t="shared" si="156"/>
        <v>0</v>
      </c>
      <c r="AD558" s="7" t="str">
        <f t="shared" si="157"/>
        <v/>
      </c>
      <c r="AE558" s="6">
        <f t="shared" si="158"/>
        <v>0</v>
      </c>
      <c r="AF558" s="69">
        <f t="shared" si="159"/>
        <v>3.2032294967058523</v>
      </c>
      <c r="AG558" s="6">
        <f t="shared" si="160"/>
        <v>38.43875396047023</v>
      </c>
      <c r="AH558" s="6">
        <f t="shared" si="161"/>
        <v>508</v>
      </c>
    </row>
    <row r="559" spans="8:34" x14ac:dyDescent="0.25">
      <c r="H559" s="7">
        <v>566</v>
      </c>
      <c r="I559" s="7" t="s">
        <v>13</v>
      </c>
      <c r="J559" s="8">
        <v>38221</v>
      </c>
      <c r="K559" s="12" t="s">
        <v>20</v>
      </c>
      <c r="L559" s="9">
        <v>0</v>
      </c>
      <c r="M559" s="10">
        <v>1.5994060348452668</v>
      </c>
      <c r="N559" s="7" t="s">
        <v>23</v>
      </c>
      <c r="P559" s="29" t="str">
        <f t="shared" si="144"/>
        <v/>
      </c>
      <c r="Q559" s="29" t="str">
        <f t="shared" si="145"/>
        <v/>
      </c>
      <c r="R559" s="29">
        <f t="shared" si="146"/>
        <v>1</v>
      </c>
      <c r="S559" s="29" t="str">
        <f t="shared" si="147"/>
        <v/>
      </c>
      <c r="T559" s="32" t="str">
        <f t="shared" si="148"/>
        <v/>
      </c>
      <c r="U559" s="32" t="str">
        <f t="shared" si="151"/>
        <v/>
      </c>
      <c r="V559" s="32" t="str">
        <f t="shared" si="152"/>
        <v/>
      </c>
      <c r="W559" s="41" t="str">
        <f t="shared" si="149"/>
        <v/>
      </c>
      <c r="X559" s="6">
        <f t="shared" si="150"/>
        <v>0</v>
      </c>
      <c r="Y559" s="7">
        <f t="shared" si="153"/>
        <v>567</v>
      </c>
      <c r="AA559" s="7">
        <f t="shared" si="154"/>
        <v>0</v>
      </c>
      <c r="AB559" s="7" t="str">
        <f t="shared" si="155"/>
        <v/>
      </c>
      <c r="AC559" s="7">
        <f t="shared" si="156"/>
        <v>0</v>
      </c>
      <c r="AD559" s="7" t="str">
        <f t="shared" si="157"/>
        <v/>
      </c>
      <c r="AE559" s="6">
        <f t="shared" si="158"/>
        <v>0</v>
      </c>
      <c r="AF559" s="69" t="str">
        <f t="shared" si="159"/>
        <v/>
      </c>
      <c r="AG559" s="6">
        <f t="shared" si="160"/>
        <v>1.5994060348452668</v>
      </c>
      <c r="AH559" s="6">
        <f t="shared" si="161"/>
        <v>602</v>
      </c>
    </row>
    <row r="560" spans="8:34" x14ac:dyDescent="0.25">
      <c r="H560" s="7">
        <v>567</v>
      </c>
      <c r="I560" s="7" t="s">
        <v>15</v>
      </c>
      <c r="J560" s="8">
        <v>38947</v>
      </c>
      <c r="K560" s="12" t="s">
        <v>16</v>
      </c>
      <c r="L560" s="9">
        <v>23</v>
      </c>
      <c r="M560" s="10">
        <v>71.39535724005502</v>
      </c>
      <c r="N560" s="7" t="s">
        <v>23</v>
      </c>
      <c r="P560" s="29" t="str">
        <f t="shared" si="144"/>
        <v/>
      </c>
      <c r="Q560" s="29" t="str">
        <f t="shared" si="145"/>
        <v/>
      </c>
      <c r="R560" s="29" t="str">
        <f t="shared" si="146"/>
        <v/>
      </c>
      <c r="S560" s="29" t="str">
        <f t="shared" si="147"/>
        <v/>
      </c>
      <c r="T560" s="32" t="str">
        <f t="shared" si="148"/>
        <v/>
      </c>
      <c r="U560" s="32" t="str">
        <f t="shared" si="151"/>
        <v/>
      </c>
      <c r="V560" s="32">
        <f t="shared" si="152"/>
        <v>1</v>
      </c>
      <c r="W560" s="41">
        <f t="shared" si="149"/>
        <v>3.1041459669589138</v>
      </c>
      <c r="X560" s="6">
        <f t="shared" si="150"/>
        <v>0</v>
      </c>
      <c r="Y560" s="7">
        <f t="shared" si="153"/>
        <v>567</v>
      </c>
      <c r="AA560" s="7">
        <f t="shared" si="154"/>
        <v>0</v>
      </c>
      <c r="AB560" s="7" t="str">
        <f t="shared" si="155"/>
        <v/>
      </c>
      <c r="AC560" s="7">
        <f t="shared" si="156"/>
        <v>0</v>
      </c>
      <c r="AD560" s="7" t="str">
        <f t="shared" si="157"/>
        <v/>
      </c>
      <c r="AE560" s="6">
        <f t="shared" si="158"/>
        <v>0</v>
      </c>
      <c r="AF560" s="69">
        <f t="shared" si="159"/>
        <v>3.1041459669589138</v>
      </c>
      <c r="AG560" s="6">
        <f t="shared" si="160"/>
        <v>0</v>
      </c>
      <c r="AH560" s="6">
        <f t="shared" si="161"/>
        <v>604</v>
      </c>
    </row>
    <row r="561" spans="8:34" x14ac:dyDescent="0.25">
      <c r="H561" s="7">
        <v>568</v>
      </c>
      <c r="I561" s="7" t="s">
        <v>15</v>
      </c>
      <c r="J561" s="8">
        <v>38375</v>
      </c>
      <c r="K561" s="12" t="s">
        <v>16</v>
      </c>
      <c r="L561" s="9">
        <v>73</v>
      </c>
      <c r="M561" s="10">
        <v>220.80778472883722</v>
      </c>
      <c r="N561" s="7" t="s">
        <v>22</v>
      </c>
      <c r="P561" s="29" t="str">
        <f t="shared" si="144"/>
        <v/>
      </c>
      <c r="Q561" s="29" t="str">
        <f t="shared" si="145"/>
        <v/>
      </c>
      <c r="R561" s="29" t="str">
        <f t="shared" si="146"/>
        <v/>
      </c>
      <c r="S561" s="29" t="str">
        <f t="shared" si="147"/>
        <v/>
      </c>
      <c r="T561" s="32" t="str">
        <f t="shared" si="148"/>
        <v/>
      </c>
      <c r="U561" s="32">
        <f t="shared" si="151"/>
        <v>1</v>
      </c>
      <c r="V561" s="32" t="str">
        <f t="shared" si="152"/>
        <v/>
      </c>
      <c r="W561" s="41">
        <f t="shared" si="149"/>
        <v>3.024764174367633</v>
      </c>
      <c r="X561" s="6">
        <f t="shared" si="150"/>
        <v>220.80778472883722</v>
      </c>
      <c r="Y561" s="7">
        <f t="shared" si="153"/>
        <v>140</v>
      </c>
      <c r="AA561" s="7">
        <f t="shared" si="154"/>
        <v>1</v>
      </c>
      <c r="AB561" s="7">
        <f t="shared" si="155"/>
        <v>73</v>
      </c>
      <c r="AC561" s="7">
        <f t="shared" si="156"/>
        <v>0</v>
      </c>
      <c r="AD561" s="7" t="str">
        <f t="shared" si="157"/>
        <v/>
      </c>
      <c r="AE561" s="6">
        <f t="shared" si="158"/>
        <v>0</v>
      </c>
      <c r="AF561" s="69">
        <f t="shared" si="159"/>
        <v>3.024764174367633</v>
      </c>
      <c r="AG561" s="6">
        <f t="shared" si="160"/>
        <v>0</v>
      </c>
      <c r="AH561" s="6">
        <f t="shared" si="161"/>
        <v>604</v>
      </c>
    </row>
    <row r="562" spans="8:34" x14ac:dyDescent="0.25">
      <c r="H562" s="7">
        <v>569</v>
      </c>
      <c r="I562" s="7" t="s">
        <v>14</v>
      </c>
      <c r="J562" s="8">
        <v>38507</v>
      </c>
      <c r="K562" s="12" t="s">
        <v>17</v>
      </c>
      <c r="L562" s="9">
        <v>73</v>
      </c>
      <c r="M562" s="10">
        <v>221.78112807048697</v>
      </c>
      <c r="N562" s="7" t="s">
        <v>23</v>
      </c>
      <c r="P562" s="29" t="str">
        <f t="shared" si="144"/>
        <v/>
      </c>
      <c r="Q562" s="29" t="str">
        <f t="shared" si="145"/>
        <v/>
      </c>
      <c r="R562" s="29" t="str">
        <f t="shared" si="146"/>
        <v/>
      </c>
      <c r="S562" s="29" t="str">
        <f t="shared" si="147"/>
        <v/>
      </c>
      <c r="T562" s="32" t="str">
        <f t="shared" si="148"/>
        <v/>
      </c>
      <c r="U562" s="32">
        <f t="shared" si="151"/>
        <v>1</v>
      </c>
      <c r="V562" s="32" t="str">
        <f t="shared" si="152"/>
        <v/>
      </c>
      <c r="W562" s="41">
        <f t="shared" si="149"/>
        <v>3.0380976448011916</v>
      </c>
      <c r="X562" s="6">
        <f t="shared" si="150"/>
        <v>221.78112807048697</v>
      </c>
      <c r="Y562" s="7">
        <f t="shared" si="153"/>
        <v>136</v>
      </c>
      <c r="AA562" s="7">
        <f t="shared" si="154"/>
        <v>0</v>
      </c>
      <c r="AB562" s="7" t="str">
        <f t="shared" si="155"/>
        <v/>
      </c>
      <c r="AC562" s="7">
        <f t="shared" si="156"/>
        <v>1</v>
      </c>
      <c r="AD562" s="7">
        <f t="shared" si="157"/>
        <v>73</v>
      </c>
      <c r="AE562" s="6">
        <f t="shared" si="158"/>
        <v>0</v>
      </c>
      <c r="AF562" s="69">
        <f t="shared" si="159"/>
        <v>3.0380976448011916</v>
      </c>
      <c r="AG562" s="6">
        <f t="shared" si="160"/>
        <v>0</v>
      </c>
      <c r="AH562" s="6">
        <f t="shared" si="161"/>
        <v>604</v>
      </c>
    </row>
    <row r="563" spans="8:34" x14ac:dyDescent="0.25">
      <c r="H563" s="7">
        <v>570</v>
      </c>
      <c r="I563" s="7" t="s">
        <v>13</v>
      </c>
      <c r="J563" s="8">
        <v>38430</v>
      </c>
      <c r="K563" s="12" t="s">
        <v>18</v>
      </c>
      <c r="L563" s="9">
        <v>43</v>
      </c>
      <c r="M563" s="10">
        <v>131.05809583118935</v>
      </c>
      <c r="N563" s="7" t="s">
        <v>21</v>
      </c>
      <c r="P563" s="29" t="str">
        <f t="shared" si="144"/>
        <v/>
      </c>
      <c r="Q563" s="29" t="str">
        <f t="shared" si="145"/>
        <v/>
      </c>
      <c r="R563" s="29" t="str">
        <f t="shared" si="146"/>
        <v/>
      </c>
      <c r="S563" s="29" t="str">
        <f t="shared" si="147"/>
        <v/>
      </c>
      <c r="T563" s="32" t="str">
        <f t="shared" si="148"/>
        <v/>
      </c>
      <c r="U563" s="32">
        <f t="shared" si="151"/>
        <v>1</v>
      </c>
      <c r="V563" s="32" t="str">
        <f t="shared" si="152"/>
        <v/>
      </c>
      <c r="W563" s="41">
        <f t="shared" si="149"/>
        <v>3.0478626937485895</v>
      </c>
      <c r="X563" s="6">
        <f t="shared" si="150"/>
        <v>131.05809583118935</v>
      </c>
      <c r="Y563" s="7">
        <f t="shared" si="153"/>
        <v>303</v>
      </c>
      <c r="AA563" s="7">
        <f t="shared" si="154"/>
        <v>1</v>
      </c>
      <c r="AB563" s="7">
        <f t="shared" si="155"/>
        <v>43</v>
      </c>
      <c r="AC563" s="7">
        <f t="shared" si="156"/>
        <v>0</v>
      </c>
      <c r="AD563" s="7" t="str">
        <f t="shared" si="157"/>
        <v/>
      </c>
      <c r="AE563" s="6">
        <f t="shared" si="158"/>
        <v>0</v>
      </c>
      <c r="AF563" s="69">
        <f t="shared" si="159"/>
        <v>3.0478626937485895</v>
      </c>
      <c r="AG563" s="6">
        <f t="shared" si="160"/>
        <v>0</v>
      </c>
      <c r="AH563" s="6">
        <f t="shared" si="161"/>
        <v>604</v>
      </c>
    </row>
    <row r="564" spans="8:34" x14ac:dyDescent="0.25">
      <c r="H564" s="7">
        <v>571</v>
      </c>
      <c r="I564" s="7" t="s">
        <v>8</v>
      </c>
      <c r="J564" s="8">
        <v>38925</v>
      </c>
      <c r="K564" s="12" t="s">
        <v>19</v>
      </c>
      <c r="L564" s="9">
        <v>60</v>
      </c>
      <c r="M564" s="10">
        <v>182.29246065825532</v>
      </c>
      <c r="N564" s="7" t="s">
        <v>24</v>
      </c>
      <c r="P564" s="29" t="str">
        <f t="shared" si="144"/>
        <v/>
      </c>
      <c r="Q564" s="29" t="str">
        <f t="shared" si="145"/>
        <v/>
      </c>
      <c r="R564" s="29" t="str">
        <f t="shared" si="146"/>
        <v/>
      </c>
      <c r="S564" s="29" t="str">
        <f t="shared" si="147"/>
        <v/>
      </c>
      <c r="T564" s="32" t="str">
        <f t="shared" si="148"/>
        <v/>
      </c>
      <c r="U564" s="32" t="str">
        <f t="shared" si="151"/>
        <v/>
      </c>
      <c r="V564" s="32">
        <f t="shared" si="152"/>
        <v>1</v>
      </c>
      <c r="W564" s="41">
        <f t="shared" si="149"/>
        <v>3.0382076776375886</v>
      </c>
      <c r="X564" s="6">
        <f t="shared" si="150"/>
        <v>0</v>
      </c>
      <c r="Y564" s="7">
        <f t="shared" si="153"/>
        <v>567</v>
      </c>
      <c r="AA564" s="7">
        <f t="shared" si="154"/>
        <v>0</v>
      </c>
      <c r="AB564" s="7" t="str">
        <f t="shared" si="155"/>
        <v/>
      </c>
      <c r="AC564" s="7">
        <f t="shared" si="156"/>
        <v>0</v>
      </c>
      <c r="AD564" s="7" t="str">
        <f t="shared" si="157"/>
        <v/>
      </c>
      <c r="AE564" s="6">
        <f t="shared" si="158"/>
        <v>0</v>
      </c>
      <c r="AF564" s="69">
        <f t="shared" si="159"/>
        <v>3.0382076776375886</v>
      </c>
      <c r="AG564" s="6">
        <f t="shared" si="160"/>
        <v>0</v>
      </c>
      <c r="AH564" s="6">
        <f t="shared" si="161"/>
        <v>604</v>
      </c>
    </row>
    <row r="565" spans="8:34" x14ac:dyDescent="0.25">
      <c r="H565" s="7">
        <v>572</v>
      </c>
      <c r="I565" s="7" t="s">
        <v>13</v>
      </c>
      <c r="J565" s="8">
        <v>39057</v>
      </c>
      <c r="K565" s="12" t="s">
        <v>17</v>
      </c>
      <c r="L565" s="9">
        <v>40</v>
      </c>
      <c r="M565" s="10">
        <v>121.86602847443184</v>
      </c>
      <c r="N565" s="7" t="s">
        <v>22</v>
      </c>
      <c r="P565" s="29" t="str">
        <f t="shared" si="144"/>
        <v/>
      </c>
      <c r="Q565" s="29" t="str">
        <f t="shared" si="145"/>
        <v/>
      </c>
      <c r="R565" s="29" t="str">
        <f t="shared" si="146"/>
        <v/>
      </c>
      <c r="S565" s="29" t="str">
        <f t="shared" si="147"/>
        <v/>
      </c>
      <c r="T565" s="32" t="str">
        <f t="shared" si="148"/>
        <v/>
      </c>
      <c r="U565" s="32" t="str">
        <f t="shared" si="151"/>
        <v/>
      </c>
      <c r="V565" s="32">
        <f t="shared" si="152"/>
        <v>1</v>
      </c>
      <c r="W565" s="41">
        <f t="shared" si="149"/>
        <v>3.0466507118607962</v>
      </c>
      <c r="X565" s="6">
        <f t="shared" si="150"/>
        <v>0</v>
      </c>
      <c r="Y565" s="7">
        <f t="shared" si="153"/>
        <v>567</v>
      </c>
      <c r="AA565" s="7">
        <f t="shared" si="154"/>
        <v>0</v>
      </c>
      <c r="AB565" s="7" t="str">
        <f t="shared" si="155"/>
        <v/>
      </c>
      <c r="AC565" s="7">
        <f t="shared" si="156"/>
        <v>0</v>
      </c>
      <c r="AD565" s="7" t="str">
        <f t="shared" si="157"/>
        <v/>
      </c>
      <c r="AE565" s="6">
        <f t="shared" si="158"/>
        <v>0</v>
      </c>
      <c r="AF565" s="69">
        <f t="shared" si="159"/>
        <v>3.0466507118607962</v>
      </c>
      <c r="AG565" s="6">
        <f t="shared" si="160"/>
        <v>0</v>
      </c>
      <c r="AH565" s="6">
        <f t="shared" si="161"/>
        <v>604</v>
      </c>
    </row>
    <row r="566" spans="8:34" x14ac:dyDescent="0.25">
      <c r="H566" s="7">
        <v>573</v>
      </c>
      <c r="I566" s="7" t="s">
        <v>14</v>
      </c>
      <c r="J566" s="8">
        <v>38562</v>
      </c>
      <c r="K566" s="12" t="s">
        <v>17</v>
      </c>
      <c r="L566" s="9">
        <v>-7</v>
      </c>
      <c r="M566" s="10">
        <v>-18.9155229231676</v>
      </c>
      <c r="N566" s="7" t="s">
        <v>22</v>
      </c>
      <c r="P566" s="29" t="str">
        <f t="shared" si="144"/>
        <v/>
      </c>
      <c r="Q566" s="29" t="str">
        <f t="shared" si="145"/>
        <v/>
      </c>
      <c r="R566" s="29" t="str">
        <f t="shared" si="146"/>
        <v/>
      </c>
      <c r="S566" s="29" t="str">
        <f t="shared" si="147"/>
        <v/>
      </c>
      <c r="T566" s="32" t="str">
        <f t="shared" si="148"/>
        <v/>
      </c>
      <c r="U566" s="32">
        <f t="shared" si="151"/>
        <v>1</v>
      </c>
      <c r="V566" s="32" t="str">
        <f t="shared" si="152"/>
        <v/>
      </c>
      <c r="W566" s="41" t="str">
        <f t="shared" si="149"/>
        <v/>
      </c>
      <c r="X566" s="6">
        <f t="shared" si="150"/>
        <v>-18.9155229231676</v>
      </c>
      <c r="Y566" s="7">
        <f t="shared" si="153"/>
        <v>1876</v>
      </c>
      <c r="AA566" s="7">
        <f t="shared" si="154"/>
        <v>1</v>
      </c>
      <c r="AB566" s="7">
        <f t="shared" si="155"/>
        <v>-7</v>
      </c>
      <c r="AC566" s="7">
        <f t="shared" si="156"/>
        <v>0</v>
      </c>
      <c r="AD566" s="7" t="str">
        <f t="shared" si="157"/>
        <v/>
      </c>
      <c r="AE566" s="6">
        <f t="shared" si="158"/>
        <v>-7</v>
      </c>
      <c r="AF566" s="69" t="str">
        <f t="shared" si="159"/>
        <v/>
      </c>
      <c r="AG566" s="6">
        <f t="shared" si="160"/>
        <v>0</v>
      </c>
      <c r="AH566" s="6">
        <f t="shared" si="161"/>
        <v>604</v>
      </c>
    </row>
    <row r="567" spans="8:34" x14ac:dyDescent="0.25">
      <c r="H567" s="7">
        <v>574</v>
      </c>
      <c r="I567" s="7" t="s">
        <v>7</v>
      </c>
      <c r="J567" s="8">
        <v>38254</v>
      </c>
      <c r="K567" s="12" t="s">
        <v>18</v>
      </c>
      <c r="L567" s="9">
        <v>39</v>
      </c>
      <c r="M567" s="10">
        <v>118.36577315011976</v>
      </c>
      <c r="N567" s="7" t="s">
        <v>22</v>
      </c>
      <c r="P567" s="29" t="str">
        <f t="shared" si="144"/>
        <v/>
      </c>
      <c r="Q567" s="29" t="str">
        <f t="shared" si="145"/>
        <v/>
      </c>
      <c r="R567" s="29">
        <f t="shared" si="146"/>
        <v>1</v>
      </c>
      <c r="S567" s="29" t="str">
        <f t="shared" si="147"/>
        <v/>
      </c>
      <c r="T567" s="32" t="str">
        <f t="shared" si="148"/>
        <v/>
      </c>
      <c r="U567" s="32" t="str">
        <f t="shared" si="151"/>
        <v/>
      </c>
      <c r="V567" s="32" t="str">
        <f t="shared" si="152"/>
        <v/>
      </c>
      <c r="W567" s="41">
        <f t="shared" si="149"/>
        <v>3.0350198243620454</v>
      </c>
      <c r="X567" s="6">
        <f t="shared" si="150"/>
        <v>0</v>
      </c>
      <c r="Y567" s="7">
        <f t="shared" si="153"/>
        <v>567</v>
      </c>
      <c r="AA567" s="7">
        <f t="shared" si="154"/>
        <v>0</v>
      </c>
      <c r="AB567" s="7" t="str">
        <f t="shared" si="155"/>
        <v/>
      </c>
      <c r="AC567" s="7">
        <f t="shared" si="156"/>
        <v>0</v>
      </c>
      <c r="AD567" s="7" t="str">
        <f t="shared" si="157"/>
        <v/>
      </c>
      <c r="AE567" s="6">
        <f t="shared" si="158"/>
        <v>0</v>
      </c>
      <c r="AF567" s="69">
        <f t="shared" si="159"/>
        <v>3.0350198243620454</v>
      </c>
      <c r="AG567" s="6">
        <f t="shared" si="160"/>
        <v>118.36577315011976</v>
      </c>
      <c r="AH567" s="6">
        <f t="shared" si="161"/>
        <v>337</v>
      </c>
    </row>
    <row r="568" spans="8:34" x14ac:dyDescent="0.25">
      <c r="H568" s="7">
        <v>575</v>
      </c>
      <c r="I568" s="7" t="s">
        <v>11</v>
      </c>
      <c r="J568" s="8">
        <v>38353</v>
      </c>
      <c r="K568" s="12" t="s">
        <v>20</v>
      </c>
      <c r="L568" s="9">
        <v>84</v>
      </c>
      <c r="M568" s="10">
        <v>253.79033414178701</v>
      </c>
      <c r="N568" s="7" t="s">
        <v>23</v>
      </c>
      <c r="P568" s="29" t="str">
        <f t="shared" si="144"/>
        <v/>
      </c>
      <c r="Q568" s="29" t="str">
        <f t="shared" si="145"/>
        <v/>
      </c>
      <c r="R568" s="29" t="str">
        <f t="shared" si="146"/>
        <v/>
      </c>
      <c r="S568" s="29" t="str">
        <f t="shared" si="147"/>
        <v/>
      </c>
      <c r="T568" s="32" t="str">
        <f t="shared" si="148"/>
        <v/>
      </c>
      <c r="U568" s="32">
        <f t="shared" si="151"/>
        <v>1</v>
      </c>
      <c r="V568" s="32" t="str">
        <f t="shared" si="152"/>
        <v/>
      </c>
      <c r="W568" s="41">
        <f t="shared" si="149"/>
        <v>3.0213135016879407</v>
      </c>
      <c r="X568" s="6">
        <f t="shared" si="150"/>
        <v>253.79033414178701</v>
      </c>
      <c r="Y568" s="7">
        <f t="shared" si="153"/>
        <v>74</v>
      </c>
      <c r="AA568" s="7">
        <f t="shared" si="154"/>
        <v>1</v>
      </c>
      <c r="AB568" s="7">
        <f t="shared" si="155"/>
        <v>84</v>
      </c>
      <c r="AC568" s="7">
        <f t="shared" si="156"/>
        <v>0</v>
      </c>
      <c r="AD568" s="7" t="str">
        <f t="shared" si="157"/>
        <v/>
      </c>
      <c r="AE568" s="6">
        <f t="shared" si="158"/>
        <v>0</v>
      </c>
      <c r="AF568" s="69">
        <f t="shared" si="159"/>
        <v>3.0213135016879407</v>
      </c>
      <c r="AG568" s="6">
        <f t="shared" si="160"/>
        <v>0</v>
      </c>
      <c r="AH568" s="6">
        <f t="shared" si="161"/>
        <v>604</v>
      </c>
    </row>
    <row r="569" spans="8:34" x14ac:dyDescent="0.25">
      <c r="H569" s="7">
        <v>576</v>
      </c>
      <c r="I569" s="7" t="s">
        <v>14</v>
      </c>
      <c r="J569" s="8">
        <v>38837</v>
      </c>
      <c r="K569" s="12" t="s">
        <v>19</v>
      </c>
      <c r="L569" s="9">
        <v>92</v>
      </c>
      <c r="M569" s="10">
        <v>277.80911377540116</v>
      </c>
      <c r="N569" s="7" t="s">
        <v>23</v>
      </c>
      <c r="P569" s="29" t="str">
        <f t="shared" si="144"/>
        <v/>
      </c>
      <c r="Q569" s="29" t="str">
        <f t="shared" si="145"/>
        <v/>
      </c>
      <c r="R569" s="29" t="str">
        <f t="shared" si="146"/>
        <v/>
      </c>
      <c r="S569" s="29" t="str">
        <f t="shared" si="147"/>
        <v/>
      </c>
      <c r="T569" s="32" t="str">
        <f t="shared" si="148"/>
        <v/>
      </c>
      <c r="U569" s="32" t="str">
        <f t="shared" si="151"/>
        <v/>
      </c>
      <c r="V569" s="32">
        <f t="shared" si="152"/>
        <v>1</v>
      </c>
      <c r="W569" s="41">
        <f t="shared" si="149"/>
        <v>3.0196642801674041</v>
      </c>
      <c r="X569" s="6">
        <f t="shared" si="150"/>
        <v>0</v>
      </c>
      <c r="Y569" s="7">
        <f t="shared" si="153"/>
        <v>567</v>
      </c>
      <c r="AA569" s="7">
        <f t="shared" si="154"/>
        <v>0</v>
      </c>
      <c r="AB569" s="7" t="str">
        <f t="shared" si="155"/>
        <v/>
      </c>
      <c r="AC569" s="7">
        <f t="shared" si="156"/>
        <v>0</v>
      </c>
      <c r="AD569" s="7" t="str">
        <f t="shared" si="157"/>
        <v/>
      </c>
      <c r="AE569" s="6">
        <f t="shared" si="158"/>
        <v>0</v>
      </c>
      <c r="AF569" s="69">
        <f t="shared" si="159"/>
        <v>3.0196642801674041</v>
      </c>
      <c r="AG569" s="6">
        <f t="shared" si="160"/>
        <v>0</v>
      </c>
      <c r="AH569" s="6">
        <f t="shared" si="161"/>
        <v>604</v>
      </c>
    </row>
    <row r="570" spans="8:34" x14ac:dyDescent="0.25">
      <c r="H570" s="7">
        <v>577</v>
      </c>
      <c r="I570" s="7" t="s">
        <v>8</v>
      </c>
      <c r="J570" s="8">
        <v>38628</v>
      </c>
      <c r="K570" s="12" t="s">
        <v>20</v>
      </c>
      <c r="L570" s="9">
        <v>68</v>
      </c>
      <c r="M570" s="10">
        <v>206.08318598884486</v>
      </c>
      <c r="N570" s="7" t="s">
        <v>21</v>
      </c>
      <c r="P570" s="29" t="str">
        <f t="shared" si="144"/>
        <v/>
      </c>
      <c r="Q570" s="29" t="str">
        <f t="shared" si="145"/>
        <v/>
      </c>
      <c r="R570" s="29" t="str">
        <f t="shared" si="146"/>
        <v/>
      </c>
      <c r="S570" s="29" t="str">
        <f t="shared" si="147"/>
        <v/>
      </c>
      <c r="T570" s="32">
        <f t="shared" si="148"/>
        <v>1</v>
      </c>
      <c r="U570" s="32">
        <f t="shared" si="151"/>
        <v>1</v>
      </c>
      <c r="V570" s="32" t="str">
        <f t="shared" si="152"/>
        <v/>
      </c>
      <c r="W570" s="41">
        <f t="shared" si="149"/>
        <v>3.0306350880712478</v>
      </c>
      <c r="X570" s="6">
        <f t="shared" si="150"/>
        <v>206.08318598884486</v>
      </c>
      <c r="Y570" s="7">
        <f t="shared" si="153"/>
        <v>168</v>
      </c>
      <c r="AA570" s="7">
        <f t="shared" si="154"/>
        <v>0</v>
      </c>
      <c r="AB570" s="7" t="str">
        <f t="shared" si="155"/>
        <v/>
      </c>
      <c r="AC570" s="7">
        <f t="shared" si="156"/>
        <v>1</v>
      </c>
      <c r="AD570" s="7">
        <f t="shared" si="157"/>
        <v>68</v>
      </c>
      <c r="AE570" s="6">
        <f t="shared" si="158"/>
        <v>0</v>
      </c>
      <c r="AF570" s="69">
        <f t="shared" si="159"/>
        <v>3.0306350880712478</v>
      </c>
      <c r="AG570" s="6">
        <f t="shared" si="160"/>
        <v>0</v>
      </c>
      <c r="AH570" s="6">
        <f t="shared" si="161"/>
        <v>604</v>
      </c>
    </row>
    <row r="571" spans="8:34" x14ac:dyDescent="0.25">
      <c r="H571" s="7">
        <v>578</v>
      </c>
      <c r="I571" s="7" t="s">
        <v>8</v>
      </c>
      <c r="J571" s="8">
        <v>38298</v>
      </c>
      <c r="K571" s="12" t="s">
        <v>17</v>
      </c>
      <c r="L571" s="9">
        <v>7</v>
      </c>
      <c r="M571" s="10">
        <v>23.192583270070902</v>
      </c>
      <c r="N571" s="7" t="s">
        <v>24</v>
      </c>
      <c r="P571" s="29" t="str">
        <f t="shared" si="144"/>
        <v/>
      </c>
      <c r="Q571" s="29" t="str">
        <f t="shared" si="145"/>
        <v/>
      </c>
      <c r="R571" s="29" t="str">
        <f t="shared" si="146"/>
        <v/>
      </c>
      <c r="S571" s="29">
        <f t="shared" si="147"/>
        <v>1</v>
      </c>
      <c r="T571" s="32" t="str">
        <f t="shared" si="148"/>
        <v/>
      </c>
      <c r="U571" s="32" t="str">
        <f t="shared" si="151"/>
        <v/>
      </c>
      <c r="V571" s="32" t="str">
        <f t="shared" si="152"/>
        <v/>
      </c>
      <c r="W571" s="41">
        <f t="shared" si="149"/>
        <v>3.3132261814387003</v>
      </c>
      <c r="X571" s="6">
        <f t="shared" si="150"/>
        <v>0</v>
      </c>
      <c r="Y571" s="7">
        <f t="shared" si="153"/>
        <v>567</v>
      </c>
      <c r="AA571" s="7">
        <f t="shared" si="154"/>
        <v>0</v>
      </c>
      <c r="AB571" s="7" t="str">
        <f t="shared" si="155"/>
        <v/>
      </c>
      <c r="AC571" s="7">
        <f t="shared" si="156"/>
        <v>0</v>
      </c>
      <c r="AD571" s="7" t="str">
        <f t="shared" si="157"/>
        <v/>
      </c>
      <c r="AE571" s="6">
        <f t="shared" si="158"/>
        <v>0</v>
      </c>
      <c r="AF571" s="69">
        <f t="shared" si="159"/>
        <v>3.3132261814387003</v>
      </c>
      <c r="AG571" s="6">
        <f t="shared" si="160"/>
        <v>23.192583270070902</v>
      </c>
      <c r="AH571" s="6">
        <f t="shared" si="161"/>
        <v>549</v>
      </c>
    </row>
    <row r="572" spans="8:34" x14ac:dyDescent="0.25">
      <c r="H572" s="7">
        <v>579</v>
      </c>
      <c r="I572" s="7" t="s">
        <v>10</v>
      </c>
      <c r="J572" s="8">
        <v>39002</v>
      </c>
      <c r="K572" s="12" t="s">
        <v>16</v>
      </c>
      <c r="L572" s="9">
        <v>-9</v>
      </c>
      <c r="M572" s="10">
        <v>-24.836237139949766</v>
      </c>
      <c r="N572" s="7" t="s">
        <v>21</v>
      </c>
      <c r="P572" s="29" t="str">
        <f t="shared" si="144"/>
        <v/>
      </c>
      <c r="Q572" s="29" t="str">
        <f t="shared" si="145"/>
        <v/>
      </c>
      <c r="R572" s="29" t="str">
        <f t="shared" si="146"/>
        <v/>
      </c>
      <c r="S572" s="29" t="str">
        <f t="shared" si="147"/>
        <v/>
      </c>
      <c r="T572" s="32" t="str">
        <f t="shared" si="148"/>
        <v/>
      </c>
      <c r="U572" s="32" t="str">
        <f t="shared" si="151"/>
        <v/>
      </c>
      <c r="V572" s="32">
        <f t="shared" si="152"/>
        <v>1</v>
      </c>
      <c r="W572" s="41" t="str">
        <f t="shared" si="149"/>
        <v/>
      </c>
      <c r="X572" s="6">
        <f t="shared" si="150"/>
        <v>0</v>
      </c>
      <c r="Y572" s="7">
        <f t="shared" si="153"/>
        <v>567</v>
      </c>
      <c r="AA572" s="7">
        <f t="shared" si="154"/>
        <v>0</v>
      </c>
      <c r="AB572" s="7" t="str">
        <f t="shared" si="155"/>
        <v/>
      </c>
      <c r="AC572" s="7">
        <f t="shared" si="156"/>
        <v>0</v>
      </c>
      <c r="AD572" s="7" t="str">
        <f t="shared" si="157"/>
        <v/>
      </c>
      <c r="AE572" s="6">
        <f t="shared" si="158"/>
        <v>-9</v>
      </c>
      <c r="AF572" s="69" t="str">
        <f t="shared" si="159"/>
        <v/>
      </c>
      <c r="AG572" s="6">
        <f t="shared" si="160"/>
        <v>0</v>
      </c>
      <c r="AH572" s="6">
        <f t="shared" si="161"/>
        <v>604</v>
      </c>
    </row>
    <row r="573" spans="8:34" x14ac:dyDescent="0.25">
      <c r="H573" s="7">
        <v>580</v>
      </c>
      <c r="I573" s="7" t="s">
        <v>15</v>
      </c>
      <c r="J573" s="8">
        <v>38639</v>
      </c>
      <c r="K573" s="12" t="s">
        <v>20</v>
      </c>
      <c r="L573" s="9">
        <v>51</v>
      </c>
      <c r="M573" s="10">
        <v>154.40065127641515</v>
      </c>
      <c r="N573" s="7" t="s">
        <v>22</v>
      </c>
      <c r="P573" s="29" t="str">
        <f t="shared" si="144"/>
        <v/>
      </c>
      <c r="Q573" s="29" t="str">
        <f t="shared" si="145"/>
        <v/>
      </c>
      <c r="R573" s="29" t="str">
        <f t="shared" si="146"/>
        <v/>
      </c>
      <c r="S573" s="29" t="str">
        <f t="shared" si="147"/>
        <v/>
      </c>
      <c r="T573" s="32">
        <f t="shared" si="148"/>
        <v>1</v>
      </c>
      <c r="U573" s="32">
        <f t="shared" si="151"/>
        <v>1</v>
      </c>
      <c r="V573" s="32" t="str">
        <f t="shared" si="152"/>
        <v/>
      </c>
      <c r="W573" s="41">
        <f t="shared" si="149"/>
        <v>3.0274637505179443</v>
      </c>
      <c r="X573" s="6">
        <f t="shared" si="150"/>
        <v>154.40065127641515</v>
      </c>
      <c r="Y573" s="7">
        <f t="shared" si="153"/>
        <v>263</v>
      </c>
      <c r="AA573" s="7">
        <f t="shared" si="154"/>
        <v>0</v>
      </c>
      <c r="AB573" s="7" t="str">
        <f t="shared" si="155"/>
        <v/>
      </c>
      <c r="AC573" s="7">
        <f t="shared" si="156"/>
        <v>1</v>
      </c>
      <c r="AD573" s="7">
        <f t="shared" si="157"/>
        <v>51</v>
      </c>
      <c r="AE573" s="6">
        <f t="shared" si="158"/>
        <v>0</v>
      </c>
      <c r="AF573" s="69">
        <f t="shared" si="159"/>
        <v>3.0274637505179443</v>
      </c>
      <c r="AG573" s="6">
        <f t="shared" si="160"/>
        <v>0</v>
      </c>
      <c r="AH573" s="6">
        <f t="shared" si="161"/>
        <v>604</v>
      </c>
    </row>
    <row r="574" spans="8:34" x14ac:dyDescent="0.25">
      <c r="H574" s="7">
        <v>581</v>
      </c>
      <c r="I574" s="7" t="s">
        <v>8</v>
      </c>
      <c r="J574" s="8">
        <v>38683</v>
      </c>
      <c r="K574" s="12" t="s">
        <v>17</v>
      </c>
      <c r="L574" s="9">
        <v>59</v>
      </c>
      <c r="M574" s="10">
        <v>178.89731679899467</v>
      </c>
      <c r="N574" s="7" t="s">
        <v>21</v>
      </c>
      <c r="P574" s="29" t="str">
        <f t="shared" si="144"/>
        <v/>
      </c>
      <c r="Q574" s="29" t="str">
        <f t="shared" si="145"/>
        <v/>
      </c>
      <c r="R574" s="29" t="str">
        <f t="shared" si="146"/>
        <v/>
      </c>
      <c r="S574" s="29" t="str">
        <f t="shared" si="147"/>
        <v/>
      </c>
      <c r="T574" s="32">
        <f t="shared" si="148"/>
        <v>1</v>
      </c>
      <c r="U574" s="32">
        <f t="shared" si="151"/>
        <v>1</v>
      </c>
      <c r="V574" s="32" t="str">
        <f t="shared" si="152"/>
        <v/>
      </c>
      <c r="W574" s="41">
        <f t="shared" si="149"/>
        <v>3.0321579118473672</v>
      </c>
      <c r="X574" s="6">
        <f t="shared" si="150"/>
        <v>178.89731679899467</v>
      </c>
      <c r="Y574" s="7">
        <f t="shared" si="153"/>
        <v>207</v>
      </c>
      <c r="AA574" s="7">
        <f t="shared" si="154"/>
        <v>0</v>
      </c>
      <c r="AB574" s="7" t="str">
        <f t="shared" si="155"/>
        <v/>
      </c>
      <c r="AC574" s="7">
        <f t="shared" si="156"/>
        <v>1</v>
      </c>
      <c r="AD574" s="7">
        <f t="shared" si="157"/>
        <v>59</v>
      </c>
      <c r="AE574" s="6">
        <f t="shared" si="158"/>
        <v>0</v>
      </c>
      <c r="AF574" s="69">
        <f t="shared" si="159"/>
        <v>3.0321579118473672</v>
      </c>
      <c r="AG574" s="6">
        <f t="shared" si="160"/>
        <v>0</v>
      </c>
      <c r="AH574" s="6">
        <f t="shared" si="161"/>
        <v>604</v>
      </c>
    </row>
    <row r="575" spans="8:34" x14ac:dyDescent="0.25">
      <c r="H575" s="7">
        <v>582</v>
      </c>
      <c r="I575" s="7" t="s">
        <v>12</v>
      </c>
      <c r="J575" s="8">
        <v>38661</v>
      </c>
      <c r="K575" s="12" t="s">
        <v>20</v>
      </c>
      <c r="L575" s="9">
        <v>64</v>
      </c>
      <c r="M575" s="10">
        <v>194.44151134010454</v>
      </c>
      <c r="N575" s="7" t="s">
        <v>23</v>
      </c>
      <c r="P575" s="29" t="str">
        <f t="shared" si="144"/>
        <v/>
      </c>
      <c r="Q575" s="29" t="str">
        <f t="shared" si="145"/>
        <v/>
      </c>
      <c r="R575" s="29" t="str">
        <f t="shared" si="146"/>
        <v/>
      </c>
      <c r="S575" s="29" t="str">
        <f t="shared" si="147"/>
        <v/>
      </c>
      <c r="T575" s="32">
        <f t="shared" si="148"/>
        <v>1</v>
      </c>
      <c r="U575" s="32">
        <f t="shared" si="151"/>
        <v>1</v>
      </c>
      <c r="V575" s="32" t="str">
        <f t="shared" si="152"/>
        <v/>
      </c>
      <c r="W575" s="41">
        <f t="shared" si="149"/>
        <v>3.0381486146891334</v>
      </c>
      <c r="X575" s="6">
        <f t="shared" si="150"/>
        <v>194.44151134010454</v>
      </c>
      <c r="Y575" s="7">
        <f t="shared" si="153"/>
        <v>184</v>
      </c>
      <c r="AA575" s="7">
        <f t="shared" si="154"/>
        <v>0</v>
      </c>
      <c r="AB575" s="7" t="str">
        <f t="shared" si="155"/>
        <v/>
      </c>
      <c r="AC575" s="7">
        <f t="shared" si="156"/>
        <v>1</v>
      </c>
      <c r="AD575" s="7">
        <f t="shared" si="157"/>
        <v>64</v>
      </c>
      <c r="AE575" s="6">
        <f t="shared" si="158"/>
        <v>0</v>
      </c>
      <c r="AF575" s="69">
        <f t="shared" si="159"/>
        <v>3.0381486146891334</v>
      </c>
      <c r="AG575" s="6">
        <f t="shared" si="160"/>
        <v>0</v>
      </c>
      <c r="AH575" s="6">
        <f t="shared" si="161"/>
        <v>604</v>
      </c>
    </row>
    <row r="576" spans="8:34" x14ac:dyDescent="0.25">
      <c r="H576" s="7">
        <v>583</v>
      </c>
      <c r="I576" s="7" t="s">
        <v>15</v>
      </c>
      <c r="J576" s="8">
        <v>38672</v>
      </c>
      <c r="K576" s="12" t="s">
        <v>17</v>
      </c>
      <c r="L576" s="9">
        <v>0</v>
      </c>
      <c r="M576" s="10">
        <v>2.516330534249033</v>
      </c>
      <c r="N576" s="7" t="s">
        <v>24</v>
      </c>
      <c r="P576" s="29" t="str">
        <f t="shared" si="144"/>
        <v/>
      </c>
      <c r="Q576" s="29" t="str">
        <f t="shared" si="145"/>
        <v/>
      </c>
      <c r="R576" s="29" t="str">
        <f t="shared" si="146"/>
        <v/>
      </c>
      <c r="S576" s="29" t="str">
        <f t="shared" si="147"/>
        <v/>
      </c>
      <c r="T576" s="32">
        <f t="shared" si="148"/>
        <v>1</v>
      </c>
      <c r="U576" s="32">
        <f t="shared" si="151"/>
        <v>1</v>
      </c>
      <c r="V576" s="32" t="str">
        <f t="shared" si="152"/>
        <v/>
      </c>
      <c r="W576" s="41" t="str">
        <f t="shared" si="149"/>
        <v/>
      </c>
      <c r="X576" s="6">
        <f t="shared" si="150"/>
        <v>2.516330534249033</v>
      </c>
      <c r="Y576" s="7">
        <f t="shared" si="153"/>
        <v>561</v>
      </c>
      <c r="AA576" s="7">
        <f t="shared" si="154"/>
        <v>0</v>
      </c>
      <c r="AB576" s="7" t="str">
        <f t="shared" si="155"/>
        <v/>
      </c>
      <c r="AC576" s="7">
        <f t="shared" si="156"/>
        <v>1</v>
      </c>
      <c r="AD576" s="7">
        <f t="shared" si="157"/>
        <v>0</v>
      </c>
      <c r="AE576" s="6">
        <f t="shared" si="158"/>
        <v>0</v>
      </c>
      <c r="AF576" s="69" t="str">
        <f t="shared" si="159"/>
        <v/>
      </c>
      <c r="AG576" s="6">
        <f t="shared" si="160"/>
        <v>0</v>
      </c>
      <c r="AH576" s="6">
        <f t="shared" si="161"/>
        <v>604</v>
      </c>
    </row>
    <row r="577" spans="8:34" x14ac:dyDescent="0.25">
      <c r="H577" s="7">
        <v>584</v>
      </c>
      <c r="I577" s="7" t="s">
        <v>14</v>
      </c>
      <c r="J577" s="8">
        <v>38397</v>
      </c>
      <c r="K577" s="12" t="s">
        <v>20</v>
      </c>
      <c r="L577" s="9">
        <v>81</v>
      </c>
      <c r="M577" s="10">
        <v>243.81590205081088</v>
      </c>
      <c r="N577" s="7" t="s">
        <v>22</v>
      </c>
      <c r="P577" s="29" t="str">
        <f t="shared" si="144"/>
        <v/>
      </c>
      <c r="Q577" s="29" t="str">
        <f t="shared" si="145"/>
        <v/>
      </c>
      <c r="R577" s="29" t="str">
        <f t="shared" si="146"/>
        <v/>
      </c>
      <c r="S577" s="29" t="str">
        <f t="shared" si="147"/>
        <v/>
      </c>
      <c r="T577" s="32" t="str">
        <f t="shared" si="148"/>
        <v/>
      </c>
      <c r="U577" s="32">
        <f t="shared" si="151"/>
        <v>1</v>
      </c>
      <c r="V577" s="32" t="str">
        <f t="shared" si="152"/>
        <v/>
      </c>
      <c r="W577" s="41">
        <f t="shared" si="149"/>
        <v>3.0100728648248256</v>
      </c>
      <c r="X577" s="6">
        <f t="shared" si="150"/>
        <v>243.81590205081088</v>
      </c>
      <c r="Y577" s="7">
        <f t="shared" si="153"/>
        <v>98</v>
      </c>
      <c r="AA577" s="7">
        <f t="shared" si="154"/>
        <v>1</v>
      </c>
      <c r="AB577" s="7">
        <f t="shared" si="155"/>
        <v>81</v>
      </c>
      <c r="AC577" s="7">
        <f t="shared" si="156"/>
        <v>0</v>
      </c>
      <c r="AD577" s="7" t="str">
        <f t="shared" si="157"/>
        <v/>
      </c>
      <c r="AE577" s="6">
        <f t="shared" si="158"/>
        <v>0</v>
      </c>
      <c r="AF577" s="69">
        <f t="shared" si="159"/>
        <v>3.0100728648248256</v>
      </c>
      <c r="AG577" s="6">
        <f t="shared" si="160"/>
        <v>0</v>
      </c>
      <c r="AH577" s="6">
        <f t="shared" si="161"/>
        <v>604</v>
      </c>
    </row>
    <row r="578" spans="8:34" x14ac:dyDescent="0.25">
      <c r="H578" s="7">
        <v>585</v>
      </c>
      <c r="I578" s="7" t="s">
        <v>13</v>
      </c>
      <c r="J578" s="8">
        <v>38452</v>
      </c>
      <c r="K578" s="12" t="s">
        <v>19</v>
      </c>
      <c r="L578" s="9">
        <v>93</v>
      </c>
      <c r="M578" s="10">
        <v>280.7978115895645</v>
      </c>
      <c r="N578" s="7" t="s">
        <v>22</v>
      </c>
      <c r="P578" s="29" t="str">
        <f t="shared" si="144"/>
        <v/>
      </c>
      <c r="Q578" s="29" t="str">
        <f t="shared" si="145"/>
        <v/>
      </c>
      <c r="R578" s="29" t="str">
        <f t="shared" si="146"/>
        <v/>
      </c>
      <c r="S578" s="29" t="str">
        <f t="shared" si="147"/>
        <v/>
      </c>
      <c r="T578" s="32" t="str">
        <f t="shared" si="148"/>
        <v/>
      </c>
      <c r="U578" s="32">
        <f t="shared" si="151"/>
        <v>1</v>
      </c>
      <c r="V578" s="32" t="str">
        <f t="shared" si="152"/>
        <v/>
      </c>
      <c r="W578" s="41">
        <f t="shared" si="149"/>
        <v>3.0193313074146721</v>
      </c>
      <c r="X578" s="6">
        <f t="shared" si="150"/>
        <v>280.7978115895645</v>
      </c>
      <c r="Y578" s="7">
        <f t="shared" si="153"/>
        <v>23</v>
      </c>
      <c r="AA578" s="7">
        <f t="shared" si="154"/>
        <v>0</v>
      </c>
      <c r="AB578" s="7" t="str">
        <f t="shared" si="155"/>
        <v/>
      </c>
      <c r="AC578" s="7">
        <f t="shared" si="156"/>
        <v>1</v>
      </c>
      <c r="AD578" s="7">
        <f t="shared" si="157"/>
        <v>93</v>
      </c>
      <c r="AE578" s="6">
        <f t="shared" si="158"/>
        <v>0</v>
      </c>
      <c r="AF578" s="69">
        <f t="shared" si="159"/>
        <v>3.0193313074146721</v>
      </c>
      <c r="AG578" s="6">
        <f t="shared" si="160"/>
        <v>0</v>
      </c>
      <c r="AH578" s="6">
        <f t="shared" si="161"/>
        <v>604</v>
      </c>
    </row>
    <row r="579" spans="8:34" x14ac:dyDescent="0.25">
      <c r="H579" s="7">
        <v>586</v>
      </c>
      <c r="I579" s="7" t="s">
        <v>15</v>
      </c>
      <c r="J579" s="8">
        <v>38749</v>
      </c>
      <c r="K579" s="12" t="s">
        <v>17</v>
      </c>
      <c r="L579" s="9">
        <v>20</v>
      </c>
      <c r="M579" s="10">
        <v>61.967424849894947</v>
      </c>
      <c r="N579" s="7" t="s">
        <v>21</v>
      </c>
      <c r="P579" s="29" t="str">
        <f t="shared" ref="P579:P642" si="162">IF(AND((MONTH(J579))&lt;4,YEAR(J579)=2004),1,"")</f>
        <v/>
      </c>
      <c r="Q579" s="29" t="str">
        <f t="shared" ref="Q579:Q642" si="163">IF(AND(3&lt;(MONTH(J579)),(MONTH(J579)&lt;7),YEAR(J579)=2004),1,"")</f>
        <v/>
      </c>
      <c r="R579" s="29" t="str">
        <f t="shared" ref="R579:R642" si="164">IF(AND(6&lt;(MONTH(J579)),(MONTH(J579)&lt;10),YEAR(J579)=2004),1,"")</f>
        <v/>
      </c>
      <c r="S579" s="29" t="str">
        <f t="shared" ref="S579:S642" si="165">IF(AND(9&lt;(MONTH(J579)),(MONTH(J579)&lt;13),YEAR(J579)=2004),1,"")</f>
        <v/>
      </c>
      <c r="T579" s="32" t="str">
        <f t="shared" ref="T579:T642" si="166">IF(AND((9&lt;MONTH(J579)),YEAR(J579)=2005),1,"")</f>
        <v/>
      </c>
      <c r="U579" s="32" t="str">
        <f t="shared" si="151"/>
        <v/>
      </c>
      <c r="V579" s="32">
        <f t="shared" si="152"/>
        <v>1</v>
      </c>
      <c r="W579" s="41">
        <f t="shared" ref="W579:W642" si="167">IF(L579&gt;0,M579/L579,"")</f>
        <v>3.0983712424947472</v>
      </c>
      <c r="X579" s="6">
        <f t="shared" ref="X579:X642" si="168">IF(U579=1,M579,0)</f>
        <v>0</v>
      </c>
      <c r="Y579" s="7">
        <f t="shared" si="153"/>
        <v>567</v>
      </c>
      <c r="AA579" s="7">
        <f t="shared" si="154"/>
        <v>0</v>
      </c>
      <c r="AB579" s="7" t="str">
        <f t="shared" si="155"/>
        <v/>
      </c>
      <c r="AC579" s="7">
        <f t="shared" si="156"/>
        <v>0</v>
      </c>
      <c r="AD579" s="7" t="str">
        <f t="shared" si="157"/>
        <v/>
      </c>
      <c r="AE579" s="6">
        <f t="shared" si="158"/>
        <v>0</v>
      </c>
      <c r="AF579" s="69">
        <f t="shared" si="159"/>
        <v>3.0983712424947472</v>
      </c>
      <c r="AG579" s="6">
        <f t="shared" si="160"/>
        <v>0</v>
      </c>
      <c r="AH579" s="6">
        <f t="shared" si="161"/>
        <v>604</v>
      </c>
    </row>
    <row r="580" spans="8:34" x14ac:dyDescent="0.25">
      <c r="H580" s="7">
        <v>587</v>
      </c>
      <c r="I580" s="7" t="s">
        <v>9</v>
      </c>
      <c r="J580" s="8">
        <v>38507</v>
      </c>
      <c r="K580" s="12" t="s">
        <v>16</v>
      </c>
      <c r="L580" s="9">
        <v>39</v>
      </c>
      <c r="M580" s="10">
        <v>119.9083594229058</v>
      </c>
      <c r="N580" s="7" t="s">
        <v>24</v>
      </c>
      <c r="P580" s="29" t="str">
        <f t="shared" si="162"/>
        <v/>
      </c>
      <c r="Q580" s="29" t="str">
        <f t="shared" si="163"/>
        <v/>
      </c>
      <c r="R580" s="29" t="str">
        <f t="shared" si="164"/>
        <v/>
      </c>
      <c r="S580" s="29" t="str">
        <f t="shared" si="165"/>
        <v/>
      </c>
      <c r="T580" s="32" t="str">
        <f t="shared" si="166"/>
        <v/>
      </c>
      <c r="U580" s="32">
        <f t="shared" ref="U580:U643" si="169">IF(YEAR(J580)=2005,1,"")</f>
        <v>1</v>
      </c>
      <c r="V580" s="32" t="str">
        <f t="shared" ref="V580:V643" si="170">IF(YEAR(J580)=2006,1,"")</f>
        <v/>
      </c>
      <c r="W580" s="41">
        <f t="shared" si="167"/>
        <v>3.0745733185360464</v>
      </c>
      <c r="X580" s="6">
        <f t="shared" si="168"/>
        <v>119.9083594229058</v>
      </c>
      <c r="Y580" s="7">
        <f t="shared" ref="Y580:Y643" si="171">RANK(X580,$X$3:$X$1893)</f>
        <v>318</v>
      </c>
      <c r="AA580" s="7">
        <f t="shared" ref="AA580:AA643" si="172">IF(AND(OR((MONTH(J580))=1,(MONTH(J580))=2,(MONTH(J580))=3,(MONTH(J580))=7,(MONTH(J580))=8,(MONTH(J580))=9),YEAR(J580)=2005),1,0)</f>
        <v>0</v>
      </c>
      <c r="AB580" s="7" t="str">
        <f t="shared" ref="AB580:AB643" si="173">IF(AA580=1,L580,"")</f>
        <v/>
      </c>
      <c r="AC580" s="7">
        <f t="shared" ref="AC580:AC643" si="174">IF(AND(OR((MONTH(J580))=4,(MONTH(J580))=5,(MONTH(J580))=6,(MONTH(J580))=10,(MONTH(J580))=11,(MONTH(J580))=12),YEAR(J580)=2005),1,0)</f>
        <v>1</v>
      </c>
      <c r="AD580" s="7">
        <f t="shared" ref="AD580:AD643" si="175">IF(AC580=1,L580,"")</f>
        <v>39</v>
      </c>
      <c r="AE580" s="6">
        <f t="shared" ref="AE580:AE643" si="176">IF(L580&lt;0,L580,0)</f>
        <v>0</v>
      </c>
      <c r="AF580" s="69">
        <f t="shared" ref="AF580:AF643" si="177">IF(L580&gt;0,W580,"")</f>
        <v>3.0745733185360464</v>
      </c>
      <c r="AG580" s="6">
        <f t="shared" ref="AG580:AG643" si="178">IF(AND((M580&gt;0),(YEAR(J580)=2004)),M580,0)</f>
        <v>0</v>
      </c>
      <c r="AH580" s="6">
        <f t="shared" ref="AH580:AH643" si="179">RANK(AG580,$AG$3:$AG$1893)</f>
        <v>604</v>
      </c>
    </row>
    <row r="581" spans="8:34" x14ac:dyDescent="0.25">
      <c r="H581" s="7">
        <v>588</v>
      </c>
      <c r="I581" s="7" t="s">
        <v>12</v>
      </c>
      <c r="J581" s="8">
        <v>38287</v>
      </c>
      <c r="K581" s="12" t="s">
        <v>18</v>
      </c>
      <c r="L581" s="9">
        <v>6</v>
      </c>
      <c r="M581" s="10">
        <v>20.018331980892231</v>
      </c>
      <c r="N581" s="7" t="s">
        <v>21</v>
      </c>
      <c r="P581" s="29" t="str">
        <f t="shared" si="162"/>
        <v/>
      </c>
      <c r="Q581" s="29" t="str">
        <f t="shared" si="163"/>
        <v/>
      </c>
      <c r="R581" s="29" t="str">
        <f t="shared" si="164"/>
        <v/>
      </c>
      <c r="S581" s="29">
        <f t="shared" si="165"/>
        <v>1</v>
      </c>
      <c r="T581" s="32" t="str">
        <f t="shared" si="166"/>
        <v/>
      </c>
      <c r="U581" s="32" t="str">
        <f t="shared" si="169"/>
        <v/>
      </c>
      <c r="V581" s="32" t="str">
        <f t="shared" si="170"/>
        <v/>
      </c>
      <c r="W581" s="41">
        <f t="shared" si="167"/>
        <v>3.3363886634820386</v>
      </c>
      <c r="X581" s="6">
        <f t="shared" si="168"/>
        <v>0</v>
      </c>
      <c r="Y581" s="7">
        <f t="shared" si="171"/>
        <v>567</v>
      </c>
      <c r="AA581" s="7">
        <f t="shared" si="172"/>
        <v>0</v>
      </c>
      <c r="AB581" s="7" t="str">
        <f t="shared" si="173"/>
        <v/>
      </c>
      <c r="AC581" s="7">
        <f t="shared" si="174"/>
        <v>0</v>
      </c>
      <c r="AD581" s="7" t="str">
        <f t="shared" si="175"/>
        <v/>
      </c>
      <c r="AE581" s="6">
        <f t="shared" si="176"/>
        <v>0</v>
      </c>
      <c r="AF581" s="69">
        <f t="shared" si="177"/>
        <v>3.3363886634820386</v>
      </c>
      <c r="AG581" s="6">
        <f t="shared" si="178"/>
        <v>20.018331980892231</v>
      </c>
      <c r="AH581" s="6">
        <f t="shared" si="179"/>
        <v>562</v>
      </c>
    </row>
    <row r="582" spans="8:34" x14ac:dyDescent="0.25">
      <c r="H582" s="7">
        <v>589</v>
      </c>
      <c r="I582" s="7" t="s">
        <v>12</v>
      </c>
      <c r="J582" s="8">
        <v>38034</v>
      </c>
      <c r="K582" s="12" t="s">
        <v>18</v>
      </c>
      <c r="L582" s="9">
        <v>34</v>
      </c>
      <c r="M582" s="10">
        <v>103.67942872150846</v>
      </c>
      <c r="N582" s="7" t="s">
        <v>21</v>
      </c>
      <c r="P582" s="29">
        <f t="shared" si="162"/>
        <v>1</v>
      </c>
      <c r="Q582" s="29" t="str">
        <f t="shared" si="163"/>
        <v/>
      </c>
      <c r="R582" s="29" t="str">
        <f t="shared" si="164"/>
        <v/>
      </c>
      <c r="S582" s="29" t="str">
        <f t="shared" si="165"/>
        <v/>
      </c>
      <c r="T582" s="32" t="str">
        <f t="shared" si="166"/>
        <v/>
      </c>
      <c r="U582" s="32" t="str">
        <f t="shared" si="169"/>
        <v/>
      </c>
      <c r="V582" s="32" t="str">
        <f t="shared" si="170"/>
        <v/>
      </c>
      <c r="W582" s="41">
        <f t="shared" si="167"/>
        <v>3.0493949623973076</v>
      </c>
      <c r="X582" s="6">
        <f t="shared" si="168"/>
        <v>0</v>
      </c>
      <c r="Y582" s="7">
        <f t="shared" si="171"/>
        <v>567</v>
      </c>
      <c r="AA582" s="7">
        <f t="shared" si="172"/>
        <v>0</v>
      </c>
      <c r="AB582" s="7" t="str">
        <f t="shared" si="173"/>
        <v/>
      </c>
      <c r="AC582" s="7">
        <f t="shared" si="174"/>
        <v>0</v>
      </c>
      <c r="AD582" s="7" t="str">
        <f t="shared" si="175"/>
        <v/>
      </c>
      <c r="AE582" s="6">
        <f t="shared" si="176"/>
        <v>0</v>
      </c>
      <c r="AF582" s="69">
        <f t="shared" si="177"/>
        <v>3.0493949623973076</v>
      </c>
      <c r="AG582" s="6">
        <f t="shared" si="178"/>
        <v>103.67942872150846</v>
      </c>
      <c r="AH582" s="6">
        <f t="shared" si="179"/>
        <v>366</v>
      </c>
    </row>
    <row r="583" spans="8:34" x14ac:dyDescent="0.25">
      <c r="H583" s="7">
        <v>590</v>
      </c>
      <c r="I583" s="7" t="s">
        <v>8</v>
      </c>
      <c r="J583" s="8">
        <v>38749</v>
      </c>
      <c r="K583" s="12" t="s">
        <v>17</v>
      </c>
      <c r="L583" s="9">
        <v>33</v>
      </c>
      <c r="M583" s="10">
        <v>101.31101808549928</v>
      </c>
      <c r="N583" s="7" t="s">
        <v>23</v>
      </c>
      <c r="P583" s="29" t="str">
        <f t="shared" si="162"/>
        <v/>
      </c>
      <c r="Q583" s="29" t="str">
        <f t="shared" si="163"/>
        <v/>
      </c>
      <c r="R583" s="29" t="str">
        <f t="shared" si="164"/>
        <v/>
      </c>
      <c r="S583" s="29" t="str">
        <f t="shared" si="165"/>
        <v/>
      </c>
      <c r="T583" s="32" t="str">
        <f t="shared" si="166"/>
        <v/>
      </c>
      <c r="U583" s="32" t="str">
        <f t="shared" si="169"/>
        <v/>
      </c>
      <c r="V583" s="32">
        <f t="shared" si="170"/>
        <v>1</v>
      </c>
      <c r="W583" s="41">
        <f t="shared" si="167"/>
        <v>3.0700308510757357</v>
      </c>
      <c r="X583" s="6">
        <f t="shared" si="168"/>
        <v>0</v>
      </c>
      <c r="Y583" s="7">
        <f t="shared" si="171"/>
        <v>567</v>
      </c>
      <c r="AA583" s="7">
        <f t="shared" si="172"/>
        <v>0</v>
      </c>
      <c r="AB583" s="7" t="str">
        <f t="shared" si="173"/>
        <v/>
      </c>
      <c r="AC583" s="7">
        <f t="shared" si="174"/>
        <v>0</v>
      </c>
      <c r="AD583" s="7" t="str">
        <f t="shared" si="175"/>
        <v/>
      </c>
      <c r="AE583" s="6">
        <f t="shared" si="176"/>
        <v>0</v>
      </c>
      <c r="AF583" s="69">
        <f t="shared" si="177"/>
        <v>3.0700308510757357</v>
      </c>
      <c r="AG583" s="6">
        <f t="shared" si="178"/>
        <v>0</v>
      </c>
      <c r="AH583" s="6">
        <f t="shared" si="179"/>
        <v>604</v>
      </c>
    </row>
    <row r="584" spans="8:34" x14ac:dyDescent="0.25">
      <c r="H584" s="7">
        <v>591</v>
      </c>
      <c r="I584" s="7" t="s">
        <v>9</v>
      </c>
      <c r="J584" s="8">
        <v>38001</v>
      </c>
      <c r="K584" s="12" t="s">
        <v>19</v>
      </c>
      <c r="L584" s="9">
        <v>-10</v>
      </c>
      <c r="M584" s="10">
        <v>-28.463885870908516</v>
      </c>
      <c r="N584" s="7" t="s">
        <v>23</v>
      </c>
      <c r="P584" s="29">
        <f t="shared" si="162"/>
        <v>1</v>
      </c>
      <c r="Q584" s="29" t="str">
        <f t="shared" si="163"/>
        <v/>
      </c>
      <c r="R584" s="29" t="str">
        <f t="shared" si="164"/>
        <v/>
      </c>
      <c r="S584" s="29" t="str">
        <f t="shared" si="165"/>
        <v/>
      </c>
      <c r="T584" s="32" t="str">
        <f t="shared" si="166"/>
        <v/>
      </c>
      <c r="U584" s="32" t="str">
        <f t="shared" si="169"/>
        <v/>
      </c>
      <c r="V584" s="32" t="str">
        <f t="shared" si="170"/>
        <v/>
      </c>
      <c r="W584" s="41" t="str">
        <f t="shared" si="167"/>
        <v/>
      </c>
      <c r="X584" s="6">
        <f t="shared" si="168"/>
        <v>0</v>
      </c>
      <c r="Y584" s="7">
        <f t="shared" si="171"/>
        <v>567</v>
      </c>
      <c r="AA584" s="7">
        <f t="shared" si="172"/>
        <v>0</v>
      </c>
      <c r="AB584" s="7" t="str">
        <f t="shared" si="173"/>
        <v/>
      </c>
      <c r="AC584" s="7">
        <f t="shared" si="174"/>
        <v>0</v>
      </c>
      <c r="AD584" s="7" t="str">
        <f t="shared" si="175"/>
        <v/>
      </c>
      <c r="AE584" s="6">
        <f t="shared" si="176"/>
        <v>-10</v>
      </c>
      <c r="AF584" s="69" t="str">
        <f t="shared" si="177"/>
        <v/>
      </c>
      <c r="AG584" s="6">
        <f t="shared" si="178"/>
        <v>0</v>
      </c>
      <c r="AH584" s="6">
        <f t="shared" si="179"/>
        <v>604</v>
      </c>
    </row>
    <row r="585" spans="8:34" x14ac:dyDescent="0.25">
      <c r="H585" s="7">
        <v>592</v>
      </c>
      <c r="I585" s="7" t="s">
        <v>15</v>
      </c>
      <c r="J585" s="8">
        <v>38936</v>
      </c>
      <c r="K585" s="12" t="s">
        <v>16</v>
      </c>
      <c r="L585" s="9">
        <v>47</v>
      </c>
      <c r="M585" s="10">
        <v>141.97140662710891</v>
      </c>
      <c r="N585" s="7" t="s">
        <v>22</v>
      </c>
      <c r="P585" s="29" t="str">
        <f t="shared" si="162"/>
        <v/>
      </c>
      <c r="Q585" s="29" t="str">
        <f t="shared" si="163"/>
        <v/>
      </c>
      <c r="R585" s="29" t="str">
        <f t="shared" si="164"/>
        <v/>
      </c>
      <c r="S585" s="29" t="str">
        <f t="shared" si="165"/>
        <v/>
      </c>
      <c r="T585" s="32" t="str">
        <f t="shared" si="166"/>
        <v/>
      </c>
      <c r="U585" s="32" t="str">
        <f t="shared" si="169"/>
        <v/>
      </c>
      <c r="V585" s="32">
        <f t="shared" si="170"/>
        <v>1</v>
      </c>
      <c r="W585" s="41">
        <f t="shared" si="167"/>
        <v>3.0206682261086999</v>
      </c>
      <c r="X585" s="6">
        <f t="shared" si="168"/>
        <v>0</v>
      </c>
      <c r="Y585" s="7">
        <f t="shared" si="171"/>
        <v>567</v>
      </c>
      <c r="AA585" s="7">
        <f t="shared" si="172"/>
        <v>0</v>
      </c>
      <c r="AB585" s="7" t="str">
        <f t="shared" si="173"/>
        <v/>
      </c>
      <c r="AC585" s="7">
        <f t="shared" si="174"/>
        <v>0</v>
      </c>
      <c r="AD585" s="7" t="str">
        <f t="shared" si="175"/>
        <v/>
      </c>
      <c r="AE585" s="6">
        <f t="shared" si="176"/>
        <v>0</v>
      </c>
      <c r="AF585" s="69">
        <f t="shared" si="177"/>
        <v>3.0206682261086999</v>
      </c>
      <c r="AG585" s="6">
        <f t="shared" si="178"/>
        <v>0</v>
      </c>
      <c r="AH585" s="6">
        <f t="shared" si="179"/>
        <v>604</v>
      </c>
    </row>
    <row r="586" spans="8:34" x14ac:dyDescent="0.25">
      <c r="H586" s="7">
        <v>593</v>
      </c>
      <c r="I586" s="7" t="s">
        <v>13</v>
      </c>
      <c r="J586" s="8">
        <v>38001</v>
      </c>
      <c r="K586" s="12" t="s">
        <v>18</v>
      </c>
      <c r="L586" s="9">
        <v>94</v>
      </c>
      <c r="M586" s="10">
        <v>284.61276074739663</v>
      </c>
      <c r="N586" s="7" t="s">
        <v>24</v>
      </c>
      <c r="P586" s="29">
        <f t="shared" si="162"/>
        <v>1</v>
      </c>
      <c r="Q586" s="29" t="str">
        <f t="shared" si="163"/>
        <v/>
      </c>
      <c r="R586" s="29" t="str">
        <f t="shared" si="164"/>
        <v/>
      </c>
      <c r="S586" s="29" t="str">
        <f t="shared" si="165"/>
        <v/>
      </c>
      <c r="T586" s="32" t="str">
        <f t="shared" si="166"/>
        <v/>
      </c>
      <c r="U586" s="32" t="str">
        <f t="shared" si="169"/>
        <v/>
      </c>
      <c r="V586" s="32" t="str">
        <f t="shared" si="170"/>
        <v/>
      </c>
      <c r="W586" s="41">
        <f t="shared" si="167"/>
        <v>3.0277953270999642</v>
      </c>
      <c r="X586" s="6">
        <f t="shared" si="168"/>
        <v>0</v>
      </c>
      <c r="Y586" s="7">
        <f t="shared" si="171"/>
        <v>567</v>
      </c>
      <c r="AA586" s="7">
        <f t="shared" si="172"/>
        <v>0</v>
      </c>
      <c r="AB586" s="7" t="str">
        <f t="shared" si="173"/>
        <v/>
      </c>
      <c r="AC586" s="7">
        <f t="shared" si="174"/>
        <v>0</v>
      </c>
      <c r="AD586" s="7" t="str">
        <f t="shared" si="175"/>
        <v/>
      </c>
      <c r="AE586" s="6">
        <f t="shared" si="176"/>
        <v>0</v>
      </c>
      <c r="AF586" s="69">
        <f t="shared" si="177"/>
        <v>3.0277953270999642</v>
      </c>
      <c r="AG586" s="6">
        <f t="shared" si="178"/>
        <v>284.61276074739663</v>
      </c>
      <c r="AH586" s="6">
        <f t="shared" si="179"/>
        <v>4</v>
      </c>
    </row>
    <row r="587" spans="8:34" x14ac:dyDescent="0.25">
      <c r="H587" s="7">
        <v>594</v>
      </c>
      <c r="I587" s="7" t="s">
        <v>8</v>
      </c>
      <c r="J587" s="8">
        <v>38870</v>
      </c>
      <c r="K587" s="12" t="s">
        <v>18</v>
      </c>
      <c r="L587" s="9">
        <v>92</v>
      </c>
      <c r="M587" s="10">
        <v>278.22640918878471</v>
      </c>
      <c r="N587" s="7" t="s">
        <v>22</v>
      </c>
      <c r="P587" s="29" t="str">
        <f t="shared" si="162"/>
        <v/>
      </c>
      <c r="Q587" s="29" t="str">
        <f t="shared" si="163"/>
        <v/>
      </c>
      <c r="R587" s="29" t="str">
        <f t="shared" si="164"/>
        <v/>
      </c>
      <c r="S587" s="29" t="str">
        <f t="shared" si="165"/>
        <v/>
      </c>
      <c r="T587" s="32" t="str">
        <f t="shared" si="166"/>
        <v/>
      </c>
      <c r="U587" s="32" t="str">
        <f t="shared" si="169"/>
        <v/>
      </c>
      <c r="V587" s="32">
        <f t="shared" si="170"/>
        <v>1</v>
      </c>
      <c r="W587" s="41">
        <f t="shared" si="167"/>
        <v>3.0242000998780947</v>
      </c>
      <c r="X587" s="6">
        <f t="shared" si="168"/>
        <v>0</v>
      </c>
      <c r="Y587" s="7">
        <f t="shared" si="171"/>
        <v>567</v>
      </c>
      <c r="AA587" s="7">
        <f t="shared" si="172"/>
        <v>0</v>
      </c>
      <c r="AB587" s="7" t="str">
        <f t="shared" si="173"/>
        <v/>
      </c>
      <c r="AC587" s="7">
        <f t="shared" si="174"/>
        <v>0</v>
      </c>
      <c r="AD587" s="7" t="str">
        <f t="shared" si="175"/>
        <v/>
      </c>
      <c r="AE587" s="6">
        <f t="shared" si="176"/>
        <v>0</v>
      </c>
      <c r="AF587" s="69">
        <f t="shared" si="177"/>
        <v>3.0242000998780947</v>
      </c>
      <c r="AG587" s="6">
        <f t="shared" si="178"/>
        <v>0</v>
      </c>
      <c r="AH587" s="6">
        <f t="shared" si="179"/>
        <v>604</v>
      </c>
    </row>
    <row r="588" spans="8:34" x14ac:dyDescent="0.25">
      <c r="H588" s="7">
        <v>595</v>
      </c>
      <c r="I588" s="7" t="s">
        <v>11</v>
      </c>
      <c r="J588" s="8">
        <v>38364</v>
      </c>
      <c r="K588" s="12" t="s">
        <v>17</v>
      </c>
      <c r="L588" s="9">
        <v>68</v>
      </c>
      <c r="M588" s="10">
        <v>205.95905527766212</v>
      </c>
      <c r="N588" s="7" t="s">
        <v>21</v>
      </c>
      <c r="P588" s="29" t="str">
        <f t="shared" si="162"/>
        <v/>
      </c>
      <c r="Q588" s="29" t="str">
        <f t="shared" si="163"/>
        <v/>
      </c>
      <c r="R588" s="29" t="str">
        <f t="shared" si="164"/>
        <v/>
      </c>
      <c r="S588" s="29" t="str">
        <f t="shared" si="165"/>
        <v/>
      </c>
      <c r="T588" s="32" t="str">
        <f t="shared" si="166"/>
        <v/>
      </c>
      <c r="U588" s="32">
        <f t="shared" si="169"/>
        <v>1</v>
      </c>
      <c r="V588" s="32" t="str">
        <f t="shared" si="170"/>
        <v/>
      </c>
      <c r="W588" s="41">
        <f t="shared" si="167"/>
        <v>3.0288096364362076</v>
      </c>
      <c r="X588" s="6">
        <f t="shared" si="168"/>
        <v>205.95905527766212</v>
      </c>
      <c r="Y588" s="7">
        <f t="shared" si="171"/>
        <v>169</v>
      </c>
      <c r="AA588" s="7">
        <f t="shared" si="172"/>
        <v>1</v>
      </c>
      <c r="AB588" s="7">
        <f t="shared" si="173"/>
        <v>68</v>
      </c>
      <c r="AC588" s="7">
        <f t="shared" si="174"/>
        <v>0</v>
      </c>
      <c r="AD588" s="7" t="str">
        <f t="shared" si="175"/>
        <v/>
      </c>
      <c r="AE588" s="6">
        <f t="shared" si="176"/>
        <v>0</v>
      </c>
      <c r="AF588" s="69">
        <f t="shared" si="177"/>
        <v>3.0288096364362076</v>
      </c>
      <c r="AG588" s="6">
        <f t="shared" si="178"/>
        <v>0</v>
      </c>
      <c r="AH588" s="6">
        <f t="shared" si="179"/>
        <v>604</v>
      </c>
    </row>
    <row r="589" spans="8:34" x14ac:dyDescent="0.25">
      <c r="H589" s="7">
        <v>596</v>
      </c>
      <c r="I589" s="7" t="s">
        <v>14</v>
      </c>
      <c r="J589" s="8">
        <v>38067</v>
      </c>
      <c r="K589" s="12" t="s">
        <v>17</v>
      </c>
      <c r="L589" s="9">
        <v>37</v>
      </c>
      <c r="M589" s="10">
        <v>112.85151912863849</v>
      </c>
      <c r="N589" s="7" t="s">
        <v>22</v>
      </c>
      <c r="P589" s="29">
        <f t="shared" si="162"/>
        <v>1</v>
      </c>
      <c r="Q589" s="29" t="str">
        <f t="shared" si="163"/>
        <v/>
      </c>
      <c r="R589" s="29" t="str">
        <f t="shared" si="164"/>
        <v/>
      </c>
      <c r="S589" s="29" t="str">
        <f t="shared" si="165"/>
        <v/>
      </c>
      <c r="T589" s="32" t="str">
        <f t="shared" si="166"/>
        <v/>
      </c>
      <c r="U589" s="32" t="str">
        <f t="shared" si="169"/>
        <v/>
      </c>
      <c r="V589" s="32" t="str">
        <f t="shared" si="170"/>
        <v/>
      </c>
      <c r="W589" s="41">
        <f t="shared" si="167"/>
        <v>3.0500410575307697</v>
      </c>
      <c r="X589" s="6">
        <f t="shared" si="168"/>
        <v>0</v>
      </c>
      <c r="Y589" s="7">
        <f t="shared" si="171"/>
        <v>567</v>
      </c>
      <c r="AA589" s="7">
        <f t="shared" si="172"/>
        <v>0</v>
      </c>
      <c r="AB589" s="7" t="str">
        <f t="shared" si="173"/>
        <v/>
      </c>
      <c r="AC589" s="7">
        <f t="shared" si="174"/>
        <v>0</v>
      </c>
      <c r="AD589" s="7" t="str">
        <f t="shared" si="175"/>
        <v/>
      </c>
      <c r="AE589" s="6">
        <f t="shared" si="176"/>
        <v>0</v>
      </c>
      <c r="AF589" s="69">
        <f t="shared" si="177"/>
        <v>3.0500410575307697</v>
      </c>
      <c r="AG589" s="6">
        <f t="shared" si="178"/>
        <v>112.85151912863849</v>
      </c>
      <c r="AH589" s="6">
        <f t="shared" si="179"/>
        <v>349</v>
      </c>
    </row>
    <row r="590" spans="8:34" x14ac:dyDescent="0.25">
      <c r="H590" s="7">
        <v>597</v>
      </c>
      <c r="I590" s="7" t="s">
        <v>13</v>
      </c>
      <c r="J590" s="8">
        <v>38188</v>
      </c>
      <c r="K590" s="12" t="s">
        <v>16</v>
      </c>
      <c r="L590" s="9">
        <v>78</v>
      </c>
      <c r="M590" s="10">
        <v>235.37144026519812</v>
      </c>
      <c r="N590" s="7" t="s">
        <v>21</v>
      </c>
      <c r="P590" s="29" t="str">
        <f t="shared" si="162"/>
        <v/>
      </c>
      <c r="Q590" s="29" t="str">
        <f t="shared" si="163"/>
        <v/>
      </c>
      <c r="R590" s="29">
        <f t="shared" si="164"/>
        <v>1</v>
      </c>
      <c r="S590" s="29" t="str">
        <f t="shared" si="165"/>
        <v/>
      </c>
      <c r="T590" s="32" t="str">
        <f t="shared" si="166"/>
        <v/>
      </c>
      <c r="U590" s="32" t="str">
        <f t="shared" si="169"/>
        <v/>
      </c>
      <c r="V590" s="32" t="str">
        <f t="shared" si="170"/>
        <v/>
      </c>
      <c r="W590" s="41">
        <f t="shared" si="167"/>
        <v>3.0175825675025401</v>
      </c>
      <c r="X590" s="6">
        <f t="shared" si="168"/>
        <v>0</v>
      </c>
      <c r="Y590" s="7">
        <f t="shared" si="171"/>
        <v>567</v>
      </c>
      <c r="AA590" s="7">
        <f t="shared" si="172"/>
        <v>0</v>
      </c>
      <c r="AB590" s="7" t="str">
        <f t="shared" si="173"/>
        <v/>
      </c>
      <c r="AC590" s="7">
        <f t="shared" si="174"/>
        <v>0</v>
      </c>
      <c r="AD590" s="7" t="str">
        <f t="shared" si="175"/>
        <v/>
      </c>
      <c r="AE590" s="6">
        <f t="shared" si="176"/>
        <v>0</v>
      </c>
      <c r="AF590" s="69">
        <f t="shared" si="177"/>
        <v>3.0175825675025401</v>
      </c>
      <c r="AG590" s="6">
        <f t="shared" si="178"/>
        <v>235.37144026519812</v>
      </c>
      <c r="AH590" s="6">
        <f t="shared" si="179"/>
        <v>110</v>
      </c>
    </row>
    <row r="591" spans="8:34" x14ac:dyDescent="0.25">
      <c r="H591" s="7">
        <v>598</v>
      </c>
      <c r="I591" s="7" t="s">
        <v>8</v>
      </c>
      <c r="J591" s="8">
        <v>39057</v>
      </c>
      <c r="K591" s="12" t="s">
        <v>16</v>
      </c>
      <c r="L591" s="9">
        <v>14</v>
      </c>
      <c r="M591" s="10">
        <v>43.756013144501985</v>
      </c>
      <c r="N591" s="7" t="s">
        <v>24</v>
      </c>
      <c r="P591" s="29" t="str">
        <f t="shared" si="162"/>
        <v/>
      </c>
      <c r="Q591" s="29" t="str">
        <f t="shared" si="163"/>
        <v/>
      </c>
      <c r="R591" s="29" t="str">
        <f t="shared" si="164"/>
        <v/>
      </c>
      <c r="S591" s="29" t="str">
        <f t="shared" si="165"/>
        <v/>
      </c>
      <c r="T591" s="32" t="str">
        <f t="shared" si="166"/>
        <v/>
      </c>
      <c r="U591" s="32" t="str">
        <f t="shared" si="169"/>
        <v/>
      </c>
      <c r="V591" s="32">
        <f t="shared" si="170"/>
        <v>1</v>
      </c>
      <c r="W591" s="41">
        <f t="shared" si="167"/>
        <v>3.1254295103215703</v>
      </c>
      <c r="X591" s="6">
        <f t="shared" si="168"/>
        <v>0</v>
      </c>
      <c r="Y591" s="7">
        <f t="shared" si="171"/>
        <v>567</v>
      </c>
      <c r="AA591" s="7">
        <f t="shared" si="172"/>
        <v>0</v>
      </c>
      <c r="AB591" s="7" t="str">
        <f t="shared" si="173"/>
        <v/>
      </c>
      <c r="AC591" s="7">
        <f t="shared" si="174"/>
        <v>0</v>
      </c>
      <c r="AD591" s="7" t="str">
        <f t="shared" si="175"/>
        <v/>
      </c>
      <c r="AE591" s="6">
        <f t="shared" si="176"/>
        <v>0</v>
      </c>
      <c r="AF591" s="69">
        <f t="shared" si="177"/>
        <v>3.1254295103215703</v>
      </c>
      <c r="AG591" s="6">
        <f t="shared" si="178"/>
        <v>0</v>
      </c>
      <c r="AH591" s="6">
        <f t="shared" si="179"/>
        <v>604</v>
      </c>
    </row>
    <row r="592" spans="8:34" x14ac:dyDescent="0.25">
      <c r="H592" s="7">
        <v>599</v>
      </c>
      <c r="I592" s="7" t="s">
        <v>15</v>
      </c>
      <c r="J592" s="8">
        <v>39024</v>
      </c>
      <c r="K592" s="12" t="s">
        <v>18</v>
      </c>
      <c r="L592" s="9">
        <v>33</v>
      </c>
      <c r="M592" s="10">
        <v>100.54958475062591</v>
      </c>
      <c r="N592" s="7" t="s">
        <v>24</v>
      </c>
      <c r="P592" s="29" t="str">
        <f t="shared" si="162"/>
        <v/>
      </c>
      <c r="Q592" s="29" t="str">
        <f t="shared" si="163"/>
        <v/>
      </c>
      <c r="R592" s="29" t="str">
        <f t="shared" si="164"/>
        <v/>
      </c>
      <c r="S592" s="29" t="str">
        <f t="shared" si="165"/>
        <v/>
      </c>
      <c r="T592" s="32" t="str">
        <f t="shared" si="166"/>
        <v/>
      </c>
      <c r="U592" s="32" t="str">
        <f t="shared" si="169"/>
        <v/>
      </c>
      <c r="V592" s="32">
        <f t="shared" si="170"/>
        <v>1</v>
      </c>
      <c r="W592" s="41">
        <f t="shared" si="167"/>
        <v>3.0469571136553308</v>
      </c>
      <c r="X592" s="6">
        <f t="shared" si="168"/>
        <v>0</v>
      </c>
      <c r="Y592" s="7">
        <f t="shared" si="171"/>
        <v>567</v>
      </c>
      <c r="AA592" s="7">
        <f t="shared" si="172"/>
        <v>0</v>
      </c>
      <c r="AB592" s="7" t="str">
        <f t="shared" si="173"/>
        <v/>
      </c>
      <c r="AC592" s="7">
        <f t="shared" si="174"/>
        <v>0</v>
      </c>
      <c r="AD592" s="7" t="str">
        <f t="shared" si="175"/>
        <v/>
      </c>
      <c r="AE592" s="6">
        <f t="shared" si="176"/>
        <v>0</v>
      </c>
      <c r="AF592" s="69">
        <f t="shared" si="177"/>
        <v>3.0469571136553308</v>
      </c>
      <c r="AG592" s="6">
        <f t="shared" si="178"/>
        <v>0</v>
      </c>
      <c r="AH592" s="6">
        <f t="shared" si="179"/>
        <v>604</v>
      </c>
    </row>
    <row r="593" spans="8:34" x14ac:dyDescent="0.25">
      <c r="H593" s="7">
        <v>600</v>
      </c>
      <c r="I593" s="7" t="s">
        <v>13</v>
      </c>
      <c r="J593" s="8">
        <v>38155</v>
      </c>
      <c r="K593" s="12" t="s">
        <v>16</v>
      </c>
      <c r="L593" s="9">
        <v>64</v>
      </c>
      <c r="M593" s="10">
        <v>194.18188189830369</v>
      </c>
      <c r="N593" s="7" t="s">
        <v>23</v>
      </c>
      <c r="P593" s="29" t="str">
        <f t="shared" si="162"/>
        <v/>
      </c>
      <c r="Q593" s="29">
        <f t="shared" si="163"/>
        <v>1</v>
      </c>
      <c r="R593" s="29" t="str">
        <f t="shared" si="164"/>
        <v/>
      </c>
      <c r="S593" s="29" t="str">
        <f t="shared" si="165"/>
        <v/>
      </c>
      <c r="T593" s="32" t="str">
        <f t="shared" si="166"/>
        <v/>
      </c>
      <c r="U593" s="32" t="str">
        <f t="shared" si="169"/>
        <v/>
      </c>
      <c r="V593" s="32" t="str">
        <f t="shared" si="170"/>
        <v/>
      </c>
      <c r="W593" s="41">
        <f t="shared" si="167"/>
        <v>3.0340919046609951</v>
      </c>
      <c r="X593" s="6">
        <f t="shared" si="168"/>
        <v>0</v>
      </c>
      <c r="Y593" s="7">
        <f t="shared" si="171"/>
        <v>567</v>
      </c>
      <c r="AA593" s="7">
        <f t="shared" si="172"/>
        <v>0</v>
      </c>
      <c r="AB593" s="7" t="str">
        <f t="shared" si="173"/>
        <v/>
      </c>
      <c r="AC593" s="7">
        <f t="shared" si="174"/>
        <v>0</v>
      </c>
      <c r="AD593" s="7" t="str">
        <f t="shared" si="175"/>
        <v/>
      </c>
      <c r="AE593" s="6">
        <f t="shared" si="176"/>
        <v>0</v>
      </c>
      <c r="AF593" s="69">
        <f t="shared" si="177"/>
        <v>3.0340919046609951</v>
      </c>
      <c r="AG593" s="6">
        <f t="shared" si="178"/>
        <v>194.18188189830369</v>
      </c>
      <c r="AH593" s="6">
        <f t="shared" si="179"/>
        <v>183</v>
      </c>
    </row>
    <row r="594" spans="8:34" x14ac:dyDescent="0.25">
      <c r="H594" s="7">
        <v>601</v>
      </c>
      <c r="I594" s="7" t="s">
        <v>10</v>
      </c>
      <c r="J594" s="8">
        <v>38936</v>
      </c>
      <c r="K594" s="12" t="s">
        <v>17</v>
      </c>
      <c r="L594" s="9">
        <v>6</v>
      </c>
      <c r="M594" s="10">
        <v>20.229703821540529</v>
      </c>
      <c r="N594" s="7" t="s">
        <v>21</v>
      </c>
      <c r="P594" s="29" t="str">
        <f t="shared" si="162"/>
        <v/>
      </c>
      <c r="Q594" s="29" t="str">
        <f t="shared" si="163"/>
        <v/>
      </c>
      <c r="R594" s="29" t="str">
        <f t="shared" si="164"/>
        <v/>
      </c>
      <c r="S594" s="29" t="str">
        <f t="shared" si="165"/>
        <v/>
      </c>
      <c r="T594" s="32" t="str">
        <f t="shared" si="166"/>
        <v/>
      </c>
      <c r="U594" s="32" t="str">
        <f t="shared" si="169"/>
        <v/>
      </c>
      <c r="V594" s="32">
        <f t="shared" si="170"/>
        <v>1</v>
      </c>
      <c r="W594" s="41">
        <f t="shared" si="167"/>
        <v>3.3716173035900883</v>
      </c>
      <c r="X594" s="6">
        <f t="shared" si="168"/>
        <v>0</v>
      </c>
      <c r="Y594" s="7">
        <f t="shared" si="171"/>
        <v>567</v>
      </c>
      <c r="AA594" s="7">
        <f t="shared" si="172"/>
        <v>0</v>
      </c>
      <c r="AB594" s="7" t="str">
        <f t="shared" si="173"/>
        <v/>
      </c>
      <c r="AC594" s="7">
        <f t="shared" si="174"/>
        <v>0</v>
      </c>
      <c r="AD594" s="7" t="str">
        <f t="shared" si="175"/>
        <v/>
      </c>
      <c r="AE594" s="6">
        <f t="shared" si="176"/>
        <v>0</v>
      </c>
      <c r="AF594" s="69">
        <f t="shared" si="177"/>
        <v>3.3716173035900883</v>
      </c>
      <c r="AG594" s="6">
        <f t="shared" si="178"/>
        <v>0</v>
      </c>
      <c r="AH594" s="6">
        <f t="shared" si="179"/>
        <v>604</v>
      </c>
    </row>
    <row r="595" spans="8:34" x14ac:dyDescent="0.25">
      <c r="H595" s="7">
        <v>602</v>
      </c>
      <c r="I595" s="7" t="s">
        <v>15</v>
      </c>
      <c r="J595" s="8">
        <v>38870</v>
      </c>
      <c r="K595" s="12" t="s">
        <v>19</v>
      </c>
      <c r="L595" s="9">
        <v>65</v>
      </c>
      <c r="M595" s="10">
        <v>197.4890682991998</v>
      </c>
      <c r="N595" s="7" t="s">
        <v>23</v>
      </c>
      <c r="P595" s="29" t="str">
        <f t="shared" si="162"/>
        <v/>
      </c>
      <c r="Q595" s="29" t="str">
        <f t="shared" si="163"/>
        <v/>
      </c>
      <c r="R595" s="29" t="str">
        <f t="shared" si="164"/>
        <v/>
      </c>
      <c r="S595" s="29" t="str">
        <f t="shared" si="165"/>
        <v/>
      </c>
      <c r="T595" s="32" t="str">
        <f t="shared" si="166"/>
        <v/>
      </c>
      <c r="U595" s="32" t="str">
        <f t="shared" si="169"/>
        <v/>
      </c>
      <c r="V595" s="32">
        <f t="shared" si="170"/>
        <v>1</v>
      </c>
      <c r="W595" s="41">
        <f t="shared" si="167"/>
        <v>3.0382933584492275</v>
      </c>
      <c r="X595" s="6">
        <f t="shared" si="168"/>
        <v>0</v>
      </c>
      <c r="Y595" s="7">
        <f t="shared" si="171"/>
        <v>567</v>
      </c>
      <c r="AA595" s="7">
        <f t="shared" si="172"/>
        <v>0</v>
      </c>
      <c r="AB595" s="7" t="str">
        <f t="shared" si="173"/>
        <v/>
      </c>
      <c r="AC595" s="7">
        <f t="shared" si="174"/>
        <v>0</v>
      </c>
      <c r="AD595" s="7" t="str">
        <f t="shared" si="175"/>
        <v/>
      </c>
      <c r="AE595" s="6">
        <f t="shared" si="176"/>
        <v>0</v>
      </c>
      <c r="AF595" s="69">
        <f t="shared" si="177"/>
        <v>3.0382933584492275</v>
      </c>
      <c r="AG595" s="6">
        <f t="shared" si="178"/>
        <v>0</v>
      </c>
      <c r="AH595" s="6">
        <f t="shared" si="179"/>
        <v>604</v>
      </c>
    </row>
    <row r="596" spans="8:34" x14ac:dyDescent="0.25">
      <c r="H596" s="7">
        <v>603</v>
      </c>
      <c r="I596" s="7" t="s">
        <v>7</v>
      </c>
      <c r="J596" s="8">
        <v>38001</v>
      </c>
      <c r="K596" s="12" t="s">
        <v>20</v>
      </c>
      <c r="L596" s="9">
        <v>24</v>
      </c>
      <c r="M596" s="10">
        <v>74.283089497229128</v>
      </c>
      <c r="N596" s="7" t="s">
        <v>21</v>
      </c>
      <c r="P596" s="29">
        <f t="shared" si="162"/>
        <v>1</v>
      </c>
      <c r="Q596" s="29" t="str">
        <f t="shared" si="163"/>
        <v/>
      </c>
      <c r="R596" s="29" t="str">
        <f t="shared" si="164"/>
        <v/>
      </c>
      <c r="S596" s="29" t="str">
        <f t="shared" si="165"/>
        <v/>
      </c>
      <c r="T596" s="32" t="str">
        <f t="shared" si="166"/>
        <v/>
      </c>
      <c r="U596" s="32" t="str">
        <f t="shared" si="169"/>
        <v/>
      </c>
      <c r="V596" s="32" t="str">
        <f t="shared" si="170"/>
        <v/>
      </c>
      <c r="W596" s="41">
        <f t="shared" si="167"/>
        <v>3.0951287290512135</v>
      </c>
      <c r="X596" s="6">
        <f t="shared" si="168"/>
        <v>0</v>
      </c>
      <c r="Y596" s="7">
        <f t="shared" si="171"/>
        <v>567</v>
      </c>
      <c r="AA596" s="7">
        <f t="shared" si="172"/>
        <v>0</v>
      </c>
      <c r="AB596" s="7" t="str">
        <f t="shared" si="173"/>
        <v/>
      </c>
      <c r="AC596" s="7">
        <f t="shared" si="174"/>
        <v>0</v>
      </c>
      <c r="AD596" s="7" t="str">
        <f t="shared" si="175"/>
        <v/>
      </c>
      <c r="AE596" s="6">
        <f t="shared" si="176"/>
        <v>0</v>
      </c>
      <c r="AF596" s="69">
        <f t="shared" si="177"/>
        <v>3.0951287290512135</v>
      </c>
      <c r="AG596" s="6">
        <f t="shared" si="178"/>
        <v>74.283089497229128</v>
      </c>
      <c r="AH596" s="6">
        <f t="shared" si="179"/>
        <v>437</v>
      </c>
    </row>
    <row r="597" spans="8:34" x14ac:dyDescent="0.25">
      <c r="H597" s="7">
        <v>604</v>
      </c>
      <c r="I597" s="7" t="s">
        <v>11</v>
      </c>
      <c r="J597" s="8">
        <v>38705</v>
      </c>
      <c r="K597" s="12" t="s">
        <v>19</v>
      </c>
      <c r="L597" s="9">
        <v>89</v>
      </c>
      <c r="M597" s="10">
        <v>269.00888504806545</v>
      </c>
      <c r="N597" s="7" t="s">
        <v>22</v>
      </c>
      <c r="P597" s="29" t="str">
        <f t="shared" si="162"/>
        <v/>
      </c>
      <c r="Q597" s="29" t="str">
        <f t="shared" si="163"/>
        <v/>
      </c>
      <c r="R597" s="29" t="str">
        <f t="shared" si="164"/>
        <v/>
      </c>
      <c r="S597" s="29" t="str">
        <f t="shared" si="165"/>
        <v/>
      </c>
      <c r="T597" s="32">
        <f t="shared" si="166"/>
        <v>1</v>
      </c>
      <c r="U597" s="32">
        <f t="shared" si="169"/>
        <v>1</v>
      </c>
      <c r="V597" s="32" t="str">
        <f t="shared" si="170"/>
        <v/>
      </c>
      <c r="W597" s="41">
        <f t="shared" si="167"/>
        <v>3.0225717421130951</v>
      </c>
      <c r="X597" s="6">
        <f t="shared" si="168"/>
        <v>269.00888504806545</v>
      </c>
      <c r="Y597" s="7">
        <f t="shared" si="171"/>
        <v>50</v>
      </c>
      <c r="AA597" s="7">
        <f t="shared" si="172"/>
        <v>0</v>
      </c>
      <c r="AB597" s="7" t="str">
        <f t="shared" si="173"/>
        <v/>
      </c>
      <c r="AC597" s="7">
        <f t="shared" si="174"/>
        <v>1</v>
      </c>
      <c r="AD597" s="7">
        <f t="shared" si="175"/>
        <v>89</v>
      </c>
      <c r="AE597" s="6">
        <f t="shared" si="176"/>
        <v>0</v>
      </c>
      <c r="AF597" s="69">
        <f t="shared" si="177"/>
        <v>3.0225717421130951</v>
      </c>
      <c r="AG597" s="6">
        <f t="shared" si="178"/>
        <v>0</v>
      </c>
      <c r="AH597" s="6">
        <f t="shared" si="179"/>
        <v>604</v>
      </c>
    </row>
    <row r="598" spans="8:34" x14ac:dyDescent="0.25">
      <c r="H598" s="7">
        <v>605</v>
      </c>
      <c r="I598" s="7" t="s">
        <v>11</v>
      </c>
      <c r="J598" s="8">
        <v>38628</v>
      </c>
      <c r="K598" s="12" t="s">
        <v>20</v>
      </c>
      <c r="L598" s="9">
        <v>94</v>
      </c>
      <c r="M598" s="10">
        <v>284.24987523561106</v>
      </c>
      <c r="N598" s="7" t="s">
        <v>24</v>
      </c>
      <c r="P598" s="29" t="str">
        <f t="shared" si="162"/>
        <v/>
      </c>
      <c r="Q598" s="29" t="str">
        <f t="shared" si="163"/>
        <v/>
      </c>
      <c r="R598" s="29" t="str">
        <f t="shared" si="164"/>
        <v/>
      </c>
      <c r="S598" s="29" t="str">
        <f t="shared" si="165"/>
        <v/>
      </c>
      <c r="T598" s="32">
        <f t="shared" si="166"/>
        <v>1</v>
      </c>
      <c r="U598" s="32">
        <f t="shared" si="169"/>
        <v>1</v>
      </c>
      <c r="V598" s="32" t="str">
        <f t="shared" si="170"/>
        <v/>
      </c>
      <c r="W598" s="41">
        <f t="shared" si="167"/>
        <v>3.0239348429320327</v>
      </c>
      <c r="X598" s="6">
        <f t="shared" si="168"/>
        <v>284.24987523561106</v>
      </c>
      <c r="Y598" s="7">
        <f t="shared" si="171"/>
        <v>10</v>
      </c>
      <c r="AA598" s="7">
        <f t="shared" si="172"/>
        <v>0</v>
      </c>
      <c r="AB598" s="7" t="str">
        <f t="shared" si="173"/>
        <v/>
      </c>
      <c r="AC598" s="7">
        <f t="shared" si="174"/>
        <v>1</v>
      </c>
      <c r="AD598" s="7">
        <f t="shared" si="175"/>
        <v>94</v>
      </c>
      <c r="AE598" s="6">
        <f t="shared" si="176"/>
        <v>0</v>
      </c>
      <c r="AF598" s="69">
        <f t="shared" si="177"/>
        <v>3.0239348429320327</v>
      </c>
      <c r="AG598" s="6">
        <f t="shared" si="178"/>
        <v>0</v>
      </c>
      <c r="AH598" s="6">
        <f t="shared" si="179"/>
        <v>604</v>
      </c>
    </row>
    <row r="599" spans="8:34" x14ac:dyDescent="0.25">
      <c r="H599" s="7">
        <v>606</v>
      </c>
      <c r="I599" s="7" t="s">
        <v>10</v>
      </c>
      <c r="J599" s="8">
        <v>38694</v>
      </c>
      <c r="K599" s="12" t="s">
        <v>18</v>
      </c>
      <c r="L599" s="9">
        <v>67</v>
      </c>
      <c r="M599" s="10">
        <v>203.71315269974144</v>
      </c>
      <c r="N599" s="7" t="s">
        <v>21</v>
      </c>
      <c r="P599" s="29" t="str">
        <f t="shared" si="162"/>
        <v/>
      </c>
      <c r="Q599" s="29" t="str">
        <f t="shared" si="163"/>
        <v/>
      </c>
      <c r="R599" s="29" t="str">
        <f t="shared" si="164"/>
        <v/>
      </c>
      <c r="S599" s="29" t="str">
        <f t="shared" si="165"/>
        <v/>
      </c>
      <c r="T599" s="32">
        <f t="shared" si="166"/>
        <v>1</v>
      </c>
      <c r="U599" s="32">
        <f t="shared" si="169"/>
        <v>1</v>
      </c>
      <c r="V599" s="32" t="str">
        <f t="shared" si="170"/>
        <v/>
      </c>
      <c r="W599" s="41">
        <f t="shared" si="167"/>
        <v>3.0404948164140513</v>
      </c>
      <c r="X599" s="6">
        <f t="shared" si="168"/>
        <v>203.71315269974144</v>
      </c>
      <c r="Y599" s="7">
        <f t="shared" si="171"/>
        <v>170</v>
      </c>
      <c r="AA599" s="7">
        <f t="shared" si="172"/>
        <v>0</v>
      </c>
      <c r="AB599" s="7" t="str">
        <f t="shared" si="173"/>
        <v/>
      </c>
      <c r="AC599" s="7">
        <f t="shared" si="174"/>
        <v>1</v>
      </c>
      <c r="AD599" s="7">
        <f t="shared" si="175"/>
        <v>67</v>
      </c>
      <c r="AE599" s="6">
        <f t="shared" si="176"/>
        <v>0</v>
      </c>
      <c r="AF599" s="69">
        <f t="shared" si="177"/>
        <v>3.0404948164140513</v>
      </c>
      <c r="AG599" s="6">
        <f t="shared" si="178"/>
        <v>0</v>
      </c>
      <c r="AH599" s="6">
        <f t="shared" si="179"/>
        <v>604</v>
      </c>
    </row>
    <row r="600" spans="8:34" x14ac:dyDescent="0.25">
      <c r="H600" s="7">
        <v>607</v>
      </c>
      <c r="I600" s="7" t="s">
        <v>11</v>
      </c>
      <c r="J600" s="8">
        <v>38210</v>
      </c>
      <c r="K600" s="12" t="s">
        <v>20</v>
      </c>
      <c r="L600" s="9">
        <v>7</v>
      </c>
      <c r="M600" s="10">
        <v>23.434372885216568</v>
      </c>
      <c r="N600" s="7" t="s">
        <v>21</v>
      </c>
      <c r="P600" s="29" t="str">
        <f t="shared" si="162"/>
        <v/>
      </c>
      <c r="Q600" s="29" t="str">
        <f t="shared" si="163"/>
        <v/>
      </c>
      <c r="R600" s="29">
        <f t="shared" si="164"/>
        <v>1</v>
      </c>
      <c r="S600" s="29" t="str">
        <f t="shared" si="165"/>
        <v/>
      </c>
      <c r="T600" s="32" t="str">
        <f t="shared" si="166"/>
        <v/>
      </c>
      <c r="U600" s="32" t="str">
        <f t="shared" si="169"/>
        <v/>
      </c>
      <c r="V600" s="32" t="str">
        <f t="shared" si="170"/>
        <v/>
      </c>
      <c r="W600" s="41">
        <f t="shared" si="167"/>
        <v>3.3477675550309383</v>
      </c>
      <c r="X600" s="6">
        <f t="shared" si="168"/>
        <v>0</v>
      </c>
      <c r="Y600" s="7">
        <f t="shared" si="171"/>
        <v>567</v>
      </c>
      <c r="AA600" s="7">
        <f t="shared" si="172"/>
        <v>0</v>
      </c>
      <c r="AB600" s="7" t="str">
        <f t="shared" si="173"/>
        <v/>
      </c>
      <c r="AC600" s="7">
        <f t="shared" si="174"/>
        <v>0</v>
      </c>
      <c r="AD600" s="7" t="str">
        <f t="shared" si="175"/>
        <v/>
      </c>
      <c r="AE600" s="6">
        <f t="shared" si="176"/>
        <v>0</v>
      </c>
      <c r="AF600" s="69">
        <f t="shared" si="177"/>
        <v>3.3477675550309383</v>
      </c>
      <c r="AG600" s="6">
        <f t="shared" si="178"/>
        <v>23.434372885216568</v>
      </c>
      <c r="AH600" s="6">
        <f t="shared" si="179"/>
        <v>547</v>
      </c>
    </row>
    <row r="601" spans="8:34" x14ac:dyDescent="0.25">
      <c r="H601" s="7">
        <v>608</v>
      </c>
      <c r="I601" s="7" t="s">
        <v>11</v>
      </c>
      <c r="J601" s="8">
        <v>38254</v>
      </c>
      <c r="K601" s="12" t="s">
        <v>18</v>
      </c>
      <c r="L601" s="9">
        <v>58</v>
      </c>
      <c r="M601" s="10">
        <v>176.00311303023639</v>
      </c>
      <c r="N601" s="7" t="s">
        <v>24</v>
      </c>
      <c r="P601" s="29" t="str">
        <f t="shared" si="162"/>
        <v/>
      </c>
      <c r="Q601" s="29" t="str">
        <f t="shared" si="163"/>
        <v/>
      </c>
      <c r="R601" s="29">
        <f t="shared" si="164"/>
        <v>1</v>
      </c>
      <c r="S601" s="29" t="str">
        <f t="shared" si="165"/>
        <v/>
      </c>
      <c r="T601" s="32" t="str">
        <f t="shared" si="166"/>
        <v/>
      </c>
      <c r="U601" s="32" t="str">
        <f t="shared" si="169"/>
        <v/>
      </c>
      <c r="V601" s="32" t="str">
        <f t="shared" si="170"/>
        <v/>
      </c>
      <c r="W601" s="41">
        <f t="shared" si="167"/>
        <v>3.0345364315557997</v>
      </c>
      <c r="X601" s="6">
        <f t="shared" si="168"/>
        <v>0</v>
      </c>
      <c r="Y601" s="7">
        <f t="shared" si="171"/>
        <v>567</v>
      </c>
      <c r="AA601" s="7">
        <f t="shared" si="172"/>
        <v>0</v>
      </c>
      <c r="AB601" s="7" t="str">
        <f t="shared" si="173"/>
        <v/>
      </c>
      <c r="AC601" s="7">
        <f t="shared" si="174"/>
        <v>0</v>
      </c>
      <c r="AD601" s="7" t="str">
        <f t="shared" si="175"/>
        <v/>
      </c>
      <c r="AE601" s="6">
        <f t="shared" si="176"/>
        <v>0</v>
      </c>
      <c r="AF601" s="69">
        <f t="shared" si="177"/>
        <v>3.0345364315557997</v>
      </c>
      <c r="AG601" s="6">
        <f t="shared" si="178"/>
        <v>176.00311303023639</v>
      </c>
      <c r="AH601" s="6">
        <f t="shared" si="179"/>
        <v>227</v>
      </c>
    </row>
    <row r="602" spans="8:34" x14ac:dyDescent="0.25">
      <c r="H602" s="7">
        <v>609</v>
      </c>
      <c r="I602" s="7" t="s">
        <v>14</v>
      </c>
      <c r="J602" s="8">
        <v>38155</v>
      </c>
      <c r="K602" s="12" t="s">
        <v>20</v>
      </c>
      <c r="L602" s="9">
        <v>77</v>
      </c>
      <c r="M602" s="10">
        <v>232.66821530494673</v>
      </c>
      <c r="N602" s="7" t="s">
        <v>22</v>
      </c>
      <c r="P602" s="29" t="str">
        <f t="shared" si="162"/>
        <v/>
      </c>
      <c r="Q602" s="29">
        <f t="shared" si="163"/>
        <v>1</v>
      </c>
      <c r="R602" s="29" t="str">
        <f t="shared" si="164"/>
        <v/>
      </c>
      <c r="S602" s="29" t="str">
        <f t="shared" si="165"/>
        <v/>
      </c>
      <c r="T602" s="32" t="str">
        <f t="shared" si="166"/>
        <v/>
      </c>
      <c r="U602" s="32" t="str">
        <f t="shared" si="169"/>
        <v/>
      </c>
      <c r="V602" s="32" t="str">
        <f t="shared" si="170"/>
        <v/>
      </c>
      <c r="W602" s="41">
        <f t="shared" si="167"/>
        <v>3.021665133830477</v>
      </c>
      <c r="X602" s="6">
        <f t="shared" si="168"/>
        <v>0</v>
      </c>
      <c r="Y602" s="7">
        <f t="shared" si="171"/>
        <v>567</v>
      </c>
      <c r="AA602" s="7">
        <f t="shared" si="172"/>
        <v>0</v>
      </c>
      <c r="AB602" s="7" t="str">
        <f t="shared" si="173"/>
        <v/>
      </c>
      <c r="AC602" s="7">
        <f t="shared" si="174"/>
        <v>0</v>
      </c>
      <c r="AD602" s="7" t="str">
        <f t="shared" si="175"/>
        <v/>
      </c>
      <c r="AE602" s="6">
        <f t="shared" si="176"/>
        <v>0</v>
      </c>
      <c r="AF602" s="69">
        <f t="shared" si="177"/>
        <v>3.021665133830477</v>
      </c>
      <c r="AG602" s="6">
        <f t="shared" si="178"/>
        <v>232.66821530494673</v>
      </c>
      <c r="AH602" s="6">
        <f t="shared" si="179"/>
        <v>113</v>
      </c>
    </row>
    <row r="603" spans="8:34" x14ac:dyDescent="0.25">
      <c r="H603" s="7">
        <v>610</v>
      </c>
      <c r="I603" s="7" t="s">
        <v>10</v>
      </c>
      <c r="J603" s="8">
        <v>38606</v>
      </c>
      <c r="K603" s="12" t="s">
        <v>16</v>
      </c>
      <c r="L603" s="9">
        <v>50</v>
      </c>
      <c r="M603" s="10">
        <v>151.12327703696886</v>
      </c>
      <c r="N603" s="7" t="s">
        <v>24</v>
      </c>
      <c r="P603" s="29" t="str">
        <f t="shared" si="162"/>
        <v/>
      </c>
      <c r="Q603" s="29" t="str">
        <f t="shared" si="163"/>
        <v/>
      </c>
      <c r="R603" s="29" t="str">
        <f t="shared" si="164"/>
        <v/>
      </c>
      <c r="S603" s="29" t="str">
        <f t="shared" si="165"/>
        <v/>
      </c>
      <c r="T603" s="32" t="str">
        <f t="shared" si="166"/>
        <v/>
      </c>
      <c r="U603" s="32">
        <f t="shared" si="169"/>
        <v>1</v>
      </c>
      <c r="V603" s="32" t="str">
        <f t="shared" si="170"/>
        <v/>
      </c>
      <c r="W603" s="41">
        <f t="shared" si="167"/>
        <v>3.0224655407393772</v>
      </c>
      <c r="X603" s="6">
        <f t="shared" si="168"/>
        <v>151.12327703696886</v>
      </c>
      <c r="Y603" s="7">
        <f t="shared" si="171"/>
        <v>272</v>
      </c>
      <c r="AA603" s="7">
        <f t="shared" si="172"/>
        <v>1</v>
      </c>
      <c r="AB603" s="7">
        <f t="shared" si="173"/>
        <v>50</v>
      </c>
      <c r="AC603" s="7">
        <f t="shared" si="174"/>
        <v>0</v>
      </c>
      <c r="AD603" s="7" t="str">
        <f t="shared" si="175"/>
        <v/>
      </c>
      <c r="AE603" s="6">
        <f t="shared" si="176"/>
        <v>0</v>
      </c>
      <c r="AF603" s="69">
        <f t="shared" si="177"/>
        <v>3.0224655407393772</v>
      </c>
      <c r="AG603" s="6">
        <f t="shared" si="178"/>
        <v>0</v>
      </c>
      <c r="AH603" s="6">
        <f t="shared" si="179"/>
        <v>604</v>
      </c>
    </row>
    <row r="604" spans="8:34" x14ac:dyDescent="0.25">
      <c r="H604" s="7">
        <v>611</v>
      </c>
      <c r="I604" s="7" t="s">
        <v>7</v>
      </c>
      <c r="J604" s="8">
        <v>38936</v>
      </c>
      <c r="K604" s="12" t="s">
        <v>17</v>
      </c>
      <c r="L604" s="9">
        <v>10</v>
      </c>
      <c r="M604" s="10">
        <v>32.139866181276794</v>
      </c>
      <c r="N604" s="7" t="s">
        <v>21</v>
      </c>
      <c r="P604" s="29" t="str">
        <f t="shared" si="162"/>
        <v/>
      </c>
      <c r="Q604" s="29" t="str">
        <f t="shared" si="163"/>
        <v/>
      </c>
      <c r="R604" s="29" t="str">
        <f t="shared" si="164"/>
        <v/>
      </c>
      <c r="S604" s="29" t="str">
        <f t="shared" si="165"/>
        <v/>
      </c>
      <c r="T604" s="32" t="str">
        <f t="shared" si="166"/>
        <v/>
      </c>
      <c r="U604" s="32" t="str">
        <f t="shared" si="169"/>
        <v/>
      </c>
      <c r="V604" s="32">
        <f t="shared" si="170"/>
        <v>1</v>
      </c>
      <c r="W604" s="41">
        <f t="shared" si="167"/>
        <v>3.2139866181276795</v>
      </c>
      <c r="X604" s="6">
        <f t="shared" si="168"/>
        <v>0</v>
      </c>
      <c r="Y604" s="7">
        <f t="shared" si="171"/>
        <v>567</v>
      </c>
      <c r="AA604" s="7">
        <f t="shared" si="172"/>
        <v>0</v>
      </c>
      <c r="AB604" s="7" t="str">
        <f t="shared" si="173"/>
        <v/>
      </c>
      <c r="AC604" s="7">
        <f t="shared" si="174"/>
        <v>0</v>
      </c>
      <c r="AD604" s="7" t="str">
        <f t="shared" si="175"/>
        <v/>
      </c>
      <c r="AE604" s="6">
        <f t="shared" si="176"/>
        <v>0</v>
      </c>
      <c r="AF604" s="69">
        <f t="shared" si="177"/>
        <v>3.2139866181276795</v>
      </c>
      <c r="AG604" s="6">
        <f t="shared" si="178"/>
        <v>0</v>
      </c>
      <c r="AH604" s="6">
        <f t="shared" si="179"/>
        <v>604</v>
      </c>
    </row>
    <row r="605" spans="8:34" x14ac:dyDescent="0.25">
      <c r="H605" s="7">
        <v>612</v>
      </c>
      <c r="I605" s="7" t="s">
        <v>8</v>
      </c>
      <c r="J605" s="8">
        <v>38595</v>
      </c>
      <c r="K605" s="12" t="s">
        <v>20</v>
      </c>
      <c r="L605" s="9">
        <v>2</v>
      </c>
      <c r="M605" s="10">
        <v>7.7805066936063501</v>
      </c>
      <c r="N605" s="7" t="s">
        <v>23</v>
      </c>
      <c r="P605" s="29" t="str">
        <f t="shared" si="162"/>
        <v/>
      </c>
      <c r="Q605" s="29" t="str">
        <f t="shared" si="163"/>
        <v/>
      </c>
      <c r="R605" s="29" t="str">
        <f t="shared" si="164"/>
        <v/>
      </c>
      <c r="S605" s="29" t="str">
        <f t="shared" si="165"/>
        <v/>
      </c>
      <c r="T605" s="32" t="str">
        <f t="shared" si="166"/>
        <v/>
      </c>
      <c r="U605" s="32">
        <f t="shared" si="169"/>
        <v>1</v>
      </c>
      <c r="V605" s="32" t="str">
        <f t="shared" si="170"/>
        <v/>
      </c>
      <c r="W605" s="41">
        <f t="shared" si="167"/>
        <v>3.890253346803175</v>
      </c>
      <c r="X605" s="6">
        <f t="shared" si="168"/>
        <v>7.7805066936063501</v>
      </c>
      <c r="Y605" s="7">
        <f t="shared" si="171"/>
        <v>549</v>
      </c>
      <c r="AA605" s="7">
        <f t="shared" si="172"/>
        <v>1</v>
      </c>
      <c r="AB605" s="7">
        <f t="shared" si="173"/>
        <v>2</v>
      </c>
      <c r="AC605" s="7">
        <f t="shared" si="174"/>
        <v>0</v>
      </c>
      <c r="AD605" s="7" t="str">
        <f t="shared" si="175"/>
        <v/>
      </c>
      <c r="AE605" s="6">
        <f t="shared" si="176"/>
        <v>0</v>
      </c>
      <c r="AF605" s="69">
        <f t="shared" si="177"/>
        <v>3.890253346803175</v>
      </c>
      <c r="AG605" s="6">
        <f t="shared" si="178"/>
        <v>0</v>
      </c>
      <c r="AH605" s="6">
        <f t="shared" si="179"/>
        <v>604</v>
      </c>
    </row>
    <row r="606" spans="8:34" x14ac:dyDescent="0.25">
      <c r="H606" s="7">
        <v>613</v>
      </c>
      <c r="I606" s="7" t="s">
        <v>9</v>
      </c>
      <c r="J606" s="8">
        <v>38925</v>
      </c>
      <c r="K606" s="12" t="s">
        <v>20</v>
      </c>
      <c r="L606" s="9">
        <v>17</v>
      </c>
      <c r="M606" s="10">
        <v>53.692138808043005</v>
      </c>
      <c r="N606" s="7" t="s">
        <v>24</v>
      </c>
      <c r="P606" s="29" t="str">
        <f t="shared" si="162"/>
        <v/>
      </c>
      <c r="Q606" s="29" t="str">
        <f t="shared" si="163"/>
        <v/>
      </c>
      <c r="R606" s="29" t="str">
        <f t="shared" si="164"/>
        <v/>
      </c>
      <c r="S606" s="29" t="str">
        <f t="shared" si="165"/>
        <v/>
      </c>
      <c r="T606" s="32" t="str">
        <f t="shared" si="166"/>
        <v/>
      </c>
      <c r="U606" s="32" t="str">
        <f t="shared" si="169"/>
        <v/>
      </c>
      <c r="V606" s="32">
        <f t="shared" si="170"/>
        <v>1</v>
      </c>
      <c r="W606" s="41">
        <f t="shared" si="167"/>
        <v>3.1583611063554708</v>
      </c>
      <c r="X606" s="6">
        <f t="shared" si="168"/>
        <v>0</v>
      </c>
      <c r="Y606" s="7">
        <f t="shared" si="171"/>
        <v>567</v>
      </c>
      <c r="AA606" s="7">
        <f t="shared" si="172"/>
        <v>0</v>
      </c>
      <c r="AB606" s="7" t="str">
        <f t="shared" si="173"/>
        <v/>
      </c>
      <c r="AC606" s="7">
        <f t="shared" si="174"/>
        <v>0</v>
      </c>
      <c r="AD606" s="7" t="str">
        <f t="shared" si="175"/>
        <v/>
      </c>
      <c r="AE606" s="6">
        <f t="shared" si="176"/>
        <v>0</v>
      </c>
      <c r="AF606" s="69">
        <f t="shared" si="177"/>
        <v>3.1583611063554708</v>
      </c>
      <c r="AG606" s="6">
        <f t="shared" si="178"/>
        <v>0</v>
      </c>
      <c r="AH606" s="6">
        <f t="shared" si="179"/>
        <v>604</v>
      </c>
    </row>
    <row r="607" spans="8:34" x14ac:dyDescent="0.25">
      <c r="H607" s="7">
        <v>614</v>
      </c>
      <c r="I607" s="7" t="s">
        <v>12</v>
      </c>
      <c r="J607" s="8">
        <v>38474</v>
      </c>
      <c r="K607" s="12" t="s">
        <v>20</v>
      </c>
      <c r="L607" s="9">
        <v>90</v>
      </c>
      <c r="M607" s="10">
        <v>272.41389128062559</v>
      </c>
      <c r="N607" s="7" t="s">
        <v>22</v>
      </c>
      <c r="P607" s="29" t="str">
        <f t="shared" si="162"/>
        <v/>
      </c>
      <c r="Q607" s="29" t="str">
        <f t="shared" si="163"/>
        <v/>
      </c>
      <c r="R607" s="29" t="str">
        <f t="shared" si="164"/>
        <v/>
      </c>
      <c r="S607" s="29" t="str">
        <f t="shared" si="165"/>
        <v/>
      </c>
      <c r="T607" s="32" t="str">
        <f t="shared" si="166"/>
        <v/>
      </c>
      <c r="U607" s="32">
        <f t="shared" si="169"/>
        <v>1</v>
      </c>
      <c r="V607" s="32" t="str">
        <f t="shared" si="170"/>
        <v/>
      </c>
      <c r="W607" s="41">
        <f t="shared" si="167"/>
        <v>3.0268210142291734</v>
      </c>
      <c r="X607" s="6">
        <f t="shared" si="168"/>
        <v>272.41389128062559</v>
      </c>
      <c r="Y607" s="7">
        <f t="shared" si="171"/>
        <v>38</v>
      </c>
      <c r="AA607" s="7">
        <f t="shared" si="172"/>
        <v>0</v>
      </c>
      <c r="AB607" s="7" t="str">
        <f t="shared" si="173"/>
        <v/>
      </c>
      <c r="AC607" s="7">
        <f t="shared" si="174"/>
        <v>1</v>
      </c>
      <c r="AD607" s="7">
        <f t="shared" si="175"/>
        <v>90</v>
      </c>
      <c r="AE607" s="6">
        <f t="shared" si="176"/>
        <v>0</v>
      </c>
      <c r="AF607" s="69">
        <f t="shared" si="177"/>
        <v>3.0268210142291734</v>
      </c>
      <c r="AG607" s="6">
        <f t="shared" si="178"/>
        <v>0</v>
      </c>
      <c r="AH607" s="6">
        <f t="shared" si="179"/>
        <v>604</v>
      </c>
    </row>
    <row r="608" spans="8:34" x14ac:dyDescent="0.25">
      <c r="H608" s="7">
        <v>615</v>
      </c>
      <c r="I608" s="7" t="s">
        <v>8</v>
      </c>
      <c r="J608" s="8">
        <v>39046</v>
      </c>
      <c r="K608" s="12" t="s">
        <v>18</v>
      </c>
      <c r="L608" s="9">
        <v>58</v>
      </c>
      <c r="M608" s="10">
        <v>175.59064342356595</v>
      </c>
      <c r="N608" s="7" t="s">
        <v>21</v>
      </c>
      <c r="P608" s="29" t="str">
        <f t="shared" si="162"/>
        <v/>
      </c>
      <c r="Q608" s="29" t="str">
        <f t="shared" si="163"/>
        <v/>
      </c>
      <c r="R608" s="29" t="str">
        <f t="shared" si="164"/>
        <v/>
      </c>
      <c r="S608" s="29" t="str">
        <f t="shared" si="165"/>
        <v/>
      </c>
      <c r="T608" s="32" t="str">
        <f t="shared" si="166"/>
        <v/>
      </c>
      <c r="U608" s="32" t="str">
        <f t="shared" si="169"/>
        <v/>
      </c>
      <c r="V608" s="32">
        <f t="shared" si="170"/>
        <v>1</v>
      </c>
      <c r="W608" s="41">
        <f t="shared" si="167"/>
        <v>3.0274248866132059</v>
      </c>
      <c r="X608" s="6">
        <f t="shared" si="168"/>
        <v>0</v>
      </c>
      <c r="Y608" s="7">
        <f t="shared" si="171"/>
        <v>567</v>
      </c>
      <c r="AA608" s="7">
        <f t="shared" si="172"/>
        <v>0</v>
      </c>
      <c r="AB608" s="7" t="str">
        <f t="shared" si="173"/>
        <v/>
      </c>
      <c r="AC608" s="7">
        <f t="shared" si="174"/>
        <v>0</v>
      </c>
      <c r="AD608" s="7" t="str">
        <f t="shared" si="175"/>
        <v/>
      </c>
      <c r="AE608" s="6">
        <f t="shared" si="176"/>
        <v>0</v>
      </c>
      <c r="AF608" s="69">
        <f t="shared" si="177"/>
        <v>3.0274248866132059</v>
      </c>
      <c r="AG608" s="6">
        <f t="shared" si="178"/>
        <v>0</v>
      </c>
      <c r="AH608" s="6">
        <f t="shared" si="179"/>
        <v>604</v>
      </c>
    </row>
    <row r="609" spans="8:34" x14ac:dyDescent="0.25">
      <c r="H609" s="7">
        <v>616</v>
      </c>
      <c r="I609" s="7" t="s">
        <v>12</v>
      </c>
      <c r="J609" s="8">
        <v>38738</v>
      </c>
      <c r="K609" s="12" t="s">
        <v>20</v>
      </c>
      <c r="L609" s="9">
        <v>66</v>
      </c>
      <c r="M609" s="10">
        <v>199.92690698146819</v>
      </c>
      <c r="N609" s="7" t="s">
        <v>22</v>
      </c>
      <c r="P609" s="29" t="str">
        <f t="shared" si="162"/>
        <v/>
      </c>
      <c r="Q609" s="29" t="str">
        <f t="shared" si="163"/>
        <v/>
      </c>
      <c r="R609" s="29" t="str">
        <f t="shared" si="164"/>
        <v/>
      </c>
      <c r="S609" s="29" t="str">
        <f t="shared" si="165"/>
        <v/>
      </c>
      <c r="T609" s="32" t="str">
        <f t="shared" si="166"/>
        <v/>
      </c>
      <c r="U609" s="32" t="str">
        <f t="shared" si="169"/>
        <v/>
      </c>
      <c r="V609" s="32">
        <f t="shared" si="170"/>
        <v>1</v>
      </c>
      <c r="W609" s="41">
        <f t="shared" si="167"/>
        <v>3.0291955603252756</v>
      </c>
      <c r="X609" s="6">
        <f t="shared" si="168"/>
        <v>0</v>
      </c>
      <c r="Y609" s="7">
        <f t="shared" si="171"/>
        <v>567</v>
      </c>
      <c r="AA609" s="7">
        <f t="shared" si="172"/>
        <v>0</v>
      </c>
      <c r="AB609" s="7" t="str">
        <f t="shared" si="173"/>
        <v/>
      </c>
      <c r="AC609" s="7">
        <f t="shared" si="174"/>
        <v>0</v>
      </c>
      <c r="AD609" s="7" t="str">
        <f t="shared" si="175"/>
        <v/>
      </c>
      <c r="AE609" s="6">
        <f t="shared" si="176"/>
        <v>0</v>
      </c>
      <c r="AF609" s="69">
        <f t="shared" si="177"/>
        <v>3.0291955603252756</v>
      </c>
      <c r="AG609" s="6">
        <f t="shared" si="178"/>
        <v>0</v>
      </c>
      <c r="AH609" s="6">
        <f t="shared" si="179"/>
        <v>604</v>
      </c>
    </row>
    <row r="610" spans="8:34" x14ac:dyDescent="0.25">
      <c r="H610" s="7">
        <v>617</v>
      </c>
      <c r="I610" s="7" t="s">
        <v>14</v>
      </c>
      <c r="J610" s="8">
        <v>38166</v>
      </c>
      <c r="K610" s="12" t="s">
        <v>16</v>
      </c>
      <c r="L610" s="9">
        <v>6</v>
      </c>
      <c r="M610" s="10">
        <v>20.242222983134283</v>
      </c>
      <c r="N610" s="7" t="s">
        <v>22</v>
      </c>
      <c r="P610" s="29" t="str">
        <f t="shared" si="162"/>
        <v/>
      </c>
      <c r="Q610" s="29">
        <f t="shared" si="163"/>
        <v>1</v>
      </c>
      <c r="R610" s="29" t="str">
        <f t="shared" si="164"/>
        <v/>
      </c>
      <c r="S610" s="29" t="str">
        <f t="shared" si="165"/>
        <v/>
      </c>
      <c r="T610" s="32" t="str">
        <f t="shared" si="166"/>
        <v/>
      </c>
      <c r="U610" s="32" t="str">
        <f t="shared" si="169"/>
        <v/>
      </c>
      <c r="V610" s="32" t="str">
        <f t="shared" si="170"/>
        <v/>
      </c>
      <c r="W610" s="41">
        <f t="shared" si="167"/>
        <v>3.3737038305223805</v>
      </c>
      <c r="X610" s="6">
        <f t="shared" si="168"/>
        <v>0</v>
      </c>
      <c r="Y610" s="7">
        <f t="shared" si="171"/>
        <v>567</v>
      </c>
      <c r="AA610" s="7">
        <f t="shared" si="172"/>
        <v>0</v>
      </c>
      <c r="AB610" s="7" t="str">
        <f t="shared" si="173"/>
        <v/>
      </c>
      <c r="AC610" s="7">
        <f t="shared" si="174"/>
        <v>0</v>
      </c>
      <c r="AD610" s="7" t="str">
        <f t="shared" si="175"/>
        <v/>
      </c>
      <c r="AE610" s="6">
        <f t="shared" si="176"/>
        <v>0</v>
      </c>
      <c r="AF610" s="69">
        <f t="shared" si="177"/>
        <v>3.3737038305223805</v>
      </c>
      <c r="AG610" s="6">
        <f t="shared" si="178"/>
        <v>20.242222983134283</v>
      </c>
      <c r="AH610" s="6">
        <f t="shared" si="179"/>
        <v>561</v>
      </c>
    </row>
    <row r="611" spans="8:34" x14ac:dyDescent="0.25">
      <c r="H611" s="7">
        <v>618</v>
      </c>
      <c r="I611" s="7" t="s">
        <v>11</v>
      </c>
      <c r="J611" s="8">
        <v>38826</v>
      </c>
      <c r="K611" s="12" t="s">
        <v>17</v>
      </c>
      <c r="L611" s="9">
        <v>90</v>
      </c>
      <c r="M611" s="10">
        <v>272.58718593660444</v>
      </c>
      <c r="N611" s="7" t="s">
        <v>21</v>
      </c>
      <c r="P611" s="29" t="str">
        <f t="shared" si="162"/>
        <v/>
      </c>
      <c r="Q611" s="29" t="str">
        <f t="shared" si="163"/>
        <v/>
      </c>
      <c r="R611" s="29" t="str">
        <f t="shared" si="164"/>
        <v/>
      </c>
      <c r="S611" s="29" t="str">
        <f t="shared" si="165"/>
        <v/>
      </c>
      <c r="T611" s="32" t="str">
        <f t="shared" si="166"/>
        <v/>
      </c>
      <c r="U611" s="32" t="str">
        <f t="shared" si="169"/>
        <v/>
      </c>
      <c r="V611" s="32">
        <f t="shared" si="170"/>
        <v>1</v>
      </c>
      <c r="W611" s="41">
        <f t="shared" si="167"/>
        <v>3.0287465104067159</v>
      </c>
      <c r="X611" s="6">
        <f t="shared" si="168"/>
        <v>0</v>
      </c>
      <c r="Y611" s="7">
        <f t="shared" si="171"/>
        <v>567</v>
      </c>
      <c r="AA611" s="7">
        <f t="shared" si="172"/>
        <v>0</v>
      </c>
      <c r="AB611" s="7" t="str">
        <f t="shared" si="173"/>
        <v/>
      </c>
      <c r="AC611" s="7">
        <f t="shared" si="174"/>
        <v>0</v>
      </c>
      <c r="AD611" s="7" t="str">
        <f t="shared" si="175"/>
        <v/>
      </c>
      <c r="AE611" s="6">
        <f t="shared" si="176"/>
        <v>0</v>
      </c>
      <c r="AF611" s="69">
        <f t="shared" si="177"/>
        <v>3.0287465104067159</v>
      </c>
      <c r="AG611" s="6">
        <f t="shared" si="178"/>
        <v>0</v>
      </c>
      <c r="AH611" s="6">
        <f t="shared" si="179"/>
        <v>604</v>
      </c>
    </row>
    <row r="612" spans="8:34" x14ac:dyDescent="0.25">
      <c r="H612" s="7">
        <v>619</v>
      </c>
      <c r="I612" s="7" t="s">
        <v>11</v>
      </c>
      <c r="J612" s="8">
        <v>38859</v>
      </c>
      <c r="K612" s="12" t="s">
        <v>17</v>
      </c>
      <c r="L612" s="9">
        <v>38</v>
      </c>
      <c r="M612" s="10">
        <v>115.85799136725458</v>
      </c>
      <c r="N612" s="7" t="s">
        <v>23</v>
      </c>
      <c r="P612" s="29" t="str">
        <f t="shared" si="162"/>
        <v/>
      </c>
      <c r="Q612" s="29" t="str">
        <f t="shared" si="163"/>
        <v/>
      </c>
      <c r="R612" s="29" t="str">
        <f t="shared" si="164"/>
        <v/>
      </c>
      <c r="S612" s="29" t="str">
        <f t="shared" si="165"/>
        <v/>
      </c>
      <c r="T612" s="32" t="str">
        <f t="shared" si="166"/>
        <v/>
      </c>
      <c r="U612" s="32" t="str">
        <f t="shared" si="169"/>
        <v/>
      </c>
      <c r="V612" s="32">
        <f t="shared" si="170"/>
        <v>1</v>
      </c>
      <c r="W612" s="41">
        <f t="shared" si="167"/>
        <v>3.0488945096645943</v>
      </c>
      <c r="X612" s="6">
        <f t="shared" si="168"/>
        <v>0</v>
      </c>
      <c r="Y612" s="7">
        <f t="shared" si="171"/>
        <v>567</v>
      </c>
      <c r="AA612" s="7">
        <f t="shared" si="172"/>
        <v>0</v>
      </c>
      <c r="AB612" s="7" t="str">
        <f t="shared" si="173"/>
        <v/>
      </c>
      <c r="AC612" s="7">
        <f t="shared" si="174"/>
        <v>0</v>
      </c>
      <c r="AD612" s="7" t="str">
        <f t="shared" si="175"/>
        <v/>
      </c>
      <c r="AE612" s="6">
        <f t="shared" si="176"/>
        <v>0</v>
      </c>
      <c r="AF612" s="69">
        <f t="shared" si="177"/>
        <v>3.0488945096645943</v>
      </c>
      <c r="AG612" s="6">
        <f t="shared" si="178"/>
        <v>0</v>
      </c>
      <c r="AH612" s="6">
        <f t="shared" si="179"/>
        <v>604</v>
      </c>
    </row>
    <row r="613" spans="8:34" x14ac:dyDescent="0.25">
      <c r="H613" s="7">
        <v>620</v>
      </c>
      <c r="I613" s="7" t="s">
        <v>12</v>
      </c>
      <c r="J613" s="8">
        <v>38265</v>
      </c>
      <c r="K613" s="12" t="s">
        <v>20</v>
      </c>
      <c r="L613" s="9">
        <v>3</v>
      </c>
      <c r="M613" s="10">
        <v>10.907655295049528</v>
      </c>
      <c r="N613" s="7" t="s">
        <v>22</v>
      </c>
      <c r="P613" s="29" t="str">
        <f t="shared" si="162"/>
        <v/>
      </c>
      <c r="Q613" s="29" t="str">
        <f t="shared" si="163"/>
        <v/>
      </c>
      <c r="R613" s="29" t="str">
        <f t="shared" si="164"/>
        <v/>
      </c>
      <c r="S613" s="29">
        <f t="shared" si="165"/>
        <v>1</v>
      </c>
      <c r="T613" s="32" t="str">
        <f t="shared" si="166"/>
        <v/>
      </c>
      <c r="U613" s="32" t="str">
        <f t="shared" si="169"/>
        <v/>
      </c>
      <c r="V613" s="32" t="str">
        <f t="shared" si="170"/>
        <v/>
      </c>
      <c r="W613" s="41">
        <f t="shared" si="167"/>
        <v>3.6358850983498425</v>
      </c>
      <c r="X613" s="6">
        <f t="shared" si="168"/>
        <v>0</v>
      </c>
      <c r="Y613" s="7">
        <f t="shared" si="171"/>
        <v>567</v>
      </c>
      <c r="AA613" s="7">
        <f t="shared" si="172"/>
        <v>0</v>
      </c>
      <c r="AB613" s="7" t="str">
        <f t="shared" si="173"/>
        <v/>
      </c>
      <c r="AC613" s="7">
        <f t="shared" si="174"/>
        <v>0</v>
      </c>
      <c r="AD613" s="7" t="str">
        <f t="shared" si="175"/>
        <v/>
      </c>
      <c r="AE613" s="6">
        <f t="shared" si="176"/>
        <v>0</v>
      </c>
      <c r="AF613" s="69">
        <f t="shared" si="177"/>
        <v>3.6358850983498425</v>
      </c>
      <c r="AG613" s="6">
        <f t="shared" si="178"/>
        <v>10.907655295049528</v>
      </c>
      <c r="AH613" s="6">
        <f t="shared" si="179"/>
        <v>583</v>
      </c>
    </row>
    <row r="614" spans="8:34" x14ac:dyDescent="0.25">
      <c r="H614" s="7">
        <v>621</v>
      </c>
      <c r="I614" s="7" t="s">
        <v>13</v>
      </c>
      <c r="J614" s="8">
        <v>38089</v>
      </c>
      <c r="K614" s="12" t="s">
        <v>18</v>
      </c>
      <c r="L614" s="9">
        <v>-4</v>
      </c>
      <c r="M614" s="10">
        <v>-10.39215955971811</v>
      </c>
      <c r="N614" s="7" t="s">
        <v>22</v>
      </c>
      <c r="P614" s="29" t="str">
        <f t="shared" si="162"/>
        <v/>
      </c>
      <c r="Q614" s="29">
        <f t="shared" si="163"/>
        <v>1</v>
      </c>
      <c r="R614" s="29" t="str">
        <f t="shared" si="164"/>
        <v/>
      </c>
      <c r="S614" s="29" t="str">
        <f t="shared" si="165"/>
        <v/>
      </c>
      <c r="T614" s="32" t="str">
        <f t="shared" si="166"/>
        <v/>
      </c>
      <c r="U614" s="32" t="str">
        <f t="shared" si="169"/>
        <v/>
      </c>
      <c r="V614" s="32" t="str">
        <f t="shared" si="170"/>
        <v/>
      </c>
      <c r="W614" s="41" t="str">
        <f t="shared" si="167"/>
        <v/>
      </c>
      <c r="X614" s="6">
        <f t="shared" si="168"/>
        <v>0</v>
      </c>
      <c r="Y614" s="7">
        <f t="shared" si="171"/>
        <v>567</v>
      </c>
      <c r="AA614" s="7">
        <f t="shared" si="172"/>
        <v>0</v>
      </c>
      <c r="AB614" s="7" t="str">
        <f t="shared" si="173"/>
        <v/>
      </c>
      <c r="AC614" s="7">
        <f t="shared" si="174"/>
        <v>0</v>
      </c>
      <c r="AD614" s="7" t="str">
        <f t="shared" si="175"/>
        <v/>
      </c>
      <c r="AE614" s="6">
        <f t="shared" si="176"/>
        <v>-4</v>
      </c>
      <c r="AF614" s="69" t="str">
        <f t="shared" si="177"/>
        <v/>
      </c>
      <c r="AG614" s="6">
        <f t="shared" si="178"/>
        <v>0</v>
      </c>
      <c r="AH614" s="6">
        <f t="shared" si="179"/>
        <v>604</v>
      </c>
    </row>
    <row r="615" spans="8:34" x14ac:dyDescent="0.25">
      <c r="H615" s="7">
        <v>622</v>
      </c>
      <c r="I615" s="7" t="s">
        <v>9</v>
      </c>
      <c r="J615" s="8">
        <v>38155</v>
      </c>
      <c r="K615" s="12" t="s">
        <v>16</v>
      </c>
      <c r="L615" s="9">
        <v>8</v>
      </c>
      <c r="M615" s="10">
        <v>25.899680153324056</v>
      </c>
      <c r="N615" s="7" t="s">
        <v>23</v>
      </c>
      <c r="P615" s="29" t="str">
        <f t="shared" si="162"/>
        <v/>
      </c>
      <c r="Q615" s="29">
        <f t="shared" si="163"/>
        <v>1</v>
      </c>
      <c r="R615" s="29" t="str">
        <f t="shared" si="164"/>
        <v/>
      </c>
      <c r="S615" s="29" t="str">
        <f t="shared" si="165"/>
        <v/>
      </c>
      <c r="T615" s="32" t="str">
        <f t="shared" si="166"/>
        <v/>
      </c>
      <c r="U615" s="32" t="str">
        <f t="shared" si="169"/>
        <v/>
      </c>
      <c r="V615" s="32" t="str">
        <f t="shared" si="170"/>
        <v/>
      </c>
      <c r="W615" s="41">
        <f t="shared" si="167"/>
        <v>3.237460019165507</v>
      </c>
      <c r="X615" s="6">
        <f t="shared" si="168"/>
        <v>0</v>
      </c>
      <c r="Y615" s="7">
        <f t="shared" si="171"/>
        <v>567</v>
      </c>
      <c r="AA615" s="7">
        <f t="shared" si="172"/>
        <v>0</v>
      </c>
      <c r="AB615" s="7" t="str">
        <f t="shared" si="173"/>
        <v/>
      </c>
      <c r="AC615" s="7">
        <f t="shared" si="174"/>
        <v>0</v>
      </c>
      <c r="AD615" s="7" t="str">
        <f t="shared" si="175"/>
        <v/>
      </c>
      <c r="AE615" s="6">
        <f t="shared" si="176"/>
        <v>0</v>
      </c>
      <c r="AF615" s="69">
        <f t="shared" si="177"/>
        <v>3.237460019165507</v>
      </c>
      <c r="AG615" s="6">
        <f t="shared" si="178"/>
        <v>25.899680153324056</v>
      </c>
      <c r="AH615" s="6">
        <f t="shared" si="179"/>
        <v>542</v>
      </c>
    </row>
    <row r="616" spans="8:34" x14ac:dyDescent="0.25">
      <c r="H616" s="7">
        <v>623</v>
      </c>
      <c r="I616" s="7" t="s">
        <v>11</v>
      </c>
      <c r="J616" s="8">
        <v>38078</v>
      </c>
      <c r="K616" s="12" t="s">
        <v>20</v>
      </c>
      <c r="L616" s="9">
        <v>-8</v>
      </c>
      <c r="M616" s="10">
        <v>-22.23218548835203</v>
      </c>
      <c r="N616" s="7" t="s">
        <v>23</v>
      </c>
      <c r="P616" s="29" t="str">
        <f t="shared" si="162"/>
        <v/>
      </c>
      <c r="Q616" s="29">
        <f t="shared" si="163"/>
        <v>1</v>
      </c>
      <c r="R616" s="29" t="str">
        <f t="shared" si="164"/>
        <v/>
      </c>
      <c r="S616" s="29" t="str">
        <f t="shared" si="165"/>
        <v/>
      </c>
      <c r="T616" s="32" t="str">
        <f t="shared" si="166"/>
        <v/>
      </c>
      <c r="U616" s="32" t="str">
        <f t="shared" si="169"/>
        <v/>
      </c>
      <c r="V616" s="32" t="str">
        <f t="shared" si="170"/>
        <v/>
      </c>
      <c r="W616" s="41" t="str">
        <f t="shared" si="167"/>
        <v/>
      </c>
      <c r="X616" s="6">
        <f t="shared" si="168"/>
        <v>0</v>
      </c>
      <c r="Y616" s="7">
        <f t="shared" si="171"/>
        <v>567</v>
      </c>
      <c r="AA616" s="7">
        <f t="shared" si="172"/>
        <v>0</v>
      </c>
      <c r="AB616" s="7" t="str">
        <f t="shared" si="173"/>
        <v/>
      </c>
      <c r="AC616" s="7">
        <f t="shared" si="174"/>
        <v>0</v>
      </c>
      <c r="AD616" s="7" t="str">
        <f t="shared" si="175"/>
        <v/>
      </c>
      <c r="AE616" s="6">
        <f t="shared" si="176"/>
        <v>-8</v>
      </c>
      <c r="AF616" s="69" t="str">
        <f t="shared" si="177"/>
        <v/>
      </c>
      <c r="AG616" s="6">
        <f t="shared" si="178"/>
        <v>0</v>
      </c>
      <c r="AH616" s="6">
        <f t="shared" si="179"/>
        <v>604</v>
      </c>
    </row>
    <row r="617" spans="8:34" x14ac:dyDescent="0.25">
      <c r="H617" s="7">
        <v>624</v>
      </c>
      <c r="I617" s="7" t="s">
        <v>8</v>
      </c>
      <c r="J617" s="8">
        <v>38254</v>
      </c>
      <c r="K617" s="12" t="s">
        <v>20</v>
      </c>
      <c r="L617" s="9">
        <v>72</v>
      </c>
      <c r="M617" s="10">
        <v>218.68777878091251</v>
      </c>
      <c r="N617" s="7" t="s">
        <v>22</v>
      </c>
      <c r="P617" s="29" t="str">
        <f t="shared" si="162"/>
        <v/>
      </c>
      <c r="Q617" s="29" t="str">
        <f t="shared" si="163"/>
        <v/>
      </c>
      <c r="R617" s="29">
        <f t="shared" si="164"/>
        <v>1</v>
      </c>
      <c r="S617" s="29" t="str">
        <f t="shared" si="165"/>
        <v/>
      </c>
      <c r="T617" s="32" t="str">
        <f t="shared" si="166"/>
        <v/>
      </c>
      <c r="U617" s="32" t="str">
        <f t="shared" si="169"/>
        <v/>
      </c>
      <c r="V617" s="32" t="str">
        <f t="shared" si="170"/>
        <v/>
      </c>
      <c r="W617" s="41">
        <f t="shared" si="167"/>
        <v>3.0373302608460069</v>
      </c>
      <c r="X617" s="6">
        <f t="shared" si="168"/>
        <v>0</v>
      </c>
      <c r="Y617" s="7">
        <f t="shared" si="171"/>
        <v>567</v>
      </c>
      <c r="AA617" s="7">
        <f t="shared" si="172"/>
        <v>0</v>
      </c>
      <c r="AB617" s="7" t="str">
        <f t="shared" si="173"/>
        <v/>
      </c>
      <c r="AC617" s="7">
        <f t="shared" si="174"/>
        <v>0</v>
      </c>
      <c r="AD617" s="7" t="str">
        <f t="shared" si="175"/>
        <v/>
      </c>
      <c r="AE617" s="6">
        <f t="shared" si="176"/>
        <v>0</v>
      </c>
      <c r="AF617" s="69">
        <f t="shared" si="177"/>
        <v>3.0373302608460069</v>
      </c>
      <c r="AG617" s="6">
        <f t="shared" si="178"/>
        <v>218.68777878091251</v>
      </c>
      <c r="AH617" s="6">
        <f t="shared" si="179"/>
        <v>135</v>
      </c>
    </row>
    <row r="618" spans="8:34" x14ac:dyDescent="0.25">
      <c r="H618" s="7">
        <v>625</v>
      </c>
      <c r="I618" s="7" t="s">
        <v>14</v>
      </c>
      <c r="J618" s="8">
        <v>38738</v>
      </c>
      <c r="K618" s="12" t="s">
        <v>16</v>
      </c>
      <c r="L618" s="9">
        <v>83</v>
      </c>
      <c r="M618" s="10">
        <v>250.66590250032371</v>
      </c>
      <c r="N618" s="7" t="s">
        <v>23</v>
      </c>
      <c r="P618" s="29" t="str">
        <f t="shared" si="162"/>
        <v/>
      </c>
      <c r="Q618" s="29" t="str">
        <f t="shared" si="163"/>
        <v/>
      </c>
      <c r="R618" s="29" t="str">
        <f t="shared" si="164"/>
        <v/>
      </c>
      <c r="S618" s="29" t="str">
        <f t="shared" si="165"/>
        <v/>
      </c>
      <c r="T618" s="32" t="str">
        <f t="shared" si="166"/>
        <v/>
      </c>
      <c r="U618" s="32" t="str">
        <f t="shared" si="169"/>
        <v/>
      </c>
      <c r="V618" s="32">
        <f t="shared" si="170"/>
        <v>1</v>
      </c>
      <c r="W618" s="41">
        <f t="shared" si="167"/>
        <v>3.0200711144617314</v>
      </c>
      <c r="X618" s="6">
        <f t="shared" si="168"/>
        <v>0</v>
      </c>
      <c r="Y618" s="7">
        <f t="shared" si="171"/>
        <v>567</v>
      </c>
      <c r="AA618" s="7">
        <f t="shared" si="172"/>
        <v>0</v>
      </c>
      <c r="AB618" s="7" t="str">
        <f t="shared" si="173"/>
        <v/>
      </c>
      <c r="AC618" s="7">
        <f t="shared" si="174"/>
        <v>0</v>
      </c>
      <c r="AD618" s="7" t="str">
        <f t="shared" si="175"/>
        <v/>
      </c>
      <c r="AE618" s="6">
        <f t="shared" si="176"/>
        <v>0</v>
      </c>
      <c r="AF618" s="69">
        <f t="shared" si="177"/>
        <v>3.0200711144617314</v>
      </c>
      <c r="AG618" s="6">
        <f t="shared" si="178"/>
        <v>0</v>
      </c>
      <c r="AH618" s="6">
        <f t="shared" si="179"/>
        <v>604</v>
      </c>
    </row>
    <row r="619" spans="8:34" x14ac:dyDescent="0.25">
      <c r="H619" s="7">
        <v>626</v>
      </c>
      <c r="I619" s="7" t="s">
        <v>10</v>
      </c>
      <c r="J619" s="8">
        <v>38870</v>
      </c>
      <c r="K619" s="12" t="s">
        <v>18</v>
      </c>
      <c r="L619" s="9">
        <v>12</v>
      </c>
      <c r="M619" s="10">
        <v>38.977588204951147</v>
      </c>
      <c r="N619" s="7" t="s">
        <v>23</v>
      </c>
      <c r="P619" s="29" t="str">
        <f t="shared" si="162"/>
        <v/>
      </c>
      <c r="Q619" s="29" t="str">
        <f t="shared" si="163"/>
        <v/>
      </c>
      <c r="R619" s="29" t="str">
        <f t="shared" si="164"/>
        <v/>
      </c>
      <c r="S619" s="29" t="str">
        <f t="shared" si="165"/>
        <v/>
      </c>
      <c r="T619" s="32" t="str">
        <f t="shared" si="166"/>
        <v/>
      </c>
      <c r="U619" s="32" t="str">
        <f t="shared" si="169"/>
        <v/>
      </c>
      <c r="V619" s="32">
        <f t="shared" si="170"/>
        <v>1</v>
      </c>
      <c r="W619" s="41">
        <f t="shared" si="167"/>
        <v>3.2481323504125954</v>
      </c>
      <c r="X619" s="6">
        <f t="shared" si="168"/>
        <v>0</v>
      </c>
      <c r="Y619" s="7">
        <f t="shared" si="171"/>
        <v>567</v>
      </c>
      <c r="AA619" s="7">
        <f t="shared" si="172"/>
        <v>0</v>
      </c>
      <c r="AB619" s="7" t="str">
        <f t="shared" si="173"/>
        <v/>
      </c>
      <c r="AC619" s="7">
        <f t="shared" si="174"/>
        <v>0</v>
      </c>
      <c r="AD619" s="7" t="str">
        <f t="shared" si="175"/>
        <v/>
      </c>
      <c r="AE619" s="6">
        <f t="shared" si="176"/>
        <v>0</v>
      </c>
      <c r="AF619" s="69">
        <f t="shared" si="177"/>
        <v>3.2481323504125954</v>
      </c>
      <c r="AG619" s="6">
        <f t="shared" si="178"/>
        <v>0</v>
      </c>
      <c r="AH619" s="6">
        <f t="shared" si="179"/>
        <v>604</v>
      </c>
    </row>
    <row r="620" spans="8:34" x14ac:dyDescent="0.25">
      <c r="H620" s="7">
        <v>627</v>
      </c>
      <c r="I620" s="7" t="s">
        <v>11</v>
      </c>
      <c r="J620" s="8">
        <v>38859</v>
      </c>
      <c r="K620" s="12" t="s">
        <v>18</v>
      </c>
      <c r="L620" s="9">
        <v>-8</v>
      </c>
      <c r="M620" s="10">
        <v>-21.533260342562944</v>
      </c>
      <c r="N620" s="7" t="s">
        <v>21</v>
      </c>
      <c r="P620" s="29" t="str">
        <f t="shared" si="162"/>
        <v/>
      </c>
      <c r="Q620" s="29" t="str">
        <f t="shared" si="163"/>
        <v/>
      </c>
      <c r="R620" s="29" t="str">
        <f t="shared" si="164"/>
        <v/>
      </c>
      <c r="S620" s="29" t="str">
        <f t="shared" si="165"/>
        <v/>
      </c>
      <c r="T620" s="32" t="str">
        <f t="shared" si="166"/>
        <v/>
      </c>
      <c r="U620" s="32" t="str">
        <f t="shared" si="169"/>
        <v/>
      </c>
      <c r="V620" s="32">
        <f t="shared" si="170"/>
        <v>1</v>
      </c>
      <c r="W620" s="41" t="str">
        <f t="shared" si="167"/>
        <v/>
      </c>
      <c r="X620" s="6">
        <f t="shared" si="168"/>
        <v>0</v>
      </c>
      <c r="Y620" s="7">
        <f t="shared" si="171"/>
        <v>567</v>
      </c>
      <c r="AA620" s="7">
        <f t="shared" si="172"/>
        <v>0</v>
      </c>
      <c r="AB620" s="7" t="str">
        <f t="shared" si="173"/>
        <v/>
      </c>
      <c r="AC620" s="7">
        <f t="shared" si="174"/>
        <v>0</v>
      </c>
      <c r="AD620" s="7" t="str">
        <f t="shared" si="175"/>
        <v/>
      </c>
      <c r="AE620" s="6">
        <f t="shared" si="176"/>
        <v>-8</v>
      </c>
      <c r="AF620" s="69" t="str">
        <f t="shared" si="177"/>
        <v/>
      </c>
      <c r="AG620" s="6">
        <f t="shared" si="178"/>
        <v>0</v>
      </c>
      <c r="AH620" s="6">
        <f t="shared" si="179"/>
        <v>604</v>
      </c>
    </row>
    <row r="621" spans="8:34" x14ac:dyDescent="0.25">
      <c r="H621" s="7">
        <v>628</v>
      </c>
      <c r="I621" s="7" t="s">
        <v>7</v>
      </c>
      <c r="J621" s="8">
        <v>38760</v>
      </c>
      <c r="K621" s="12" t="s">
        <v>16</v>
      </c>
      <c r="L621" s="9">
        <v>22</v>
      </c>
      <c r="M621" s="10">
        <v>68.129641213452771</v>
      </c>
      <c r="N621" s="7" t="s">
        <v>23</v>
      </c>
      <c r="P621" s="29" t="str">
        <f t="shared" si="162"/>
        <v/>
      </c>
      <c r="Q621" s="29" t="str">
        <f t="shared" si="163"/>
        <v/>
      </c>
      <c r="R621" s="29" t="str">
        <f t="shared" si="164"/>
        <v/>
      </c>
      <c r="S621" s="29" t="str">
        <f t="shared" si="165"/>
        <v/>
      </c>
      <c r="T621" s="32" t="str">
        <f t="shared" si="166"/>
        <v/>
      </c>
      <c r="U621" s="32" t="str">
        <f t="shared" si="169"/>
        <v/>
      </c>
      <c r="V621" s="32">
        <f t="shared" si="170"/>
        <v>1</v>
      </c>
      <c r="W621" s="41">
        <f t="shared" si="167"/>
        <v>3.0968018733387623</v>
      </c>
      <c r="X621" s="6">
        <f t="shared" si="168"/>
        <v>0</v>
      </c>
      <c r="Y621" s="7">
        <f t="shared" si="171"/>
        <v>567</v>
      </c>
      <c r="AA621" s="7">
        <f t="shared" si="172"/>
        <v>0</v>
      </c>
      <c r="AB621" s="7" t="str">
        <f t="shared" si="173"/>
        <v/>
      </c>
      <c r="AC621" s="7">
        <f t="shared" si="174"/>
        <v>0</v>
      </c>
      <c r="AD621" s="7" t="str">
        <f t="shared" si="175"/>
        <v/>
      </c>
      <c r="AE621" s="6">
        <f t="shared" si="176"/>
        <v>0</v>
      </c>
      <c r="AF621" s="69">
        <f t="shared" si="177"/>
        <v>3.0968018733387623</v>
      </c>
      <c r="AG621" s="6">
        <f t="shared" si="178"/>
        <v>0</v>
      </c>
      <c r="AH621" s="6">
        <f t="shared" si="179"/>
        <v>604</v>
      </c>
    </row>
    <row r="622" spans="8:34" x14ac:dyDescent="0.25">
      <c r="H622" s="7">
        <v>629</v>
      </c>
      <c r="I622" s="7" t="s">
        <v>12</v>
      </c>
      <c r="J622" s="8">
        <v>39024</v>
      </c>
      <c r="K622" s="12" t="s">
        <v>20</v>
      </c>
      <c r="L622" s="9">
        <v>-2</v>
      </c>
      <c r="M622" s="10">
        <v>-3.8295287737581956</v>
      </c>
      <c r="N622" s="7" t="s">
        <v>23</v>
      </c>
      <c r="P622" s="29" t="str">
        <f t="shared" si="162"/>
        <v/>
      </c>
      <c r="Q622" s="29" t="str">
        <f t="shared" si="163"/>
        <v/>
      </c>
      <c r="R622" s="29" t="str">
        <f t="shared" si="164"/>
        <v/>
      </c>
      <c r="S622" s="29" t="str">
        <f t="shared" si="165"/>
        <v/>
      </c>
      <c r="T622" s="32" t="str">
        <f t="shared" si="166"/>
        <v/>
      </c>
      <c r="U622" s="32" t="str">
        <f t="shared" si="169"/>
        <v/>
      </c>
      <c r="V622" s="32">
        <f t="shared" si="170"/>
        <v>1</v>
      </c>
      <c r="W622" s="41" t="str">
        <f t="shared" si="167"/>
        <v/>
      </c>
      <c r="X622" s="6">
        <f t="shared" si="168"/>
        <v>0</v>
      </c>
      <c r="Y622" s="7">
        <f t="shared" si="171"/>
        <v>567</v>
      </c>
      <c r="AA622" s="7">
        <f t="shared" si="172"/>
        <v>0</v>
      </c>
      <c r="AB622" s="7" t="str">
        <f t="shared" si="173"/>
        <v/>
      </c>
      <c r="AC622" s="7">
        <f t="shared" si="174"/>
        <v>0</v>
      </c>
      <c r="AD622" s="7" t="str">
        <f t="shared" si="175"/>
        <v/>
      </c>
      <c r="AE622" s="6">
        <f t="shared" si="176"/>
        <v>-2</v>
      </c>
      <c r="AF622" s="69" t="str">
        <f t="shared" si="177"/>
        <v/>
      </c>
      <c r="AG622" s="6">
        <f t="shared" si="178"/>
        <v>0</v>
      </c>
      <c r="AH622" s="6">
        <f t="shared" si="179"/>
        <v>604</v>
      </c>
    </row>
    <row r="623" spans="8:34" x14ac:dyDescent="0.25">
      <c r="H623" s="7">
        <v>630</v>
      </c>
      <c r="I623" s="7" t="s">
        <v>8</v>
      </c>
      <c r="J623" s="8">
        <v>38727</v>
      </c>
      <c r="K623" s="12" t="s">
        <v>18</v>
      </c>
      <c r="L623" s="9">
        <v>55</v>
      </c>
      <c r="M623" s="10">
        <v>166.77106419074752</v>
      </c>
      <c r="N623" s="7" t="s">
        <v>21</v>
      </c>
      <c r="P623" s="29" t="str">
        <f t="shared" si="162"/>
        <v/>
      </c>
      <c r="Q623" s="29" t="str">
        <f t="shared" si="163"/>
        <v/>
      </c>
      <c r="R623" s="29" t="str">
        <f t="shared" si="164"/>
        <v/>
      </c>
      <c r="S623" s="29" t="str">
        <f t="shared" si="165"/>
        <v/>
      </c>
      <c r="T623" s="32" t="str">
        <f t="shared" si="166"/>
        <v/>
      </c>
      <c r="U623" s="32" t="str">
        <f t="shared" si="169"/>
        <v/>
      </c>
      <c r="V623" s="32">
        <f t="shared" si="170"/>
        <v>1</v>
      </c>
      <c r="W623" s="41">
        <f t="shared" si="167"/>
        <v>3.0322011671045006</v>
      </c>
      <c r="X623" s="6">
        <f t="shared" si="168"/>
        <v>0</v>
      </c>
      <c r="Y623" s="7">
        <f t="shared" si="171"/>
        <v>567</v>
      </c>
      <c r="AA623" s="7">
        <f t="shared" si="172"/>
        <v>0</v>
      </c>
      <c r="AB623" s="7" t="str">
        <f t="shared" si="173"/>
        <v/>
      </c>
      <c r="AC623" s="7">
        <f t="shared" si="174"/>
        <v>0</v>
      </c>
      <c r="AD623" s="7" t="str">
        <f t="shared" si="175"/>
        <v/>
      </c>
      <c r="AE623" s="6">
        <f t="shared" si="176"/>
        <v>0</v>
      </c>
      <c r="AF623" s="69">
        <f t="shared" si="177"/>
        <v>3.0322011671045006</v>
      </c>
      <c r="AG623" s="6">
        <f t="shared" si="178"/>
        <v>0</v>
      </c>
      <c r="AH623" s="6">
        <f t="shared" si="179"/>
        <v>604</v>
      </c>
    </row>
    <row r="624" spans="8:34" x14ac:dyDescent="0.25">
      <c r="H624" s="7">
        <v>631</v>
      </c>
      <c r="I624" s="7" t="s">
        <v>14</v>
      </c>
      <c r="J624" s="8">
        <v>38892</v>
      </c>
      <c r="K624" s="12" t="s">
        <v>16</v>
      </c>
      <c r="L624" s="9">
        <v>40</v>
      </c>
      <c r="M624" s="10">
        <v>122.55166369572477</v>
      </c>
      <c r="N624" s="7" t="s">
        <v>23</v>
      </c>
      <c r="P624" s="29" t="str">
        <f t="shared" si="162"/>
        <v/>
      </c>
      <c r="Q624" s="29" t="str">
        <f t="shared" si="163"/>
        <v/>
      </c>
      <c r="R624" s="29" t="str">
        <f t="shared" si="164"/>
        <v/>
      </c>
      <c r="S624" s="29" t="str">
        <f t="shared" si="165"/>
        <v/>
      </c>
      <c r="T624" s="32" t="str">
        <f t="shared" si="166"/>
        <v/>
      </c>
      <c r="U624" s="32" t="str">
        <f t="shared" si="169"/>
        <v/>
      </c>
      <c r="V624" s="32">
        <f t="shared" si="170"/>
        <v>1</v>
      </c>
      <c r="W624" s="41">
        <f t="shared" si="167"/>
        <v>3.0637915923931192</v>
      </c>
      <c r="X624" s="6">
        <f t="shared" si="168"/>
        <v>0</v>
      </c>
      <c r="Y624" s="7">
        <f t="shared" si="171"/>
        <v>567</v>
      </c>
      <c r="AA624" s="7">
        <f t="shared" si="172"/>
        <v>0</v>
      </c>
      <c r="AB624" s="7" t="str">
        <f t="shared" si="173"/>
        <v/>
      </c>
      <c r="AC624" s="7">
        <f t="shared" si="174"/>
        <v>0</v>
      </c>
      <c r="AD624" s="7" t="str">
        <f t="shared" si="175"/>
        <v/>
      </c>
      <c r="AE624" s="6">
        <f t="shared" si="176"/>
        <v>0</v>
      </c>
      <c r="AF624" s="69">
        <f t="shared" si="177"/>
        <v>3.0637915923931192</v>
      </c>
      <c r="AG624" s="6">
        <f t="shared" si="178"/>
        <v>0</v>
      </c>
      <c r="AH624" s="6">
        <f t="shared" si="179"/>
        <v>604</v>
      </c>
    </row>
    <row r="625" spans="8:34" x14ac:dyDescent="0.25">
      <c r="H625" s="7">
        <v>632</v>
      </c>
      <c r="I625" s="7" t="s">
        <v>7</v>
      </c>
      <c r="J625" s="8">
        <v>38529</v>
      </c>
      <c r="K625" s="12" t="s">
        <v>18</v>
      </c>
      <c r="L625" s="9">
        <v>61</v>
      </c>
      <c r="M625" s="10">
        <v>183.9597681482735</v>
      </c>
      <c r="N625" s="7" t="s">
        <v>22</v>
      </c>
      <c r="P625" s="29" t="str">
        <f t="shared" si="162"/>
        <v/>
      </c>
      <c r="Q625" s="29" t="str">
        <f t="shared" si="163"/>
        <v/>
      </c>
      <c r="R625" s="29" t="str">
        <f t="shared" si="164"/>
        <v/>
      </c>
      <c r="S625" s="29" t="str">
        <f t="shared" si="165"/>
        <v/>
      </c>
      <c r="T625" s="32" t="str">
        <f t="shared" si="166"/>
        <v/>
      </c>
      <c r="U625" s="32">
        <f t="shared" si="169"/>
        <v>1</v>
      </c>
      <c r="V625" s="32" t="str">
        <f t="shared" si="170"/>
        <v/>
      </c>
      <c r="W625" s="41">
        <f t="shared" si="167"/>
        <v>3.0157339040700575</v>
      </c>
      <c r="X625" s="6">
        <f t="shared" si="168"/>
        <v>183.9597681482735</v>
      </c>
      <c r="Y625" s="7">
        <f t="shared" si="171"/>
        <v>202</v>
      </c>
      <c r="AA625" s="7">
        <f t="shared" si="172"/>
        <v>0</v>
      </c>
      <c r="AB625" s="7" t="str">
        <f t="shared" si="173"/>
        <v/>
      </c>
      <c r="AC625" s="7">
        <f t="shared" si="174"/>
        <v>1</v>
      </c>
      <c r="AD625" s="7">
        <f t="shared" si="175"/>
        <v>61</v>
      </c>
      <c r="AE625" s="6">
        <f t="shared" si="176"/>
        <v>0</v>
      </c>
      <c r="AF625" s="69">
        <f t="shared" si="177"/>
        <v>3.0157339040700575</v>
      </c>
      <c r="AG625" s="6">
        <f t="shared" si="178"/>
        <v>0</v>
      </c>
      <c r="AH625" s="6">
        <f t="shared" si="179"/>
        <v>604</v>
      </c>
    </row>
    <row r="626" spans="8:34" x14ac:dyDescent="0.25">
      <c r="H626" s="7">
        <v>633</v>
      </c>
      <c r="I626" s="7" t="s">
        <v>8</v>
      </c>
      <c r="J626" s="8">
        <v>38518</v>
      </c>
      <c r="K626" s="12" t="s">
        <v>16</v>
      </c>
      <c r="L626" s="9">
        <v>40</v>
      </c>
      <c r="M626" s="10">
        <v>122.54107894599883</v>
      </c>
      <c r="N626" s="7" t="s">
        <v>21</v>
      </c>
      <c r="P626" s="29" t="str">
        <f t="shared" si="162"/>
        <v/>
      </c>
      <c r="Q626" s="29" t="str">
        <f t="shared" si="163"/>
        <v/>
      </c>
      <c r="R626" s="29" t="str">
        <f t="shared" si="164"/>
        <v/>
      </c>
      <c r="S626" s="29" t="str">
        <f t="shared" si="165"/>
        <v/>
      </c>
      <c r="T626" s="32" t="str">
        <f t="shared" si="166"/>
        <v/>
      </c>
      <c r="U626" s="32">
        <f t="shared" si="169"/>
        <v>1</v>
      </c>
      <c r="V626" s="32" t="str">
        <f t="shared" si="170"/>
        <v/>
      </c>
      <c r="W626" s="41">
        <f t="shared" si="167"/>
        <v>3.0635269736499708</v>
      </c>
      <c r="X626" s="6">
        <f t="shared" si="168"/>
        <v>122.54107894599883</v>
      </c>
      <c r="Y626" s="7">
        <f t="shared" si="171"/>
        <v>313</v>
      </c>
      <c r="AA626" s="7">
        <f t="shared" si="172"/>
        <v>0</v>
      </c>
      <c r="AB626" s="7" t="str">
        <f t="shared" si="173"/>
        <v/>
      </c>
      <c r="AC626" s="7">
        <f t="shared" si="174"/>
        <v>1</v>
      </c>
      <c r="AD626" s="7">
        <f t="shared" si="175"/>
        <v>40</v>
      </c>
      <c r="AE626" s="6">
        <f t="shared" si="176"/>
        <v>0</v>
      </c>
      <c r="AF626" s="69">
        <f t="shared" si="177"/>
        <v>3.0635269736499708</v>
      </c>
      <c r="AG626" s="6">
        <f t="shared" si="178"/>
        <v>0</v>
      </c>
      <c r="AH626" s="6">
        <f t="shared" si="179"/>
        <v>604</v>
      </c>
    </row>
    <row r="627" spans="8:34" x14ac:dyDescent="0.25">
      <c r="H627" s="7">
        <v>634</v>
      </c>
      <c r="I627" s="7" t="s">
        <v>14</v>
      </c>
      <c r="J627" s="8">
        <v>38969</v>
      </c>
      <c r="K627" s="12" t="s">
        <v>16</v>
      </c>
      <c r="L627" s="9">
        <v>31</v>
      </c>
      <c r="M627" s="10">
        <v>94.683925421109407</v>
      </c>
      <c r="N627" s="7" t="s">
        <v>22</v>
      </c>
      <c r="P627" s="29" t="str">
        <f t="shared" si="162"/>
        <v/>
      </c>
      <c r="Q627" s="29" t="str">
        <f t="shared" si="163"/>
        <v/>
      </c>
      <c r="R627" s="29" t="str">
        <f t="shared" si="164"/>
        <v/>
      </c>
      <c r="S627" s="29" t="str">
        <f t="shared" si="165"/>
        <v/>
      </c>
      <c r="T627" s="32" t="str">
        <f t="shared" si="166"/>
        <v/>
      </c>
      <c r="U627" s="32" t="str">
        <f t="shared" si="169"/>
        <v/>
      </c>
      <c r="V627" s="32">
        <f t="shared" si="170"/>
        <v>1</v>
      </c>
      <c r="W627" s="41">
        <f t="shared" si="167"/>
        <v>3.0543201748744968</v>
      </c>
      <c r="X627" s="6">
        <f t="shared" si="168"/>
        <v>0</v>
      </c>
      <c r="Y627" s="7">
        <f t="shared" si="171"/>
        <v>567</v>
      </c>
      <c r="AA627" s="7">
        <f t="shared" si="172"/>
        <v>0</v>
      </c>
      <c r="AB627" s="7" t="str">
        <f t="shared" si="173"/>
        <v/>
      </c>
      <c r="AC627" s="7">
        <f t="shared" si="174"/>
        <v>0</v>
      </c>
      <c r="AD627" s="7" t="str">
        <f t="shared" si="175"/>
        <v/>
      </c>
      <c r="AE627" s="6">
        <f t="shared" si="176"/>
        <v>0</v>
      </c>
      <c r="AF627" s="69">
        <f t="shared" si="177"/>
        <v>3.0543201748744968</v>
      </c>
      <c r="AG627" s="6">
        <f t="shared" si="178"/>
        <v>0</v>
      </c>
      <c r="AH627" s="6">
        <f t="shared" si="179"/>
        <v>604</v>
      </c>
    </row>
    <row r="628" spans="8:34" x14ac:dyDescent="0.25">
      <c r="H628" s="7">
        <v>635</v>
      </c>
      <c r="I628" s="7" t="s">
        <v>7</v>
      </c>
      <c r="J628" s="8">
        <v>38100</v>
      </c>
      <c r="K628" s="12" t="s">
        <v>20</v>
      </c>
      <c r="L628" s="9">
        <v>6</v>
      </c>
      <c r="M628" s="10">
        <v>20.454607256507078</v>
      </c>
      <c r="N628" s="7" t="s">
        <v>22</v>
      </c>
      <c r="P628" s="29" t="str">
        <f t="shared" si="162"/>
        <v/>
      </c>
      <c r="Q628" s="29">
        <f t="shared" si="163"/>
        <v>1</v>
      </c>
      <c r="R628" s="29" t="str">
        <f t="shared" si="164"/>
        <v/>
      </c>
      <c r="S628" s="29" t="str">
        <f t="shared" si="165"/>
        <v/>
      </c>
      <c r="T628" s="32" t="str">
        <f t="shared" si="166"/>
        <v/>
      </c>
      <c r="U628" s="32" t="str">
        <f t="shared" si="169"/>
        <v/>
      </c>
      <c r="V628" s="32" t="str">
        <f t="shared" si="170"/>
        <v/>
      </c>
      <c r="W628" s="41">
        <f t="shared" si="167"/>
        <v>3.4091012094178463</v>
      </c>
      <c r="X628" s="6">
        <f t="shared" si="168"/>
        <v>0</v>
      </c>
      <c r="Y628" s="7">
        <f t="shared" si="171"/>
        <v>567</v>
      </c>
      <c r="AA628" s="7">
        <f t="shared" si="172"/>
        <v>0</v>
      </c>
      <c r="AB628" s="7" t="str">
        <f t="shared" si="173"/>
        <v/>
      </c>
      <c r="AC628" s="7">
        <f t="shared" si="174"/>
        <v>0</v>
      </c>
      <c r="AD628" s="7" t="str">
        <f t="shared" si="175"/>
        <v/>
      </c>
      <c r="AE628" s="6">
        <f t="shared" si="176"/>
        <v>0</v>
      </c>
      <c r="AF628" s="69">
        <f t="shared" si="177"/>
        <v>3.4091012094178463</v>
      </c>
      <c r="AG628" s="6">
        <f t="shared" si="178"/>
        <v>20.454607256507078</v>
      </c>
      <c r="AH628" s="6">
        <f t="shared" si="179"/>
        <v>556</v>
      </c>
    </row>
    <row r="629" spans="8:34" x14ac:dyDescent="0.25">
      <c r="H629" s="7">
        <v>636</v>
      </c>
      <c r="I629" s="7" t="s">
        <v>8</v>
      </c>
      <c r="J629" s="8">
        <v>38650</v>
      </c>
      <c r="K629" s="12" t="s">
        <v>18</v>
      </c>
      <c r="L629" s="9">
        <v>-6</v>
      </c>
      <c r="M629" s="10">
        <v>-16.100658619760122</v>
      </c>
      <c r="N629" s="7" t="s">
        <v>21</v>
      </c>
      <c r="P629" s="29" t="str">
        <f t="shared" si="162"/>
        <v/>
      </c>
      <c r="Q629" s="29" t="str">
        <f t="shared" si="163"/>
        <v/>
      </c>
      <c r="R629" s="29" t="str">
        <f t="shared" si="164"/>
        <v/>
      </c>
      <c r="S629" s="29" t="str">
        <f t="shared" si="165"/>
        <v/>
      </c>
      <c r="T629" s="32">
        <f t="shared" si="166"/>
        <v>1</v>
      </c>
      <c r="U629" s="32">
        <f t="shared" si="169"/>
        <v>1</v>
      </c>
      <c r="V629" s="32" t="str">
        <f t="shared" si="170"/>
        <v/>
      </c>
      <c r="W629" s="41" t="str">
        <f t="shared" si="167"/>
        <v/>
      </c>
      <c r="X629" s="6">
        <f t="shared" si="168"/>
        <v>-16.100658619760122</v>
      </c>
      <c r="Y629" s="7">
        <f t="shared" si="171"/>
        <v>1870</v>
      </c>
      <c r="AA629" s="7">
        <f t="shared" si="172"/>
        <v>0</v>
      </c>
      <c r="AB629" s="7" t="str">
        <f t="shared" si="173"/>
        <v/>
      </c>
      <c r="AC629" s="7">
        <f t="shared" si="174"/>
        <v>1</v>
      </c>
      <c r="AD629" s="7">
        <f t="shared" si="175"/>
        <v>-6</v>
      </c>
      <c r="AE629" s="6">
        <f t="shared" si="176"/>
        <v>-6</v>
      </c>
      <c r="AF629" s="69" t="str">
        <f t="shared" si="177"/>
        <v/>
      </c>
      <c r="AG629" s="6">
        <f t="shared" si="178"/>
        <v>0</v>
      </c>
      <c r="AH629" s="6">
        <f t="shared" si="179"/>
        <v>604</v>
      </c>
    </row>
    <row r="630" spans="8:34" x14ac:dyDescent="0.25">
      <c r="H630" s="7">
        <v>637</v>
      </c>
      <c r="I630" s="7" t="s">
        <v>8</v>
      </c>
      <c r="J630" s="8">
        <v>38540</v>
      </c>
      <c r="K630" s="12" t="s">
        <v>16</v>
      </c>
      <c r="L630" s="9">
        <v>14</v>
      </c>
      <c r="M630" s="10">
        <v>43.396216100245972</v>
      </c>
      <c r="N630" s="7" t="s">
        <v>22</v>
      </c>
      <c r="P630" s="29" t="str">
        <f t="shared" si="162"/>
        <v/>
      </c>
      <c r="Q630" s="29" t="str">
        <f t="shared" si="163"/>
        <v/>
      </c>
      <c r="R630" s="29" t="str">
        <f t="shared" si="164"/>
        <v/>
      </c>
      <c r="S630" s="29" t="str">
        <f t="shared" si="165"/>
        <v/>
      </c>
      <c r="T630" s="32" t="str">
        <f t="shared" si="166"/>
        <v/>
      </c>
      <c r="U630" s="32">
        <f t="shared" si="169"/>
        <v>1</v>
      </c>
      <c r="V630" s="32" t="str">
        <f t="shared" si="170"/>
        <v/>
      </c>
      <c r="W630" s="41">
        <f t="shared" si="167"/>
        <v>3.099729721446141</v>
      </c>
      <c r="X630" s="6">
        <f t="shared" si="168"/>
        <v>43.396216100245972</v>
      </c>
      <c r="Y630" s="7">
        <f t="shared" si="171"/>
        <v>474</v>
      </c>
      <c r="AA630" s="7">
        <f t="shared" si="172"/>
        <v>1</v>
      </c>
      <c r="AB630" s="7">
        <f t="shared" si="173"/>
        <v>14</v>
      </c>
      <c r="AC630" s="7">
        <f t="shared" si="174"/>
        <v>0</v>
      </c>
      <c r="AD630" s="7" t="str">
        <f t="shared" si="175"/>
        <v/>
      </c>
      <c r="AE630" s="6">
        <f t="shared" si="176"/>
        <v>0</v>
      </c>
      <c r="AF630" s="69">
        <f t="shared" si="177"/>
        <v>3.099729721446141</v>
      </c>
      <c r="AG630" s="6">
        <f t="shared" si="178"/>
        <v>0</v>
      </c>
      <c r="AH630" s="6">
        <f t="shared" si="179"/>
        <v>604</v>
      </c>
    </row>
    <row r="631" spans="8:34" x14ac:dyDescent="0.25">
      <c r="H631" s="7">
        <v>638</v>
      </c>
      <c r="I631" s="7" t="s">
        <v>8</v>
      </c>
      <c r="J631" s="8">
        <v>38199</v>
      </c>
      <c r="K631" s="12" t="s">
        <v>20</v>
      </c>
      <c r="L631" s="9">
        <v>94</v>
      </c>
      <c r="M631" s="10">
        <v>283.87519041996188</v>
      </c>
      <c r="N631" s="7" t="s">
        <v>24</v>
      </c>
      <c r="P631" s="29" t="str">
        <f t="shared" si="162"/>
        <v/>
      </c>
      <c r="Q631" s="29" t="str">
        <f t="shared" si="163"/>
        <v/>
      </c>
      <c r="R631" s="29">
        <f t="shared" si="164"/>
        <v>1</v>
      </c>
      <c r="S631" s="29" t="str">
        <f t="shared" si="165"/>
        <v/>
      </c>
      <c r="T631" s="32" t="str">
        <f t="shared" si="166"/>
        <v/>
      </c>
      <c r="U631" s="32" t="str">
        <f t="shared" si="169"/>
        <v/>
      </c>
      <c r="V631" s="32" t="str">
        <f t="shared" si="170"/>
        <v/>
      </c>
      <c r="W631" s="41">
        <f t="shared" si="167"/>
        <v>3.0199488342549135</v>
      </c>
      <c r="X631" s="6">
        <f t="shared" si="168"/>
        <v>0</v>
      </c>
      <c r="Y631" s="7">
        <f t="shared" si="171"/>
        <v>567</v>
      </c>
      <c r="AA631" s="7">
        <f t="shared" si="172"/>
        <v>0</v>
      </c>
      <c r="AB631" s="7" t="str">
        <f t="shared" si="173"/>
        <v/>
      </c>
      <c r="AC631" s="7">
        <f t="shared" si="174"/>
        <v>0</v>
      </c>
      <c r="AD631" s="7" t="str">
        <f t="shared" si="175"/>
        <v/>
      </c>
      <c r="AE631" s="6">
        <f t="shared" si="176"/>
        <v>0</v>
      </c>
      <c r="AF631" s="69">
        <f t="shared" si="177"/>
        <v>3.0199488342549135</v>
      </c>
      <c r="AG631" s="6">
        <f t="shared" si="178"/>
        <v>283.87519041996188</v>
      </c>
      <c r="AH631" s="6">
        <f t="shared" si="179"/>
        <v>10</v>
      </c>
    </row>
    <row r="632" spans="8:34" x14ac:dyDescent="0.25">
      <c r="H632" s="7">
        <v>639</v>
      </c>
      <c r="I632" s="7" t="s">
        <v>14</v>
      </c>
      <c r="J632" s="8">
        <v>38562</v>
      </c>
      <c r="K632" s="12" t="s">
        <v>20</v>
      </c>
      <c r="L632" s="9">
        <v>70</v>
      </c>
      <c r="M632" s="10">
        <v>212.26863794218977</v>
      </c>
      <c r="N632" s="7" t="s">
        <v>24</v>
      </c>
      <c r="P632" s="29" t="str">
        <f t="shared" si="162"/>
        <v/>
      </c>
      <c r="Q632" s="29" t="str">
        <f t="shared" si="163"/>
        <v/>
      </c>
      <c r="R632" s="29" t="str">
        <f t="shared" si="164"/>
        <v/>
      </c>
      <c r="S632" s="29" t="str">
        <f t="shared" si="165"/>
        <v/>
      </c>
      <c r="T632" s="32" t="str">
        <f t="shared" si="166"/>
        <v/>
      </c>
      <c r="U632" s="32">
        <f t="shared" si="169"/>
        <v>1</v>
      </c>
      <c r="V632" s="32" t="str">
        <f t="shared" si="170"/>
        <v/>
      </c>
      <c r="W632" s="41">
        <f t="shared" si="167"/>
        <v>3.0324091134598539</v>
      </c>
      <c r="X632" s="6">
        <f t="shared" si="168"/>
        <v>212.26863794218977</v>
      </c>
      <c r="Y632" s="7">
        <f t="shared" si="171"/>
        <v>156</v>
      </c>
      <c r="AA632" s="7">
        <f t="shared" si="172"/>
        <v>1</v>
      </c>
      <c r="AB632" s="7">
        <f t="shared" si="173"/>
        <v>70</v>
      </c>
      <c r="AC632" s="7">
        <f t="shared" si="174"/>
        <v>0</v>
      </c>
      <c r="AD632" s="7" t="str">
        <f t="shared" si="175"/>
        <v/>
      </c>
      <c r="AE632" s="6">
        <f t="shared" si="176"/>
        <v>0</v>
      </c>
      <c r="AF632" s="69">
        <f t="shared" si="177"/>
        <v>3.0324091134598539</v>
      </c>
      <c r="AG632" s="6">
        <f t="shared" si="178"/>
        <v>0</v>
      </c>
      <c r="AH632" s="6">
        <f t="shared" si="179"/>
        <v>604</v>
      </c>
    </row>
    <row r="633" spans="8:34" x14ac:dyDescent="0.25">
      <c r="H633" s="7">
        <v>640</v>
      </c>
      <c r="I633" s="7" t="s">
        <v>13</v>
      </c>
      <c r="J633" s="8">
        <v>38298</v>
      </c>
      <c r="K633" s="12" t="s">
        <v>17</v>
      </c>
      <c r="L633" s="9">
        <v>-8</v>
      </c>
      <c r="M633" s="10">
        <v>-21.44176526239897</v>
      </c>
      <c r="N633" s="7" t="s">
        <v>21</v>
      </c>
      <c r="P633" s="29" t="str">
        <f t="shared" si="162"/>
        <v/>
      </c>
      <c r="Q633" s="29" t="str">
        <f t="shared" si="163"/>
        <v/>
      </c>
      <c r="R633" s="29" t="str">
        <f t="shared" si="164"/>
        <v/>
      </c>
      <c r="S633" s="29">
        <f t="shared" si="165"/>
        <v>1</v>
      </c>
      <c r="T633" s="32" t="str">
        <f t="shared" si="166"/>
        <v/>
      </c>
      <c r="U633" s="32" t="str">
        <f t="shared" si="169"/>
        <v/>
      </c>
      <c r="V633" s="32" t="str">
        <f t="shared" si="170"/>
        <v/>
      </c>
      <c r="W633" s="41" t="str">
        <f t="shared" si="167"/>
        <v/>
      </c>
      <c r="X633" s="6">
        <f t="shared" si="168"/>
        <v>0</v>
      </c>
      <c r="Y633" s="7">
        <f t="shared" si="171"/>
        <v>567</v>
      </c>
      <c r="AA633" s="7">
        <f t="shared" si="172"/>
        <v>0</v>
      </c>
      <c r="AB633" s="7" t="str">
        <f t="shared" si="173"/>
        <v/>
      </c>
      <c r="AC633" s="7">
        <f t="shared" si="174"/>
        <v>0</v>
      </c>
      <c r="AD633" s="7" t="str">
        <f t="shared" si="175"/>
        <v/>
      </c>
      <c r="AE633" s="6">
        <f t="shared" si="176"/>
        <v>-8</v>
      </c>
      <c r="AF633" s="69" t="str">
        <f t="shared" si="177"/>
        <v/>
      </c>
      <c r="AG633" s="6">
        <f t="shared" si="178"/>
        <v>0</v>
      </c>
      <c r="AH633" s="6">
        <f t="shared" si="179"/>
        <v>604</v>
      </c>
    </row>
    <row r="634" spans="8:34" x14ac:dyDescent="0.25">
      <c r="H634" s="7">
        <v>641</v>
      </c>
      <c r="I634" s="7" t="s">
        <v>13</v>
      </c>
      <c r="J634" s="8">
        <v>39024</v>
      </c>
      <c r="K634" s="12" t="s">
        <v>17</v>
      </c>
      <c r="L634" s="9">
        <v>-8</v>
      </c>
      <c r="M634" s="10">
        <v>-21.90881602461678</v>
      </c>
      <c r="N634" s="7" t="s">
        <v>21</v>
      </c>
      <c r="P634" s="29" t="str">
        <f t="shared" si="162"/>
        <v/>
      </c>
      <c r="Q634" s="29" t="str">
        <f t="shared" si="163"/>
        <v/>
      </c>
      <c r="R634" s="29" t="str">
        <f t="shared" si="164"/>
        <v/>
      </c>
      <c r="S634" s="29" t="str">
        <f t="shared" si="165"/>
        <v/>
      </c>
      <c r="T634" s="32" t="str">
        <f t="shared" si="166"/>
        <v/>
      </c>
      <c r="U634" s="32" t="str">
        <f t="shared" si="169"/>
        <v/>
      </c>
      <c r="V634" s="32">
        <f t="shared" si="170"/>
        <v>1</v>
      </c>
      <c r="W634" s="41" t="str">
        <f t="shared" si="167"/>
        <v/>
      </c>
      <c r="X634" s="6">
        <f t="shared" si="168"/>
        <v>0</v>
      </c>
      <c r="Y634" s="7">
        <f t="shared" si="171"/>
        <v>567</v>
      </c>
      <c r="AA634" s="7">
        <f t="shared" si="172"/>
        <v>0</v>
      </c>
      <c r="AB634" s="7" t="str">
        <f t="shared" si="173"/>
        <v/>
      </c>
      <c r="AC634" s="7">
        <f t="shared" si="174"/>
        <v>0</v>
      </c>
      <c r="AD634" s="7" t="str">
        <f t="shared" si="175"/>
        <v/>
      </c>
      <c r="AE634" s="6">
        <f t="shared" si="176"/>
        <v>-8</v>
      </c>
      <c r="AF634" s="69" t="str">
        <f t="shared" si="177"/>
        <v/>
      </c>
      <c r="AG634" s="6">
        <f t="shared" si="178"/>
        <v>0</v>
      </c>
      <c r="AH634" s="6">
        <f t="shared" si="179"/>
        <v>604</v>
      </c>
    </row>
    <row r="635" spans="8:34" x14ac:dyDescent="0.25">
      <c r="H635" s="7">
        <v>642</v>
      </c>
      <c r="I635" s="7" t="s">
        <v>9</v>
      </c>
      <c r="J635" s="8">
        <v>38716</v>
      </c>
      <c r="K635" s="12" t="s">
        <v>20</v>
      </c>
      <c r="L635" s="9">
        <v>2</v>
      </c>
      <c r="M635" s="10">
        <v>7.6416014365752867</v>
      </c>
      <c r="N635" s="7" t="s">
        <v>22</v>
      </c>
      <c r="P635" s="29" t="str">
        <f t="shared" si="162"/>
        <v/>
      </c>
      <c r="Q635" s="29" t="str">
        <f t="shared" si="163"/>
        <v/>
      </c>
      <c r="R635" s="29" t="str">
        <f t="shared" si="164"/>
        <v/>
      </c>
      <c r="S635" s="29" t="str">
        <f t="shared" si="165"/>
        <v/>
      </c>
      <c r="T635" s="32">
        <f t="shared" si="166"/>
        <v>1</v>
      </c>
      <c r="U635" s="32">
        <f t="shared" si="169"/>
        <v>1</v>
      </c>
      <c r="V635" s="32" t="str">
        <f t="shared" si="170"/>
        <v/>
      </c>
      <c r="W635" s="41">
        <f t="shared" si="167"/>
        <v>3.8208007182876433</v>
      </c>
      <c r="X635" s="6">
        <f t="shared" si="168"/>
        <v>7.6416014365752867</v>
      </c>
      <c r="Y635" s="7">
        <f t="shared" si="171"/>
        <v>552</v>
      </c>
      <c r="AA635" s="7">
        <f t="shared" si="172"/>
        <v>0</v>
      </c>
      <c r="AB635" s="7" t="str">
        <f t="shared" si="173"/>
        <v/>
      </c>
      <c r="AC635" s="7">
        <f t="shared" si="174"/>
        <v>1</v>
      </c>
      <c r="AD635" s="7">
        <f t="shared" si="175"/>
        <v>2</v>
      </c>
      <c r="AE635" s="6">
        <f t="shared" si="176"/>
        <v>0</v>
      </c>
      <c r="AF635" s="69">
        <f t="shared" si="177"/>
        <v>3.8208007182876433</v>
      </c>
      <c r="AG635" s="6">
        <f t="shared" si="178"/>
        <v>0</v>
      </c>
      <c r="AH635" s="6">
        <f t="shared" si="179"/>
        <v>604</v>
      </c>
    </row>
    <row r="636" spans="8:34" x14ac:dyDescent="0.25">
      <c r="H636" s="7">
        <v>643</v>
      </c>
      <c r="I636" s="7" t="s">
        <v>8</v>
      </c>
      <c r="J636" s="8">
        <v>37990</v>
      </c>
      <c r="K636" s="12" t="s">
        <v>19</v>
      </c>
      <c r="L636" s="9">
        <v>10</v>
      </c>
      <c r="M636" s="10">
        <v>31.842188072685396</v>
      </c>
      <c r="N636" s="7" t="s">
        <v>21</v>
      </c>
      <c r="P636" s="29">
        <f t="shared" si="162"/>
        <v>1</v>
      </c>
      <c r="Q636" s="29" t="str">
        <f t="shared" si="163"/>
        <v/>
      </c>
      <c r="R636" s="29" t="str">
        <f t="shared" si="164"/>
        <v/>
      </c>
      <c r="S636" s="29" t="str">
        <f t="shared" si="165"/>
        <v/>
      </c>
      <c r="T636" s="32" t="str">
        <f t="shared" si="166"/>
        <v/>
      </c>
      <c r="U636" s="32" t="str">
        <f t="shared" si="169"/>
        <v/>
      </c>
      <c r="V636" s="32" t="str">
        <f t="shared" si="170"/>
        <v/>
      </c>
      <c r="W636" s="41">
        <f t="shared" si="167"/>
        <v>3.1842188072685396</v>
      </c>
      <c r="X636" s="6">
        <f t="shared" si="168"/>
        <v>0</v>
      </c>
      <c r="Y636" s="7">
        <f t="shared" si="171"/>
        <v>567</v>
      </c>
      <c r="AA636" s="7">
        <f t="shared" si="172"/>
        <v>0</v>
      </c>
      <c r="AB636" s="7" t="str">
        <f t="shared" si="173"/>
        <v/>
      </c>
      <c r="AC636" s="7">
        <f t="shared" si="174"/>
        <v>0</v>
      </c>
      <c r="AD636" s="7" t="str">
        <f t="shared" si="175"/>
        <v/>
      </c>
      <c r="AE636" s="6">
        <f t="shared" si="176"/>
        <v>0</v>
      </c>
      <c r="AF636" s="69">
        <f t="shared" si="177"/>
        <v>3.1842188072685396</v>
      </c>
      <c r="AG636" s="6">
        <f t="shared" si="178"/>
        <v>31.842188072685396</v>
      </c>
      <c r="AH636" s="6">
        <f t="shared" si="179"/>
        <v>528</v>
      </c>
    </row>
    <row r="637" spans="8:34" x14ac:dyDescent="0.25">
      <c r="H637" s="7">
        <v>644</v>
      </c>
      <c r="I637" s="7" t="s">
        <v>15</v>
      </c>
      <c r="J637" s="8">
        <v>38474</v>
      </c>
      <c r="K637" s="12" t="s">
        <v>16</v>
      </c>
      <c r="L637" s="9">
        <v>51</v>
      </c>
      <c r="M637" s="10">
        <v>154.53175695635341</v>
      </c>
      <c r="N637" s="7" t="s">
        <v>21</v>
      </c>
      <c r="P637" s="29" t="str">
        <f t="shared" si="162"/>
        <v/>
      </c>
      <c r="Q637" s="29" t="str">
        <f t="shared" si="163"/>
        <v/>
      </c>
      <c r="R637" s="29" t="str">
        <f t="shared" si="164"/>
        <v/>
      </c>
      <c r="S637" s="29" t="str">
        <f t="shared" si="165"/>
        <v/>
      </c>
      <c r="T637" s="32" t="str">
        <f t="shared" si="166"/>
        <v/>
      </c>
      <c r="U637" s="32">
        <f t="shared" si="169"/>
        <v>1</v>
      </c>
      <c r="V637" s="32" t="str">
        <f t="shared" si="170"/>
        <v/>
      </c>
      <c r="W637" s="41">
        <f t="shared" si="167"/>
        <v>3.0300344501245764</v>
      </c>
      <c r="X637" s="6">
        <f t="shared" si="168"/>
        <v>154.53175695635341</v>
      </c>
      <c r="Y637" s="7">
        <f t="shared" si="171"/>
        <v>261</v>
      </c>
      <c r="AA637" s="7">
        <f t="shared" si="172"/>
        <v>0</v>
      </c>
      <c r="AB637" s="7" t="str">
        <f t="shared" si="173"/>
        <v/>
      </c>
      <c r="AC637" s="7">
        <f t="shared" si="174"/>
        <v>1</v>
      </c>
      <c r="AD637" s="7">
        <f t="shared" si="175"/>
        <v>51</v>
      </c>
      <c r="AE637" s="6">
        <f t="shared" si="176"/>
        <v>0</v>
      </c>
      <c r="AF637" s="69">
        <f t="shared" si="177"/>
        <v>3.0300344501245764</v>
      </c>
      <c r="AG637" s="6">
        <f t="shared" si="178"/>
        <v>0</v>
      </c>
      <c r="AH637" s="6">
        <f t="shared" si="179"/>
        <v>604</v>
      </c>
    </row>
    <row r="638" spans="8:34" x14ac:dyDescent="0.25">
      <c r="H638" s="7">
        <v>645</v>
      </c>
      <c r="I638" s="7" t="s">
        <v>15</v>
      </c>
      <c r="J638" s="8">
        <v>38078</v>
      </c>
      <c r="K638" s="12" t="s">
        <v>16</v>
      </c>
      <c r="L638" s="9">
        <v>5</v>
      </c>
      <c r="M638" s="10">
        <v>16.85379509706091</v>
      </c>
      <c r="N638" s="7" t="s">
        <v>21</v>
      </c>
      <c r="P638" s="29" t="str">
        <f t="shared" si="162"/>
        <v/>
      </c>
      <c r="Q638" s="29">
        <f t="shared" si="163"/>
        <v>1</v>
      </c>
      <c r="R638" s="29" t="str">
        <f t="shared" si="164"/>
        <v/>
      </c>
      <c r="S638" s="29" t="str">
        <f t="shared" si="165"/>
        <v/>
      </c>
      <c r="T638" s="32" t="str">
        <f t="shared" si="166"/>
        <v/>
      </c>
      <c r="U638" s="32" t="str">
        <f t="shared" si="169"/>
        <v/>
      </c>
      <c r="V638" s="32" t="str">
        <f t="shared" si="170"/>
        <v/>
      </c>
      <c r="W638" s="41">
        <f t="shared" si="167"/>
        <v>3.3707590194121821</v>
      </c>
      <c r="X638" s="6">
        <f t="shared" si="168"/>
        <v>0</v>
      </c>
      <c r="Y638" s="7">
        <f t="shared" si="171"/>
        <v>567</v>
      </c>
      <c r="AA638" s="7">
        <f t="shared" si="172"/>
        <v>0</v>
      </c>
      <c r="AB638" s="7" t="str">
        <f t="shared" si="173"/>
        <v/>
      </c>
      <c r="AC638" s="7">
        <f t="shared" si="174"/>
        <v>0</v>
      </c>
      <c r="AD638" s="7" t="str">
        <f t="shared" si="175"/>
        <v/>
      </c>
      <c r="AE638" s="6">
        <f t="shared" si="176"/>
        <v>0</v>
      </c>
      <c r="AF638" s="69">
        <f t="shared" si="177"/>
        <v>3.3707590194121821</v>
      </c>
      <c r="AG638" s="6">
        <f t="shared" si="178"/>
        <v>16.85379509706091</v>
      </c>
      <c r="AH638" s="6">
        <f t="shared" si="179"/>
        <v>573</v>
      </c>
    </row>
    <row r="639" spans="8:34" x14ac:dyDescent="0.25">
      <c r="H639" s="7">
        <v>646</v>
      </c>
      <c r="I639" s="7" t="s">
        <v>13</v>
      </c>
      <c r="J639" s="8">
        <v>38870</v>
      </c>
      <c r="K639" s="12" t="s">
        <v>16</v>
      </c>
      <c r="L639" s="9">
        <v>39</v>
      </c>
      <c r="M639" s="10">
        <v>119.48835042374725</v>
      </c>
      <c r="N639" s="7" t="s">
        <v>21</v>
      </c>
      <c r="P639" s="29" t="str">
        <f t="shared" si="162"/>
        <v/>
      </c>
      <c r="Q639" s="29" t="str">
        <f t="shared" si="163"/>
        <v/>
      </c>
      <c r="R639" s="29" t="str">
        <f t="shared" si="164"/>
        <v/>
      </c>
      <c r="S639" s="29" t="str">
        <f t="shared" si="165"/>
        <v/>
      </c>
      <c r="T639" s="32" t="str">
        <f t="shared" si="166"/>
        <v/>
      </c>
      <c r="U639" s="32" t="str">
        <f t="shared" si="169"/>
        <v/>
      </c>
      <c r="V639" s="32">
        <f t="shared" si="170"/>
        <v>1</v>
      </c>
      <c r="W639" s="41">
        <f t="shared" si="167"/>
        <v>3.0638038570191601</v>
      </c>
      <c r="X639" s="6">
        <f t="shared" si="168"/>
        <v>0</v>
      </c>
      <c r="Y639" s="7">
        <f t="shared" si="171"/>
        <v>567</v>
      </c>
      <c r="AA639" s="7">
        <f t="shared" si="172"/>
        <v>0</v>
      </c>
      <c r="AB639" s="7" t="str">
        <f t="shared" si="173"/>
        <v/>
      </c>
      <c r="AC639" s="7">
        <f t="shared" si="174"/>
        <v>0</v>
      </c>
      <c r="AD639" s="7" t="str">
        <f t="shared" si="175"/>
        <v/>
      </c>
      <c r="AE639" s="6">
        <f t="shared" si="176"/>
        <v>0</v>
      </c>
      <c r="AF639" s="69">
        <f t="shared" si="177"/>
        <v>3.0638038570191601</v>
      </c>
      <c r="AG639" s="6">
        <f t="shared" si="178"/>
        <v>0</v>
      </c>
      <c r="AH639" s="6">
        <f t="shared" si="179"/>
        <v>604</v>
      </c>
    </row>
    <row r="640" spans="8:34" x14ac:dyDescent="0.25">
      <c r="H640" s="7">
        <v>647</v>
      </c>
      <c r="I640" s="7" t="s">
        <v>9</v>
      </c>
      <c r="J640" s="8">
        <v>38067</v>
      </c>
      <c r="K640" s="12" t="s">
        <v>16</v>
      </c>
      <c r="L640" s="9">
        <v>20</v>
      </c>
      <c r="M640" s="10">
        <v>61.926239627210521</v>
      </c>
      <c r="N640" s="7" t="s">
        <v>23</v>
      </c>
      <c r="P640" s="29">
        <f t="shared" si="162"/>
        <v>1</v>
      </c>
      <c r="Q640" s="29" t="str">
        <f t="shared" si="163"/>
        <v/>
      </c>
      <c r="R640" s="29" t="str">
        <f t="shared" si="164"/>
        <v/>
      </c>
      <c r="S640" s="29" t="str">
        <f t="shared" si="165"/>
        <v/>
      </c>
      <c r="T640" s="32" t="str">
        <f t="shared" si="166"/>
        <v/>
      </c>
      <c r="U640" s="32" t="str">
        <f t="shared" si="169"/>
        <v/>
      </c>
      <c r="V640" s="32" t="str">
        <f t="shared" si="170"/>
        <v/>
      </c>
      <c r="W640" s="41">
        <f t="shared" si="167"/>
        <v>3.0963119813605262</v>
      </c>
      <c r="X640" s="6">
        <f t="shared" si="168"/>
        <v>0</v>
      </c>
      <c r="Y640" s="7">
        <f t="shared" si="171"/>
        <v>567</v>
      </c>
      <c r="AA640" s="7">
        <f t="shared" si="172"/>
        <v>0</v>
      </c>
      <c r="AB640" s="7" t="str">
        <f t="shared" si="173"/>
        <v/>
      </c>
      <c r="AC640" s="7">
        <f t="shared" si="174"/>
        <v>0</v>
      </c>
      <c r="AD640" s="7" t="str">
        <f t="shared" si="175"/>
        <v/>
      </c>
      <c r="AE640" s="6">
        <f t="shared" si="176"/>
        <v>0</v>
      </c>
      <c r="AF640" s="69">
        <f t="shared" si="177"/>
        <v>3.0963119813605262</v>
      </c>
      <c r="AG640" s="6">
        <f t="shared" si="178"/>
        <v>61.926239627210521</v>
      </c>
      <c r="AH640" s="6">
        <f t="shared" si="179"/>
        <v>460</v>
      </c>
    </row>
    <row r="641" spans="8:34" x14ac:dyDescent="0.25">
      <c r="H641" s="7">
        <v>648</v>
      </c>
      <c r="I641" s="7" t="s">
        <v>13</v>
      </c>
      <c r="J641" s="8">
        <v>38320</v>
      </c>
      <c r="K641" s="12" t="s">
        <v>18</v>
      </c>
      <c r="L641" s="9">
        <v>29</v>
      </c>
      <c r="M641" s="10">
        <v>88.79031532479398</v>
      </c>
      <c r="N641" s="7" t="s">
        <v>21</v>
      </c>
      <c r="P641" s="29" t="str">
        <f t="shared" si="162"/>
        <v/>
      </c>
      <c r="Q641" s="29" t="str">
        <f t="shared" si="163"/>
        <v/>
      </c>
      <c r="R641" s="29" t="str">
        <f t="shared" si="164"/>
        <v/>
      </c>
      <c r="S641" s="29">
        <f t="shared" si="165"/>
        <v>1</v>
      </c>
      <c r="T641" s="32" t="str">
        <f t="shared" si="166"/>
        <v/>
      </c>
      <c r="U641" s="32" t="str">
        <f t="shared" si="169"/>
        <v/>
      </c>
      <c r="V641" s="32" t="str">
        <f t="shared" si="170"/>
        <v/>
      </c>
      <c r="W641" s="41">
        <f t="shared" si="167"/>
        <v>3.0617350111997923</v>
      </c>
      <c r="X641" s="6">
        <f t="shared" si="168"/>
        <v>0</v>
      </c>
      <c r="Y641" s="7">
        <f t="shared" si="171"/>
        <v>567</v>
      </c>
      <c r="AA641" s="7">
        <f t="shared" si="172"/>
        <v>0</v>
      </c>
      <c r="AB641" s="7" t="str">
        <f t="shared" si="173"/>
        <v/>
      </c>
      <c r="AC641" s="7">
        <f t="shared" si="174"/>
        <v>0</v>
      </c>
      <c r="AD641" s="7" t="str">
        <f t="shared" si="175"/>
        <v/>
      </c>
      <c r="AE641" s="6">
        <f t="shared" si="176"/>
        <v>0</v>
      </c>
      <c r="AF641" s="69">
        <f t="shared" si="177"/>
        <v>3.0617350111997923</v>
      </c>
      <c r="AG641" s="6">
        <f t="shared" si="178"/>
        <v>88.79031532479398</v>
      </c>
      <c r="AH641" s="6">
        <f t="shared" si="179"/>
        <v>405</v>
      </c>
    </row>
    <row r="642" spans="8:34" x14ac:dyDescent="0.25">
      <c r="H642" s="7">
        <v>649</v>
      </c>
      <c r="I642" s="7" t="s">
        <v>10</v>
      </c>
      <c r="J642" s="8">
        <v>38749</v>
      </c>
      <c r="K642" s="12" t="s">
        <v>18</v>
      </c>
      <c r="L642" s="9">
        <v>43</v>
      </c>
      <c r="M642" s="10">
        <v>130.59550390758056</v>
      </c>
      <c r="N642" s="7" t="s">
        <v>22</v>
      </c>
      <c r="P642" s="29" t="str">
        <f t="shared" si="162"/>
        <v/>
      </c>
      <c r="Q642" s="29" t="str">
        <f t="shared" si="163"/>
        <v/>
      </c>
      <c r="R642" s="29" t="str">
        <f t="shared" si="164"/>
        <v/>
      </c>
      <c r="S642" s="29" t="str">
        <f t="shared" si="165"/>
        <v/>
      </c>
      <c r="T642" s="32" t="str">
        <f t="shared" si="166"/>
        <v/>
      </c>
      <c r="U642" s="32" t="str">
        <f t="shared" si="169"/>
        <v/>
      </c>
      <c r="V642" s="32">
        <f t="shared" si="170"/>
        <v>1</v>
      </c>
      <c r="W642" s="41">
        <f t="shared" si="167"/>
        <v>3.0371047420367572</v>
      </c>
      <c r="X642" s="6">
        <f t="shared" si="168"/>
        <v>0</v>
      </c>
      <c r="Y642" s="7">
        <f t="shared" si="171"/>
        <v>567</v>
      </c>
      <c r="AA642" s="7">
        <f t="shared" si="172"/>
        <v>0</v>
      </c>
      <c r="AB642" s="7" t="str">
        <f t="shared" si="173"/>
        <v/>
      </c>
      <c r="AC642" s="7">
        <f t="shared" si="174"/>
        <v>0</v>
      </c>
      <c r="AD642" s="7" t="str">
        <f t="shared" si="175"/>
        <v/>
      </c>
      <c r="AE642" s="6">
        <f t="shared" si="176"/>
        <v>0</v>
      </c>
      <c r="AF642" s="69">
        <f t="shared" si="177"/>
        <v>3.0371047420367572</v>
      </c>
      <c r="AG642" s="6">
        <f t="shared" si="178"/>
        <v>0</v>
      </c>
      <c r="AH642" s="6">
        <f t="shared" si="179"/>
        <v>604</v>
      </c>
    </row>
    <row r="643" spans="8:34" x14ac:dyDescent="0.25">
      <c r="H643" s="7">
        <v>650</v>
      </c>
      <c r="I643" s="7" t="s">
        <v>9</v>
      </c>
      <c r="J643" s="8">
        <v>38232</v>
      </c>
      <c r="K643" s="12" t="s">
        <v>20</v>
      </c>
      <c r="L643" s="9">
        <v>40</v>
      </c>
      <c r="M643" s="10">
        <v>122.34177646477217</v>
      </c>
      <c r="N643" s="7" t="s">
        <v>22</v>
      </c>
      <c r="P643" s="29" t="str">
        <f t="shared" ref="P643:P706" si="180">IF(AND((MONTH(J643))&lt;4,YEAR(J643)=2004),1,"")</f>
        <v/>
      </c>
      <c r="Q643" s="29" t="str">
        <f t="shared" ref="Q643:Q706" si="181">IF(AND(3&lt;(MONTH(J643)),(MONTH(J643)&lt;7),YEAR(J643)=2004),1,"")</f>
        <v/>
      </c>
      <c r="R643" s="29">
        <f t="shared" ref="R643:R706" si="182">IF(AND(6&lt;(MONTH(J643)),(MONTH(J643)&lt;10),YEAR(J643)=2004),1,"")</f>
        <v>1</v>
      </c>
      <c r="S643" s="29" t="str">
        <f t="shared" ref="S643:S706" si="183">IF(AND(9&lt;(MONTH(J643)),(MONTH(J643)&lt;13),YEAR(J643)=2004),1,"")</f>
        <v/>
      </c>
      <c r="T643" s="32" t="str">
        <f t="shared" ref="T643:T706" si="184">IF(AND((9&lt;MONTH(J643)),YEAR(J643)=2005),1,"")</f>
        <v/>
      </c>
      <c r="U643" s="32" t="str">
        <f t="shared" si="169"/>
        <v/>
      </c>
      <c r="V643" s="32" t="str">
        <f t="shared" si="170"/>
        <v/>
      </c>
      <c r="W643" s="41">
        <f t="shared" ref="W643:W706" si="185">IF(L643&gt;0,M643/L643,"")</f>
        <v>3.0585444116193043</v>
      </c>
      <c r="X643" s="6">
        <f t="shared" ref="X643:X706" si="186">IF(U643=1,M643,0)</f>
        <v>0</v>
      </c>
      <c r="Y643" s="7">
        <f t="shared" si="171"/>
        <v>567</v>
      </c>
      <c r="AA643" s="7">
        <f t="shared" si="172"/>
        <v>0</v>
      </c>
      <c r="AB643" s="7" t="str">
        <f t="shared" si="173"/>
        <v/>
      </c>
      <c r="AC643" s="7">
        <f t="shared" si="174"/>
        <v>0</v>
      </c>
      <c r="AD643" s="7" t="str">
        <f t="shared" si="175"/>
        <v/>
      </c>
      <c r="AE643" s="6">
        <f t="shared" si="176"/>
        <v>0</v>
      </c>
      <c r="AF643" s="69">
        <f t="shared" si="177"/>
        <v>3.0585444116193043</v>
      </c>
      <c r="AG643" s="6">
        <f t="shared" si="178"/>
        <v>122.34177646477217</v>
      </c>
      <c r="AH643" s="6">
        <f t="shared" si="179"/>
        <v>327</v>
      </c>
    </row>
    <row r="644" spans="8:34" x14ac:dyDescent="0.25">
      <c r="H644" s="7">
        <v>651</v>
      </c>
      <c r="I644" s="7" t="s">
        <v>13</v>
      </c>
      <c r="J644" s="8">
        <v>38760</v>
      </c>
      <c r="K644" s="12" t="s">
        <v>18</v>
      </c>
      <c r="L644" s="9">
        <v>36</v>
      </c>
      <c r="M644" s="10">
        <v>109.40924257339921</v>
      </c>
      <c r="N644" s="7" t="s">
        <v>21</v>
      </c>
      <c r="P644" s="29" t="str">
        <f t="shared" si="180"/>
        <v/>
      </c>
      <c r="Q644" s="29" t="str">
        <f t="shared" si="181"/>
        <v/>
      </c>
      <c r="R644" s="29" t="str">
        <f t="shared" si="182"/>
        <v/>
      </c>
      <c r="S644" s="29" t="str">
        <f t="shared" si="183"/>
        <v/>
      </c>
      <c r="T644" s="32" t="str">
        <f t="shared" si="184"/>
        <v/>
      </c>
      <c r="U644" s="32" t="str">
        <f t="shared" ref="U644:U707" si="187">IF(YEAR(J644)=2005,1,"")</f>
        <v/>
      </c>
      <c r="V644" s="32">
        <f t="shared" ref="V644:V707" si="188">IF(YEAR(J644)=2006,1,"")</f>
        <v>1</v>
      </c>
      <c r="W644" s="41">
        <f t="shared" si="185"/>
        <v>3.039145627038867</v>
      </c>
      <c r="X644" s="6">
        <f t="shared" si="186"/>
        <v>0</v>
      </c>
      <c r="Y644" s="7">
        <f t="shared" ref="Y644:Y707" si="189">RANK(X644,$X$3:$X$1893)</f>
        <v>567</v>
      </c>
      <c r="AA644" s="7">
        <f t="shared" ref="AA644:AA707" si="190">IF(AND(OR((MONTH(J644))=1,(MONTH(J644))=2,(MONTH(J644))=3,(MONTH(J644))=7,(MONTH(J644))=8,(MONTH(J644))=9),YEAR(J644)=2005),1,0)</f>
        <v>0</v>
      </c>
      <c r="AB644" s="7" t="str">
        <f t="shared" ref="AB644:AB707" si="191">IF(AA644=1,L644,"")</f>
        <v/>
      </c>
      <c r="AC644" s="7">
        <f t="shared" ref="AC644:AC707" si="192">IF(AND(OR((MONTH(J644))=4,(MONTH(J644))=5,(MONTH(J644))=6,(MONTH(J644))=10,(MONTH(J644))=11,(MONTH(J644))=12),YEAR(J644)=2005),1,0)</f>
        <v>0</v>
      </c>
      <c r="AD644" s="7" t="str">
        <f t="shared" ref="AD644:AD707" si="193">IF(AC644=1,L644,"")</f>
        <v/>
      </c>
      <c r="AE644" s="6">
        <f t="shared" ref="AE644:AE707" si="194">IF(L644&lt;0,L644,0)</f>
        <v>0</v>
      </c>
      <c r="AF644" s="69">
        <f t="shared" ref="AF644:AF707" si="195">IF(L644&gt;0,W644,"")</f>
        <v>3.039145627038867</v>
      </c>
      <c r="AG644" s="6">
        <f t="shared" ref="AG644:AG707" si="196">IF(AND((M644&gt;0),(YEAR(J644)=2004)),M644,0)</f>
        <v>0</v>
      </c>
      <c r="AH644" s="6">
        <f t="shared" ref="AH644:AH707" si="197">RANK(AG644,$AG$3:$AG$1893)</f>
        <v>604</v>
      </c>
    </row>
    <row r="645" spans="8:34" x14ac:dyDescent="0.25">
      <c r="H645" s="7">
        <v>652</v>
      </c>
      <c r="I645" s="7" t="s">
        <v>13</v>
      </c>
      <c r="J645" s="8">
        <v>38375</v>
      </c>
      <c r="K645" s="12" t="s">
        <v>16</v>
      </c>
      <c r="L645" s="9">
        <v>88</v>
      </c>
      <c r="M645" s="10">
        <v>265.7031232579136</v>
      </c>
      <c r="N645" s="7" t="s">
        <v>21</v>
      </c>
      <c r="P645" s="29" t="str">
        <f t="shared" si="180"/>
        <v/>
      </c>
      <c r="Q645" s="29" t="str">
        <f t="shared" si="181"/>
        <v/>
      </c>
      <c r="R645" s="29" t="str">
        <f t="shared" si="182"/>
        <v/>
      </c>
      <c r="S645" s="29" t="str">
        <f t="shared" si="183"/>
        <v/>
      </c>
      <c r="T645" s="32" t="str">
        <f t="shared" si="184"/>
        <v/>
      </c>
      <c r="U645" s="32">
        <f t="shared" si="187"/>
        <v>1</v>
      </c>
      <c r="V645" s="32" t="str">
        <f t="shared" si="188"/>
        <v/>
      </c>
      <c r="W645" s="41">
        <f t="shared" si="185"/>
        <v>3.0193536733853819</v>
      </c>
      <c r="X645" s="6">
        <f t="shared" si="186"/>
        <v>265.7031232579136</v>
      </c>
      <c r="Y645" s="7">
        <f t="shared" si="189"/>
        <v>56</v>
      </c>
      <c r="AA645" s="7">
        <f t="shared" si="190"/>
        <v>1</v>
      </c>
      <c r="AB645" s="7">
        <f t="shared" si="191"/>
        <v>88</v>
      </c>
      <c r="AC645" s="7">
        <f t="shared" si="192"/>
        <v>0</v>
      </c>
      <c r="AD645" s="7" t="str">
        <f t="shared" si="193"/>
        <v/>
      </c>
      <c r="AE645" s="6">
        <f t="shared" si="194"/>
        <v>0</v>
      </c>
      <c r="AF645" s="69">
        <f t="shared" si="195"/>
        <v>3.0193536733853819</v>
      </c>
      <c r="AG645" s="6">
        <f t="shared" si="196"/>
        <v>0</v>
      </c>
      <c r="AH645" s="6">
        <f t="shared" si="197"/>
        <v>604</v>
      </c>
    </row>
    <row r="646" spans="8:34" x14ac:dyDescent="0.25">
      <c r="H646" s="7">
        <v>653</v>
      </c>
      <c r="I646" s="7" t="s">
        <v>7</v>
      </c>
      <c r="J646" s="8">
        <v>38386</v>
      </c>
      <c r="K646" s="12" t="s">
        <v>20</v>
      </c>
      <c r="L646" s="9">
        <v>55</v>
      </c>
      <c r="M646" s="10">
        <v>166.43173248267502</v>
      </c>
      <c r="N646" s="7" t="s">
        <v>21</v>
      </c>
      <c r="P646" s="29" t="str">
        <f t="shared" si="180"/>
        <v/>
      </c>
      <c r="Q646" s="29" t="str">
        <f t="shared" si="181"/>
        <v/>
      </c>
      <c r="R646" s="29" t="str">
        <f t="shared" si="182"/>
        <v/>
      </c>
      <c r="S646" s="29" t="str">
        <f t="shared" si="183"/>
        <v/>
      </c>
      <c r="T646" s="32" t="str">
        <f t="shared" si="184"/>
        <v/>
      </c>
      <c r="U646" s="32">
        <f t="shared" si="187"/>
        <v>1</v>
      </c>
      <c r="V646" s="32" t="str">
        <f t="shared" si="188"/>
        <v/>
      </c>
      <c r="W646" s="41">
        <f t="shared" si="185"/>
        <v>3.0260314996850002</v>
      </c>
      <c r="X646" s="6">
        <f t="shared" si="186"/>
        <v>166.43173248267502</v>
      </c>
      <c r="Y646" s="7">
        <f t="shared" si="189"/>
        <v>234</v>
      </c>
      <c r="AA646" s="7">
        <f t="shared" si="190"/>
        <v>1</v>
      </c>
      <c r="AB646" s="7">
        <f t="shared" si="191"/>
        <v>55</v>
      </c>
      <c r="AC646" s="7">
        <f t="shared" si="192"/>
        <v>0</v>
      </c>
      <c r="AD646" s="7" t="str">
        <f t="shared" si="193"/>
        <v/>
      </c>
      <c r="AE646" s="6">
        <f t="shared" si="194"/>
        <v>0</v>
      </c>
      <c r="AF646" s="69">
        <f t="shared" si="195"/>
        <v>3.0260314996850002</v>
      </c>
      <c r="AG646" s="6">
        <f t="shared" si="196"/>
        <v>0</v>
      </c>
      <c r="AH646" s="6">
        <f t="shared" si="197"/>
        <v>604</v>
      </c>
    </row>
    <row r="647" spans="8:34" x14ac:dyDescent="0.25">
      <c r="H647" s="7">
        <v>654</v>
      </c>
      <c r="I647" s="7" t="s">
        <v>14</v>
      </c>
      <c r="J647" s="8">
        <v>38342</v>
      </c>
      <c r="K647" s="12" t="s">
        <v>16</v>
      </c>
      <c r="L647" s="9">
        <v>65</v>
      </c>
      <c r="M647" s="10">
        <v>196.86478787466569</v>
      </c>
      <c r="N647" s="7" t="s">
        <v>23</v>
      </c>
      <c r="P647" s="29" t="str">
        <f t="shared" si="180"/>
        <v/>
      </c>
      <c r="Q647" s="29" t="str">
        <f t="shared" si="181"/>
        <v/>
      </c>
      <c r="R647" s="29" t="str">
        <f t="shared" si="182"/>
        <v/>
      </c>
      <c r="S647" s="29">
        <f t="shared" si="183"/>
        <v>1</v>
      </c>
      <c r="T647" s="32" t="str">
        <f t="shared" si="184"/>
        <v/>
      </c>
      <c r="U647" s="32" t="str">
        <f t="shared" si="187"/>
        <v/>
      </c>
      <c r="V647" s="32" t="str">
        <f t="shared" si="188"/>
        <v/>
      </c>
      <c r="W647" s="41">
        <f t="shared" si="185"/>
        <v>3.0286890442256262</v>
      </c>
      <c r="X647" s="6">
        <f t="shared" si="186"/>
        <v>0</v>
      </c>
      <c r="Y647" s="7">
        <f t="shared" si="189"/>
        <v>567</v>
      </c>
      <c r="AA647" s="7">
        <f t="shared" si="190"/>
        <v>0</v>
      </c>
      <c r="AB647" s="7" t="str">
        <f t="shared" si="191"/>
        <v/>
      </c>
      <c r="AC647" s="7">
        <f t="shared" si="192"/>
        <v>0</v>
      </c>
      <c r="AD647" s="7" t="str">
        <f t="shared" si="193"/>
        <v/>
      </c>
      <c r="AE647" s="6">
        <f t="shared" si="194"/>
        <v>0</v>
      </c>
      <c r="AF647" s="69">
        <f t="shared" si="195"/>
        <v>3.0286890442256262</v>
      </c>
      <c r="AG647" s="6">
        <f t="shared" si="196"/>
        <v>196.86478787466569</v>
      </c>
      <c r="AH647" s="6">
        <f t="shared" si="197"/>
        <v>181</v>
      </c>
    </row>
    <row r="648" spans="8:34" x14ac:dyDescent="0.25">
      <c r="H648" s="7">
        <v>655</v>
      </c>
      <c r="I648" s="7" t="s">
        <v>14</v>
      </c>
      <c r="J648" s="8">
        <v>38540</v>
      </c>
      <c r="K648" s="12" t="s">
        <v>17</v>
      </c>
      <c r="L648" s="9">
        <v>6</v>
      </c>
      <c r="M648" s="10">
        <v>19.488992935915519</v>
      </c>
      <c r="N648" s="7" t="s">
        <v>23</v>
      </c>
      <c r="P648" s="29" t="str">
        <f t="shared" si="180"/>
        <v/>
      </c>
      <c r="Q648" s="29" t="str">
        <f t="shared" si="181"/>
        <v/>
      </c>
      <c r="R648" s="29" t="str">
        <f t="shared" si="182"/>
        <v/>
      </c>
      <c r="S648" s="29" t="str">
        <f t="shared" si="183"/>
        <v/>
      </c>
      <c r="T648" s="32" t="str">
        <f t="shared" si="184"/>
        <v/>
      </c>
      <c r="U648" s="32">
        <f t="shared" si="187"/>
        <v>1</v>
      </c>
      <c r="V648" s="32" t="str">
        <f t="shared" si="188"/>
        <v/>
      </c>
      <c r="W648" s="41">
        <f t="shared" si="185"/>
        <v>3.2481654893192533</v>
      </c>
      <c r="X648" s="6">
        <f t="shared" si="186"/>
        <v>19.488992935915519</v>
      </c>
      <c r="Y648" s="7">
        <f t="shared" si="189"/>
        <v>526</v>
      </c>
      <c r="AA648" s="7">
        <f t="shared" si="190"/>
        <v>1</v>
      </c>
      <c r="AB648" s="7">
        <f t="shared" si="191"/>
        <v>6</v>
      </c>
      <c r="AC648" s="7">
        <f t="shared" si="192"/>
        <v>0</v>
      </c>
      <c r="AD648" s="7" t="str">
        <f t="shared" si="193"/>
        <v/>
      </c>
      <c r="AE648" s="6">
        <f t="shared" si="194"/>
        <v>0</v>
      </c>
      <c r="AF648" s="69">
        <f t="shared" si="195"/>
        <v>3.2481654893192533</v>
      </c>
      <c r="AG648" s="6">
        <f t="shared" si="196"/>
        <v>0</v>
      </c>
      <c r="AH648" s="6">
        <f t="shared" si="197"/>
        <v>604</v>
      </c>
    </row>
    <row r="649" spans="8:34" x14ac:dyDescent="0.25">
      <c r="H649" s="7">
        <v>656</v>
      </c>
      <c r="I649" s="7" t="s">
        <v>15</v>
      </c>
      <c r="J649" s="8">
        <v>38859</v>
      </c>
      <c r="K649" s="12" t="s">
        <v>18</v>
      </c>
      <c r="L649" s="9">
        <v>-1</v>
      </c>
      <c r="M649" s="10">
        <v>-1.2299707953687746</v>
      </c>
      <c r="N649" s="7" t="s">
        <v>22</v>
      </c>
      <c r="P649" s="29" t="str">
        <f t="shared" si="180"/>
        <v/>
      </c>
      <c r="Q649" s="29" t="str">
        <f t="shared" si="181"/>
        <v/>
      </c>
      <c r="R649" s="29" t="str">
        <f t="shared" si="182"/>
        <v/>
      </c>
      <c r="S649" s="29" t="str">
        <f t="shared" si="183"/>
        <v/>
      </c>
      <c r="T649" s="32" t="str">
        <f t="shared" si="184"/>
        <v/>
      </c>
      <c r="U649" s="32" t="str">
        <f t="shared" si="187"/>
        <v/>
      </c>
      <c r="V649" s="32">
        <f t="shared" si="188"/>
        <v>1</v>
      </c>
      <c r="W649" s="41" t="str">
        <f t="shared" si="185"/>
        <v/>
      </c>
      <c r="X649" s="6">
        <f t="shared" si="186"/>
        <v>0</v>
      </c>
      <c r="Y649" s="7">
        <f t="shared" si="189"/>
        <v>567</v>
      </c>
      <c r="AA649" s="7">
        <f t="shared" si="190"/>
        <v>0</v>
      </c>
      <c r="AB649" s="7" t="str">
        <f t="shared" si="191"/>
        <v/>
      </c>
      <c r="AC649" s="7">
        <f t="shared" si="192"/>
        <v>0</v>
      </c>
      <c r="AD649" s="7" t="str">
        <f t="shared" si="193"/>
        <v/>
      </c>
      <c r="AE649" s="6">
        <f t="shared" si="194"/>
        <v>-1</v>
      </c>
      <c r="AF649" s="69" t="str">
        <f t="shared" si="195"/>
        <v/>
      </c>
      <c r="AG649" s="6">
        <f t="shared" si="196"/>
        <v>0</v>
      </c>
      <c r="AH649" s="6">
        <f t="shared" si="197"/>
        <v>604</v>
      </c>
    </row>
    <row r="650" spans="8:34" x14ac:dyDescent="0.25">
      <c r="H650" s="7">
        <v>657</v>
      </c>
      <c r="I650" s="7" t="s">
        <v>14</v>
      </c>
      <c r="J650" s="8">
        <v>38980</v>
      </c>
      <c r="K650" s="12" t="s">
        <v>18</v>
      </c>
      <c r="L650" s="9">
        <v>32</v>
      </c>
      <c r="M650" s="10">
        <v>97.808768000127685</v>
      </c>
      <c r="N650" s="7" t="s">
        <v>21</v>
      </c>
      <c r="P650" s="29" t="str">
        <f t="shared" si="180"/>
        <v/>
      </c>
      <c r="Q650" s="29" t="str">
        <f t="shared" si="181"/>
        <v/>
      </c>
      <c r="R650" s="29" t="str">
        <f t="shared" si="182"/>
        <v/>
      </c>
      <c r="S650" s="29" t="str">
        <f t="shared" si="183"/>
        <v/>
      </c>
      <c r="T650" s="32" t="str">
        <f t="shared" si="184"/>
        <v/>
      </c>
      <c r="U650" s="32" t="str">
        <f t="shared" si="187"/>
        <v/>
      </c>
      <c r="V650" s="32">
        <f t="shared" si="188"/>
        <v>1</v>
      </c>
      <c r="W650" s="41">
        <f t="shared" si="185"/>
        <v>3.0565240000039902</v>
      </c>
      <c r="X650" s="6">
        <f t="shared" si="186"/>
        <v>0</v>
      </c>
      <c r="Y650" s="7">
        <f t="shared" si="189"/>
        <v>567</v>
      </c>
      <c r="AA650" s="7">
        <f t="shared" si="190"/>
        <v>0</v>
      </c>
      <c r="AB650" s="7" t="str">
        <f t="shared" si="191"/>
        <v/>
      </c>
      <c r="AC650" s="7">
        <f t="shared" si="192"/>
        <v>0</v>
      </c>
      <c r="AD650" s="7" t="str">
        <f t="shared" si="193"/>
        <v/>
      </c>
      <c r="AE650" s="6">
        <f t="shared" si="194"/>
        <v>0</v>
      </c>
      <c r="AF650" s="69">
        <f t="shared" si="195"/>
        <v>3.0565240000039902</v>
      </c>
      <c r="AG650" s="6">
        <f t="shared" si="196"/>
        <v>0</v>
      </c>
      <c r="AH650" s="6">
        <f t="shared" si="197"/>
        <v>604</v>
      </c>
    </row>
    <row r="651" spans="8:34" x14ac:dyDescent="0.25">
      <c r="H651" s="7">
        <v>658</v>
      </c>
      <c r="I651" s="7" t="s">
        <v>8</v>
      </c>
      <c r="J651" s="8">
        <v>38738</v>
      </c>
      <c r="K651" s="12" t="s">
        <v>20</v>
      </c>
      <c r="L651" s="9">
        <v>17</v>
      </c>
      <c r="M651" s="10">
        <v>53.061016492331653</v>
      </c>
      <c r="N651" s="7" t="s">
        <v>21</v>
      </c>
      <c r="P651" s="29" t="str">
        <f t="shared" si="180"/>
        <v/>
      </c>
      <c r="Q651" s="29" t="str">
        <f t="shared" si="181"/>
        <v/>
      </c>
      <c r="R651" s="29" t="str">
        <f t="shared" si="182"/>
        <v/>
      </c>
      <c r="S651" s="29" t="str">
        <f t="shared" si="183"/>
        <v/>
      </c>
      <c r="T651" s="32" t="str">
        <f t="shared" si="184"/>
        <v/>
      </c>
      <c r="U651" s="32" t="str">
        <f t="shared" si="187"/>
        <v/>
      </c>
      <c r="V651" s="32">
        <f t="shared" si="188"/>
        <v>1</v>
      </c>
      <c r="W651" s="41">
        <f t="shared" si="185"/>
        <v>3.1212362642548031</v>
      </c>
      <c r="X651" s="6">
        <f t="shared" si="186"/>
        <v>0</v>
      </c>
      <c r="Y651" s="7">
        <f t="shared" si="189"/>
        <v>567</v>
      </c>
      <c r="AA651" s="7">
        <f t="shared" si="190"/>
        <v>0</v>
      </c>
      <c r="AB651" s="7" t="str">
        <f t="shared" si="191"/>
        <v/>
      </c>
      <c r="AC651" s="7">
        <f t="shared" si="192"/>
        <v>0</v>
      </c>
      <c r="AD651" s="7" t="str">
        <f t="shared" si="193"/>
        <v/>
      </c>
      <c r="AE651" s="6">
        <f t="shared" si="194"/>
        <v>0</v>
      </c>
      <c r="AF651" s="69">
        <f t="shared" si="195"/>
        <v>3.1212362642548031</v>
      </c>
      <c r="AG651" s="6">
        <f t="shared" si="196"/>
        <v>0</v>
      </c>
      <c r="AH651" s="6">
        <f t="shared" si="197"/>
        <v>604</v>
      </c>
    </row>
    <row r="652" spans="8:34" x14ac:dyDescent="0.25">
      <c r="H652" s="7">
        <v>659</v>
      </c>
      <c r="I652" s="7" t="s">
        <v>10</v>
      </c>
      <c r="J652" s="8">
        <v>38177</v>
      </c>
      <c r="K652" s="12" t="s">
        <v>16</v>
      </c>
      <c r="L652" s="9">
        <v>25</v>
      </c>
      <c r="M652" s="10">
        <v>76.378602488098551</v>
      </c>
      <c r="N652" s="7" t="s">
        <v>24</v>
      </c>
      <c r="P652" s="29" t="str">
        <f t="shared" si="180"/>
        <v/>
      </c>
      <c r="Q652" s="29" t="str">
        <f t="shared" si="181"/>
        <v/>
      </c>
      <c r="R652" s="29">
        <f t="shared" si="182"/>
        <v>1</v>
      </c>
      <c r="S652" s="29" t="str">
        <f t="shared" si="183"/>
        <v/>
      </c>
      <c r="T652" s="32" t="str">
        <f t="shared" si="184"/>
        <v/>
      </c>
      <c r="U652" s="32" t="str">
        <f t="shared" si="187"/>
        <v/>
      </c>
      <c r="V652" s="32" t="str">
        <f t="shared" si="188"/>
        <v/>
      </c>
      <c r="W652" s="41">
        <f t="shared" si="185"/>
        <v>3.0551440995239418</v>
      </c>
      <c r="X652" s="6">
        <f t="shared" si="186"/>
        <v>0</v>
      </c>
      <c r="Y652" s="7">
        <f t="shared" si="189"/>
        <v>567</v>
      </c>
      <c r="AA652" s="7">
        <f t="shared" si="190"/>
        <v>0</v>
      </c>
      <c r="AB652" s="7" t="str">
        <f t="shared" si="191"/>
        <v/>
      </c>
      <c r="AC652" s="7">
        <f t="shared" si="192"/>
        <v>0</v>
      </c>
      <c r="AD652" s="7" t="str">
        <f t="shared" si="193"/>
        <v/>
      </c>
      <c r="AE652" s="6">
        <f t="shared" si="194"/>
        <v>0</v>
      </c>
      <c r="AF652" s="69">
        <f t="shared" si="195"/>
        <v>3.0551440995239418</v>
      </c>
      <c r="AG652" s="6">
        <f t="shared" si="196"/>
        <v>76.378602488098551</v>
      </c>
      <c r="AH652" s="6">
        <f t="shared" si="197"/>
        <v>434</v>
      </c>
    </row>
    <row r="653" spans="8:34" x14ac:dyDescent="0.25">
      <c r="H653" s="7">
        <v>660</v>
      </c>
      <c r="I653" s="7" t="s">
        <v>10</v>
      </c>
      <c r="J653" s="8">
        <v>38441</v>
      </c>
      <c r="K653" s="12" t="s">
        <v>16</v>
      </c>
      <c r="L653" s="9">
        <v>11</v>
      </c>
      <c r="M653" s="10">
        <v>35.7534803858521</v>
      </c>
      <c r="N653" s="7" t="s">
        <v>24</v>
      </c>
      <c r="P653" s="29" t="str">
        <f t="shared" si="180"/>
        <v/>
      </c>
      <c r="Q653" s="29" t="str">
        <f t="shared" si="181"/>
        <v/>
      </c>
      <c r="R653" s="29" t="str">
        <f t="shared" si="182"/>
        <v/>
      </c>
      <c r="S653" s="29" t="str">
        <f t="shared" si="183"/>
        <v/>
      </c>
      <c r="T653" s="32" t="str">
        <f t="shared" si="184"/>
        <v/>
      </c>
      <c r="U653" s="32">
        <f t="shared" si="187"/>
        <v>1</v>
      </c>
      <c r="V653" s="32" t="str">
        <f t="shared" si="188"/>
        <v/>
      </c>
      <c r="W653" s="41">
        <f t="shared" si="185"/>
        <v>3.2503163987138275</v>
      </c>
      <c r="X653" s="6">
        <f t="shared" si="186"/>
        <v>35.7534803858521</v>
      </c>
      <c r="Y653" s="7">
        <f t="shared" si="189"/>
        <v>486</v>
      </c>
      <c r="AA653" s="7">
        <f t="shared" si="190"/>
        <v>1</v>
      </c>
      <c r="AB653" s="7">
        <f t="shared" si="191"/>
        <v>11</v>
      </c>
      <c r="AC653" s="7">
        <f t="shared" si="192"/>
        <v>0</v>
      </c>
      <c r="AD653" s="7" t="str">
        <f t="shared" si="193"/>
        <v/>
      </c>
      <c r="AE653" s="6">
        <f t="shared" si="194"/>
        <v>0</v>
      </c>
      <c r="AF653" s="69">
        <f t="shared" si="195"/>
        <v>3.2503163987138275</v>
      </c>
      <c r="AG653" s="6">
        <f t="shared" si="196"/>
        <v>0</v>
      </c>
      <c r="AH653" s="6">
        <f t="shared" si="197"/>
        <v>604</v>
      </c>
    </row>
    <row r="654" spans="8:34" x14ac:dyDescent="0.25">
      <c r="H654" s="7">
        <v>661</v>
      </c>
      <c r="I654" s="7" t="s">
        <v>10</v>
      </c>
      <c r="J654" s="8">
        <v>38034</v>
      </c>
      <c r="K654" s="12" t="s">
        <v>20</v>
      </c>
      <c r="L654" s="9">
        <v>51</v>
      </c>
      <c r="M654" s="10">
        <v>155.019536467064</v>
      </c>
      <c r="N654" s="7" t="s">
        <v>21</v>
      </c>
      <c r="P654" s="29">
        <f t="shared" si="180"/>
        <v>1</v>
      </c>
      <c r="Q654" s="29" t="str">
        <f t="shared" si="181"/>
        <v/>
      </c>
      <c r="R654" s="29" t="str">
        <f t="shared" si="182"/>
        <v/>
      </c>
      <c r="S654" s="29" t="str">
        <f t="shared" si="183"/>
        <v/>
      </c>
      <c r="T654" s="32" t="str">
        <f t="shared" si="184"/>
        <v/>
      </c>
      <c r="U654" s="32" t="str">
        <f t="shared" si="187"/>
        <v/>
      </c>
      <c r="V654" s="32" t="str">
        <f t="shared" si="188"/>
        <v/>
      </c>
      <c r="W654" s="41">
        <f t="shared" si="185"/>
        <v>3.0395987542561569</v>
      </c>
      <c r="X654" s="6">
        <f t="shared" si="186"/>
        <v>0</v>
      </c>
      <c r="Y654" s="7">
        <f t="shared" si="189"/>
        <v>567</v>
      </c>
      <c r="AA654" s="7">
        <f t="shared" si="190"/>
        <v>0</v>
      </c>
      <c r="AB654" s="7" t="str">
        <f t="shared" si="191"/>
        <v/>
      </c>
      <c r="AC654" s="7">
        <f t="shared" si="192"/>
        <v>0</v>
      </c>
      <c r="AD654" s="7" t="str">
        <f t="shared" si="193"/>
        <v/>
      </c>
      <c r="AE654" s="6">
        <f t="shared" si="194"/>
        <v>0</v>
      </c>
      <c r="AF654" s="69">
        <f t="shared" si="195"/>
        <v>3.0395987542561569</v>
      </c>
      <c r="AG654" s="6">
        <f t="shared" si="196"/>
        <v>155.019536467064</v>
      </c>
      <c r="AH654" s="6">
        <f t="shared" si="197"/>
        <v>268</v>
      </c>
    </row>
    <row r="655" spans="8:34" x14ac:dyDescent="0.25">
      <c r="H655" s="7">
        <v>662</v>
      </c>
      <c r="I655" s="7" t="s">
        <v>13</v>
      </c>
      <c r="J655" s="8">
        <v>39024</v>
      </c>
      <c r="K655" s="12" t="s">
        <v>19</v>
      </c>
      <c r="L655" s="9">
        <v>25</v>
      </c>
      <c r="M655" s="10">
        <v>78.068436112651099</v>
      </c>
      <c r="N655" s="7" t="s">
        <v>23</v>
      </c>
      <c r="P655" s="29" t="str">
        <f t="shared" si="180"/>
        <v/>
      </c>
      <c r="Q655" s="29" t="str">
        <f t="shared" si="181"/>
        <v/>
      </c>
      <c r="R655" s="29" t="str">
        <f t="shared" si="182"/>
        <v/>
      </c>
      <c r="S655" s="29" t="str">
        <f t="shared" si="183"/>
        <v/>
      </c>
      <c r="T655" s="32" t="str">
        <f t="shared" si="184"/>
        <v/>
      </c>
      <c r="U655" s="32" t="str">
        <f t="shared" si="187"/>
        <v/>
      </c>
      <c r="V655" s="32">
        <f t="shared" si="188"/>
        <v>1</v>
      </c>
      <c r="W655" s="41">
        <f t="shared" si="185"/>
        <v>3.1227374445060438</v>
      </c>
      <c r="X655" s="6">
        <f t="shared" si="186"/>
        <v>0</v>
      </c>
      <c r="Y655" s="7">
        <f t="shared" si="189"/>
        <v>567</v>
      </c>
      <c r="AA655" s="7">
        <f t="shared" si="190"/>
        <v>0</v>
      </c>
      <c r="AB655" s="7" t="str">
        <f t="shared" si="191"/>
        <v/>
      </c>
      <c r="AC655" s="7">
        <f t="shared" si="192"/>
        <v>0</v>
      </c>
      <c r="AD655" s="7" t="str">
        <f t="shared" si="193"/>
        <v/>
      </c>
      <c r="AE655" s="6">
        <f t="shared" si="194"/>
        <v>0</v>
      </c>
      <c r="AF655" s="69">
        <f t="shared" si="195"/>
        <v>3.1227374445060438</v>
      </c>
      <c r="AG655" s="6">
        <f t="shared" si="196"/>
        <v>0</v>
      </c>
      <c r="AH655" s="6">
        <f t="shared" si="197"/>
        <v>604</v>
      </c>
    </row>
    <row r="656" spans="8:34" x14ac:dyDescent="0.25">
      <c r="H656" s="7">
        <v>663</v>
      </c>
      <c r="I656" s="7" t="s">
        <v>8</v>
      </c>
      <c r="J656" s="8">
        <v>39035</v>
      </c>
      <c r="K656" s="12" t="s">
        <v>16</v>
      </c>
      <c r="L656" s="9">
        <v>27</v>
      </c>
      <c r="M656" s="10">
        <v>82.450851057331235</v>
      </c>
      <c r="N656" s="7" t="s">
        <v>24</v>
      </c>
      <c r="P656" s="29" t="str">
        <f t="shared" si="180"/>
        <v/>
      </c>
      <c r="Q656" s="29" t="str">
        <f t="shared" si="181"/>
        <v/>
      </c>
      <c r="R656" s="29" t="str">
        <f t="shared" si="182"/>
        <v/>
      </c>
      <c r="S656" s="29" t="str">
        <f t="shared" si="183"/>
        <v/>
      </c>
      <c r="T656" s="32" t="str">
        <f t="shared" si="184"/>
        <v/>
      </c>
      <c r="U656" s="32" t="str">
        <f t="shared" si="187"/>
        <v/>
      </c>
      <c r="V656" s="32">
        <f t="shared" si="188"/>
        <v>1</v>
      </c>
      <c r="W656" s="41">
        <f t="shared" si="185"/>
        <v>3.0537352243456013</v>
      </c>
      <c r="X656" s="6">
        <f t="shared" si="186"/>
        <v>0</v>
      </c>
      <c r="Y656" s="7">
        <f t="shared" si="189"/>
        <v>567</v>
      </c>
      <c r="AA656" s="7">
        <f t="shared" si="190"/>
        <v>0</v>
      </c>
      <c r="AB656" s="7" t="str">
        <f t="shared" si="191"/>
        <v/>
      </c>
      <c r="AC656" s="7">
        <f t="shared" si="192"/>
        <v>0</v>
      </c>
      <c r="AD656" s="7" t="str">
        <f t="shared" si="193"/>
        <v/>
      </c>
      <c r="AE656" s="6">
        <f t="shared" si="194"/>
        <v>0</v>
      </c>
      <c r="AF656" s="69">
        <f t="shared" si="195"/>
        <v>3.0537352243456013</v>
      </c>
      <c r="AG656" s="6">
        <f t="shared" si="196"/>
        <v>0</v>
      </c>
      <c r="AH656" s="6">
        <f t="shared" si="197"/>
        <v>604</v>
      </c>
    </row>
    <row r="657" spans="8:34" x14ac:dyDescent="0.25">
      <c r="H657" s="7">
        <v>664</v>
      </c>
      <c r="I657" s="7" t="s">
        <v>7</v>
      </c>
      <c r="J657" s="8">
        <v>38518</v>
      </c>
      <c r="K657" s="12" t="s">
        <v>17</v>
      </c>
      <c r="L657" s="9">
        <v>38</v>
      </c>
      <c r="M657" s="10">
        <v>116.7885336432518</v>
      </c>
      <c r="N657" s="7" t="s">
        <v>23</v>
      </c>
      <c r="P657" s="29" t="str">
        <f t="shared" si="180"/>
        <v/>
      </c>
      <c r="Q657" s="29" t="str">
        <f t="shared" si="181"/>
        <v/>
      </c>
      <c r="R657" s="29" t="str">
        <f t="shared" si="182"/>
        <v/>
      </c>
      <c r="S657" s="29" t="str">
        <f t="shared" si="183"/>
        <v/>
      </c>
      <c r="T657" s="32" t="str">
        <f t="shared" si="184"/>
        <v/>
      </c>
      <c r="U657" s="32">
        <f t="shared" si="187"/>
        <v>1</v>
      </c>
      <c r="V657" s="32" t="str">
        <f t="shared" si="188"/>
        <v/>
      </c>
      <c r="W657" s="41">
        <f t="shared" si="185"/>
        <v>3.0733824642960998</v>
      </c>
      <c r="X657" s="6">
        <f t="shared" si="186"/>
        <v>116.7885336432518</v>
      </c>
      <c r="Y657" s="7">
        <f t="shared" si="189"/>
        <v>321</v>
      </c>
      <c r="AA657" s="7">
        <f t="shared" si="190"/>
        <v>0</v>
      </c>
      <c r="AB657" s="7" t="str">
        <f t="shared" si="191"/>
        <v/>
      </c>
      <c r="AC657" s="7">
        <f t="shared" si="192"/>
        <v>1</v>
      </c>
      <c r="AD657" s="7">
        <f t="shared" si="193"/>
        <v>38</v>
      </c>
      <c r="AE657" s="6">
        <f t="shared" si="194"/>
        <v>0</v>
      </c>
      <c r="AF657" s="69">
        <f t="shared" si="195"/>
        <v>3.0733824642960998</v>
      </c>
      <c r="AG657" s="6">
        <f t="shared" si="196"/>
        <v>0</v>
      </c>
      <c r="AH657" s="6">
        <f t="shared" si="197"/>
        <v>604</v>
      </c>
    </row>
    <row r="658" spans="8:34" x14ac:dyDescent="0.25">
      <c r="H658" s="7">
        <v>665</v>
      </c>
      <c r="I658" s="7" t="s">
        <v>12</v>
      </c>
      <c r="J658" s="8">
        <v>38980</v>
      </c>
      <c r="K658" s="12" t="s">
        <v>18</v>
      </c>
      <c r="L658" s="9">
        <v>27</v>
      </c>
      <c r="M658" s="10">
        <v>82.569702610812897</v>
      </c>
      <c r="N658" s="7" t="s">
        <v>22</v>
      </c>
      <c r="P658" s="29" t="str">
        <f t="shared" si="180"/>
        <v/>
      </c>
      <c r="Q658" s="29" t="str">
        <f t="shared" si="181"/>
        <v/>
      </c>
      <c r="R658" s="29" t="str">
        <f t="shared" si="182"/>
        <v/>
      </c>
      <c r="S658" s="29" t="str">
        <f t="shared" si="183"/>
        <v/>
      </c>
      <c r="T658" s="32" t="str">
        <f t="shared" si="184"/>
        <v/>
      </c>
      <c r="U658" s="32" t="str">
        <f t="shared" si="187"/>
        <v/>
      </c>
      <c r="V658" s="32">
        <f t="shared" si="188"/>
        <v>1</v>
      </c>
      <c r="W658" s="41">
        <f t="shared" si="185"/>
        <v>3.058137133733811</v>
      </c>
      <c r="X658" s="6">
        <f t="shared" si="186"/>
        <v>0</v>
      </c>
      <c r="Y658" s="7">
        <f t="shared" si="189"/>
        <v>567</v>
      </c>
      <c r="AA658" s="7">
        <f t="shared" si="190"/>
        <v>0</v>
      </c>
      <c r="AB658" s="7" t="str">
        <f t="shared" si="191"/>
        <v/>
      </c>
      <c r="AC658" s="7">
        <f t="shared" si="192"/>
        <v>0</v>
      </c>
      <c r="AD658" s="7" t="str">
        <f t="shared" si="193"/>
        <v/>
      </c>
      <c r="AE658" s="6">
        <f t="shared" si="194"/>
        <v>0</v>
      </c>
      <c r="AF658" s="69">
        <f t="shared" si="195"/>
        <v>3.058137133733811</v>
      </c>
      <c r="AG658" s="6">
        <f t="shared" si="196"/>
        <v>0</v>
      </c>
      <c r="AH658" s="6">
        <f t="shared" si="197"/>
        <v>604</v>
      </c>
    </row>
    <row r="659" spans="8:34" x14ac:dyDescent="0.25">
      <c r="H659" s="7">
        <v>666</v>
      </c>
      <c r="I659" s="7" t="s">
        <v>14</v>
      </c>
      <c r="J659" s="8">
        <v>38881</v>
      </c>
      <c r="K659" s="12" t="s">
        <v>16</v>
      </c>
      <c r="L659" s="9">
        <v>59</v>
      </c>
      <c r="M659" s="10">
        <v>178.6321576680669</v>
      </c>
      <c r="N659" s="7" t="s">
        <v>23</v>
      </c>
      <c r="P659" s="29" t="str">
        <f t="shared" si="180"/>
        <v/>
      </c>
      <c r="Q659" s="29" t="str">
        <f t="shared" si="181"/>
        <v/>
      </c>
      <c r="R659" s="29" t="str">
        <f t="shared" si="182"/>
        <v/>
      </c>
      <c r="S659" s="29" t="str">
        <f t="shared" si="183"/>
        <v/>
      </c>
      <c r="T659" s="32" t="str">
        <f t="shared" si="184"/>
        <v/>
      </c>
      <c r="U659" s="32" t="str">
        <f t="shared" si="187"/>
        <v/>
      </c>
      <c r="V659" s="32">
        <f t="shared" si="188"/>
        <v>1</v>
      </c>
      <c r="W659" s="41">
        <f t="shared" si="185"/>
        <v>3.0276636892892692</v>
      </c>
      <c r="X659" s="6">
        <f t="shared" si="186"/>
        <v>0</v>
      </c>
      <c r="Y659" s="7">
        <f t="shared" si="189"/>
        <v>567</v>
      </c>
      <c r="AA659" s="7">
        <f t="shared" si="190"/>
        <v>0</v>
      </c>
      <c r="AB659" s="7" t="str">
        <f t="shared" si="191"/>
        <v/>
      </c>
      <c r="AC659" s="7">
        <f t="shared" si="192"/>
        <v>0</v>
      </c>
      <c r="AD659" s="7" t="str">
        <f t="shared" si="193"/>
        <v/>
      </c>
      <c r="AE659" s="6">
        <f t="shared" si="194"/>
        <v>0</v>
      </c>
      <c r="AF659" s="69">
        <f t="shared" si="195"/>
        <v>3.0276636892892692</v>
      </c>
      <c r="AG659" s="6">
        <f t="shared" si="196"/>
        <v>0</v>
      </c>
      <c r="AH659" s="6">
        <f t="shared" si="197"/>
        <v>604</v>
      </c>
    </row>
    <row r="660" spans="8:34" x14ac:dyDescent="0.25">
      <c r="H660" s="7">
        <v>667</v>
      </c>
      <c r="I660" s="7" t="s">
        <v>15</v>
      </c>
      <c r="J660" s="8">
        <v>38760</v>
      </c>
      <c r="K660" s="12" t="s">
        <v>18</v>
      </c>
      <c r="L660" s="9">
        <v>73</v>
      </c>
      <c r="M660" s="10">
        <v>220.44792756124494</v>
      </c>
      <c r="N660" s="7" t="s">
        <v>23</v>
      </c>
      <c r="P660" s="29" t="str">
        <f t="shared" si="180"/>
        <v/>
      </c>
      <c r="Q660" s="29" t="str">
        <f t="shared" si="181"/>
        <v/>
      </c>
      <c r="R660" s="29" t="str">
        <f t="shared" si="182"/>
        <v/>
      </c>
      <c r="S660" s="29" t="str">
        <f t="shared" si="183"/>
        <v/>
      </c>
      <c r="T660" s="32" t="str">
        <f t="shared" si="184"/>
        <v/>
      </c>
      <c r="U660" s="32" t="str">
        <f t="shared" si="187"/>
        <v/>
      </c>
      <c r="V660" s="32">
        <f t="shared" si="188"/>
        <v>1</v>
      </c>
      <c r="W660" s="41">
        <f t="shared" si="185"/>
        <v>3.0198346241266432</v>
      </c>
      <c r="X660" s="6">
        <f t="shared" si="186"/>
        <v>0</v>
      </c>
      <c r="Y660" s="7">
        <f t="shared" si="189"/>
        <v>567</v>
      </c>
      <c r="AA660" s="7">
        <f t="shared" si="190"/>
        <v>0</v>
      </c>
      <c r="AB660" s="7" t="str">
        <f t="shared" si="191"/>
        <v/>
      </c>
      <c r="AC660" s="7">
        <f t="shared" si="192"/>
        <v>0</v>
      </c>
      <c r="AD660" s="7" t="str">
        <f t="shared" si="193"/>
        <v/>
      </c>
      <c r="AE660" s="6">
        <f t="shared" si="194"/>
        <v>0</v>
      </c>
      <c r="AF660" s="69">
        <f t="shared" si="195"/>
        <v>3.0198346241266432</v>
      </c>
      <c r="AG660" s="6">
        <f t="shared" si="196"/>
        <v>0</v>
      </c>
      <c r="AH660" s="6">
        <f t="shared" si="197"/>
        <v>604</v>
      </c>
    </row>
    <row r="661" spans="8:34" x14ac:dyDescent="0.25">
      <c r="H661" s="7">
        <v>668</v>
      </c>
      <c r="I661" s="7" t="s">
        <v>11</v>
      </c>
      <c r="J661" s="8">
        <v>38595</v>
      </c>
      <c r="K661" s="12" t="s">
        <v>16</v>
      </c>
      <c r="L661" s="9">
        <v>43</v>
      </c>
      <c r="M661" s="10">
        <v>131.45497532370047</v>
      </c>
      <c r="N661" s="7" t="s">
        <v>22</v>
      </c>
      <c r="P661" s="29" t="str">
        <f t="shared" si="180"/>
        <v/>
      </c>
      <c r="Q661" s="29" t="str">
        <f t="shared" si="181"/>
        <v/>
      </c>
      <c r="R661" s="29" t="str">
        <f t="shared" si="182"/>
        <v/>
      </c>
      <c r="S661" s="29" t="str">
        <f t="shared" si="183"/>
        <v/>
      </c>
      <c r="T661" s="32" t="str">
        <f t="shared" si="184"/>
        <v/>
      </c>
      <c r="U661" s="32">
        <f t="shared" si="187"/>
        <v>1</v>
      </c>
      <c r="V661" s="32" t="str">
        <f t="shared" si="188"/>
        <v/>
      </c>
      <c r="W661" s="41">
        <f t="shared" si="185"/>
        <v>3.0570924493883829</v>
      </c>
      <c r="X661" s="6">
        <f t="shared" si="186"/>
        <v>131.45497532370047</v>
      </c>
      <c r="Y661" s="7">
        <f t="shared" si="189"/>
        <v>302</v>
      </c>
      <c r="AA661" s="7">
        <f t="shared" si="190"/>
        <v>1</v>
      </c>
      <c r="AB661" s="7">
        <f t="shared" si="191"/>
        <v>43</v>
      </c>
      <c r="AC661" s="7">
        <f t="shared" si="192"/>
        <v>0</v>
      </c>
      <c r="AD661" s="7" t="str">
        <f t="shared" si="193"/>
        <v/>
      </c>
      <c r="AE661" s="6">
        <f t="shared" si="194"/>
        <v>0</v>
      </c>
      <c r="AF661" s="69">
        <f t="shared" si="195"/>
        <v>3.0570924493883829</v>
      </c>
      <c r="AG661" s="6">
        <f t="shared" si="196"/>
        <v>0</v>
      </c>
      <c r="AH661" s="6">
        <f t="shared" si="197"/>
        <v>604</v>
      </c>
    </row>
    <row r="662" spans="8:34" x14ac:dyDescent="0.25">
      <c r="H662" s="7">
        <v>669</v>
      </c>
      <c r="I662" s="7" t="s">
        <v>12</v>
      </c>
      <c r="J662" s="8">
        <v>38903</v>
      </c>
      <c r="K662" s="12" t="s">
        <v>20</v>
      </c>
      <c r="L662" s="9">
        <v>51</v>
      </c>
      <c r="M662" s="10">
        <v>154.77819453893821</v>
      </c>
      <c r="N662" s="7" t="s">
        <v>23</v>
      </c>
      <c r="P662" s="29" t="str">
        <f t="shared" si="180"/>
        <v/>
      </c>
      <c r="Q662" s="29" t="str">
        <f t="shared" si="181"/>
        <v/>
      </c>
      <c r="R662" s="29" t="str">
        <f t="shared" si="182"/>
        <v/>
      </c>
      <c r="S662" s="29" t="str">
        <f t="shared" si="183"/>
        <v/>
      </c>
      <c r="T662" s="32" t="str">
        <f t="shared" si="184"/>
        <v/>
      </c>
      <c r="U662" s="32" t="str">
        <f t="shared" si="187"/>
        <v/>
      </c>
      <c r="V662" s="32">
        <f t="shared" si="188"/>
        <v>1</v>
      </c>
      <c r="W662" s="41">
        <f t="shared" si="185"/>
        <v>3.0348665595870239</v>
      </c>
      <c r="X662" s="6">
        <f t="shared" si="186"/>
        <v>0</v>
      </c>
      <c r="Y662" s="7">
        <f t="shared" si="189"/>
        <v>567</v>
      </c>
      <c r="AA662" s="7">
        <f t="shared" si="190"/>
        <v>0</v>
      </c>
      <c r="AB662" s="7" t="str">
        <f t="shared" si="191"/>
        <v/>
      </c>
      <c r="AC662" s="7">
        <f t="shared" si="192"/>
        <v>0</v>
      </c>
      <c r="AD662" s="7" t="str">
        <f t="shared" si="193"/>
        <v/>
      </c>
      <c r="AE662" s="6">
        <f t="shared" si="194"/>
        <v>0</v>
      </c>
      <c r="AF662" s="69">
        <f t="shared" si="195"/>
        <v>3.0348665595870239</v>
      </c>
      <c r="AG662" s="6">
        <f t="shared" si="196"/>
        <v>0</v>
      </c>
      <c r="AH662" s="6">
        <f t="shared" si="197"/>
        <v>604</v>
      </c>
    </row>
    <row r="663" spans="8:34" x14ac:dyDescent="0.25">
      <c r="H663" s="7">
        <v>670</v>
      </c>
      <c r="I663" s="7" t="s">
        <v>7</v>
      </c>
      <c r="J663" s="8">
        <v>38243</v>
      </c>
      <c r="K663" s="12" t="s">
        <v>17</v>
      </c>
      <c r="L663" s="9">
        <v>32</v>
      </c>
      <c r="M663" s="10">
        <v>98.006987571648764</v>
      </c>
      <c r="N663" s="7" t="s">
        <v>22</v>
      </c>
      <c r="P663" s="29" t="str">
        <f t="shared" si="180"/>
        <v/>
      </c>
      <c r="Q663" s="29" t="str">
        <f t="shared" si="181"/>
        <v/>
      </c>
      <c r="R663" s="29">
        <f t="shared" si="182"/>
        <v>1</v>
      </c>
      <c r="S663" s="29" t="str">
        <f t="shared" si="183"/>
        <v/>
      </c>
      <c r="T663" s="32" t="str">
        <f t="shared" si="184"/>
        <v/>
      </c>
      <c r="U663" s="32" t="str">
        <f t="shared" si="187"/>
        <v/>
      </c>
      <c r="V663" s="32" t="str">
        <f t="shared" si="188"/>
        <v/>
      </c>
      <c r="W663" s="41">
        <f t="shared" si="185"/>
        <v>3.0627183616140239</v>
      </c>
      <c r="X663" s="6">
        <f t="shared" si="186"/>
        <v>0</v>
      </c>
      <c r="Y663" s="7">
        <f t="shared" si="189"/>
        <v>567</v>
      </c>
      <c r="AA663" s="7">
        <f t="shared" si="190"/>
        <v>0</v>
      </c>
      <c r="AB663" s="7" t="str">
        <f t="shared" si="191"/>
        <v/>
      </c>
      <c r="AC663" s="7">
        <f t="shared" si="192"/>
        <v>0</v>
      </c>
      <c r="AD663" s="7" t="str">
        <f t="shared" si="193"/>
        <v/>
      </c>
      <c r="AE663" s="6">
        <f t="shared" si="194"/>
        <v>0</v>
      </c>
      <c r="AF663" s="69">
        <f t="shared" si="195"/>
        <v>3.0627183616140239</v>
      </c>
      <c r="AG663" s="6">
        <f t="shared" si="196"/>
        <v>98.006987571648764</v>
      </c>
      <c r="AH663" s="6">
        <f t="shared" si="197"/>
        <v>380</v>
      </c>
    </row>
    <row r="664" spans="8:34" x14ac:dyDescent="0.25">
      <c r="H664" s="7">
        <v>671</v>
      </c>
      <c r="I664" s="7" t="s">
        <v>10</v>
      </c>
      <c r="J664" s="8">
        <v>38815</v>
      </c>
      <c r="K664" s="12" t="s">
        <v>17</v>
      </c>
      <c r="L664" s="9">
        <v>89</v>
      </c>
      <c r="M664" s="10">
        <v>268.58829363415754</v>
      </c>
      <c r="N664" s="7" t="s">
        <v>22</v>
      </c>
      <c r="P664" s="29" t="str">
        <f t="shared" si="180"/>
        <v/>
      </c>
      <c r="Q664" s="29" t="str">
        <f t="shared" si="181"/>
        <v/>
      </c>
      <c r="R664" s="29" t="str">
        <f t="shared" si="182"/>
        <v/>
      </c>
      <c r="S664" s="29" t="str">
        <f t="shared" si="183"/>
        <v/>
      </c>
      <c r="T664" s="32" t="str">
        <f t="shared" si="184"/>
        <v/>
      </c>
      <c r="U664" s="32" t="str">
        <f t="shared" si="187"/>
        <v/>
      </c>
      <c r="V664" s="32">
        <f t="shared" si="188"/>
        <v>1</v>
      </c>
      <c r="W664" s="41">
        <f t="shared" si="185"/>
        <v>3.0178459958894104</v>
      </c>
      <c r="X664" s="6">
        <f t="shared" si="186"/>
        <v>0</v>
      </c>
      <c r="Y664" s="7">
        <f t="shared" si="189"/>
        <v>567</v>
      </c>
      <c r="AA664" s="7">
        <f t="shared" si="190"/>
        <v>0</v>
      </c>
      <c r="AB664" s="7" t="str">
        <f t="shared" si="191"/>
        <v/>
      </c>
      <c r="AC664" s="7">
        <f t="shared" si="192"/>
        <v>0</v>
      </c>
      <c r="AD664" s="7" t="str">
        <f t="shared" si="193"/>
        <v/>
      </c>
      <c r="AE664" s="6">
        <f t="shared" si="194"/>
        <v>0</v>
      </c>
      <c r="AF664" s="69">
        <f t="shared" si="195"/>
        <v>3.0178459958894104</v>
      </c>
      <c r="AG664" s="6">
        <f t="shared" si="196"/>
        <v>0</v>
      </c>
      <c r="AH664" s="6">
        <f t="shared" si="197"/>
        <v>604</v>
      </c>
    </row>
    <row r="665" spans="8:34" x14ac:dyDescent="0.25">
      <c r="H665" s="7">
        <v>672</v>
      </c>
      <c r="I665" s="7" t="s">
        <v>14</v>
      </c>
      <c r="J665" s="8">
        <v>38683</v>
      </c>
      <c r="K665" s="12" t="s">
        <v>20</v>
      </c>
      <c r="L665" s="9">
        <v>-1</v>
      </c>
      <c r="M665" s="10">
        <v>-0.61047743439715862</v>
      </c>
      <c r="N665" s="7" t="s">
        <v>24</v>
      </c>
      <c r="P665" s="29" t="str">
        <f t="shared" si="180"/>
        <v/>
      </c>
      <c r="Q665" s="29" t="str">
        <f t="shared" si="181"/>
        <v/>
      </c>
      <c r="R665" s="29" t="str">
        <f t="shared" si="182"/>
        <v/>
      </c>
      <c r="S665" s="29" t="str">
        <f t="shared" si="183"/>
        <v/>
      </c>
      <c r="T665" s="32">
        <f t="shared" si="184"/>
        <v>1</v>
      </c>
      <c r="U665" s="32">
        <f t="shared" si="187"/>
        <v>1</v>
      </c>
      <c r="V665" s="32" t="str">
        <f t="shared" si="188"/>
        <v/>
      </c>
      <c r="W665" s="41" t="str">
        <f t="shared" si="185"/>
        <v/>
      </c>
      <c r="X665" s="6">
        <f t="shared" si="186"/>
        <v>-0.61047743439715862</v>
      </c>
      <c r="Y665" s="7">
        <f t="shared" si="189"/>
        <v>1839</v>
      </c>
      <c r="AA665" s="7">
        <f t="shared" si="190"/>
        <v>0</v>
      </c>
      <c r="AB665" s="7" t="str">
        <f t="shared" si="191"/>
        <v/>
      </c>
      <c r="AC665" s="7">
        <f t="shared" si="192"/>
        <v>1</v>
      </c>
      <c r="AD665" s="7">
        <f t="shared" si="193"/>
        <v>-1</v>
      </c>
      <c r="AE665" s="6">
        <f t="shared" si="194"/>
        <v>-1</v>
      </c>
      <c r="AF665" s="69" t="str">
        <f t="shared" si="195"/>
        <v/>
      </c>
      <c r="AG665" s="6">
        <f t="shared" si="196"/>
        <v>0</v>
      </c>
      <c r="AH665" s="6">
        <f t="shared" si="197"/>
        <v>604</v>
      </c>
    </row>
    <row r="666" spans="8:34" x14ac:dyDescent="0.25">
      <c r="H666" s="7">
        <v>673</v>
      </c>
      <c r="I666" s="7" t="s">
        <v>8</v>
      </c>
      <c r="J666" s="8">
        <v>38793</v>
      </c>
      <c r="K666" s="12" t="s">
        <v>16</v>
      </c>
      <c r="L666" s="9">
        <v>26</v>
      </c>
      <c r="M666" s="10">
        <v>81.086402502793618</v>
      </c>
      <c r="N666" s="7" t="s">
        <v>24</v>
      </c>
      <c r="P666" s="29" t="str">
        <f t="shared" si="180"/>
        <v/>
      </c>
      <c r="Q666" s="29" t="str">
        <f t="shared" si="181"/>
        <v/>
      </c>
      <c r="R666" s="29" t="str">
        <f t="shared" si="182"/>
        <v/>
      </c>
      <c r="S666" s="29" t="str">
        <f t="shared" si="183"/>
        <v/>
      </c>
      <c r="T666" s="32" t="str">
        <f t="shared" si="184"/>
        <v/>
      </c>
      <c r="U666" s="32" t="str">
        <f t="shared" si="187"/>
        <v/>
      </c>
      <c r="V666" s="32">
        <f t="shared" si="188"/>
        <v>1</v>
      </c>
      <c r="W666" s="41">
        <f t="shared" si="185"/>
        <v>3.1187077885689853</v>
      </c>
      <c r="X666" s="6">
        <f t="shared" si="186"/>
        <v>0</v>
      </c>
      <c r="Y666" s="7">
        <f t="shared" si="189"/>
        <v>567</v>
      </c>
      <c r="AA666" s="7">
        <f t="shared" si="190"/>
        <v>0</v>
      </c>
      <c r="AB666" s="7" t="str">
        <f t="shared" si="191"/>
        <v/>
      </c>
      <c r="AC666" s="7">
        <f t="shared" si="192"/>
        <v>0</v>
      </c>
      <c r="AD666" s="7" t="str">
        <f t="shared" si="193"/>
        <v/>
      </c>
      <c r="AE666" s="6">
        <f t="shared" si="194"/>
        <v>0</v>
      </c>
      <c r="AF666" s="69">
        <f t="shared" si="195"/>
        <v>3.1187077885689853</v>
      </c>
      <c r="AG666" s="6">
        <f t="shared" si="196"/>
        <v>0</v>
      </c>
      <c r="AH666" s="6">
        <f t="shared" si="197"/>
        <v>604</v>
      </c>
    </row>
    <row r="667" spans="8:34" x14ac:dyDescent="0.25">
      <c r="H667" s="7">
        <v>674</v>
      </c>
      <c r="I667" s="7" t="s">
        <v>14</v>
      </c>
      <c r="J667" s="8">
        <v>38408</v>
      </c>
      <c r="K667" s="12" t="s">
        <v>18</v>
      </c>
      <c r="L667" s="9">
        <v>56</v>
      </c>
      <c r="M667" s="10">
        <v>170.28880484978066</v>
      </c>
      <c r="N667" s="7" t="s">
        <v>22</v>
      </c>
      <c r="P667" s="29" t="str">
        <f t="shared" si="180"/>
        <v/>
      </c>
      <c r="Q667" s="29" t="str">
        <f t="shared" si="181"/>
        <v/>
      </c>
      <c r="R667" s="29" t="str">
        <f t="shared" si="182"/>
        <v/>
      </c>
      <c r="S667" s="29" t="str">
        <f t="shared" si="183"/>
        <v/>
      </c>
      <c r="T667" s="32" t="str">
        <f t="shared" si="184"/>
        <v/>
      </c>
      <c r="U667" s="32">
        <f t="shared" si="187"/>
        <v>1</v>
      </c>
      <c r="V667" s="32" t="str">
        <f t="shared" si="188"/>
        <v/>
      </c>
      <c r="W667" s="41">
        <f t="shared" si="185"/>
        <v>3.0408715151746546</v>
      </c>
      <c r="X667" s="6">
        <f t="shared" si="186"/>
        <v>170.28880484978066</v>
      </c>
      <c r="Y667" s="7">
        <f t="shared" si="189"/>
        <v>226</v>
      </c>
      <c r="AA667" s="7">
        <f t="shared" si="190"/>
        <v>1</v>
      </c>
      <c r="AB667" s="7">
        <f t="shared" si="191"/>
        <v>56</v>
      </c>
      <c r="AC667" s="7">
        <f t="shared" si="192"/>
        <v>0</v>
      </c>
      <c r="AD667" s="7" t="str">
        <f t="shared" si="193"/>
        <v/>
      </c>
      <c r="AE667" s="6">
        <f t="shared" si="194"/>
        <v>0</v>
      </c>
      <c r="AF667" s="69">
        <f t="shared" si="195"/>
        <v>3.0408715151746546</v>
      </c>
      <c r="AG667" s="6">
        <f t="shared" si="196"/>
        <v>0</v>
      </c>
      <c r="AH667" s="6">
        <f t="shared" si="197"/>
        <v>604</v>
      </c>
    </row>
    <row r="668" spans="8:34" x14ac:dyDescent="0.25">
      <c r="H668" s="7">
        <v>675</v>
      </c>
      <c r="I668" s="7" t="s">
        <v>7</v>
      </c>
      <c r="J668" s="8">
        <v>38221</v>
      </c>
      <c r="K668" s="12" t="s">
        <v>17</v>
      </c>
      <c r="L668" s="9">
        <v>10</v>
      </c>
      <c r="M668" s="10">
        <v>32.446099013561927</v>
      </c>
      <c r="N668" s="7" t="s">
        <v>22</v>
      </c>
      <c r="P668" s="29" t="str">
        <f t="shared" si="180"/>
        <v/>
      </c>
      <c r="Q668" s="29" t="str">
        <f t="shared" si="181"/>
        <v/>
      </c>
      <c r="R668" s="29">
        <f t="shared" si="182"/>
        <v>1</v>
      </c>
      <c r="S668" s="29" t="str">
        <f t="shared" si="183"/>
        <v/>
      </c>
      <c r="T668" s="32" t="str">
        <f t="shared" si="184"/>
        <v/>
      </c>
      <c r="U668" s="32" t="str">
        <f t="shared" si="187"/>
        <v/>
      </c>
      <c r="V668" s="32" t="str">
        <f t="shared" si="188"/>
        <v/>
      </c>
      <c r="W668" s="41">
        <f t="shared" si="185"/>
        <v>3.2446099013561929</v>
      </c>
      <c r="X668" s="6">
        <f t="shared" si="186"/>
        <v>0</v>
      </c>
      <c r="Y668" s="7">
        <f t="shared" si="189"/>
        <v>567</v>
      </c>
      <c r="AA668" s="7">
        <f t="shared" si="190"/>
        <v>0</v>
      </c>
      <c r="AB668" s="7" t="str">
        <f t="shared" si="191"/>
        <v/>
      </c>
      <c r="AC668" s="7">
        <f t="shared" si="192"/>
        <v>0</v>
      </c>
      <c r="AD668" s="7" t="str">
        <f t="shared" si="193"/>
        <v/>
      </c>
      <c r="AE668" s="6">
        <f t="shared" si="194"/>
        <v>0</v>
      </c>
      <c r="AF668" s="69">
        <f t="shared" si="195"/>
        <v>3.2446099013561929</v>
      </c>
      <c r="AG668" s="6">
        <f t="shared" si="196"/>
        <v>32.446099013561927</v>
      </c>
      <c r="AH668" s="6">
        <f t="shared" si="197"/>
        <v>524</v>
      </c>
    </row>
    <row r="669" spans="8:34" x14ac:dyDescent="0.25">
      <c r="H669" s="7">
        <v>676</v>
      </c>
      <c r="I669" s="7" t="s">
        <v>8</v>
      </c>
      <c r="J669" s="8">
        <v>38023</v>
      </c>
      <c r="K669" s="12" t="s">
        <v>19</v>
      </c>
      <c r="L669" s="9">
        <v>8</v>
      </c>
      <c r="M669" s="10">
        <v>25.639457060752605</v>
      </c>
      <c r="N669" s="7" t="s">
        <v>24</v>
      </c>
      <c r="P669" s="29">
        <f t="shared" si="180"/>
        <v>1</v>
      </c>
      <c r="Q669" s="29" t="str">
        <f t="shared" si="181"/>
        <v/>
      </c>
      <c r="R669" s="29" t="str">
        <f t="shared" si="182"/>
        <v/>
      </c>
      <c r="S669" s="29" t="str">
        <f t="shared" si="183"/>
        <v/>
      </c>
      <c r="T669" s="32" t="str">
        <f t="shared" si="184"/>
        <v/>
      </c>
      <c r="U669" s="32" t="str">
        <f t="shared" si="187"/>
        <v/>
      </c>
      <c r="V669" s="32" t="str">
        <f t="shared" si="188"/>
        <v/>
      </c>
      <c r="W669" s="41">
        <f t="shared" si="185"/>
        <v>3.2049321325940756</v>
      </c>
      <c r="X669" s="6">
        <f t="shared" si="186"/>
        <v>0</v>
      </c>
      <c r="Y669" s="7">
        <f t="shared" si="189"/>
        <v>567</v>
      </c>
      <c r="AA669" s="7">
        <f t="shared" si="190"/>
        <v>0</v>
      </c>
      <c r="AB669" s="7" t="str">
        <f t="shared" si="191"/>
        <v/>
      </c>
      <c r="AC669" s="7">
        <f t="shared" si="192"/>
        <v>0</v>
      </c>
      <c r="AD669" s="7" t="str">
        <f t="shared" si="193"/>
        <v/>
      </c>
      <c r="AE669" s="6">
        <f t="shared" si="194"/>
        <v>0</v>
      </c>
      <c r="AF669" s="69">
        <f t="shared" si="195"/>
        <v>3.2049321325940756</v>
      </c>
      <c r="AG669" s="6">
        <f t="shared" si="196"/>
        <v>25.639457060752605</v>
      </c>
      <c r="AH669" s="6">
        <f t="shared" si="197"/>
        <v>545</v>
      </c>
    </row>
    <row r="670" spans="8:34" x14ac:dyDescent="0.25">
      <c r="H670" s="7">
        <v>677</v>
      </c>
      <c r="I670" s="7" t="s">
        <v>11</v>
      </c>
      <c r="J670" s="8">
        <v>38474</v>
      </c>
      <c r="K670" s="12" t="s">
        <v>16</v>
      </c>
      <c r="L670" s="9">
        <v>75</v>
      </c>
      <c r="M670" s="10">
        <v>226.81359807971779</v>
      </c>
      <c r="N670" s="7" t="s">
        <v>21</v>
      </c>
      <c r="P670" s="29" t="str">
        <f t="shared" si="180"/>
        <v/>
      </c>
      <c r="Q670" s="29" t="str">
        <f t="shared" si="181"/>
        <v/>
      </c>
      <c r="R670" s="29" t="str">
        <f t="shared" si="182"/>
        <v/>
      </c>
      <c r="S670" s="29" t="str">
        <f t="shared" si="183"/>
        <v/>
      </c>
      <c r="T670" s="32" t="str">
        <f t="shared" si="184"/>
        <v/>
      </c>
      <c r="U670" s="32">
        <f t="shared" si="187"/>
        <v>1</v>
      </c>
      <c r="V670" s="32" t="str">
        <f t="shared" si="188"/>
        <v/>
      </c>
      <c r="W670" s="41">
        <f t="shared" si="185"/>
        <v>3.0241813077295707</v>
      </c>
      <c r="X670" s="6">
        <f t="shared" si="186"/>
        <v>226.81359807971779</v>
      </c>
      <c r="Y670" s="7">
        <f t="shared" si="189"/>
        <v>128</v>
      </c>
      <c r="AA670" s="7">
        <f t="shared" si="190"/>
        <v>0</v>
      </c>
      <c r="AB670" s="7" t="str">
        <f t="shared" si="191"/>
        <v/>
      </c>
      <c r="AC670" s="7">
        <f t="shared" si="192"/>
        <v>1</v>
      </c>
      <c r="AD670" s="7">
        <f t="shared" si="193"/>
        <v>75</v>
      </c>
      <c r="AE670" s="6">
        <f t="shared" si="194"/>
        <v>0</v>
      </c>
      <c r="AF670" s="69">
        <f t="shared" si="195"/>
        <v>3.0241813077295707</v>
      </c>
      <c r="AG670" s="6">
        <f t="shared" si="196"/>
        <v>0</v>
      </c>
      <c r="AH670" s="6">
        <f t="shared" si="197"/>
        <v>604</v>
      </c>
    </row>
    <row r="671" spans="8:34" x14ac:dyDescent="0.25">
      <c r="H671" s="7">
        <v>678</v>
      </c>
      <c r="I671" s="7" t="s">
        <v>14</v>
      </c>
      <c r="J671" s="8">
        <v>38386</v>
      </c>
      <c r="K671" s="12" t="s">
        <v>18</v>
      </c>
      <c r="L671" s="9">
        <v>79</v>
      </c>
      <c r="M671" s="10">
        <v>239.4766385714239</v>
      </c>
      <c r="N671" s="7" t="s">
        <v>24</v>
      </c>
      <c r="P671" s="29" t="str">
        <f t="shared" si="180"/>
        <v/>
      </c>
      <c r="Q671" s="29" t="str">
        <f t="shared" si="181"/>
        <v/>
      </c>
      <c r="R671" s="29" t="str">
        <f t="shared" si="182"/>
        <v/>
      </c>
      <c r="S671" s="29" t="str">
        <f t="shared" si="183"/>
        <v/>
      </c>
      <c r="T671" s="32" t="str">
        <f t="shared" si="184"/>
        <v/>
      </c>
      <c r="U671" s="32">
        <f t="shared" si="187"/>
        <v>1</v>
      </c>
      <c r="V671" s="32" t="str">
        <f t="shared" si="188"/>
        <v/>
      </c>
      <c r="W671" s="41">
        <f t="shared" si="185"/>
        <v>3.0313498553344798</v>
      </c>
      <c r="X671" s="6">
        <f t="shared" si="186"/>
        <v>239.4766385714239</v>
      </c>
      <c r="Y671" s="7">
        <f t="shared" si="189"/>
        <v>102</v>
      </c>
      <c r="AA671" s="7">
        <f t="shared" si="190"/>
        <v>1</v>
      </c>
      <c r="AB671" s="7">
        <f t="shared" si="191"/>
        <v>79</v>
      </c>
      <c r="AC671" s="7">
        <f t="shared" si="192"/>
        <v>0</v>
      </c>
      <c r="AD671" s="7" t="str">
        <f t="shared" si="193"/>
        <v/>
      </c>
      <c r="AE671" s="6">
        <f t="shared" si="194"/>
        <v>0</v>
      </c>
      <c r="AF671" s="69">
        <f t="shared" si="195"/>
        <v>3.0313498553344798</v>
      </c>
      <c r="AG671" s="6">
        <f t="shared" si="196"/>
        <v>0</v>
      </c>
      <c r="AH671" s="6">
        <f t="shared" si="197"/>
        <v>604</v>
      </c>
    </row>
    <row r="672" spans="8:34" x14ac:dyDescent="0.25">
      <c r="H672" s="7">
        <v>679</v>
      </c>
      <c r="I672" s="7" t="s">
        <v>11</v>
      </c>
      <c r="J672" s="8">
        <v>38485</v>
      </c>
      <c r="K672" s="12" t="s">
        <v>18</v>
      </c>
      <c r="L672" s="9">
        <v>25</v>
      </c>
      <c r="M672" s="10">
        <v>75.944187671627063</v>
      </c>
      <c r="N672" s="7" t="s">
        <v>21</v>
      </c>
      <c r="P672" s="29" t="str">
        <f t="shared" si="180"/>
        <v/>
      </c>
      <c r="Q672" s="29" t="str">
        <f t="shared" si="181"/>
        <v/>
      </c>
      <c r="R672" s="29" t="str">
        <f t="shared" si="182"/>
        <v/>
      </c>
      <c r="S672" s="29" t="str">
        <f t="shared" si="183"/>
        <v/>
      </c>
      <c r="T672" s="32" t="str">
        <f t="shared" si="184"/>
        <v/>
      </c>
      <c r="U672" s="32">
        <f t="shared" si="187"/>
        <v>1</v>
      </c>
      <c r="V672" s="32" t="str">
        <f t="shared" si="188"/>
        <v/>
      </c>
      <c r="W672" s="41">
        <f t="shared" si="185"/>
        <v>3.0377675068650825</v>
      </c>
      <c r="X672" s="6">
        <f t="shared" si="186"/>
        <v>75.944187671627063</v>
      </c>
      <c r="Y672" s="7">
        <f t="shared" si="189"/>
        <v>415</v>
      </c>
      <c r="AA672" s="7">
        <f t="shared" si="190"/>
        <v>0</v>
      </c>
      <c r="AB672" s="7" t="str">
        <f t="shared" si="191"/>
        <v/>
      </c>
      <c r="AC672" s="7">
        <f t="shared" si="192"/>
        <v>1</v>
      </c>
      <c r="AD672" s="7">
        <f t="shared" si="193"/>
        <v>25</v>
      </c>
      <c r="AE672" s="6">
        <f t="shared" si="194"/>
        <v>0</v>
      </c>
      <c r="AF672" s="69">
        <f t="shared" si="195"/>
        <v>3.0377675068650825</v>
      </c>
      <c r="AG672" s="6">
        <f t="shared" si="196"/>
        <v>0</v>
      </c>
      <c r="AH672" s="6">
        <f t="shared" si="197"/>
        <v>604</v>
      </c>
    </row>
    <row r="673" spans="8:34" x14ac:dyDescent="0.25">
      <c r="H673" s="7">
        <v>680</v>
      </c>
      <c r="I673" s="7" t="s">
        <v>12</v>
      </c>
      <c r="J673" s="8">
        <v>39002</v>
      </c>
      <c r="K673" s="12" t="s">
        <v>17</v>
      </c>
      <c r="L673" s="9">
        <v>22</v>
      </c>
      <c r="M673" s="10">
        <v>68.814390503031333</v>
      </c>
      <c r="N673" s="7" t="s">
        <v>24</v>
      </c>
      <c r="P673" s="29" t="str">
        <f t="shared" si="180"/>
        <v/>
      </c>
      <c r="Q673" s="29" t="str">
        <f t="shared" si="181"/>
        <v/>
      </c>
      <c r="R673" s="29" t="str">
        <f t="shared" si="182"/>
        <v/>
      </c>
      <c r="S673" s="29" t="str">
        <f t="shared" si="183"/>
        <v/>
      </c>
      <c r="T673" s="32" t="str">
        <f t="shared" si="184"/>
        <v/>
      </c>
      <c r="U673" s="32" t="str">
        <f t="shared" si="187"/>
        <v/>
      </c>
      <c r="V673" s="32">
        <f t="shared" si="188"/>
        <v>1</v>
      </c>
      <c r="W673" s="41">
        <f t="shared" si="185"/>
        <v>3.1279268410468788</v>
      </c>
      <c r="X673" s="6">
        <f t="shared" si="186"/>
        <v>0</v>
      </c>
      <c r="Y673" s="7">
        <f t="shared" si="189"/>
        <v>567</v>
      </c>
      <c r="AA673" s="7">
        <f t="shared" si="190"/>
        <v>0</v>
      </c>
      <c r="AB673" s="7" t="str">
        <f t="shared" si="191"/>
        <v/>
      </c>
      <c r="AC673" s="7">
        <f t="shared" si="192"/>
        <v>0</v>
      </c>
      <c r="AD673" s="7" t="str">
        <f t="shared" si="193"/>
        <v/>
      </c>
      <c r="AE673" s="6">
        <f t="shared" si="194"/>
        <v>0</v>
      </c>
      <c r="AF673" s="69">
        <f t="shared" si="195"/>
        <v>3.1279268410468788</v>
      </c>
      <c r="AG673" s="6">
        <f t="shared" si="196"/>
        <v>0</v>
      </c>
      <c r="AH673" s="6">
        <f t="shared" si="197"/>
        <v>604</v>
      </c>
    </row>
    <row r="674" spans="8:34" x14ac:dyDescent="0.25">
      <c r="H674" s="7">
        <v>681</v>
      </c>
      <c r="I674" s="7" t="s">
        <v>7</v>
      </c>
      <c r="J674" s="8">
        <v>38243</v>
      </c>
      <c r="K674" s="12" t="s">
        <v>19</v>
      </c>
      <c r="L674" s="9">
        <v>88</v>
      </c>
      <c r="M674" s="10">
        <v>265.64166976022739</v>
      </c>
      <c r="N674" s="7" t="s">
        <v>23</v>
      </c>
      <c r="P674" s="29" t="str">
        <f t="shared" si="180"/>
        <v/>
      </c>
      <c r="Q674" s="29" t="str">
        <f t="shared" si="181"/>
        <v/>
      </c>
      <c r="R674" s="29">
        <f t="shared" si="182"/>
        <v>1</v>
      </c>
      <c r="S674" s="29" t="str">
        <f t="shared" si="183"/>
        <v/>
      </c>
      <c r="T674" s="32" t="str">
        <f t="shared" si="184"/>
        <v/>
      </c>
      <c r="U674" s="32" t="str">
        <f t="shared" si="187"/>
        <v/>
      </c>
      <c r="V674" s="32" t="str">
        <f t="shared" si="188"/>
        <v/>
      </c>
      <c r="W674" s="41">
        <f t="shared" si="185"/>
        <v>3.0186553381844021</v>
      </c>
      <c r="X674" s="6">
        <f t="shared" si="186"/>
        <v>0</v>
      </c>
      <c r="Y674" s="7">
        <f t="shared" si="189"/>
        <v>567</v>
      </c>
      <c r="AA674" s="7">
        <f t="shared" si="190"/>
        <v>0</v>
      </c>
      <c r="AB674" s="7" t="str">
        <f t="shared" si="191"/>
        <v/>
      </c>
      <c r="AC674" s="7">
        <f t="shared" si="192"/>
        <v>0</v>
      </c>
      <c r="AD674" s="7" t="str">
        <f t="shared" si="193"/>
        <v/>
      </c>
      <c r="AE674" s="6">
        <f t="shared" si="194"/>
        <v>0</v>
      </c>
      <c r="AF674" s="69">
        <f t="shared" si="195"/>
        <v>3.0186553381844021</v>
      </c>
      <c r="AG674" s="6">
        <f t="shared" si="196"/>
        <v>265.64166976022739</v>
      </c>
      <c r="AH674" s="6">
        <f t="shared" si="197"/>
        <v>42</v>
      </c>
    </row>
    <row r="675" spans="8:34" x14ac:dyDescent="0.25">
      <c r="H675" s="7">
        <v>682</v>
      </c>
      <c r="I675" s="7" t="s">
        <v>13</v>
      </c>
      <c r="J675" s="8">
        <v>38298</v>
      </c>
      <c r="K675" s="12" t="s">
        <v>18</v>
      </c>
      <c r="L675" s="9">
        <v>94</v>
      </c>
      <c r="M675" s="10">
        <v>284.32899274536834</v>
      </c>
      <c r="N675" s="7" t="s">
        <v>22</v>
      </c>
      <c r="P675" s="29" t="str">
        <f t="shared" si="180"/>
        <v/>
      </c>
      <c r="Q675" s="29" t="str">
        <f t="shared" si="181"/>
        <v/>
      </c>
      <c r="R675" s="29" t="str">
        <f t="shared" si="182"/>
        <v/>
      </c>
      <c r="S675" s="29">
        <f t="shared" si="183"/>
        <v>1</v>
      </c>
      <c r="T675" s="32" t="str">
        <f t="shared" si="184"/>
        <v/>
      </c>
      <c r="U675" s="32" t="str">
        <f t="shared" si="187"/>
        <v/>
      </c>
      <c r="V675" s="32" t="str">
        <f t="shared" si="188"/>
        <v/>
      </c>
      <c r="W675" s="41">
        <f t="shared" si="185"/>
        <v>3.0247765185677484</v>
      </c>
      <c r="X675" s="6">
        <f t="shared" si="186"/>
        <v>0</v>
      </c>
      <c r="Y675" s="7">
        <f t="shared" si="189"/>
        <v>567</v>
      </c>
      <c r="AA675" s="7">
        <f t="shared" si="190"/>
        <v>0</v>
      </c>
      <c r="AB675" s="7" t="str">
        <f t="shared" si="191"/>
        <v/>
      </c>
      <c r="AC675" s="7">
        <f t="shared" si="192"/>
        <v>0</v>
      </c>
      <c r="AD675" s="7" t="str">
        <f t="shared" si="193"/>
        <v/>
      </c>
      <c r="AE675" s="6">
        <f t="shared" si="194"/>
        <v>0</v>
      </c>
      <c r="AF675" s="69">
        <f t="shared" si="195"/>
        <v>3.0247765185677484</v>
      </c>
      <c r="AG675" s="6">
        <f t="shared" si="196"/>
        <v>284.32899274536834</v>
      </c>
      <c r="AH675" s="6">
        <f t="shared" si="197"/>
        <v>6</v>
      </c>
    </row>
    <row r="676" spans="8:34" x14ac:dyDescent="0.25">
      <c r="H676" s="7">
        <v>683</v>
      </c>
      <c r="I676" s="7" t="s">
        <v>14</v>
      </c>
      <c r="J676" s="8">
        <v>38628</v>
      </c>
      <c r="K676" s="12" t="s">
        <v>20</v>
      </c>
      <c r="L676" s="9">
        <v>58</v>
      </c>
      <c r="M676" s="10">
        <v>176.72593852578336</v>
      </c>
      <c r="N676" s="7" t="s">
        <v>21</v>
      </c>
      <c r="P676" s="29" t="str">
        <f t="shared" si="180"/>
        <v/>
      </c>
      <c r="Q676" s="29" t="str">
        <f t="shared" si="181"/>
        <v/>
      </c>
      <c r="R676" s="29" t="str">
        <f t="shared" si="182"/>
        <v/>
      </c>
      <c r="S676" s="29" t="str">
        <f t="shared" si="183"/>
        <v/>
      </c>
      <c r="T676" s="32">
        <f t="shared" si="184"/>
        <v>1</v>
      </c>
      <c r="U676" s="32">
        <f t="shared" si="187"/>
        <v>1</v>
      </c>
      <c r="V676" s="32" t="str">
        <f t="shared" si="188"/>
        <v/>
      </c>
      <c r="W676" s="41">
        <f t="shared" si="185"/>
        <v>3.0469989400997131</v>
      </c>
      <c r="X676" s="6">
        <f t="shared" si="186"/>
        <v>176.72593852578336</v>
      </c>
      <c r="Y676" s="7">
        <f t="shared" si="189"/>
        <v>210</v>
      </c>
      <c r="AA676" s="7">
        <f t="shared" si="190"/>
        <v>0</v>
      </c>
      <c r="AB676" s="7" t="str">
        <f t="shared" si="191"/>
        <v/>
      </c>
      <c r="AC676" s="7">
        <f t="shared" si="192"/>
        <v>1</v>
      </c>
      <c r="AD676" s="7">
        <f t="shared" si="193"/>
        <v>58</v>
      </c>
      <c r="AE676" s="6">
        <f t="shared" si="194"/>
        <v>0</v>
      </c>
      <c r="AF676" s="69">
        <f t="shared" si="195"/>
        <v>3.0469989400997131</v>
      </c>
      <c r="AG676" s="6">
        <f t="shared" si="196"/>
        <v>0</v>
      </c>
      <c r="AH676" s="6">
        <f t="shared" si="197"/>
        <v>604</v>
      </c>
    </row>
    <row r="677" spans="8:34" x14ac:dyDescent="0.25">
      <c r="H677" s="7">
        <v>684</v>
      </c>
      <c r="I677" s="7" t="s">
        <v>13</v>
      </c>
      <c r="J677" s="8">
        <v>38507</v>
      </c>
      <c r="K677" s="12" t="s">
        <v>17</v>
      </c>
      <c r="L677" s="9">
        <v>66</v>
      </c>
      <c r="M677" s="10">
        <v>200.20830019781053</v>
      </c>
      <c r="N677" s="7" t="s">
        <v>21</v>
      </c>
      <c r="P677" s="29" t="str">
        <f t="shared" si="180"/>
        <v/>
      </c>
      <c r="Q677" s="29" t="str">
        <f t="shared" si="181"/>
        <v/>
      </c>
      <c r="R677" s="29" t="str">
        <f t="shared" si="182"/>
        <v/>
      </c>
      <c r="S677" s="29" t="str">
        <f t="shared" si="183"/>
        <v/>
      </c>
      <c r="T677" s="32" t="str">
        <f t="shared" si="184"/>
        <v/>
      </c>
      <c r="U677" s="32">
        <f t="shared" si="187"/>
        <v>1</v>
      </c>
      <c r="V677" s="32" t="str">
        <f t="shared" si="188"/>
        <v/>
      </c>
      <c r="W677" s="41">
        <f t="shared" si="185"/>
        <v>3.0334590939062203</v>
      </c>
      <c r="X677" s="6">
        <f t="shared" si="186"/>
        <v>200.20830019781053</v>
      </c>
      <c r="Y677" s="7">
        <f t="shared" si="189"/>
        <v>179</v>
      </c>
      <c r="AA677" s="7">
        <f t="shared" si="190"/>
        <v>0</v>
      </c>
      <c r="AB677" s="7" t="str">
        <f t="shared" si="191"/>
        <v/>
      </c>
      <c r="AC677" s="7">
        <f t="shared" si="192"/>
        <v>1</v>
      </c>
      <c r="AD677" s="7">
        <f t="shared" si="193"/>
        <v>66</v>
      </c>
      <c r="AE677" s="6">
        <f t="shared" si="194"/>
        <v>0</v>
      </c>
      <c r="AF677" s="69">
        <f t="shared" si="195"/>
        <v>3.0334590939062203</v>
      </c>
      <c r="AG677" s="6">
        <f t="shared" si="196"/>
        <v>0</v>
      </c>
      <c r="AH677" s="6">
        <f t="shared" si="197"/>
        <v>604</v>
      </c>
    </row>
    <row r="678" spans="8:34" x14ac:dyDescent="0.25">
      <c r="H678" s="7">
        <v>685</v>
      </c>
      <c r="I678" s="7" t="s">
        <v>14</v>
      </c>
      <c r="J678" s="8">
        <v>38936</v>
      </c>
      <c r="K678" s="12" t="s">
        <v>16</v>
      </c>
      <c r="L678" s="9">
        <v>82</v>
      </c>
      <c r="M678" s="10">
        <v>247.93546068655294</v>
      </c>
      <c r="N678" s="7" t="s">
        <v>23</v>
      </c>
      <c r="P678" s="29" t="str">
        <f t="shared" si="180"/>
        <v/>
      </c>
      <c r="Q678" s="29" t="str">
        <f t="shared" si="181"/>
        <v/>
      </c>
      <c r="R678" s="29" t="str">
        <f t="shared" si="182"/>
        <v/>
      </c>
      <c r="S678" s="29" t="str">
        <f t="shared" si="183"/>
        <v/>
      </c>
      <c r="T678" s="32" t="str">
        <f t="shared" si="184"/>
        <v/>
      </c>
      <c r="U678" s="32" t="str">
        <f t="shared" si="187"/>
        <v/>
      </c>
      <c r="V678" s="32">
        <f t="shared" si="188"/>
        <v>1</v>
      </c>
      <c r="W678" s="41">
        <f t="shared" si="185"/>
        <v>3.0236031791043043</v>
      </c>
      <c r="X678" s="6">
        <f t="shared" si="186"/>
        <v>0</v>
      </c>
      <c r="Y678" s="7">
        <f t="shared" si="189"/>
        <v>567</v>
      </c>
      <c r="AA678" s="7">
        <f t="shared" si="190"/>
        <v>0</v>
      </c>
      <c r="AB678" s="7" t="str">
        <f t="shared" si="191"/>
        <v/>
      </c>
      <c r="AC678" s="7">
        <f t="shared" si="192"/>
        <v>0</v>
      </c>
      <c r="AD678" s="7" t="str">
        <f t="shared" si="193"/>
        <v/>
      </c>
      <c r="AE678" s="6">
        <f t="shared" si="194"/>
        <v>0</v>
      </c>
      <c r="AF678" s="69">
        <f t="shared" si="195"/>
        <v>3.0236031791043043</v>
      </c>
      <c r="AG678" s="6">
        <f t="shared" si="196"/>
        <v>0</v>
      </c>
      <c r="AH678" s="6">
        <f t="shared" si="197"/>
        <v>604</v>
      </c>
    </row>
    <row r="679" spans="8:34" x14ac:dyDescent="0.25">
      <c r="H679" s="7">
        <v>686</v>
      </c>
      <c r="I679" s="7" t="s">
        <v>8</v>
      </c>
      <c r="J679" s="8">
        <v>38991</v>
      </c>
      <c r="K679" s="12" t="s">
        <v>18</v>
      </c>
      <c r="L679" s="9">
        <v>94</v>
      </c>
      <c r="M679" s="10">
        <v>283.7655668516507</v>
      </c>
      <c r="N679" s="7" t="s">
        <v>21</v>
      </c>
      <c r="P679" s="29" t="str">
        <f t="shared" si="180"/>
        <v/>
      </c>
      <c r="Q679" s="29" t="str">
        <f t="shared" si="181"/>
        <v/>
      </c>
      <c r="R679" s="29" t="str">
        <f t="shared" si="182"/>
        <v/>
      </c>
      <c r="S679" s="29" t="str">
        <f t="shared" si="183"/>
        <v/>
      </c>
      <c r="T679" s="32" t="str">
        <f t="shared" si="184"/>
        <v/>
      </c>
      <c r="U679" s="32" t="str">
        <f t="shared" si="187"/>
        <v/>
      </c>
      <c r="V679" s="32">
        <f t="shared" si="188"/>
        <v>1</v>
      </c>
      <c r="W679" s="41">
        <f t="shared" si="185"/>
        <v>3.0187826260813906</v>
      </c>
      <c r="X679" s="6">
        <f t="shared" si="186"/>
        <v>0</v>
      </c>
      <c r="Y679" s="7">
        <f t="shared" si="189"/>
        <v>567</v>
      </c>
      <c r="AA679" s="7">
        <f t="shared" si="190"/>
        <v>0</v>
      </c>
      <c r="AB679" s="7" t="str">
        <f t="shared" si="191"/>
        <v/>
      </c>
      <c r="AC679" s="7">
        <f t="shared" si="192"/>
        <v>0</v>
      </c>
      <c r="AD679" s="7" t="str">
        <f t="shared" si="193"/>
        <v/>
      </c>
      <c r="AE679" s="6">
        <f t="shared" si="194"/>
        <v>0</v>
      </c>
      <c r="AF679" s="69">
        <f t="shared" si="195"/>
        <v>3.0187826260813906</v>
      </c>
      <c r="AG679" s="6">
        <f t="shared" si="196"/>
        <v>0</v>
      </c>
      <c r="AH679" s="6">
        <f t="shared" si="197"/>
        <v>604</v>
      </c>
    </row>
    <row r="680" spans="8:34" x14ac:dyDescent="0.25">
      <c r="H680" s="7">
        <v>687</v>
      </c>
      <c r="I680" s="7" t="s">
        <v>9</v>
      </c>
      <c r="J680" s="8">
        <v>39079</v>
      </c>
      <c r="K680" s="12" t="s">
        <v>17</v>
      </c>
      <c r="L680" s="9">
        <v>27</v>
      </c>
      <c r="M680" s="10">
        <v>82.883173616974645</v>
      </c>
      <c r="N680" s="7" t="s">
        <v>23</v>
      </c>
      <c r="P680" s="29" t="str">
        <f t="shared" si="180"/>
        <v/>
      </c>
      <c r="Q680" s="29" t="str">
        <f t="shared" si="181"/>
        <v/>
      </c>
      <c r="R680" s="29" t="str">
        <f t="shared" si="182"/>
        <v/>
      </c>
      <c r="S680" s="29" t="str">
        <f t="shared" si="183"/>
        <v/>
      </c>
      <c r="T680" s="32" t="str">
        <f t="shared" si="184"/>
        <v/>
      </c>
      <c r="U680" s="32" t="str">
        <f t="shared" si="187"/>
        <v/>
      </c>
      <c r="V680" s="32">
        <f t="shared" si="188"/>
        <v>1</v>
      </c>
      <c r="W680" s="41">
        <f t="shared" si="185"/>
        <v>3.0697471709990611</v>
      </c>
      <c r="X680" s="6">
        <f t="shared" si="186"/>
        <v>0</v>
      </c>
      <c r="Y680" s="7">
        <f t="shared" si="189"/>
        <v>567</v>
      </c>
      <c r="AA680" s="7">
        <f t="shared" si="190"/>
        <v>0</v>
      </c>
      <c r="AB680" s="7" t="str">
        <f t="shared" si="191"/>
        <v/>
      </c>
      <c r="AC680" s="7">
        <f t="shared" si="192"/>
        <v>0</v>
      </c>
      <c r="AD680" s="7" t="str">
        <f t="shared" si="193"/>
        <v/>
      </c>
      <c r="AE680" s="6">
        <f t="shared" si="194"/>
        <v>0</v>
      </c>
      <c r="AF680" s="69">
        <f t="shared" si="195"/>
        <v>3.0697471709990611</v>
      </c>
      <c r="AG680" s="6">
        <f t="shared" si="196"/>
        <v>0</v>
      </c>
      <c r="AH680" s="6">
        <f t="shared" si="197"/>
        <v>604</v>
      </c>
    </row>
    <row r="681" spans="8:34" x14ac:dyDescent="0.25">
      <c r="H681" s="7">
        <v>688</v>
      </c>
      <c r="I681" s="7" t="s">
        <v>7</v>
      </c>
      <c r="J681" s="8">
        <v>38089</v>
      </c>
      <c r="K681" s="12" t="s">
        <v>19</v>
      </c>
      <c r="L681" s="9">
        <v>56</v>
      </c>
      <c r="M681" s="10">
        <v>169.95658667826987</v>
      </c>
      <c r="N681" s="7" t="s">
        <v>22</v>
      </c>
      <c r="P681" s="29" t="str">
        <f t="shared" si="180"/>
        <v/>
      </c>
      <c r="Q681" s="29">
        <f t="shared" si="181"/>
        <v>1</v>
      </c>
      <c r="R681" s="29" t="str">
        <f t="shared" si="182"/>
        <v/>
      </c>
      <c r="S681" s="29" t="str">
        <f t="shared" si="183"/>
        <v/>
      </c>
      <c r="T681" s="32" t="str">
        <f t="shared" si="184"/>
        <v/>
      </c>
      <c r="U681" s="32" t="str">
        <f t="shared" si="187"/>
        <v/>
      </c>
      <c r="V681" s="32" t="str">
        <f t="shared" si="188"/>
        <v/>
      </c>
      <c r="W681" s="41">
        <f t="shared" si="185"/>
        <v>3.0349390478262479</v>
      </c>
      <c r="X681" s="6">
        <f t="shared" si="186"/>
        <v>0</v>
      </c>
      <c r="Y681" s="7">
        <f t="shared" si="189"/>
        <v>567</v>
      </c>
      <c r="AA681" s="7">
        <f t="shared" si="190"/>
        <v>0</v>
      </c>
      <c r="AB681" s="7" t="str">
        <f t="shared" si="191"/>
        <v/>
      </c>
      <c r="AC681" s="7">
        <f t="shared" si="192"/>
        <v>0</v>
      </c>
      <c r="AD681" s="7" t="str">
        <f t="shared" si="193"/>
        <v/>
      </c>
      <c r="AE681" s="6">
        <f t="shared" si="194"/>
        <v>0</v>
      </c>
      <c r="AF681" s="69">
        <f t="shared" si="195"/>
        <v>3.0349390478262479</v>
      </c>
      <c r="AG681" s="6">
        <f t="shared" si="196"/>
        <v>169.95658667826987</v>
      </c>
      <c r="AH681" s="6">
        <f t="shared" si="197"/>
        <v>237</v>
      </c>
    </row>
    <row r="682" spans="8:34" x14ac:dyDescent="0.25">
      <c r="H682" s="7">
        <v>689</v>
      </c>
      <c r="I682" s="7" t="s">
        <v>13</v>
      </c>
      <c r="J682" s="8">
        <v>38826</v>
      </c>
      <c r="K682" s="12" t="s">
        <v>20</v>
      </c>
      <c r="L682" s="9">
        <v>82</v>
      </c>
      <c r="M682" s="10">
        <v>247.80094907753815</v>
      </c>
      <c r="N682" s="7" t="s">
        <v>21</v>
      </c>
      <c r="P682" s="29" t="str">
        <f t="shared" si="180"/>
        <v/>
      </c>
      <c r="Q682" s="29" t="str">
        <f t="shared" si="181"/>
        <v/>
      </c>
      <c r="R682" s="29" t="str">
        <f t="shared" si="182"/>
        <v/>
      </c>
      <c r="S682" s="29" t="str">
        <f t="shared" si="183"/>
        <v/>
      </c>
      <c r="T682" s="32" t="str">
        <f t="shared" si="184"/>
        <v/>
      </c>
      <c r="U682" s="32" t="str">
        <f t="shared" si="187"/>
        <v/>
      </c>
      <c r="V682" s="32">
        <f t="shared" si="188"/>
        <v>1</v>
      </c>
      <c r="W682" s="41">
        <f t="shared" si="185"/>
        <v>3.0219627936285138</v>
      </c>
      <c r="X682" s="6">
        <f t="shared" si="186"/>
        <v>0</v>
      </c>
      <c r="Y682" s="7">
        <f t="shared" si="189"/>
        <v>567</v>
      </c>
      <c r="AA682" s="7">
        <f t="shared" si="190"/>
        <v>0</v>
      </c>
      <c r="AB682" s="7" t="str">
        <f t="shared" si="191"/>
        <v/>
      </c>
      <c r="AC682" s="7">
        <f t="shared" si="192"/>
        <v>0</v>
      </c>
      <c r="AD682" s="7" t="str">
        <f t="shared" si="193"/>
        <v/>
      </c>
      <c r="AE682" s="6">
        <f t="shared" si="194"/>
        <v>0</v>
      </c>
      <c r="AF682" s="69">
        <f t="shared" si="195"/>
        <v>3.0219627936285138</v>
      </c>
      <c r="AG682" s="6">
        <f t="shared" si="196"/>
        <v>0</v>
      </c>
      <c r="AH682" s="6">
        <f t="shared" si="197"/>
        <v>604</v>
      </c>
    </row>
    <row r="683" spans="8:34" x14ac:dyDescent="0.25">
      <c r="H683" s="7">
        <v>690</v>
      </c>
      <c r="I683" s="7" t="s">
        <v>13</v>
      </c>
      <c r="J683" s="8">
        <v>38606</v>
      </c>
      <c r="K683" s="12" t="s">
        <v>20</v>
      </c>
      <c r="L683" s="9">
        <v>7</v>
      </c>
      <c r="M683" s="10">
        <v>23.067714309015152</v>
      </c>
      <c r="N683" s="7" t="s">
        <v>21</v>
      </c>
      <c r="P683" s="29" t="str">
        <f t="shared" si="180"/>
        <v/>
      </c>
      <c r="Q683" s="29" t="str">
        <f t="shared" si="181"/>
        <v/>
      </c>
      <c r="R683" s="29" t="str">
        <f t="shared" si="182"/>
        <v/>
      </c>
      <c r="S683" s="29" t="str">
        <f t="shared" si="183"/>
        <v/>
      </c>
      <c r="T683" s="32" t="str">
        <f t="shared" si="184"/>
        <v/>
      </c>
      <c r="U683" s="32">
        <f t="shared" si="187"/>
        <v>1</v>
      </c>
      <c r="V683" s="32" t="str">
        <f t="shared" si="188"/>
        <v/>
      </c>
      <c r="W683" s="41">
        <f t="shared" si="185"/>
        <v>3.2953877584307358</v>
      </c>
      <c r="X683" s="6">
        <f t="shared" si="186"/>
        <v>23.067714309015152</v>
      </c>
      <c r="Y683" s="7">
        <f t="shared" si="189"/>
        <v>519</v>
      </c>
      <c r="AA683" s="7">
        <f t="shared" si="190"/>
        <v>1</v>
      </c>
      <c r="AB683" s="7">
        <f t="shared" si="191"/>
        <v>7</v>
      </c>
      <c r="AC683" s="7">
        <f t="shared" si="192"/>
        <v>0</v>
      </c>
      <c r="AD683" s="7" t="str">
        <f t="shared" si="193"/>
        <v/>
      </c>
      <c r="AE683" s="6">
        <f t="shared" si="194"/>
        <v>0</v>
      </c>
      <c r="AF683" s="69">
        <f t="shared" si="195"/>
        <v>3.2953877584307358</v>
      </c>
      <c r="AG683" s="6">
        <f t="shared" si="196"/>
        <v>0</v>
      </c>
      <c r="AH683" s="6">
        <f t="shared" si="197"/>
        <v>604</v>
      </c>
    </row>
    <row r="684" spans="8:34" x14ac:dyDescent="0.25">
      <c r="H684" s="7">
        <v>691</v>
      </c>
      <c r="I684" s="7" t="s">
        <v>7</v>
      </c>
      <c r="J684" s="8">
        <v>38727</v>
      </c>
      <c r="K684" s="12" t="s">
        <v>17</v>
      </c>
      <c r="L684" s="9">
        <v>25</v>
      </c>
      <c r="M684" s="10">
        <v>77.367215999588439</v>
      </c>
      <c r="N684" s="7" t="s">
        <v>23</v>
      </c>
      <c r="P684" s="29" t="str">
        <f t="shared" si="180"/>
        <v/>
      </c>
      <c r="Q684" s="29" t="str">
        <f t="shared" si="181"/>
        <v/>
      </c>
      <c r="R684" s="29" t="str">
        <f t="shared" si="182"/>
        <v/>
      </c>
      <c r="S684" s="29" t="str">
        <f t="shared" si="183"/>
        <v/>
      </c>
      <c r="T684" s="32" t="str">
        <f t="shared" si="184"/>
        <v/>
      </c>
      <c r="U684" s="32" t="str">
        <f t="shared" si="187"/>
        <v/>
      </c>
      <c r="V684" s="32">
        <f t="shared" si="188"/>
        <v>1</v>
      </c>
      <c r="W684" s="41">
        <f t="shared" si="185"/>
        <v>3.0946886399835374</v>
      </c>
      <c r="X684" s="6">
        <f t="shared" si="186"/>
        <v>0</v>
      </c>
      <c r="Y684" s="7">
        <f t="shared" si="189"/>
        <v>567</v>
      </c>
      <c r="AA684" s="7">
        <f t="shared" si="190"/>
        <v>0</v>
      </c>
      <c r="AB684" s="7" t="str">
        <f t="shared" si="191"/>
        <v/>
      </c>
      <c r="AC684" s="7">
        <f t="shared" si="192"/>
        <v>0</v>
      </c>
      <c r="AD684" s="7" t="str">
        <f t="shared" si="193"/>
        <v/>
      </c>
      <c r="AE684" s="6">
        <f t="shared" si="194"/>
        <v>0</v>
      </c>
      <c r="AF684" s="69">
        <f t="shared" si="195"/>
        <v>3.0946886399835374</v>
      </c>
      <c r="AG684" s="6">
        <f t="shared" si="196"/>
        <v>0</v>
      </c>
      <c r="AH684" s="6">
        <f t="shared" si="197"/>
        <v>604</v>
      </c>
    </row>
    <row r="685" spans="8:34" x14ac:dyDescent="0.25">
      <c r="H685" s="7">
        <v>692</v>
      </c>
      <c r="I685" s="7" t="s">
        <v>9</v>
      </c>
      <c r="J685" s="8">
        <v>39079</v>
      </c>
      <c r="K685" s="12" t="s">
        <v>18</v>
      </c>
      <c r="L685" s="9">
        <v>15</v>
      </c>
      <c r="M685" s="10">
        <v>46.808970139122437</v>
      </c>
      <c r="N685" s="7" t="s">
        <v>21</v>
      </c>
      <c r="P685" s="29" t="str">
        <f t="shared" si="180"/>
        <v/>
      </c>
      <c r="Q685" s="29" t="str">
        <f t="shared" si="181"/>
        <v/>
      </c>
      <c r="R685" s="29" t="str">
        <f t="shared" si="182"/>
        <v/>
      </c>
      <c r="S685" s="29" t="str">
        <f t="shared" si="183"/>
        <v/>
      </c>
      <c r="T685" s="32" t="str">
        <f t="shared" si="184"/>
        <v/>
      </c>
      <c r="U685" s="32" t="str">
        <f t="shared" si="187"/>
        <v/>
      </c>
      <c r="V685" s="32">
        <f t="shared" si="188"/>
        <v>1</v>
      </c>
      <c r="W685" s="41">
        <f t="shared" si="185"/>
        <v>3.1205980092748291</v>
      </c>
      <c r="X685" s="6">
        <f t="shared" si="186"/>
        <v>0</v>
      </c>
      <c r="Y685" s="7">
        <f t="shared" si="189"/>
        <v>567</v>
      </c>
      <c r="AA685" s="7">
        <f t="shared" si="190"/>
        <v>0</v>
      </c>
      <c r="AB685" s="7" t="str">
        <f t="shared" si="191"/>
        <v/>
      </c>
      <c r="AC685" s="7">
        <f t="shared" si="192"/>
        <v>0</v>
      </c>
      <c r="AD685" s="7" t="str">
        <f t="shared" si="193"/>
        <v/>
      </c>
      <c r="AE685" s="6">
        <f t="shared" si="194"/>
        <v>0</v>
      </c>
      <c r="AF685" s="69">
        <f t="shared" si="195"/>
        <v>3.1205980092748291</v>
      </c>
      <c r="AG685" s="6">
        <f t="shared" si="196"/>
        <v>0</v>
      </c>
      <c r="AH685" s="6">
        <f t="shared" si="197"/>
        <v>604</v>
      </c>
    </row>
    <row r="686" spans="8:34" x14ac:dyDescent="0.25">
      <c r="H686" s="7">
        <v>693</v>
      </c>
      <c r="I686" s="7" t="s">
        <v>14</v>
      </c>
      <c r="J686" s="8">
        <v>38265</v>
      </c>
      <c r="K686" s="12" t="s">
        <v>18</v>
      </c>
      <c r="L686" s="9">
        <v>39</v>
      </c>
      <c r="M686" s="10">
        <v>118.82068608795676</v>
      </c>
      <c r="N686" s="7" t="s">
        <v>21</v>
      </c>
      <c r="P686" s="29" t="str">
        <f t="shared" si="180"/>
        <v/>
      </c>
      <c r="Q686" s="29" t="str">
        <f t="shared" si="181"/>
        <v/>
      </c>
      <c r="R686" s="29" t="str">
        <f t="shared" si="182"/>
        <v/>
      </c>
      <c r="S686" s="29">
        <f t="shared" si="183"/>
        <v>1</v>
      </c>
      <c r="T686" s="32" t="str">
        <f t="shared" si="184"/>
        <v/>
      </c>
      <c r="U686" s="32" t="str">
        <f t="shared" si="187"/>
        <v/>
      </c>
      <c r="V686" s="32" t="str">
        <f t="shared" si="188"/>
        <v/>
      </c>
      <c r="W686" s="41">
        <f t="shared" si="185"/>
        <v>3.0466842586655578</v>
      </c>
      <c r="X686" s="6">
        <f t="shared" si="186"/>
        <v>0</v>
      </c>
      <c r="Y686" s="7">
        <f t="shared" si="189"/>
        <v>567</v>
      </c>
      <c r="AA686" s="7">
        <f t="shared" si="190"/>
        <v>0</v>
      </c>
      <c r="AB686" s="7" t="str">
        <f t="shared" si="191"/>
        <v/>
      </c>
      <c r="AC686" s="7">
        <f t="shared" si="192"/>
        <v>0</v>
      </c>
      <c r="AD686" s="7" t="str">
        <f t="shared" si="193"/>
        <v/>
      </c>
      <c r="AE686" s="6">
        <f t="shared" si="194"/>
        <v>0</v>
      </c>
      <c r="AF686" s="69">
        <f t="shared" si="195"/>
        <v>3.0466842586655578</v>
      </c>
      <c r="AG686" s="6">
        <f t="shared" si="196"/>
        <v>118.82068608795676</v>
      </c>
      <c r="AH686" s="6">
        <f t="shared" si="197"/>
        <v>335</v>
      </c>
    </row>
    <row r="687" spans="8:34" x14ac:dyDescent="0.25">
      <c r="H687" s="7">
        <v>694</v>
      </c>
      <c r="I687" s="7" t="s">
        <v>7</v>
      </c>
      <c r="J687" s="8">
        <v>38628</v>
      </c>
      <c r="K687" s="12" t="s">
        <v>17</v>
      </c>
      <c r="L687" s="9">
        <v>22</v>
      </c>
      <c r="M687" s="10">
        <v>67.920921050637091</v>
      </c>
      <c r="N687" s="7" t="s">
        <v>22</v>
      </c>
      <c r="P687" s="29" t="str">
        <f t="shared" si="180"/>
        <v/>
      </c>
      <c r="Q687" s="29" t="str">
        <f t="shared" si="181"/>
        <v/>
      </c>
      <c r="R687" s="29" t="str">
        <f t="shared" si="182"/>
        <v/>
      </c>
      <c r="S687" s="29" t="str">
        <f t="shared" si="183"/>
        <v/>
      </c>
      <c r="T687" s="32">
        <f t="shared" si="184"/>
        <v>1</v>
      </c>
      <c r="U687" s="32">
        <f t="shared" si="187"/>
        <v>1</v>
      </c>
      <c r="V687" s="32" t="str">
        <f t="shared" si="188"/>
        <v/>
      </c>
      <c r="W687" s="41">
        <f t="shared" si="185"/>
        <v>3.0873145932107771</v>
      </c>
      <c r="X687" s="6">
        <f t="shared" si="186"/>
        <v>67.920921050637091</v>
      </c>
      <c r="Y687" s="7">
        <f t="shared" si="189"/>
        <v>431</v>
      </c>
      <c r="AA687" s="7">
        <f t="shared" si="190"/>
        <v>0</v>
      </c>
      <c r="AB687" s="7" t="str">
        <f t="shared" si="191"/>
        <v/>
      </c>
      <c r="AC687" s="7">
        <f t="shared" si="192"/>
        <v>1</v>
      </c>
      <c r="AD687" s="7">
        <f t="shared" si="193"/>
        <v>22</v>
      </c>
      <c r="AE687" s="6">
        <f t="shared" si="194"/>
        <v>0</v>
      </c>
      <c r="AF687" s="69">
        <f t="shared" si="195"/>
        <v>3.0873145932107771</v>
      </c>
      <c r="AG687" s="6">
        <f t="shared" si="196"/>
        <v>0</v>
      </c>
      <c r="AH687" s="6">
        <f t="shared" si="197"/>
        <v>604</v>
      </c>
    </row>
    <row r="688" spans="8:34" x14ac:dyDescent="0.25">
      <c r="H688" s="7">
        <v>695</v>
      </c>
      <c r="I688" s="7" t="s">
        <v>10</v>
      </c>
      <c r="J688" s="8">
        <v>38430</v>
      </c>
      <c r="K688" s="12" t="s">
        <v>19</v>
      </c>
      <c r="L688" s="9">
        <v>0</v>
      </c>
      <c r="M688" s="10">
        <v>1.5802940518086344</v>
      </c>
      <c r="N688" s="7" t="s">
        <v>23</v>
      </c>
      <c r="P688" s="29" t="str">
        <f t="shared" si="180"/>
        <v/>
      </c>
      <c r="Q688" s="29" t="str">
        <f t="shared" si="181"/>
        <v/>
      </c>
      <c r="R688" s="29" t="str">
        <f t="shared" si="182"/>
        <v/>
      </c>
      <c r="S688" s="29" t="str">
        <f t="shared" si="183"/>
        <v/>
      </c>
      <c r="T688" s="32" t="str">
        <f t="shared" si="184"/>
        <v/>
      </c>
      <c r="U688" s="32">
        <f t="shared" si="187"/>
        <v>1</v>
      </c>
      <c r="V688" s="32" t="str">
        <f t="shared" si="188"/>
        <v/>
      </c>
      <c r="W688" s="41" t="str">
        <f t="shared" si="185"/>
        <v/>
      </c>
      <c r="X688" s="6">
        <f t="shared" si="186"/>
        <v>1.5802940518086344</v>
      </c>
      <c r="Y688" s="7">
        <f t="shared" si="189"/>
        <v>566</v>
      </c>
      <c r="AA688" s="7">
        <f t="shared" si="190"/>
        <v>1</v>
      </c>
      <c r="AB688" s="7">
        <f t="shared" si="191"/>
        <v>0</v>
      </c>
      <c r="AC688" s="7">
        <f t="shared" si="192"/>
        <v>0</v>
      </c>
      <c r="AD688" s="7" t="str">
        <f t="shared" si="193"/>
        <v/>
      </c>
      <c r="AE688" s="6">
        <f t="shared" si="194"/>
        <v>0</v>
      </c>
      <c r="AF688" s="69" t="str">
        <f t="shared" si="195"/>
        <v/>
      </c>
      <c r="AG688" s="6">
        <f t="shared" si="196"/>
        <v>0</v>
      </c>
      <c r="AH688" s="6">
        <f t="shared" si="197"/>
        <v>604</v>
      </c>
    </row>
    <row r="689" spans="8:34" x14ac:dyDescent="0.25">
      <c r="H689" s="7">
        <v>696</v>
      </c>
      <c r="I689" s="7" t="s">
        <v>7</v>
      </c>
      <c r="J689" s="8">
        <v>38188</v>
      </c>
      <c r="K689" s="12" t="s">
        <v>20</v>
      </c>
      <c r="L689" s="9">
        <v>47</v>
      </c>
      <c r="M689" s="10">
        <v>142.62566704955398</v>
      </c>
      <c r="N689" s="7" t="s">
        <v>21</v>
      </c>
      <c r="P689" s="29" t="str">
        <f t="shared" si="180"/>
        <v/>
      </c>
      <c r="Q689" s="29" t="str">
        <f t="shared" si="181"/>
        <v/>
      </c>
      <c r="R689" s="29">
        <f t="shared" si="182"/>
        <v>1</v>
      </c>
      <c r="S689" s="29" t="str">
        <f t="shared" si="183"/>
        <v/>
      </c>
      <c r="T689" s="32" t="str">
        <f t="shared" si="184"/>
        <v/>
      </c>
      <c r="U689" s="32" t="str">
        <f t="shared" si="187"/>
        <v/>
      </c>
      <c r="V689" s="32" t="str">
        <f t="shared" si="188"/>
        <v/>
      </c>
      <c r="W689" s="41">
        <f t="shared" si="185"/>
        <v>3.0345886606288079</v>
      </c>
      <c r="X689" s="6">
        <f t="shared" si="186"/>
        <v>0</v>
      </c>
      <c r="Y689" s="7">
        <f t="shared" si="189"/>
        <v>567</v>
      </c>
      <c r="AA689" s="7">
        <f t="shared" si="190"/>
        <v>0</v>
      </c>
      <c r="AB689" s="7" t="str">
        <f t="shared" si="191"/>
        <v/>
      </c>
      <c r="AC689" s="7">
        <f t="shared" si="192"/>
        <v>0</v>
      </c>
      <c r="AD689" s="7" t="str">
        <f t="shared" si="193"/>
        <v/>
      </c>
      <c r="AE689" s="6">
        <f t="shared" si="194"/>
        <v>0</v>
      </c>
      <c r="AF689" s="69">
        <f t="shared" si="195"/>
        <v>3.0345886606288079</v>
      </c>
      <c r="AG689" s="6">
        <f t="shared" si="196"/>
        <v>142.62566704955398</v>
      </c>
      <c r="AH689" s="6">
        <f t="shared" si="197"/>
        <v>290</v>
      </c>
    </row>
    <row r="690" spans="8:34" x14ac:dyDescent="0.25">
      <c r="H690" s="7">
        <v>697</v>
      </c>
      <c r="I690" s="7" t="s">
        <v>14</v>
      </c>
      <c r="J690" s="8">
        <v>38782</v>
      </c>
      <c r="K690" s="12" t="s">
        <v>19</v>
      </c>
      <c r="L690" s="9">
        <v>36</v>
      </c>
      <c r="M690" s="10">
        <v>110.25851548113316</v>
      </c>
      <c r="N690" s="7" t="s">
        <v>24</v>
      </c>
      <c r="P690" s="29" t="str">
        <f t="shared" si="180"/>
        <v/>
      </c>
      <c r="Q690" s="29" t="str">
        <f t="shared" si="181"/>
        <v/>
      </c>
      <c r="R690" s="29" t="str">
        <f t="shared" si="182"/>
        <v/>
      </c>
      <c r="S690" s="29" t="str">
        <f t="shared" si="183"/>
        <v/>
      </c>
      <c r="T690" s="32" t="str">
        <f t="shared" si="184"/>
        <v/>
      </c>
      <c r="U690" s="32" t="str">
        <f t="shared" si="187"/>
        <v/>
      </c>
      <c r="V690" s="32">
        <f t="shared" si="188"/>
        <v>1</v>
      </c>
      <c r="W690" s="41">
        <f t="shared" si="185"/>
        <v>3.0627365411425878</v>
      </c>
      <c r="X690" s="6">
        <f t="shared" si="186"/>
        <v>0</v>
      </c>
      <c r="Y690" s="7">
        <f t="shared" si="189"/>
        <v>567</v>
      </c>
      <c r="AA690" s="7">
        <f t="shared" si="190"/>
        <v>0</v>
      </c>
      <c r="AB690" s="7" t="str">
        <f t="shared" si="191"/>
        <v/>
      </c>
      <c r="AC690" s="7">
        <f t="shared" si="192"/>
        <v>0</v>
      </c>
      <c r="AD690" s="7" t="str">
        <f t="shared" si="193"/>
        <v/>
      </c>
      <c r="AE690" s="6">
        <f t="shared" si="194"/>
        <v>0</v>
      </c>
      <c r="AF690" s="69">
        <f t="shared" si="195"/>
        <v>3.0627365411425878</v>
      </c>
      <c r="AG690" s="6">
        <f t="shared" si="196"/>
        <v>0</v>
      </c>
      <c r="AH690" s="6">
        <f t="shared" si="197"/>
        <v>604</v>
      </c>
    </row>
    <row r="691" spans="8:34" x14ac:dyDescent="0.25">
      <c r="H691" s="7">
        <v>698</v>
      </c>
      <c r="I691" s="7" t="s">
        <v>14</v>
      </c>
      <c r="J691" s="8">
        <v>38243</v>
      </c>
      <c r="K691" s="12" t="s">
        <v>16</v>
      </c>
      <c r="L691" s="9">
        <v>46</v>
      </c>
      <c r="M691" s="10">
        <v>139.52847109810006</v>
      </c>
      <c r="N691" s="7" t="s">
        <v>23</v>
      </c>
      <c r="P691" s="29" t="str">
        <f t="shared" si="180"/>
        <v/>
      </c>
      <c r="Q691" s="29" t="str">
        <f t="shared" si="181"/>
        <v/>
      </c>
      <c r="R691" s="29">
        <f t="shared" si="182"/>
        <v>1</v>
      </c>
      <c r="S691" s="29" t="str">
        <f t="shared" si="183"/>
        <v/>
      </c>
      <c r="T691" s="32" t="str">
        <f t="shared" si="184"/>
        <v/>
      </c>
      <c r="U691" s="32" t="str">
        <f t="shared" si="187"/>
        <v/>
      </c>
      <c r="V691" s="32" t="str">
        <f t="shared" si="188"/>
        <v/>
      </c>
      <c r="W691" s="41">
        <f t="shared" si="185"/>
        <v>3.0332276325673924</v>
      </c>
      <c r="X691" s="6">
        <f t="shared" si="186"/>
        <v>0</v>
      </c>
      <c r="Y691" s="7">
        <f t="shared" si="189"/>
        <v>567</v>
      </c>
      <c r="AA691" s="7">
        <f t="shared" si="190"/>
        <v>0</v>
      </c>
      <c r="AB691" s="7" t="str">
        <f t="shared" si="191"/>
        <v/>
      </c>
      <c r="AC691" s="7">
        <f t="shared" si="192"/>
        <v>0</v>
      </c>
      <c r="AD691" s="7" t="str">
        <f t="shared" si="193"/>
        <v/>
      </c>
      <c r="AE691" s="6">
        <f t="shared" si="194"/>
        <v>0</v>
      </c>
      <c r="AF691" s="69">
        <f t="shared" si="195"/>
        <v>3.0332276325673924</v>
      </c>
      <c r="AG691" s="6">
        <f t="shared" si="196"/>
        <v>139.52847109810006</v>
      </c>
      <c r="AH691" s="6">
        <f t="shared" si="197"/>
        <v>301</v>
      </c>
    </row>
    <row r="692" spans="8:34" x14ac:dyDescent="0.25">
      <c r="H692" s="7">
        <v>699</v>
      </c>
      <c r="I692" s="7" t="s">
        <v>13</v>
      </c>
      <c r="J692" s="8">
        <v>38837</v>
      </c>
      <c r="K692" s="12" t="s">
        <v>16</v>
      </c>
      <c r="L692" s="9">
        <v>84</v>
      </c>
      <c r="M692" s="10">
        <v>253.68258531303155</v>
      </c>
      <c r="N692" s="7" t="s">
        <v>24</v>
      </c>
      <c r="P692" s="29" t="str">
        <f t="shared" si="180"/>
        <v/>
      </c>
      <c r="Q692" s="29" t="str">
        <f t="shared" si="181"/>
        <v/>
      </c>
      <c r="R692" s="29" t="str">
        <f t="shared" si="182"/>
        <v/>
      </c>
      <c r="S692" s="29" t="str">
        <f t="shared" si="183"/>
        <v/>
      </c>
      <c r="T692" s="32" t="str">
        <f t="shared" si="184"/>
        <v/>
      </c>
      <c r="U692" s="32" t="str">
        <f t="shared" si="187"/>
        <v/>
      </c>
      <c r="V692" s="32">
        <f t="shared" si="188"/>
        <v>1</v>
      </c>
      <c r="W692" s="41">
        <f t="shared" si="185"/>
        <v>3.0200307775360899</v>
      </c>
      <c r="X692" s="6">
        <f t="shared" si="186"/>
        <v>0</v>
      </c>
      <c r="Y692" s="7">
        <f t="shared" si="189"/>
        <v>567</v>
      </c>
      <c r="AA692" s="7">
        <f t="shared" si="190"/>
        <v>0</v>
      </c>
      <c r="AB692" s="7" t="str">
        <f t="shared" si="191"/>
        <v/>
      </c>
      <c r="AC692" s="7">
        <f t="shared" si="192"/>
        <v>0</v>
      </c>
      <c r="AD692" s="7" t="str">
        <f t="shared" si="193"/>
        <v/>
      </c>
      <c r="AE692" s="6">
        <f t="shared" si="194"/>
        <v>0</v>
      </c>
      <c r="AF692" s="69">
        <f t="shared" si="195"/>
        <v>3.0200307775360899</v>
      </c>
      <c r="AG692" s="6">
        <f t="shared" si="196"/>
        <v>0</v>
      </c>
      <c r="AH692" s="6">
        <f t="shared" si="197"/>
        <v>604</v>
      </c>
    </row>
    <row r="693" spans="8:34" x14ac:dyDescent="0.25">
      <c r="H693" s="7">
        <v>700</v>
      </c>
      <c r="I693" s="7" t="s">
        <v>12</v>
      </c>
      <c r="J693" s="8">
        <v>38067</v>
      </c>
      <c r="K693" s="12" t="s">
        <v>17</v>
      </c>
      <c r="L693" s="9">
        <v>38</v>
      </c>
      <c r="M693" s="10">
        <v>115.76504648002317</v>
      </c>
      <c r="N693" s="7" t="s">
        <v>24</v>
      </c>
      <c r="P693" s="29">
        <f t="shared" si="180"/>
        <v>1</v>
      </c>
      <c r="Q693" s="29" t="str">
        <f t="shared" si="181"/>
        <v/>
      </c>
      <c r="R693" s="29" t="str">
        <f t="shared" si="182"/>
        <v/>
      </c>
      <c r="S693" s="29" t="str">
        <f t="shared" si="183"/>
        <v/>
      </c>
      <c r="T693" s="32" t="str">
        <f t="shared" si="184"/>
        <v/>
      </c>
      <c r="U693" s="32" t="str">
        <f t="shared" si="187"/>
        <v/>
      </c>
      <c r="V693" s="32" t="str">
        <f t="shared" si="188"/>
        <v/>
      </c>
      <c r="W693" s="41">
        <f t="shared" si="185"/>
        <v>3.0464485915795572</v>
      </c>
      <c r="X693" s="6">
        <f t="shared" si="186"/>
        <v>0</v>
      </c>
      <c r="Y693" s="7">
        <f t="shared" si="189"/>
        <v>567</v>
      </c>
      <c r="AA693" s="7">
        <f t="shared" si="190"/>
        <v>0</v>
      </c>
      <c r="AB693" s="7" t="str">
        <f t="shared" si="191"/>
        <v/>
      </c>
      <c r="AC693" s="7">
        <f t="shared" si="192"/>
        <v>0</v>
      </c>
      <c r="AD693" s="7" t="str">
        <f t="shared" si="193"/>
        <v/>
      </c>
      <c r="AE693" s="6">
        <f t="shared" si="194"/>
        <v>0</v>
      </c>
      <c r="AF693" s="69">
        <f t="shared" si="195"/>
        <v>3.0464485915795572</v>
      </c>
      <c r="AG693" s="6">
        <f t="shared" si="196"/>
        <v>115.76504648002317</v>
      </c>
      <c r="AH693" s="6">
        <f t="shared" si="197"/>
        <v>343</v>
      </c>
    </row>
    <row r="694" spans="8:34" x14ac:dyDescent="0.25">
      <c r="H694" s="7">
        <v>701</v>
      </c>
      <c r="I694" s="7" t="s">
        <v>7</v>
      </c>
      <c r="J694" s="8">
        <v>38133</v>
      </c>
      <c r="K694" s="12" t="s">
        <v>17</v>
      </c>
      <c r="L694" s="9">
        <v>13</v>
      </c>
      <c r="M694" s="10">
        <v>40.473506204312045</v>
      </c>
      <c r="N694" s="7" t="s">
        <v>24</v>
      </c>
      <c r="P694" s="29" t="str">
        <f t="shared" si="180"/>
        <v/>
      </c>
      <c r="Q694" s="29">
        <f t="shared" si="181"/>
        <v>1</v>
      </c>
      <c r="R694" s="29" t="str">
        <f t="shared" si="182"/>
        <v/>
      </c>
      <c r="S694" s="29" t="str">
        <f t="shared" si="183"/>
        <v/>
      </c>
      <c r="T694" s="32" t="str">
        <f t="shared" si="184"/>
        <v/>
      </c>
      <c r="U694" s="32" t="str">
        <f t="shared" si="187"/>
        <v/>
      </c>
      <c r="V694" s="32" t="str">
        <f t="shared" si="188"/>
        <v/>
      </c>
      <c r="W694" s="41">
        <f t="shared" si="185"/>
        <v>3.1133466311009266</v>
      </c>
      <c r="X694" s="6">
        <f t="shared" si="186"/>
        <v>0</v>
      </c>
      <c r="Y694" s="7">
        <f t="shared" si="189"/>
        <v>567</v>
      </c>
      <c r="AA694" s="7">
        <f t="shared" si="190"/>
        <v>0</v>
      </c>
      <c r="AB694" s="7" t="str">
        <f t="shared" si="191"/>
        <v/>
      </c>
      <c r="AC694" s="7">
        <f t="shared" si="192"/>
        <v>0</v>
      </c>
      <c r="AD694" s="7" t="str">
        <f t="shared" si="193"/>
        <v/>
      </c>
      <c r="AE694" s="6">
        <f t="shared" si="194"/>
        <v>0</v>
      </c>
      <c r="AF694" s="69">
        <f t="shared" si="195"/>
        <v>3.1133466311009266</v>
      </c>
      <c r="AG694" s="6">
        <f t="shared" si="196"/>
        <v>40.473506204312045</v>
      </c>
      <c r="AH694" s="6">
        <f t="shared" si="197"/>
        <v>506</v>
      </c>
    </row>
    <row r="695" spans="8:34" x14ac:dyDescent="0.25">
      <c r="H695" s="7">
        <v>702</v>
      </c>
      <c r="I695" s="7" t="s">
        <v>13</v>
      </c>
      <c r="J695" s="8">
        <v>38826</v>
      </c>
      <c r="K695" s="12" t="s">
        <v>18</v>
      </c>
      <c r="L695" s="9">
        <v>40</v>
      </c>
      <c r="M695" s="10">
        <v>122.42180451643387</v>
      </c>
      <c r="N695" s="7" t="s">
        <v>22</v>
      </c>
      <c r="P695" s="29" t="str">
        <f t="shared" si="180"/>
        <v/>
      </c>
      <c r="Q695" s="29" t="str">
        <f t="shared" si="181"/>
        <v/>
      </c>
      <c r="R695" s="29" t="str">
        <f t="shared" si="182"/>
        <v/>
      </c>
      <c r="S695" s="29" t="str">
        <f t="shared" si="183"/>
        <v/>
      </c>
      <c r="T695" s="32" t="str">
        <f t="shared" si="184"/>
        <v/>
      </c>
      <c r="U695" s="32" t="str">
        <f t="shared" si="187"/>
        <v/>
      </c>
      <c r="V695" s="32">
        <f t="shared" si="188"/>
        <v>1</v>
      </c>
      <c r="W695" s="41">
        <f t="shared" si="185"/>
        <v>3.0605451129108467</v>
      </c>
      <c r="X695" s="6">
        <f t="shared" si="186"/>
        <v>0</v>
      </c>
      <c r="Y695" s="7">
        <f t="shared" si="189"/>
        <v>567</v>
      </c>
      <c r="AA695" s="7">
        <f t="shared" si="190"/>
        <v>0</v>
      </c>
      <c r="AB695" s="7" t="str">
        <f t="shared" si="191"/>
        <v/>
      </c>
      <c r="AC695" s="7">
        <f t="shared" si="192"/>
        <v>0</v>
      </c>
      <c r="AD695" s="7" t="str">
        <f t="shared" si="193"/>
        <v/>
      </c>
      <c r="AE695" s="6">
        <f t="shared" si="194"/>
        <v>0</v>
      </c>
      <c r="AF695" s="69">
        <f t="shared" si="195"/>
        <v>3.0605451129108467</v>
      </c>
      <c r="AG695" s="6">
        <f t="shared" si="196"/>
        <v>0</v>
      </c>
      <c r="AH695" s="6">
        <f t="shared" si="197"/>
        <v>604</v>
      </c>
    </row>
    <row r="696" spans="8:34" x14ac:dyDescent="0.25">
      <c r="H696" s="7">
        <v>703</v>
      </c>
      <c r="I696" s="7" t="s">
        <v>11</v>
      </c>
      <c r="J696" s="8">
        <v>38155</v>
      </c>
      <c r="K696" s="12" t="s">
        <v>19</v>
      </c>
      <c r="L696" s="9">
        <v>46</v>
      </c>
      <c r="M696" s="10">
        <v>139.4072220659846</v>
      </c>
      <c r="N696" s="7" t="s">
        <v>22</v>
      </c>
      <c r="P696" s="29" t="str">
        <f t="shared" si="180"/>
        <v/>
      </c>
      <c r="Q696" s="29">
        <f t="shared" si="181"/>
        <v>1</v>
      </c>
      <c r="R696" s="29" t="str">
        <f t="shared" si="182"/>
        <v/>
      </c>
      <c r="S696" s="29" t="str">
        <f t="shared" si="183"/>
        <v/>
      </c>
      <c r="T696" s="32" t="str">
        <f t="shared" si="184"/>
        <v/>
      </c>
      <c r="U696" s="32" t="str">
        <f t="shared" si="187"/>
        <v/>
      </c>
      <c r="V696" s="32" t="str">
        <f t="shared" si="188"/>
        <v/>
      </c>
      <c r="W696" s="41">
        <f t="shared" si="185"/>
        <v>3.0305917840431436</v>
      </c>
      <c r="X696" s="6">
        <f t="shared" si="186"/>
        <v>0</v>
      </c>
      <c r="Y696" s="7">
        <f t="shared" si="189"/>
        <v>567</v>
      </c>
      <c r="AA696" s="7">
        <f t="shared" si="190"/>
        <v>0</v>
      </c>
      <c r="AB696" s="7" t="str">
        <f t="shared" si="191"/>
        <v/>
      </c>
      <c r="AC696" s="7">
        <f t="shared" si="192"/>
        <v>0</v>
      </c>
      <c r="AD696" s="7" t="str">
        <f t="shared" si="193"/>
        <v/>
      </c>
      <c r="AE696" s="6">
        <f t="shared" si="194"/>
        <v>0</v>
      </c>
      <c r="AF696" s="69">
        <f t="shared" si="195"/>
        <v>3.0305917840431436</v>
      </c>
      <c r="AG696" s="6">
        <f t="shared" si="196"/>
        <v>139.4072220659846</v>
      </c>
      <c r="AH696" s="6">
        <f t="shared" si="197"/>
        <v>302</v>
      </c>
    </row>
    <row r="697" spans="8:34" x14ac:dyDescent="0.25">
      <c r="H697" s="7">
        <v>704</v>
      </c>
      <c r="I697" s="7" t="s">
        <v>15</v>
      </c>
      <c r="J697" s="8">
        <v>38199</v>
      </c>
      <c r="K697" s="12" t="s">
        <v>16</v>
      </c>
      <c r="L697" s="9">
        <v>11</v>
      </c>
      <c r="M697" s="10">
        <v>35.105222117013575</v>
      </c>
      <c r="N697" s="7" t="s">
        <v>24</v>
      </c>
      <c r="P697" s="29" t="str">
        <f t="shared" si="180"/>
        <v/>
      </c>
      <c r="Q697" s="29" t="str">
        <f t="shared" si="181"/>
        <v/>
      </c>
      <c r="R697" s="29">
        <f t="shared" si="182"/>
        <v>1</v>
      </c>
      <c r="S697" s="29" t="str">
        <f t="shared" si="183"/>
        <v/>
      </c>
      <c r="T697" s="32" t="str">
        <f t="shared" si="184"/>
        <v/>
      </c>
      <c r="U697" s="32" t="str">
        <f t="shared" si="187"/>
        <v/>
      </c>
      <c r="V697" s="32" t="str">
        <f t="shared" si="188"/>
        <v/>
      </c>
      <c r="W697" s="41">
        <f t="shared" si="185"/>
        <v>3.1913838288194158</v>
      </c>
      <c r="X697" s="6">
        <f t="shared" si="186"/>
        <v>0</v>
      </c>
      <c r="Y697" s="7">
        <f t="shared" si="189"/>
        <v>567</v>
      </c>
      <c r="AA697" s="7">
        <f t="shared" si="190"/>
        <v>0</v>
      </c>
      <c r="AB697" s="7" t="str">
        <f t="shared" si="191"/>
        <v/>
      </c>
      <c r="AC697" s="7">
        <f t="shared" si="192"/>
        <v>0</v>
      </c>
      <c r="AD697" s="7" t="str">
        <f t="shared" si="193"/>
        <v/>
      </c>
      <c r="AE697" s="6">
        <f t="shared" si="194"/>
        <v>0</v>
      </c>
      <c r="AF697" s="69">
        <f t="shared" si="195"/>
        <v>3.1913838288194158</v>
      </c>
      <c r="AG697" s="6">
        <f t="shared" si="196"/>
        <v>35.105222117013575</v>
      </c>
      <c r="AH697" s="6">
        <f t="shared" si="197"/>
        <v>520</v>
      </c>
    </row>
    <row r="698" spans="8:34" x14ac:dyDescent="0.25">
      <c r="H698" s="7">
        <v>705</v>
      </c>
      <c r="I698" s="7" t="s">
        <v>9</v>
      </c>
      <c r="J698" s="8">
        <v>38518</v>
      </c>
      <c r="K698" s="12" t="s">
        <v>17</v>
      </c>
      <c r="L698" s="9">
        <v>-1</v>
      </c>
      <c r="M698" s="10">
        <v>-0.89822589573278755</v>
      </c>
      <c r="N698" s="7" t="s">
        <v>23</v>
      </c>
      <c r="P698" s="29" t="str">
        <f t="shared" si="180"/>
        <v/>
      </c>
      <c r="Q698" s="29" t="str">
        <f t="shared" si="181"/>
        <v/>
      </c>
      <c r="R698" s="29" t="str">
        <f t="shared" si="182"/>
        <v/>
      </c>
      <c r="S698" s="29" t="str">
        <f t="shared" si="183"/>
        <v/>
      </c>
      <c r="T698" s="32" t="str">
        <f t="shared" si="184"/>
        <v/>
      </c>
      <c r="U698" s="32">
        <f t="shared" si="187"/>
        <v>1</v>
      </c>
      <c r="V698" s="32" t="str">
        <f t="shared" si="188"/>
        <v/>
      </c>
      <c r="W698" s="41" t="str">
        <f t="shared" si="185"/>
        <v/>
      </c>
      <c r="X698" s="6">
        <f t="shared" si="186"/>
        <v>-0.89822589573278755</v>
      </c>
      <c r="Y698" s="7">
        <f t="shared" si="189"/>
        <v>1843</v>
      </c>
      <c r="AA698" s="7">
        <f t="shared" si="190"/>
        <v>0</v>
      </c>
      <c r="AB698" s="7" t="str">
        <f t="shared" si="191"/>
        <v/>
      </c>
      <c r="AC698" s="7">
        <f t="shared" si="192"/>
        <v>1</v>
      </c>
      <c r="AD698" s="7">
        <f t="shared" si="193"/>
        <v>-1</v>
      </c>
      <c r="AE698" s="6">
        <f t="shared" si="194"/>
        <v>-1</v>
      </c>
      <c r="AF698" s="69" t="str">
        <f t="shared" si="195"/>
        <v/>
      </c>
      <c r="AG698" s="6">
        <f t="shared" si="196"/>
        <v>0</v>
      </c>
      <c r="AH698" s="6">
        <f t="shared" si="197"/>
        <v>604</v>
      </c>
    </row>
    <row r="699" spans="8:34" x14ac:dyDescent="0.25">
      <c r="H699" s="7">
        <v>706</v>
      </c>
      <c r="I699" s="7" t="s">
        <v>9</v>
      </c>
      <c r="J699" s="8">
        <v>38056</v>
      </c>
      <c r="K699" s="12" t="s">
        <v>17</v>
      </c>
      <c r="L699" s="9">
        <v>32</v>
      </c>
      <c r="M699" s="10">
        <v>98.618549497009866</v>
      </c>
      <c r="N699" s="7" t="s">
        <v>24</v>
      </c>
      <c r="P699" s="29">
        <f t="shared" si="180"/>
        <v>1</v>
      </c>
      <c r="Q699" s="29" t="str">
        <f t="shared" si="181"/>
        <v/>
      </c>
      <c r="R699" s="29" t="str">
        <f t="shared" si="182"/>
        <v/>
      </c>
      <c r="S699" s="29" t="str">
        <f t="shared" si="183"/>
        <v/>
      </c>
      <c r="T699" s="32" t="str">
        <f t="shared" si="184"/>
        <v/>
      </c>
      <c r="U699" s="32" t="str">
        <f t="shared" si="187"/>
        <v/>
      </c>
      <c r="V699" s="32" t="str">
        <f t="shared" si="188"/>
        <v/>
      </c>
      <c r="W699" s="41">
        <f t="shared" si="185"/>
        <v>3.0818296717815583</v>
      </c>
      <c r="X699" s="6">
        <f t="shared" si="186"/>
        <v>0</v>
      </c>
      <c r="Y699" s="7">
        <f t="shared" si="189"/>
        <v>567</v>
      </c>
      <c r="AA699" s="7">
        <f t="shared" si="190"/>
        <v>0</v>
      </c>
      <c r="AB699" s="7" t="str">
        <f t="shared" si="191"/>
        <v/>
      </c>
      <c r="AC699" s="7">
        <f t="shared" si="192"/>
        <v>0</v>
      </c>
      <c r="AD699" s="7" t="str">
        <f t="shared" si="193"/>
        <v/>
      </c>
      <c r="AE699" s="6">
        <f t="shared" si="194"/>
        <v>0</v>
      </c>
      <c r="AF699" s="69">
        <f t="shared" si="195"/>
        <v>3.0818296717815583</v>
      </c>
      <c r="AG699" s="6">
        <f t="shared" si="196"/>
        <v>98.618549497009866</v>
      </c>
      <c r="AH699" s="6">
        <f t="shared" si="197"/>
        <v>377</v>
      </c>
    </row>
    <row r="700" spans="8:34" x14ac:dyDescent="0.25">
      <c r="H700" s="7">
        <v>707</v>
      </c>
      <c r="I700" s="7" t="s">
        <v>15</v>
      </c>
      <c r="J700" s="8">
        <v>38001</v>
      </c>
      <c r="K700" s="12" t="s">
        <v>18</v>
      </c>
      <c r="L700" s="9">
        <v>78</v>
      </c>
      <c r="M700" s="10">
        <v>235.37746360511863</v>
      </c>
      <c r="N700" s="7" t="s">
        <v>22</v>
      </c>
      <c r="P700" s="29">
        <f t="shared" si="180"/>
        <v>1</v>
      </c>
      <c r="Q700" s="29" t="str">
        <f t="shared" si="181"/>
        <v/>
      </c>
      <c r="R700" s="29" t="str">
        <f t="shared" si="182"/>
        <v/>
      </c>
      <c r="S700" s="29" t="str">
        <f t="shared" si="183"/>
        <v/>
      </c>
      <c r="T700" s="32" t="str">
        <f t="shared" si="184"/>
        <v/>
      </c>
      <c r="U700" s="32" t="str">
        <f t="shared" si="187"/>
        <v/>
      </c>
      <c r="V700" s="32" t="str">
        <f t="shared" si="188"/>
        <v/>
      </c>
      <c r="W700" s="41">
        <f t="shared" si="185"/>
        <v>3.0176597898092132</v>
      </c>
      <c r="X700" s="6">
        <f t="shared" si="186"/>
        <v>0</v>
      </c>
      <c r="Y700" s="7">
        <f t="shared" si="189"/>
        <v>567</v>
      </c>
      <c r="AA700" s="7">
        <f t="shared" si="190"/>
        <v>0</v>
      </c>
      <c r="AB700" s="7" t="str">
        <f t="shared" si="191"/>
        <v/>
      </c>
      <c r="AC700" s="7">
        <f t="shared" si="192"/>
        <v>0</v>
      </c>
      <c r="AD700" s="7" t="str">
        <f t="shared" si="193"/>
        <v/>
      </c>
      <c r="AE700" s="6">
        <f t="shared" si="194"/>
        <v>0</v>
      </c>
      <c r="AF700" s="69">
        <f t="shared" si="195"/>
        <v>3.0176597898092132</v>
      </c>
      <c r="AG700" s="6">
        <f t="shared" si="196"/>
        <v>235.37746360511863</v>
      </c>
      <c r="AH700" s="6">
        <f t="shared" si="197"/>
        <v>109</v>
      </c>
    </row>
    <row r="701" spans="8:34" x14ac:dyDescent="0.25">
      <c r="H701" s="7">
        <v>708</v>
      </c>
      <c r="I701" s="7" t="s">
        <v>9</v>
      </c>
      <c r="J701" s="8">
        <v>38375</v>
      </c>
      <c r="K701" s="12" t="s">
        <v>19</v>
      </c>
      <c r="L701" s="9">
        <v>71</v>
      </c>
      <c r="M701" s="10">
        <v>215.14334620644152</v>
      </c>
      <c r="N701" s="7" t="s">
        <v>24</v>
      </c>
      <c r="P701" s="29" t="str">
        <f t="shared" si="180"/>
        <v/>
      </c>
      <c r="Q701" s="29" t="str">
        <f t="shared" si="181"/>
        <v/>
      </c>
      <c r="R701" s="29" t="str">
        <f t="shared" si="182"/>
        <v/>
      </c>
      <c r="S701" s="29" t="str">
        <f t="shared" si="183"/>
        <v/>
      </c>
      <c r="T701" s="32" t="str">
        <f t="shared" si="184"/>
        <v/>
      </c>
      <c r="U701" s="32">
        <f t="shared" si="187"/>
        <v>1</v>
      </c>
      <c r="V701" s="32" t="str">
        <f t="shared" si="188"/>
        <v/>
      </c>
      <c r="W701" s="41">
        <f t="shared" si="185"/>
        <v>3.0301879747386131</v>
      </c>
      <c r="X701" s="6">
        <f t="shared" si="186"/>
        <v>215.14334620644152</v>
      </c>
      <c r="Y701" s="7">
        <f t="shared" si="189"/>
        <v>149</v>
      </c>
      <c r="AA701" s="7">
        <f t="shared" si="190"/>
        <v>1</v>
      </c>
      <c r="AB701" s="7">
        <f t="shared" si="191"/>
        <v>71</v>
      </c>
      <c r="AC701" s="7">
        <f t="shared" si="192"/>
        <v>0</v>
      </c>
      <c r="AD701" s="7" t="str">
        <f t="shared" si="193"/>
        <v/>
      </c>
      <c r="AE701" s="6">
        <f t="shared" si="194"/>
        <v>0</v>
      </c>
      <c r="AF701" s="69">
        <f t="shared" si="195"/>
        <v>3.0301879747386131</v>
      </c>
      <c r="AG701" s="6">
        <f t="shared" si="196"/>
        <v>0</v>
      </c>
      <c r="AH701" s="6">
        <f t="shared" si="197"/>
        <v>604</v>
      </c>
    </row>
    <row r="702" spans="8:34" x14ac:dyDescent="0.25">
      <c r="H702" s="7">
        <v>709</v>
      </c>
      <c r="I702" s="7" t="s">
        <v>11</v>
      </c>
      <c r="J702" s="8">
        <v>38100</v>
      </c>
      <c r="K702" s="12" t="s">
        <v>17</v>
      </c>
      <c r="L702" s="9">
        <v>36</v>
      </c>
      <c r="M702" s="10">
        <v>109.79941093344995</v>
      </c>
      <c r="N702" s="7" t="s">
        <v>22</v>
      </c>
      <c r="P702" s="29" t="str">
        <f t="shared" si="180"/>
        <v/>
      </c>
      <c r="Q702" s="29">
        <f t="shared" si="181"/>
        <v>1</v>
      </c>
      <c r="R702" s="29" t="str">
        <f t="shared" si="182"/>
        <v/>
      </c>
      <c r="S702" s="29" t="str">
        <f t="shared" si="183"/>
        <v/>
      </c>
      <c r="T702" s="32" t="str">
        <f t="shared" si="184"/>
        <v/>
      </c>
      <c r="U702" s="32" t="str">
        <f t="shared" si="187"/>
        <v/>
      </c>
      <c r="V702" s="32" t="str">
        <f t="shared" si="188"/>
        <v/>
      </c>
      <c r="W702" s="41">
        <f t="shared" si="185"/>
        <v>3.0499836370402762</v>
      </c>
      <c r="X702" s="6">
        <f t="shared" si="186"/>
        <v>0</v>
      </c>
      <c r="Y702" s="7">
        <f t="shared" si="189"/>
        <v>567</v>
      </c>
      <c r="AA702" s="7">
        <f t="shared" si="190"/>
        <v>0</v>
      </c>
      <c r="AB702" s="7" t="str">
        <f t="shared" si="191"/>
        <v/>
      </c>
      <c r="AC702" s="7">
        <f t="shared" si="192"/>
        <v>0</v>
      </c>
      <c r="AD702" s="7" t="str">
        <f t="shared" si="193"/>
        <v/>
      </c>
      <c r="AE702" s="6">
        <f t="shared" si="194"/>
        <v>0</v>
      </c>
      <c r="AF702" s="69">
        <f t="shared" si="195"/>
        <v>3.0499836370402762</v>
      </c>
      <c r="AG702" s="6">
        <f t="shared" si="196"/>
        <v>109.79941093344995</v>
      </c>
      <c r="AH702" s="6">
        <f t="shared" si="197"/>
        <v>357</v>
      </c>
    </row>
    <row r="703" spans="8:34" x14ac:dyDescent="0.25">
      <c r="H703" s="7">
        <v>710</v>
      </c>
      <c r="I703" s="7" t="s">
        <v>14</v>
      </c>
      <c r="J703" s="8">
        <v>38221</v>
      </c>
      <c r="K703" s="12" t="s">
        <v>20</v>
      </c>
      <c r="L703" s="9">
        <v>79</v>
      </c>
      <c r="M703" s="10">
        <v>238.7528909715526</v>
      </c>
      <c r="N703" s="7" t="s">
        <v>23</v>
      </c>
      <c r="P703" s="29" t="str">
        <f t="shared" si="180"/>
        <v/>
      </c>
      <c r="Q703" s="29" t="str">
        <f t="shared" si="181"/>
        <v/>
      </c>
      <c r="R703" s="29">
        <f t="shared" si="182"/>
        <v>1</v>
      </c>
      <c r="S703" s="29" t="str">
        <f t="shared" si="183"/>
        <v/>
      </c>
      <c r="T703" s="32" t="str">
        <f t="shared" si="184"/>
        <v/>
      </c>
      <c r="U703" s="32" t="str">
        <f t="shared" si="187"/>
        <v/>
      </c>
      <c r="V703" s="32" t="str">
        <f t="shared" si="188"/>
        <v/>
      </c>
      <c r="W703" s="41">
        <f t="shared" si="185"/>
        <v>3.0221884933107925</v>
      </c>
      <c r="X703" s="6">
        <f t="shared" si="186"/>
        <v>0</v>
      </c>
      <c r="Y703" s="7">
        <f t="shared" si="189"/>
        <v>567</v>
      </c>
      <c r="AA703" s="7">
        <f t="shared" si="190"/>
        <v>0</v>
      </c>
      <c r="AB703" s="7" t="str">
        <f t="shared" si="191"/>
        <v/>
      </c>
      <c r="AC703" s="7">
        <f t="shared" si="192"/>
        <v>0</v>
      </c>
      <c r="AD703" s="7" t="str">
        <f t="shared" si="193"/>
        <v/>
      </c>
      <c r="AE703" s="6">
        <f t="shared" si="194"/>
        <v>0</v>
      </c>
      <c r="AF703" s="69">
        <f t="shared" si="195"/>
        <v>3.0221884933107925</v>
      </c>
      <c r="AG703" s="6">
        <f t="shared" si="196"/>
        <v>238.7528909715526</v>
      </c>
      <c r="AH703" s="6">
        <f t="shared" si="197"/>
        <v>98</v>
      </c>
    </row>
    <row r="704" spans="8:34" x14ac:dyDescent="0.25">
      <c r="H704" s="7">
        <v>711</v>
      </c>
      <c r="I704" s="7" t="s">
        <v>9</v>
      </c>
      <c r="J704" s="8">
        <v>38573</v>
      </c>
      <c r="K704" s="12" t="s">
        <v>19</v>
      </c>
      <c r="L704" s="9">
        <v>92</v>
      </c>
      <c r="M704" s="10">
        <v>278.33689319640729</v>
      </c>
      <c r="N704" s="7" t="s">
        <v>23</v>
      </c>
      <c r="P704" s="29" t="str">
        <f t="shared" si="180"/>
        <v/>
      </c>
      <c r="Q704" s="29" t="str">
        <f t="shared" si="181"/>
        <v/>
      </c>
      <c r="R704" s="29" t="str">
        <f t="shared" si="182"/>
        <v/>
      </c>
      <c r="S704" s="29" t="str">
        <f t="shared" si="183"/>
        <v/>
      </c>
      <c r="T704" s="32" t="str">
        <f t="shared" si="184"/>
        <v/>
      </c>
      <c r="U704" s="32">
        <f t="shared" si="187"/>
        <v>1</v>
      </c>
      <c r="V704" s="32" t="str">
        <f t="shared" si="188"/>
        <v/>
      </c>
      <c r="W704" s="41">
        <f t="shared" si="185"/>
        <v>3.0254010130044269</v>
      </c>
      <c r="X704" s="6">
        <f t="shared" si="186"/>
        <v>278.33689319640729</v>
      </c>
      <c r="Y704" s="7">
        <f t="shared" si="189"/>
        <v>31</v>
      </c>
      <c r="AA704" s="7">
        <f t="shared" si="190"/>
        <v>1</v>
      </c>
      <c r="AB704" s="7">
        <f t="shared" si="191"/>
        <v>92</v>
      </c>
      <c r="AC704" s="7">
        <f t="shared" si="192"/>
        <v>0</v>
      </c>
      <c r="AD704" s="7" t="str">
        <f t="shared" si="193"/>
        <v/>
      </c>
      <c r="AE704" s="6">
        <f t="shared" si="194"/>
        <v>0</v>
      </c>
      <c r="AF704" s="69">
        <f t="shared" si="195"/>
        <v>3.0254010130044269</v>
      </c>
      <c r="AG704" s="6">
        <f t="shared" si="196"/>
        <v>0</v>
      </c>
      <c r="AH704" s="6">
        <f t="shared" si="197"/>
        <v>604</v>
      </c>
    </row>
    <row r="705" spans="8:34" x14ac:dyDescent="0.25">
      <c r="H705" s="7">
        <v>712</v>
      </c>
      <c r="I705" s="7" t="s">
        <v>8</v>
      </c>
      <c r="J705" s="8">
        <v>38001</v>
      </c>
      <c r="K705" s="12" t="s">
        <v>18</v>
      </c>
      <c r="L705" s="9">
        <v>38</v>
      </c>
      <c r="M705" s="10">
        <v>116.20226134841927</v>
      </c>
      <c r="N705" s="7" t="s">
        <v>22</v>
      </c>
      <c r="P705" s="29">
        <f t="shared" si="180"/>
        <v>1</v>
      </c>
      <c r="Q705" s="29" t="str">
        <f t="shared" si="181"/>
        <v/>
      </c>
      <c r="R705" s="29" t="str">
        <f t="shared" si="182"/>
        <v/>
      </c>
      <c r="S705" s="29" t="str">
        <f t="shared" si="183"/>
        <v/>
      </c>
      <c r="T705" s="32" t="str">
        <f t="shared" si="184"/>
        <v/>
      </c>
      <c r="U705" s="32" t="str">
        <f t="shared" si="187"/>
        <v/>
      </c>
      <c r="V705" s="32" t="str">
        <f t="shared" si="188"/>
        <v/>
      </c>
      <c r="W705" s="41">
        <f t="shared" si="185"/>
        <v>3.0579542460110334</v>
      </c>
      <c r="X705" s="6">
        <f t="shared" si="186"/>
        <v>0</v>
      </c>
      <c r="Y705" s="7">
        <f t="shared" si="189"/>
        <v>567</v>
      </c>
      <c r="AA705" s="7">
        <f t="shared" si="190"/>
        <v>0</v>
      </c>
      <c r="AB705" s="7" t="str">
        <f t="shared" si="191"/>
        <v/>
      </c>
      <c r="AC705" s="7">
        <f t="shared" si="192"/>
        <v>0</v>
      </c>
      <c r="AD705" s="7" t="str">
        <f t="shared" si="193"/>
        <v/>
      </c>
      <c r="AE705" s="6">
        <f t="shared" si="194"/>
        <v>0</v>
      </c>
      <c r="AF705" s="69">
        <f t="shared" si="195"/>
        <v>3.0579542460110334</v>
      </c>
      <c r="AG705" s="6">
        <f t="shared" si="196"/>
        <v>116.20226134841927</v>
      </c>
      <c r="AH705" s="6">
        <f t="shared" si="197"/>
        <v>339</v>
      </c>
    </row>
    <row r="706" spans="8:34" x14ac:dyDescent="0.25">
      <c r="H706" s="7">
        <v>713</v>
      </c>
      <c r="I706" s="7" t="s">
        <v>7</v>
      </c>
      <c r="J706" s="8">
        <v>39057</v>
      </c>
      <c r="K706" s="12" t="s">
        <v>20</v>
      </c>
      <c r="L706" s="9">
        <v>50</v>
      </c>
      <c r="M706" s="10">
        <v>152.08468006915191</v>
      </c>
      <c r="N706" s="7" t="s">
        <v>24</v>
      </c>
      <c r="P706" s="29" t="str">
        <f t="shared" si="180"/>
        <v/>
      </c>
      <c r="Q706" s="29" t="str">
        <f t="shared" si="181"/>
        <v/>
      </c>
      <c r="R706" s="29" t="str">
        <f t="shared" si="182"/>
        <v/>
      </c>
      <c r="S706" s="29" t="str">
        <f t="shared" si="183"/>
        <v/>
      </c>
      <c r="T706" s="32" t="str">
        <f t="shared" si="184"/>
        <v/>
      </c>
      <c r="U706" s="32" t="str">
        <f t="shared" si="187"/>
        <v/>
      </c>
      <c r="V706" s="32">
        <f t="shared" si="188"/>
        <v>1</v>
      </c>
      <c r="W706" s="41">
        <f t="shared" si="185"/>
        <v>3.0416936013830385</v>
      </c>
      <c r="X706" s="6">
        <f t="shared" si="186"/>
        <v>0</v>
      </c>
      <c r="Y706" s="7">
        <f t="shared" si="189"/>
        <v>567</v>
      </c>
      <c r="AA706" s="7">
        <f t="shared" si="190"/>
        <v>0</v>
      </c>
      <c r="AB706" s="7" t="str">
        <f t="shared" si="191"/>
        <v/>
      </c>
      <c r="AC706" s="7">
        <f t="shared" si="192"/>
        <v>0</v>
      </c>
      <c r="AD706" s="7" t="str">
        <f t="shared" si="193"/>
        <v/>
      </c>
      <c r="AE706" s="6">
        <f t="shared" si="194"/>
        <v>0</v>
      </c>
      <c r="AF706" s="69">
        <f t="shared" si="195"/>
        <v>3.0416936013830385</v>
      </c>
      <c r="AG706" s="6">
        <f t="shared" si="196"/>
        <v>0</v>
      </c>
      <c r="AH706" s="6">
        <f t="shared" si="197"/>
        <v>604</v>
      </c>
    </row>
    <row r="707" spans="8:34" x14ac:dyDescent="0.25">
      <c r="H707" s="7">
        <v>714</v>
      </c>
      <c r="I707" s="7" t="s">
        <v>12</v>
      </c>
      <c r="J707" s="8">
        <v>38771</v>
      </c>
      <c r="K707" s="12" t="s">
        <v>18</v>
      </c>
      <c r="L707" s="9">
        <v>31</v>
      </c>
      <c r="M707" s="10">
        <v>93.734083542235183</v>
      </c>
      <c r="N707" s="7" t="s">
        <v>23</v>
      </c>
      <c r="P707" s="29" t="str">
        <f t="shared" ref="P707:P770" si="198">IF(AND((MONTH(J707))&lt;4,YEAR(J707)=2004),1,"")</f>
        <v/>
      </c>
      <c r="Q707" s="29" t="str">
        <f t="shared" ref="Q707:Q770" si="199">IF(AND(3&lt;(MONTH(J707)),(MONTH(J707)&lt;7),YEAR(J707)=2004),1,"")</f>
        <v/>
      </c>
      <c r="R707" s="29" t="str">
        <f t="shared" ref="R707:R770" si="200">IF(AND(6&lt;(MONTH(J707)),(MONTH(J707)&lt;10),YEAR(J707)=2004),1,"")</f>
        <v/>
      </c>
      <c r="S707" s="29" t="str">
        <f t="shared" ref="S707:S770" si="201">IF(AND(9&lt;(MONTH(J707)),(MONTH(J707)&lt;13),YEAR(J707)=2004),1,"")</f>
        <v/>
      </c>
      <c r="T707" s="32" t="str">
        <f t="shared" ref="T707:T770" si="202">IF(AND((9&lt;MONTH(J707)),YEAR(J707)=2005),1,"")</f>
        <v/>
      </c>
      <c r="U707" s="32" t="str">
        <f t="shared" si="187"/>
        <v/>
      </c>
      <c r="V707" s="32">
        <f t="shared" si="188"/>
        <v>1</v>
      </c>
      <c r="W707" s="41">
        <f t="shared" ref="W707:W770" si="203">IF(L707&gt;0,M707/L707,"")</f>
        <v>3.0236801142656509</v>
      </c>
      <c r="X707" s="6">
        <f t="shared" ref="X707:X770" si="204">IF(U707=1,M707,0)</f>
        <v>0</v>
      </c>
      <c r="Y707" s="7">
        <f t="shared" si="189"/>
        <v>567</v>
      </c>
      <c r="AA707" s="7">
        <f t="shared" si="190"/>
        <v>0</v>
      </c>
      <c r="AB707" s="7" t="str">
        <f t="shared" si="191"/>
        <v/>
      </c>
      <c r="AC707" s="7">
        <f t="shared" si="192"/>
        <v>0</v>
      </c>
      <c r="AD707" s="7" t="str">
        <f t="shared" si="193"/>
        <v/>
      </c>
      <c r="AE707" s="6">
        <f t="shared" si="194"/>
        <v>0</v>
      </c>
      <c r="AF707" s="69">
        <f t="shared" si="195"/>
        <v>3.0236801142656509</v>
      </c>
      <c r="AG707" s="6">
        <f t="shared" si="196"/>
        <v>0</v>
      </c>
      <c r="AH707" s="6">
        <f t="shared" si="197"/>
        <v>604</v>
      </c>
    </row>
    <row r="708" spans="8:34" x14ac:dyDescent="0.25">
      <c r="H708" s="7">
        <v>715</v>
      </c>
      <c r="I708" s="7" t="s">
        <v>14</v>
      </c>
      <c r="J708" s="8">
        <v>38881</v>
      </c>
      <c r="K708" s="12" t="s">
        <v>17</v>
      </c>
      <c r="L708" s="9">
        <v>9</v>
      </c>
      <c r="M708" s="10">
        <v>29.386098665239906</v>
      </c>
      <c r="N708" s="7" t="s">
        <v>24</v>
      </c>
      <c r="P708" s="29" t="str">
        <f t="shared" si="198"/>
        <v/>
      </c>
      <c r="Q708" s="29" t="str">
        <f t="shared" si="199"/>
        <v/>
      </c>
      <c r="R708" s="29" t="str">
        <f t="shared" si="200"/>
        <v/>
      </c>
      <c r="S708" s="29" t="str">
        <f t="shared" si="201"/>
        <v/>
      </c>
      <c r="T708" s="32" t="str">
        <f t="shared" si="202"/>
        <v/>
      </c>
      <c r="U708" s="32" t="str">
        <f t="shared" ref="U708:U771" si="205">IF(YEAR(J708)=2005,1,"")</f>
        <v/>
      </c>
      <c r="V708" s="32">
        <f t="shared" ref="V708:V771" si="206">IF(YEAR(J708)=2006,1,"")</f>
        <v>1</v>
      </c>
      <c r="W708" s="41">
        <f t="shared" si="203"/>
        <v>3.2651220739155451</v>
      </c>
      <c r="X708" s="6">
        <f t="shared" si="204"/>
        <v>0</v>
      </c>
      <c r="Y708" s="7">
        <f t="shared" ref="Y708:Y771" si="207">RANK(X708,$X$3:$X$1893)</f>
        <v>567</v>
      </c>
      <c r="AA708" s="7">
        <f t="shared" ref="AA708:AA771" si="208">IF(AND(OR((MONTH(J708))=1,(MONTH(J708))=2,(MONTH(J708))=3,(MONTH(J708))=7,(MONTH(J708))=8,(MONTH(J708))=9),YEAR(J708)=2005),1,0)</f>
        <v>0</v>
      </c>
      <c r="AB708" s="7" t="str">
        <f t="shared" ref="AB708:AB771" si="209">IF(AA708=1,L708,"")</f>
        <v/>
      </c>
      <c r="AC708" s="7">
        <f t="shared" ref="AC708:AC771" si="210">IF(AND(OR((MONTH(J708))=4,(MONTH(J708))=5,(MONTH(J708))=6,(MONTH(J708))=10,(MONTH(J708))=11,(MONTH(J708))=12),YEAR(J708)=2005),1,0)</f>
        <v>0</v>
      </c>
      <c r="AD708" s="7" t="str">
        <f t="shared" ref="AD708:AD771" si="211">IF(AC708=1,L708,"")</f>
        <v/>
      </c>
      <c r="AE708" s="6">
        <f t="shared" ref="AE708:AE771" si="212">IF(L708&lt;0,L708,0)</f>
        <v>0</v>
      </c>
      <c r="AF708" s="69">
        <f t="shared" ref="AF708:AF771" si="213">IF(L708&gt;0,W708,"")</f>
        <v>3.2651220739155451</v>
      </c>
      <c r="AG708" s="6">
        <f t="shared" ref="AG708:AG771" si="214">IF(AND((M708&gt;0),(YEAR(J708)=2004)),M708,0)</f>
        <v>0</v>
      </c>
      <c r="AH708" s="6">
        <f t="shared" ref="AH708:AH771" si="215">RANK(AG708,$AG$3:$AG$1893)</f>
        <v>604</v>
      </c>
    </row>
    <row r="709" spans="8:34" x14ac:dyDescent="0.25">
      <c r="H709" s="7">
        <v>716</v>
      </c>
      <c r="I709" s="7" t="s">
        <v>8</v>
      </c>
      <c r="J709" s="8">
        <v>38408</v>
      </c>
      <c r="K709" s="12" t="s">
        <v>16</v>
      </c>
      <c r="L709" s="9">
        <v>24</v>
      </c>
      <c r="M709" s="10">
        <v>73.278886055388639</v>
      </c>
      <c r="N709" s="7" t="s">
        <v>23</v>
      </c>
      <c r="P709" s="29" t="str">
        <f t="shared" si="198"/>
        <v/>
      </c>
      <c r="Q709" s="29" t="str">
        <f t="shared" si="199"/>
        <v/>
      </c>
      <c r="R709" s="29" t="str">
        <f t="shared" si="200"/>
        <v/>
      </c>
      <c r="S709" s="29" t="str">
        <f t="shared" si="201"/>
        <v/>
      </c>
      <c r="T709" s="32" t="str">
        <f t="shared" si="202"/>
        <v/>
      </c>
      <c r="U709" s="32">
        <f t="shared" si="205"/>
        <v>1</v>
      </c>
      <c r="V709" s="32" t="str">
        <f t="shared" si="206"/>
        <v/>
      </c>
      <c r="W709" s="41">
        <f t="shared" si="203"/>
        <v>3.0532869189745266</v>
      </c>
      <c r="X709" s="6">
        <f t="shared" si="204"/>
        <v>73.278886055388639</v>
      </c>
      <c r="Y709" s="7">
        <f t="shared" si="207"/>
        <v>422</v>
      </c>
      <c r="AA709" s="7">
        <f t="shared" si="208"/>
        <v>1</v>
      </c>
      <c r="AB709" s="7">
        <f t="shared" si="209"/>
        <v>24</v>
      </c>
      <c r="AC709" s="7">
        <f t="shared" si="210"/>
        <v>0</v>
      </c>
      <c r="AD709" s="7" t="str">
        <f t="shared" si="211"/>
        <v/>
      </c>
      <c r="AE709" s="6">
        <f t="shared" si="212"/>
        <v>0</v>
      </c>
      <c r="AF709" s="69">
        <f t="shared" si="213"/>
        <v>3.0532869189745266</v>
      </c>
      <c r="AG709" s="6">
        <f t="shared" si="214"/>
        <v>0</v>
      </c>
      <c r="AH709" s="6">
        <f t="shared" si="215"/>
        <v>604</v>
      </c>
    </row>
    <row r="710" spans="8:34" x14ac:dyDescent="0.25">
      <c r="H710" s="7">
        <v>717</v>
      </c>
      <c r="I710" s="7" t="s">
        <v>9</v>
      </c>
      <c r="J710" s="8">
        <v>38364</v>
      </c>
      <c r="K710" s="12" t="s">
        <v>17</v>
      </c>
      <c r="L710" s="9">
        <v>50</v>
      </c>
      <c r="M710" s="10">
        <v>152.58608557503928</v>
      </c>
      <c r="N710" s="7" t="s">
        <v>23</v>
      </c>
      <c r="P710" s="29" t="str">
        <f t="shared" si="198"/>
        <v/>
      </c>
      <c r="Q710" s="29" t="str">
        <f t="shared" si="199"/>
        <v/>
      </c>
      <c r="R710" s="29" t="str">
        <f t="shared" si="200"/>
        <v/>
      </c>
      <c r="S710" s="29" t="str">
        <f t="shared" si="201"/>
        <v/>
      </c>
      <c r="T710" s="32" t="str">
        <f t="shared" si="202"/>
        <v/>
      </c>
      <c r="U710" s="32">
        <f t="shared" si="205"/>
        <v>1</v>
      </c>
      <c r="V710" s="32" t="str">
        <f t="shared" si="206"/>
        <v/>
      </c>
      <c r="W710" s="41">
        <f t="shared" si="203"/>
        <v>3.0517217115007855</v>
      </c>
      <c r="X710" s="6">
        <f t="shared" si="204"/>
        <v>152.58608557503928</v>
      </c>
      <c r="Y710" s="7">
        <f t="shared" si="207"/>
        <v>265</v>
      </c>
      <c r="AA710" s="7">
        <f t="shared" si="208"/>
        <v>1</v>
      </c>
      <c r="AB710" s="7">
        <f t="shared" si="209"/>
        <v>50</v>
      </c>
      <c r="AC710" s="7">
        <f t="shared" si="210"/>
        <v>0</v>
      </c>
      <c r="AD710" s="7" t="str">
        <f t="shared" si="211"/>
        <v/>
      </c>
      <c r="AE710" s="6">
        <f t="shared" si="212"/>
        <v>0</v>
      </c>
      <c r="AF710" s="69">
        <f t="shared" si="213"/>
        <v>3.0517217115007855</v>
      </c>
      <c r="AG710" s="6">
        <f t="shared" si="214"/>
        <v>0</v>
      </c>
      <c r="AH710" s="6">
        <f t="shared" si="215"/>
        <v>604</v>
      </c>
    </row>
    <row r="711" spans="8:34" x14ac:dyDescent="0.25">
      <c r="H711" s="7">
        <v>718</v>
      </c>
      <c r="I711" s="7" t="s">
        <v>14</v>
      </c>
      <c r="J711" s="8">
        <v>38760</v>
      </c>
      <c r="K711" s="12" t="s">
        <v>19</v>
      </c>
      <c r="L711" s="9">
        <v>32</v>
      </c>
      <c r="M711" s="10">
        <v>98.191983875169328</v>
      </c>
      <c r="N711" s="7" t="s">
        <v>23</v>
      </c>
      <c r="P711" s="29" t="str">
        <f t="shared" si="198"/>
        <v/>
      </c>
      <c r="Q711" s="29" t="str">
        <f t="shared" si="199"/>
        <v/>
      </c>
      <c r="R711" s="29" t="str">
        <f t="shared" si="200"/>
        <v/>
      </c>
      <c r="S711" s="29" t="str">
        <f t="shared" si="201"/>
        <v/>
      </c>
      <c r="T711" s="32" t="str">
        <f t="shared" si="202"/>
        <v/>
      </c>
      <c r="U711" s="32" t="str">
        <f t="shared" si="205"/>
        <v/>
      </c>
      <c r="V711" s="32">
        <f t="shared" si="206"/>
        <v>1</v>
      </c>
      <c r="W711" s="41">
        <f t="shared" si="203"/>
        <v>3.0684994960990415</v>
      </c>
      <c r="X711" s="6">
        <f t="shared" si="204"/>
        <v>0</v>
      </c>
      <c r="Y711" s="7">
        <f t="shared" si="207"/>
        <v>567</v>
      </c>
      <c r="AA711" s="7">
        <f t="shared" si="208"/>
        <v>0</v>
      </c>
      <c r="AB711" s="7" t="str">
        <f t="shared" si="209"/>
        <v/>
      </c>
      <c r="AC711" s="7">
        <f t="shared" si="210"/>
        <v>0</v>
      </c>
      <c r="AD711" s="7" t="str">
        <f t="shared" si="211"/>
        <v/>
      </c>
      <c r="AE711" s="6">
        <f t="shared" si="212"/>
        <v>0</v>
      </c>
      <c r="AF711" s="69">
        <f t="shared" si="213"/>
        <v>3.0684994960990415</v>
      </c>
      <c r="AG711" s="6">
        <f t="shared" si="214"/>
        <v>0</v>
      </c>
      <c r="AH711" s="6">
        <f t="shared" si="215"/>
        <v>604</v>
      </c>
    </row>
    <row r="712" spans="8:34" x14ac:dyDescent="0.25">
      <c r="H712" s="7">
        <v>719</v>
      </c>
      <c r="I712" s="7" t="s">
        <v>15</v>
      </c>
      <c r="J712" s="8">
        <v>38243</v>
      </c>
      <c r="K712" s="12" t="s">
        <v>18</v>
      </c>
      <c r="L712" s="9">
        <v>71</v>
      </c>
      <c r="M712" s="10">
        <v>214.9278284338051</v>
      </c>
      <c r="N712" s="7" t="s">
        <v>21</v>
      </c>
      <c r="P712" s="29" t="str">
        <f t="shared" si="198"/>
        <v/>
      </c>
      <c r="Q712" s="29" t="str">
        <f t="shared" si="199"/>
        <v/>
      </c>
      <c r="R712" s="29">
        <f t="shared" si="200"/>
        <v>1</v>
      </c>
      <c r="S712" s="29" t="str">
        <f t="shared" si="201"/>
        <v/>
      </c>
      <c r="T712" s="32" t="str">
        <f t="shared" si="202"/>
        <v/>
      </c>
      <c r="U712" s="32" t="str">
        <f t="shared" si="205"/>
        <v/>
      </c>
      <c r="V712" s="32" t="str">
        <f t="shared" si="206"/>
        <v/>
      </c>
      <c r="W712" s="41">
        <f t="shared" si="203"/>
        <v>3.0271525131521844</v>
      </c>
      <c r="X712" s="6">
        <f t="shared" si="204"/>
        <v>0</v>
      </c>
      <c r="Y712" s="7">
        <f t="shared" si="207"/>
        <v>567</v>
      </c>
      <c r="AA712" s="7">
        <f t="shared" si="208"/>
        <v>0</v>
      </c>
      <c r="AB712" s="7" t="str">
        <f t="shared" si="209"/>
        <v/>
      </c>
      <c r="AC712" s="7">
        <f t="shared" si="210"/>
        <v>0</v>
      </c>
      <c r="AD712" s="7" t="str">
        <f t="shared" si="211"/>
        <v/>
      </c>
      <c r="AE712" s="6">
        <f t="shared" si="212"/>
        <v>0</v>
      </c>
      <c r="AF712" s="69">
        <f t="shared" si="213"/>
        <v>3.0271525131521844</v>
      </c>
      <c r="AG712" s="6">
        <f t="shared" si="214"/>
        <v>214.9278284338051</v>
      </c>
      <c r="AH712" s="6">
        <f t="shared" si="215"/>
        <v>148</v>
      </c>
    </row>
    <row r="713" spans="8:34" x14ac:dyDescent="0.25">
      <c r="H713" s="7">
        <v>720</v>
      </c>
      <c r="I713" s="7" t="s">
        <v>12</v>
      </c>
      <c r="J713" s="8">
        <v>39024</v>
      </c>
      <c r="K713" s="12" t="s">
        <v>20</v>
      </c>
      <c r="L713" s="9">
        <v>28</v>
      </c>
      <c r="M713" s="10">
        <v>86.107203598905883</v>
      </c>
      <c r="N713" s="7" t="s">
        <v>21</v>
      </c>
      <c r="P713" s="29" t="str">
        <f t="shared" si="198"/>
        <v/>
      </c>
      <c r="Q713" s="29" t="str">
        <f t="shared" si="199"/>
        <v/>
      </c>
      <c r="R713" s="29" t="str">
        <f t="shared" si="200"/>
        <v/>
      </c>
      <c r="S713" s="29" t="str">
        <f t="shared" si="201"/>
        <v/>
      </c>
      <c r="T713" s="32" t="str">
        <f t="shared" si="202"/>
        <v/>
      </c>
      <c r="U713" s="32" t="str">
        <f t="shared" si="205"/>
        <v/>
      </c>
      <c r="V713" s="32">
        <f t="shared" si="206"/>
        <v>1</v>
      </c>
      <c r="W713" s="41">
        <f t="shared" si="203"/>
        <v>3.0752572713894959</v>
      </c>
      <c r="X713" s="6">
        <f t="shared" si="204"/>
        <v>0</v>
      </c>
      <c r="Y713" s="7">
        <f t="shared" si="207"/>
        <v>567</v>
      </c>
      <c r="AA713" s="7">
        <f t="shared" si="208"/>
        <v>0</v>
      </c>
      <c r="AB713" s="7" t="str">
        <f t="shared" si="209"/>
        <v/>
      </c>
      <c r="AC713" s="7">
        <f t="shared" si="210"/>
        <v>0</v>
      </c>
      <c r="AD713" s="7" t="str">
        <f t="shared" si="211"/>
        <v/>
      </c>
      <c r="AE713" s="6">
        <f t="shared" si="212"/>
        <v>0</v>
      </c>
      <c r="AF713" s="69">
        <f t="shared" si="213"/>
        <v>3.0752572713894959</v>
      </c>
      <c r="AG713" s="6">
        <f t="shared" si="214"/>
        <v>0</v>
      </c>
      <c r="AH713" s="6">
        <f t="shared" si="215"/>
        <v>604</v>
      </c>
    </row>
    <row r="714" spans="8:34" x14ac:dyDescent="0.25">
      <c r="H714" s="7">
        <v>721</v>
      </c>
      <c r="I714" s="7" t="s">
        <v>9</v>
      </c>
      <c r="J714" s="8">
        <v>39013</v>
      </c>
      <c r="K714" s="12" t="s">
        <v>17</v>
      </c>
      <c r="L714" s="9">
        <v>40</v>
      </c>
      <c r="M714" s="10">
        <v>121.83146625489913</v>
      </c>
      <c r="N714" s="7" t="s">
        <v>24</v>
      </c>
      <c r="P714" s="29" t="str">
        <f t="shared" si="198"/>
        <v/>
      </c>
      <c r="Q714" s="29" t="str">
        <f t="shared" si="199"/>
        <v/>
      </c>
      <c r="R714" s="29" t="str">
        <f t="shared" si="200"/>
        <v/>
      </c>
      <c r="S714" s="29" t="str">
        <f t="shared" si="201"/>
        <v/>
      </c>
      <c r="T714" s="32" t="str">
        <f t="shared" si="202"/>
        <v/>
      </c>
      <c r="U714" s="32" t="str">
        <f t="shared" si="205"/>
        <v/>
      </c>
      <c r="V714" s="32">
        <f t="shared" si="206"/>
        <v>1</v>
      </c>
      <c r="W714" s="41">
        <f t="shared" si="203"/>
        <v>3.0457866563724783</v>
      </c>
      <c r="X714" s="6">
        <f t="shared" si="204"/>
        <v>0</v>
      </c>
      <c r="Y714" s="7">
        <f t="shared" si="207"/>
        <v>567</v>
      </c>
      <c r="AA714" s="7">
        <f t="shared" si="208"/>
        <v>0</v>
      </c>
      <c r="AB714" s="7" t="str">
        <f t="shared" si="209"/>
        <v/>
      </c>
      <c r="AC714" s="7">
        <f t="shared" si="210"/>
        <v>0</v>
      </c>
      <c r="AD714" s="7" t="str">
        <f t="shared" si="211"/>
        <v/>
      </c>
      <c r="AE714" s="6">
        <f t="shared" si="212"/>
        <v>0</v>
      </c>
      <c r="AF714" s="69">
        <f t="shared" si="213"/>
        <v>3.0457866563724783</v>
      </c>
      <c r="AG714" s="6">
        <f t="shared" si="214"/>
        <v>0</v>
      </c>
      <c r="AH714" s="6">
        <f t="shared" si="215"/>
        <v>604</v>
      </c>
    </row>
    <row r="715" spans="8:34" x14ac:dyDescent="0.25">
      <c r="H715" s="7">
        <v>722</v>
      </c>
      <c r="I715" s="7" t="s">
        <v>12</v>
      </c>
      <c r="J715" s="8">
        <v>38001</v>
      </c>
      <c r="K715" s="12" t="s">
        <v>16</v>
      </c>
      <c r="L715" s="9">
        <v>75</v>
      </c>
      <c r="M715" s="10">
        <v>226.98711570221042</v>
      </c>
      <c r="N715" s="7" t="s">
        <v>24</v>
      </c>
      <c r="P715" s="29">
        <f t="shared" si="198"/>
        <v>1</v>
      </c>
      <c r="Q715" s="29" t="str">
        <f t="shared" si="199"/>
        <v/>
      </c>
      <c r="R715" s="29" t="str">
        <f t="shared" si="200"/>
        <v/>
      </c>
      <c r="S715" s="29" t="str">
        <f t="shared" si="201"/>
        <v/>
      </c>
      <c r="T715" s="32" t="str">
        <f t="shared" si="202"/>
        <v/>
      </c>
      <c r="U715" s="32" t="str">
        <f t="shared" si="205"/>
        <v/>
      </c>
      <c r="V715" s="32" t="str">
        <f t="shared" si="206"/>
        <v/>
      </c>
      <c r="W715" s="41">
        <f t="shared" si="203"/>
        <v>3.0264948760294721</v>
      </c>
      <c r="X715" s="6">
        <f t="shared" si="204"/>
        <v>0</v>
      </c>
      <c r="Y715" s="7">
        <f t="shared" si="207"/>
        <v>567</v>
      </c>
      <c r="AA715" s="7">
        <f t="shared" si="208"/>
        <v>0</v>
      </c>
      <c r="AB715" s="7" t="str">
        <f t="shared" si="209"/>
        <v/>
      </c>
      <c r="AC715" s="7">
        <f t="shared" si="210"/>
        <v>0</v>
      </c>
      <c r="AD715" s="7" t="str">
        <f t="shared" si="211"/>
        <v/>
      </c>
      <c r="AE715" s="6">
        <f t="shared" si="212"/>
        <v>0</v>
      </c>
      <c r="AF715" s="69">
        <f t="shared" si="213"/>
        <v>3.0264948760294721</v>
      </c>
      <c r="AG715" s="6">
        <f t="shared" si="214"/>
        <v>226.98711570221042</v>
      </c>
      <c r="AH715" s="6">
        <f t="shared" si="215"/>
        <v>123</v>
      </c>
    </row>
    <row r="716" spans="8:34" x14ac:dyDescent="0.25">
      <c r="H716" s="7">
        <v>723</v>
      </c>
      <c r="I716" s="7" t="s">
        <v>10</v>
      </c>
      <c r="J716" s="8">
        <v>38221</v>
      </c>
      <c r="K716" s="12" t="s">
        <v>17</v>
      </c>
      <c r="L716" s="9">
        <v>30</v>
      </c>
      <c r="M716" s="10">
        <v>92.030625673172352</v>
      </c>
      <c r="N716" s="7" t="s">
        <v>22</v>
      </c>
      <c r="P716" s="29" t="str">
        <f t="shared" si="198"/>
        <v/>
      </c>
      <c r="Q716" s="29" t="str">
        <f t="shared" si="199"/>
        <v/>
      </c>
      <c r="R716" s="29">
        <f t="shared" si="200"/>
        <v>1</v>
      </c>
      <c r="S716" s="29" t="str">
        <f t="shared" si="201"/>
        <v/>
      </c>
      <c r="T716" s="32" t="str">
        <f t="shared" si="202"/>
        <v/>
      </c>
      <c r="U716" s="32" t="str">
        <f t="shared" si="205"/>
        <v/>
      </c>
      <c r="V716" s="32" t="str">
        <f t="shared" si="206"/>
        <v/>
      </c>
      <c r="W716" s="41">
        <f t="shared" si="203"/>
        <v>3.0676875224390785</v>
      </c>
      <c r="X716" s="6">
        <f t="shared" si="204"/>
        <v>0</v>
      </c>
      <c r="Y716" s="7">
        <f t="shared" si="207"/>
        <v>567</v>
      </c>
      <c r="AA716" s="7">
        <f t="shared" si="208"/>
        <v>0</v>
      </c>
      <c r="AB716" s="7" t="str">
        <f t="shared" si="209"/>
        <v/>
      </c>
      <c r="AC716" s="7">
        <f t="shared" si="210"/>
        <v>0</v>
      </c>
      <c r="AD716" s="7" t="str">
        <f t="shared" si="211"/>
        <v/>
      </c>
      <c r="AE716" s="6">
        <f t="shared" si="212"/>
        <v>0</v>
      </c>
      <c r="AF716" s="69">
        <f t="shared" si="213"/>
        <v>3.0676875224390785</v>
      </c>
      <c r="AG716" s="6">
        <f t="shared" si="214"/>
        <v>92.030625673172352</v>
      </c>
      <c r="AH716" s="6">
        <f t="shared" si="215"/>
        <v>393</v>
      </c>
    </row>
    <row r="717" spans="8:34" x14ac:dyDescent="0.25">
      <c r="H717" s="7">
        <v>724</v>
      </c>
      <c r="I717" s="7" t="s">
        <v>14</v>
      </c>
      <c r="J717" s="8">
        <v>38694</v>
      </c>
      <c r="K717" s="12" t="s">
        <v>17</v>
      </c>
      <c r="L717" s="9">
        <v>78</v>
      </c>
      <c r="M717" s="10">
        <v>235.89718296494317</v>
      </c>
      <c r="N717" s="7" t="s">
        <v>21</v>
      </c>
      <c r="P717" s="29" t="str">
        <f t="shared" si="198"/>
        <v/>
      </c>
      <c r="Q717" s="29" t="str">
        <f t="shared" si="199"/>
        <v/>
      </c>
      <c r="R717" s="29" t="str">
        <f t="shared" si="200"/>
        <v/>
      </c>
      <c r="S717" s="29" t="str">
        <f t="shared" si="201"/>
        <v/>
      </c>
      <c r="T717" s="32">
        <f t="shared" si="202"/>
        <v>1</v>
      </c>
      <c r="U717" s="32">
        <f t="shared" si="205"/>
        <v>1</v>
      </c>
      <c r="V717" s="32" t="str">
        <f t="shared" si="206"/>
        <v/>
      </c>
      <c r="W717" s="41">
        <f t="shared" si="203"/>
        <v>3.0243228585249122</v>
      </c>
      <c r="X717" s="6">
        <f t="shared" si="204"/>
        <v>235.89718296494317</v>
      </c>
      <c r="Y717" s="7">
        <f t="shared" si="207"/>
        <v>114</v>
      </c>
      <c r="AA717" s="7">
        <f t="shared" si="208"/>
        <v>0</v>
      </c>
      <c r="AB717" s="7" t="str">
        <f t="shared" si="209"/>
        <v/>
      </c>
      <c r="AC717" s="7">
        <f t="shared" si="210"/>
        <v>1</v>
      </c>
      <c r="AD717" s="7">
        <f t="shared" si="211"/>
        <v>78</v>
      </c>
      <c r="AE717" s="6">
        <f t="shared" si="212"/>
        <v>0</v>
      </c>
      <c r="AF717" s="69">
        <f t="shared" si="213"/>
        <v>3.0243228585249122</v>
      </c>
      <c r="AG717" s="6">
        <f t="shared" si="214"/>
        <v>0</v>
      </c>
      <c r="AH717" s="6">
        <f t="shared" si="215"/>
        <v>604</v>
      </c>
    </row>
    <row r="718" spans="8:34" x14ac:dyDescent="0.25">
      <c r="H718" s="7">
        <v>725</v>
      </c>
      <c r="I718" s="7" t="s">
        <v>11</v>
      </c>
      <c r="J718" s="8">
        <v>38573</v>
      </c>
      <c r="K718" s="12" t="s">
        <v>20</v>
      </c>
      <c r="L718" s="9">
        <v>15</v>
      </c>
      <c r="M718" s="10">
        <v>47.09802134338382</v>
      </c>
      <c r="N718" s="7" t="s">
        <v>21</v>
      </c>
      <c r="P718" s="29" t="str">
        <f t="shared" si="198"/>
        <v/>
      </c>
      <c r="Q718" s="29" t="str">
        <f t="shared" si="199"/>
        <v/>
      </c>
      <c r="R718" s="29" t="str">
        <f t="shared" si="200"/>
        <v/>
      </c>
      <c r="S718" s="29" t="str">
        <f t="shared" si="201"/>
        <v/>
      </c>
      <c r="T718" s="32" t="str">
        <f t="shared" si="202"/>
        <v/>
      </c>
      <c r="U718" s="32">
        <f t="shared" si="205"/>
        <v>1</v>
      </c>
      <c r="V718" s="32" t="str">
        <f t="shared" si="206"/>
        <v/>
      </c>
      <c r="W718" s="41">
        <f t="shared" si="203"/>
        <v>3.1398680895589215</v>
      </c>
      <c r="X718" s="6">
        <f t="shared" si="204"/>
        <v>47.09802134338382</v>
      </c>
      <c r="Y718" s="7">
        <f t="shared" si="207"/>
        <v>465</v>
      </c>
      <c r="AA718" s="7">
        <f t="shared" si="208"/>
        <v>1</v>
      </c>
      <c r="AB718" s="7">
        <f t="shared" si="209"/>
        <v>15</v>
      </c>
      <c r="AC718" s="7">
        <f t="shared" si="210"/>
        <v>0</v>
      </c>
      <c r="AD718" s="7" t="str">
        <f t="shared" si="211"/>
        <v/>
      </c>
      <c r="AE718" s="6">
        <f t="shared" si="212"/>
        <v>0</v>
      </c>
      <c r="AF718" s="69">
        <f t="shared" si="213"/>
        <v>3.1398680895589215</v>
      </c>
      <c r="AG718" s="6">
        <f t="shared" si="214"/>
        <v>0</v>
      </c>
      <c r="AH718" s="6">
        <f t="shared" si="215"/>
        <v>604</v>
      </c>
    </row>
    <row r="719" spans="8:34" x14ac:dyDescent="0.25">
      <c r="H719" s="7">
        <v>726</v>
      </c>
      <c r="I719" s="7" t="s">
        <v>12</v>
      </c>
      <c r="J719" s="8">
        <v>38298</v>
      </c>
      <c r="K719" s="12" t="s">
        <v>19</v>
      </c>
      <c r="L719" s="9">
        <v>30</v>
      </c>
      <c r="M719" s="10">
        <v>91.800989942743342</v>
      </c>
      <c r="N719" s="7" t="s">
        <v>23</v>
      </c>
      <c r="P719" s="29" t="str">
        <f t="shared" si="198"/>
        <v/>
      </c>
      <c r="Q719" s="29" t="str">
        <f t="shared" si="199"/>
        <v/>
      </c>
      <c r="R719" s="29" t="str">
        <f t="shared" si="200"/>
        <v/>
      </c>
      <c r="S719" s="29">
        <f t="shared" si="201"/>
        <v>1</v>
      </c>
      <c r="T719" s="32" t="str">
        <f t="shared" si="202"/>
        <v/>
      </c>
      <c r="U719" s="32" t="str">
        <f t="shared" si="205"/>
        <v/>
      </c>
      <c r="V719" s="32" t="str">
        <f t="shared" si="206"/>
        <v/>
      </c>
      <c r="W719" s="41">
        <f t="shared" si="203"/>
        <v>3.0600329980914447</v>
      </c>
      <c r="X719" s="6">
        <f t="shared" si="204"/>
        <v>0</v>
      </c>
      <c r="Y719" s="7">
        <f t="shared" si="207"/>
        <v>567</v>
      </c>
      <c r="AA719" s="7">
        <f t="shared" si="208"/>
        <v>0</v>
      </c>
      <c r="AB719" s="7" t="str">
        <f t="shared" si="209"/>
        <v/>
      </c>
      <c r="AC719" s="7">
        <f t="shared" si="210"/>
        <v>0</v>
      </c>
      <c r="AD719" s="7" t="str">
        <f t="shared" si="211"/>
        <v/>
      </c>
      <c r="AE719" s="6">
        <f t="shared" si="212"/>
        <v>0</v>
      </c>
      <c r="AF719" s="69">
        <f t="shared" si="213"/>
        <v>3.0600329980914447</v>
      </c>
      <c r="AG719" s="6">
        <f t="shared" si="214"/>
        <v>91.800989942743342</v>
      </c>
      <c r="AH719" s="6">
        <f t="shared" si="215"/>
        <v>395</v>
      </c>
    </row>
    <row r="720" spans="8:34" x14ac:dyDescent="0.25">
      <c r="H720" s="7">
        <v>727</v>
      </c>
      <c r="I720" s="7" t="s">
        <v>10</v>
      </c>
      <c r="J720" s="8">
        <v>38628</v>
      </c>
      <c r="K720" s="12" t="s">
        <v>18</v>
      </c>
      <c r="L720" s="9">
        <v>27</v>
      </c>
      <c r="M720" s="10">
        <v>83.564417753264919</v>
      </c>
      <c r="N720" s="7" t="s">
        <v>23</v>
      </c>
      <c r="P720" s="29" t="str">
        <f t="shared" si="198"/>
        <v/>
      </c>
      <c r="Q720" s="29" t="str">
        <f t="shared" si="199"/>
        <v/>
      </c>
      <c r="R720" s="29" t="str">
        <f t="shared" si="200"/>
        <v/>
      </c>
      <c r="S720" s="29" t="str">
        <f t="shared" si="201"/>
        <v/>
      </c>
      <c r="T720" s="32">
        <f t="shared" si="202"/>
        <v>1</v>
      </c>
      <c r="U720" s="32">
        <f t="shared" si="205"/>
        <v>1</v>
      </c>
      <c r="V720" s="32" t="str">
        <f t="shared" si="206"/>
        <v/>
      </c>
      <c r="W720" s="41">
        <f t="shared" si="203"/>
        <v>3.0949784353061083</v>
      </c>
      <c r="X720" s="6">
        <f t="shared" si="204"/>
        <v>83.564417753264919</v>
      </c>
      <c r="Y720" s="7">
        <f t="shared" si="207"/>
        <v>394</v>
      </c>
      <c r="AA720" s="7">
        <f t="shared" si="208"/>
        <v>0</v>
      </c>
      <c r="AB720" s="7" t="str">
        <f t="shared" si="209"/>
        <v/>
      </c>
      <c r="AC720" s="7">
        <f t="shared" si="210"/>
        <v>1</v>
      </c>
      <c r="AD720" s="7">
        <f t="shared" si="211"/>
        <v>27</v>
      </c>
      <c r="AE720" s="6">
        <f t="shared" si="212"/>
        <v>0</v>
      </c>
      <c r="AF720" s="69">
        <f t="shared" si="213"/>
        <v>3.0949784353061083</v>
      </c>
      <c r="AG720" s="6">
        <f t="shared" si="214"/>
        <v>0</v>
      </c>
      <c r="AH720" s="6">
        <f t="shared" si="215"/>
        <v>604</v>
      </c>
    </row>
    <row r="721" spans="8:34" x14ac:dyDescent="0.25">
      <c r="H721" s="7">
        <v>728</v>
      </c>
      <c r="I721" s="7" t="s">
        <v>8</v>
      </c>
      <c r="J721" s="8">
        <v>38881</v>
      </c>
      <c r="K721" s="12" t="s">
        <v>17</v>
      </c>
      <c r="L721" s="9">
        <v>95</v>
      </c>
      <c r="M721" s="10">
        <v>286.68421658470419</v>
      </c>
      <c r="N721" s="7" t="s">
        <v>22</v>
      </c>
      <c r="P721" s="29" t="str">
        <f t="shared" si="198"/>
        <v/>
      </c>
      <c r="Q721" s="29" t="str">
        <f t="shared" si="199"/>
        <v/>
      </c>
      <c r="R721" s="29" t="str">
        <f t="shared" si="200"/>
        <v/>
      </c>
      <c r="S721" s="29" t="str">
        <f t="shared" si="201"/>
        <v/>
      </c>
      <c r="T721" s="32" t="str">
        <f t="shared" si="202"/>
        <v/>
      </c>
      <c r="U721" s="32" t="str">
        <f t="shared" si="205"/>
        <v/>
      </c>
      <c r="V721" s="32">
        <f t="shared" si="206"/>
        <v>1</v>
      </c>
      <c r="W721" s="41">
        <f t="shared" si="203"/>
        <v>3.0177285956284652</v>
      </c>
      <c r="X721" s="6">
        <f t="shared" si="204"/>
        <v>0</v>
      </c>
      <c r="Y721" s="7">
        <f t="shared" si="207"/>
        <v>567</v>
      </c>
      <c r="AA721" s="7">
        <f t="shared" si="208"/>
        <v>0</v>
      </c>
      <c r="AB721" s="7" t="str">
        <f t="shared" si="209"/>
        <v/>
      </c>
      <c r="AC721" s="7">
        <f t="shared" si="210"/>
        <v>0</v>
      </c>
      <c r="AD721" s="7" t="str">
        <f t="shared" si="211"/>
        <v/>
      </c>
      <c r="AE721" s="6">
        <f t="shared" si="212"/>
        <v>0</v>
      </c>
      <c r="AF721" s="69">
        <f t="shared" si="213"/>
        <v>3.0177285956284652</v>
      </c>
      <c r="AG721" s="6">
        <f t="shared" si="214"/>
        <v>0</v>
      </c>
      <c r="AH721" s="6">
        <f t="shared" si="215"/>
        <v>604</v>
      </c>
    </row>
    <row r="722" spans="8:34" x14ac:dyDescent="0.25">
      <c r="H722" s="7">
        <v>729</v>
      </c>
      <c r="I722" s="7" t="s">
        <v>14</v>
      </c>
      <c r="J722" s="8">
        <v>38034</v>
      </c>
      <c r="K722" s="12" t="s">
        <v>18</v>
      </c>
      <c r="L722" s="9">
        <v>62</v>
      </c>
      <c r="M722" s="10">
        <v>188.69979320640692</v>
      </c>
      <c r="N722" s="7" t="s">
        <v>21</v>
      </c>
      <c r="P722" s="29">
        <f t="shared" si="198"/>
        <v>1</v>
      </c>
      <c r="Q722" s="29" t="str">
        <f t="shared" si="199"/>
        <v/>
      </c>
      <c r="R722" s="29" t="str">
        <f t="shared" si="200"/>
        <v/>
      </c>
      <c r="S722" s="29" t="str">
        <f t="shared" si="201"/>
        <v/>
      </c>
      <c r="T722" s="32" t="str">
        <f t="shared" si="202"/>
        <v/>
      </c>
      <c r="U722" s="32" t="str">
        <f t="shared" si="205"/>
        <v/>
      </c>
      <c r="V722" s="32" t="str">
        <f t="shared" si="206"/>
        <v/>
      </c>
      <c r="W722" s="41">
        <f t="shared" si="203"/>
        <v>3.0435450517162406</v>
      </c>
      <c r="X722" s="6">
        <f t="shared" si="204"/>
        <v>0</v>
      </c>
      <c r="Y722" s="7">
        <f t="shared" si="207"/>
        <v>567</v>
      </c>
      <c r="AA722" s="7">
        <f t="shared" si="208"/>
        <v>0</v>
      </c>
      <c r="AB722" s="7" t="str">
        <f t="shared" si="209"/>
        <v/>
      </c>
      <c r="AC722" s="7">
        <f t="shared" si="210"/>
        <v>0</v>
      </c>
      <c r="AD722" s="7" t="str">
        <f t="shared" si="211"/>
        <v/>
      </c>
      <c r="AE722" s="6">
        <f t="shared" si="212"/>
        <v>0</v>
      </c>
      <c r="AF722" s="69">
        <f t="shared" si="213"/>
        <v>3.0435450517162406</v>
      </c>
      <c r="AG722" s="6">
        <f t="shared" si="214"/>
        <v>188.69979320640692</v>
      </c>
      <c r="AH722" s="6">
        <f t="shared" si="215"/>
        <v>199</v>
      </c>
    </row>
    <row r="723" spans="8:34" x14ac:dyDescent="0.25">
      <c r="H723" s="7">
        <v>730</v>
      </c>
      <c r="I723" s="7" t="s">
        <v>12</v>
      </c>
      <c r="J723" s="8">
        <v>38793</v>
      </c>
      <c r="K723" s="12" t="s">
        <v>17</v>
      </c>
      <c r="L723" s="9">
        <v>-4</v>
      </c>
      <c r="M723" s="10">
        <v>-10.151413084603679</v>
      </c>
      <c r="N723" s="7" t="s">
        <v>23</v>
      </c>
      <c r="P723" s="29" t="str">
        <f t="shared" si="198"/>
        <v/>
      </c>
      <c r="Q723" s="29" t="str">
        <f t="shared" si="199"/>
        <v/>
      </c>
      <c r="R723" s="29" t="str">
        <f t="shared" si="200"/>
        <v/>
      </c>
      <c r="S723" s="29" t="str">
        <f t="shared" si="201"/>
        <v/>
      </c>
      <c r="T723" s="32" t="str">
        <f t="shared" si="202"/>
        <v/>
      </c>
      <c r="U723" s="32" t="str">
        <f t="shared" si="205"/>
        <v/>
      </c>
      <c r="V723" s="32">
        <f t="shared" si="206"/>
        <v>1</v>
      </c>
      <c r="W723" s="41" t="str">
        <f t="shared" si="203"/>
        <v/>
      </c>
      <c r="X723" s="6">
        <f t="shared" si="204"/>
        <v>0</v>
      </c>
      <c r="Y723" s="7">
        <f t="shared" si="207"/>
        <v>567</v>
      </c>
      <c r="AA723" s="7">
        <f t="shared" si="208"/>
        <v>0</v>
      </c>
      <c r="AB723" s="7" t="str">
        <f t="shared" si="209"/>
        <v/>
      </c>
      <c r="AC723" s="7">
        <f t="shared" si="210"/>
        <v>0</v>
      </c>
      <c r="AD723" s="7" t="str">
        <f t="shared" si="211"/>
        <v/>
      </c>
      <c r="AE723" s="6">
        <f t="shared" si="212"/>
        <v>-4</v>
      </c>
      <c r="AF723" s="69" t="str">
        <f t="shared" si="213"/>
        <v/>
      </c>
      <c r="AG723" s="6">
        <f t="shared" si="214"/>
        <v>0</v>
      </c>
      <c r="AH723" s="6">
        <f t="shared" si="215"/>
        <v>604</v>
      </c>
    </row>
    <row r="724" spans="8:34" x14ac:dyDescent="0.25">
      <c r="H724" s="7">
        <v>731</v>
      </c>
      <c r="I724" s="7" t="s">
        <v>7</v>
      </c>
      <c r="J724" s="8">
        <v>38188</v>
      </c>
      <c r="K724" s="12" t="s">
        <v>20</v>
      </c>
      <c r="L724" s="9">
        <v>-3</v>
      </c>
      <c r="M724" s="10">
        <v>-7.2263762915654137</v>
      </c>
      <c r="N724" s="7" t="s">
        <v>23</v>
      </c>
      <c r="P724" s="29" t="str">
        <f t="shared" si="198"/>
        <v/>
      </c>
      <c r="Q724" s="29" t="str">
        <f t="shared" si="199"/>
        <v/>
      </c>
      <c r="R724" s="29">
        <f t="shared" si="200"/>
        <v>1</v>
      </c>
      <c r="S724" s="29" t="str">
        <f t="shared" si="201"/>
        <v/>
      </c>
      <c r="T724" s="32" t="str">
        <f t="shared" si="202"/>
        <v/>
      </c>
      <c r="U724" s="32" t="str">
        <f t="shared" si="205"/>
        <v/>
      </c>
      <c r="V724" s="32" t="str">
        <f t="shared" si="206"/>
        <v/>
      </c>
      <c r="W724" s="41" t="str">
        <f t="shared" si="203"/>
        <v/>
      </c>
      <c r="X724" s="6">
        <f t="shared" si="204"/>
        <v>0</v>
      </c>
      <c r="Y724" s="7">
        <f t="shared" si="207"/>
        <v>567</v>
      </c>
      <c r="AA724" s="7">
        <f t="shared" si="208"/>
        <v>0</v>
      </c>
      <c r="AB724" s="7" t="str">
        <f t="shared" si="209"/>
        <v/>
      </c>
      <c r="AC724" s="7">
        <f t="shared" si="210"/>
        <v>0</v>
      </c>
      <c r="AD724" s="7" t="str">
        <f t="shared" si="211"/>
        <v/>
      </c>
      <c r="AE724" s="6">
        <f t="shared" si="212"/>
        <v>-3</v>
      </c>
      <c r="AF724" s="69" t="str">
        <f t="shared" si="213"/>
        <v/>
      </c>
      <c r="AG724" s="6">
        <f t="shared" si="214"/>
        <v>0</v>
      </c>
      <c r="AH724" s="6">
        <f t="shared" si="215"/>
        <v>604</v>
      </c>
    </row>
    <row r="725" spans="8:34" x14ac:dyDescent="0.25">
      <c r="H725" s="7">
        <v>732</v>
      </c>
      <c r="I725" s="7" t="s">
        <v>8</v>
      </c>
      <c r="J725" s="8">
        <v>38540</v>
      </c>
      <c r="K725" s="12" t="s">
        <v>20</v>
      </c>
      <c r="L725" s="9">
        <v>62</v>
      </c>
      <c r="M725" s="10">
        <v>187.71484715081846</v>
      </c>
      <c r="N725" s="7" t="s">
        <v>22</v>
      </c>
      <c r="P725" s="29" t="str">
        <f t="shared" si="198"/>
        <v/>
      </c>
      <c r="Q725" s="29" t="str">
        <f t="shared" si="199"/>
        <v/>
      </c>
      <c r="R725" s="29" t="str">
        <f t="shared" si="200"/>
        <v/>
      </c>
      <c r="S725" s="29" t="str">
        <f t="shared" si="201"/>
        <v/>
      </c>
      <c r="T725" s="32" t="str">
        <f t="shared" si="202"/>
        <v/>
      </c>
      <c r="U725" s="32">
        <f t="shared" si="205"/>
        <v>1</v>
      </c>
      <c r="V725" s="32" t="str">
        <f t="shared" si="206"/>
        <v/>
      </c>
      <c r="W725" s="41">
        <f t="shared" si="203"/>
        <v>3.027658825013201</v>
      </c>
      <c r="X725" s="6">
        <f t="shared" si="204"/>
        <v>187.71484715081846</v>
      </c>
      <c r="Y725" s="7">
        <f t="shared" si="207"/>
        <v>194</v>
      </c>
      <c r="AA725" s="7">
        <f t="shared" si="208"/>
        <v>1</v>
      </c>
      <c r="AB725" s="7">
        <f t="shared" si="209"/>
        <v>62</v>
      </c>
      <c r="AC725" s="7">
        <f t="shared" si="210"/>
        <v>0</v>
      </c>
      <c r="AD725" s="7" t="str">
        <f t="shared" si="211"/>
        <v/>
      </c>
      <c r="AE725" s="6">
        <f t="shared" si="212"/>
        <v>0</v>
      </c>
      <c r="AF725" s="69">
        <f t="shared" si="213"/>
        <v>3.027658825013201</v>
      </c>
      <c r="AG725" s="6">
        <f t="shared" si="214"/>
        <v>0</v>
      </c>
      <c r="AH725" s="6">
        <f t="shared" si="215"/>
        <v>604</v>
      </c>
    </row>
    <row r="726" spans="8:34" x14ac:dyDescent="0.25">
      <c r="H726" s="7">
        <v>733</v>
      </c>
      <c r="I726" s="7" t="s">
        <v>7</v>
      </c>
      <c r="J726" s="8">
        <v>38210</v>
      </c>
      <c r="K726" s="12" t="s">
        <v>19</v>
      </c>
      <c r="L726" s="9">
        <v>92</v>
      </c>
      <c r="M726" s="10">
        <v>277.67657907264578</v>
      </c>
      <c r="N726" s="7" t="s">
        <v>22</v>
      </c>
      <c r="P726" s="29" t="str">
        <f t="shared" si="198"/>
        <v/>
      </c>
      <c r="Q726" s="29" t="str">
        <f t="shared" si="199"/>
        <v/>
      </c>
      <c r="R726" s="29">
        <f t="shared" si="200"/>
        <v>1</v>
      </c>
      <c r="S726" s="29" t="str">
        <f t="shared" si="201"/>
        <v/>
      </c>
      <c r="T726" s="32" t="str">
        <f t="shared" si="202"/>
        <v/>
      </c>
      <c r="U726" s="32" t="str">
        <f t="shared" si="205"/>
        <v/>
      </c>
      <c r="V726" s="32" t="str">
        <f t="shared" si="206"/>
        <v/>
      </c>
      <c r="W726" s="41">
        <f t="shared" si="203"/>
        <v>3.0182236855722366</v>
      </c>
      <c r="X726" s="6">
        <f t="shared" si="204"/>
        <v>0</v>
      </c>
      <c r="Y726" s="7">
        <f t="shared" si="207"/>
        <v>567</v>
      </c>
      <c r="AA726" s="7">
        <f t="shared" si="208"/>
        <v>0</v>
      </c>
      <c r="AB726" s="7" t="str">
        <f t="shared" si="209"/>
        <v/>
      </c>
      <c r="AC726" s="7">
        <f t="shared" si="210"/>
        <v>0</v>
      </c>
      <c r="AD726" s="7" t="str">
        <f t="shared" si="211"/>
        <v/>
      </c>
      <c r="AE726" s="6">
        <f t="shared" si="212"/>
        <v>0</v>
      </c>
      <c r="AF726" s="69">
        <f t="shared" si="213"/>
        <v>3.0182236855722366</v>
      </c>
      <c r="AG726" s="6">
        <f t="shared" si="214"/>
        <v>277.67657907264578</v>
      </c>
      <c r="AH726" s="6">
        <f t="shared" si="215"/>
        <v>20</v>
      </c>
    </row>
    <row r="727" spans="8:34" x14ac:dyDescent="0.25">
      <c r="H727" s="7">
        <v>734</v>
      </c>
      <c r="I727" s="7" t="s">
        <v>10</v>
      </c>
      <c r="J727" s="8">
        <v>39068</v>
      </c>
      <c r="K727" s="12" t="s">
        <v>18</v>
      </c>
      <c r="L727" s="9">
        <v>35</v>
      </c>
      <c r="M727" s="10">
        <v>107.09519938129719</v>
      </c>
      <c r="N727" s="7" t="s">
        <v>21</v>
      </c>
      <c r="P727" s="29" t="str">
        <f t="shared" si="198"/>
        <v/>
      </c>
      <c r="Q727" s="29" t="str">
        <f t="shared" si="199"/>
        <v/>
      </c>
      <c r="R727" s="29" t="str">
        <f t="shared" si="200"/>
        <v/>
      </c>
      <c r="S727" s="29" t="str">
        <f t="shared" si="201"/>
        <v/>
      </c>
      <c r="T727" s="32" t="str">
        <f t="shared" si="202"/>
        <v/>
      </c>
      <c r="U727" s="32" t="str">
        <f t="shared" si="205"/>
        <v/>
      </c>
      <c r="V727" s="32">
        <f t="shared" si="206"/>
        <v>1</v>
      </c>
      <c r="W727" s="41">
        <f t="shared" si="203"/>
        <v>3.0598628394656342</v>
      </c>
      <c r="X727" s="6">
        <f t="shared" si="204"/>
        <v>0</v>
      </c>
      <c r="Y727" s="7">
        <f t="shared" si="207"/>
        <v>567</v>
      </c>
      <c r="AA727" s="7">
        <f t="shared" si="208"/>
        <v>0</v>
      </c>
      <c r="AB727" s="7" t="str">
        <f t="shared" si="209"/>
        <v/>
      </c>
      <c r="AC727" s="7">
        <f t="shared" si="210"/>
        <v>0</v>
      </c>
      <c r="AD727" s="7" t="str">
        <f t="shared" si="211"/>
        <v/>
      </c>
      <c r="AE727" s="6">
        <f t="shared" si="212"/>
        <v>0</v>
      </c>
      <c r="AF727" s="69">
        <f t="shared" si="213"/>
        <v>3.0598628394656342</v>
      </c>
      <c r="AG727" s="6">
        <f t="shared" si="214"/>
        <v>0</v>
      </c>
      <c r="AH727" s="6">
        <f t="shared" si="215"/>
        <v>604</v>
      </c>
    </row>
    <row r="728" spans="8:34" x14ac:dyDescent="0.25">
      <c r="H728" s="7">
        <v>735</v>
      </c>
      <c r="I728" s="7" t="s">
        <v>7</v>
      </c>
      <c r="J728" s="8">
        <v>38474</v>
      </c>
      <c r="K728" s="12" t="s">
        <v>16</v>
      </c>
      <c r="L728" s="9">
        <v>91</v>
      </c>
      <c r="M728" s="10">
        <v>274.96271641831527</v>
      </c>
      <c r="N728" s="7" t="s">
        <v>23</v>
      </c>
      <c r="P728" s="29" t="str">
        <f t="shared" si="198"/>
        <v/>
      </c>
      <c r="Q728" s="29" t="str">
        <f t="shared" si="199"/>
        <v/>
      </c>
      <c r="R728" s="29" t="str">
        <f t="shared" si="200"/>
        <v/>
      </c>
      <c r="S728" s="29" t="str">
        <f t="shared" si="201"/>
        <v/>
      </c>
      <c r="T728" s="32" t="str">
        <f t="shared" si="202"/>
        <v/>
      </c>
      <c r="U728" s="32">
        <f t="shared" si="205"/>
        <v>1</v>
      </c>
      <c r="V728" s="32" t="str">
        <f t="shared" si="206"/>
        <v/>
      </c>
      <c r="W728" s="41">
        <f t="shared" si="203"/>
        <v>3.0215683122891788</v>
      </c>
      <c r="X728" s="6">
        <f t="shared" si="204"/>
        <v>274.96271641831527</v>
      </c>
      <c r="Y728" s="7">
        <f t="shared" si="207"/>
        <v>35</v>
      </c>
      <c r="AA728" s="7">
        <f t="shared" si="208"/>
        <v>0</v>
      </c>
      <c r="AB728" s="7" t="str">
        <f t="shared" si="209"/>
        <v/>
      </c>
      <c r="AC728" s="7">
        <f t="shared" si="210"/>
        <v>1</v>
      </c>
      <c r="AD728" s="7">
        <f t="shared" si="211"/>
        <v>91</v>
      </c>
      <c r="AE728" s="6">
        <f t="shared" si="212"/>
        <v>0</v>
      </c>
      <c r="AF728" s="69">
        <f t="shared" si="213"/>
        <v>3.0215683122891788</v>
      </c>
      <c r="AG728" s="6">
        <f t="shared" si="214"/>
        <v>0</v>
      </c>
      <c r="AH728" s="6">
        <f t="shared" si="215"/>
        <v>604</v>
      </c>
    </row>
    <row r="729" spans="8:34" x14ac:dyDescent="0.25">
      <c r="H729" s="7">
        <v>736</v>
      </c>
      <c r="I729" s="7" t="s">
        <v>12</v>
      </c>
      <c r="J729" s="8">
        <v>38177</v>
      </c>
      <c r="K729" s="12" t="s">
        <v>20</v>
      </c>
      <c r="L729" s="9">
        <v>21</v>
      </c>
      <c r="M729" s="10">
        <v>64.321884288799509</v>
      </c>
      <c r="N729" s="7" t="s">
        <v>21</v>
      </c>
      <c r="P729" s="29" t="str">
        <f t="shared" si="198"/>
        <v/>
      </c>
      <c r="Q729" s="29" t="str">
        <f t="shared" si="199"/>
        <v/>
      </c>
      <c r="R729" s="29">
        <f t="shared" si="200"/>
        <v>1</v>
      </c>
      <c r="S729" s="29" t="str">
        <f t="shared" si="201"/>
        <v/>
      </c>
      <c r="T729" s="32" t="str">
        <f t="shared" si="202"/>
        <v/>
      </c>
      <c r="U729" s="32" t="str">
        <f t="shared" si="205"/>
        <v/>
      </c>
      <c r="V729" s="32" t="str">
        <f t="shared" si="206"/>
        <v/>
      </c>
      <c r="W729" s="41">
        <f t="shared" si="203"/>
        <v>3.0629468708952148</v>
      </c>
      <c r="X729" s="6">
        <f t="shared" si="204"/>
        <v>0</v>
      </c>
      <c r="Y729" s="7">
        <f t="shared" si="207"/>
        <v>567</v>
      </c>
      <c r="AA729" s="7">
        <f t="shared" si="208"/>
        <v>0</v>
      </c>
      <c r="AB729" s="7" t="str">
        <f t="shared" si="209"/>
        <v/>
      </c>
      <c r="AC729" s="7">
        <f t="shared" si="210"/>
        <v>0</v>
      </c>
      <c r="AD729" s="7" t="str">
        <f t="shared" si="211"/>
        <v/>
      </c>
      <c r="AE729" s="6">
        <f t="shared" si="212"/>
        <v>0</v>
      </c>
      <c r="AF729" s="69">
        <f t="shared" si="213"/>
        <v>3.0629468708952148</v>
      </c>
      <c r="AG729" s="6">
        <f t="shared" si="214"/>
        <v>64.321884288799509</v>
      </c>
      <c r="AH729" s="6">
        <f t="shared" si="215"/>
        <v>456</v>
      </c>
    </row>
    <row r="730" spans="8:34" x14ac:dyDescent="0.25">
      <c r="H730" s="7">
        <v>737</v>
      </c>
      <c r="I730" s="7" t="s">
        <v>11</v>
      </c>
      <c r="J730" s="8">
        <v>38738</v>
      </c>
      <c r="K730" s="12" t="s">
        <v>20</v>
      </c>
      <c r="L730" s="9">
        <v>49</v>
      </c>
      <c r="M730" s="10">
        <v>148.73893149445496</v>
      </c>
      <c r="N730" s="7" t="s">
        <v>21</v>
      </c>
      <c r="P730" s="29" t="str">
        <f t="shared" si="198"/>
        <v/>
      </c>
      <c r="Q730" s="29" t="str">
        <f t="shared" si="199"/>
        <v/>
      </c>
      <c r="R730" s="29" t="str">
        <f t="shared" si="200"/>
        <v/>
      </c>
      <c r="S730" s="29" t="str">
        <f t="shared" si="201"/>
        <v/>
      </c>
      <c r="T730" s="32" t="str">
        <f t="shared" si="202"/>
        <v/>
      </c>
      <c r="U730" s="32" t="str">
        <f t="shared" si="205"/>
        <v/>
      </c>
      <c r="V730" s="32">
        <f t="shared" si="206"/>
        <v>1</v>
      </c>
      <c r="W730" s="41">
        <f t="shared" si="203"/>
        <v>3.0354883978460196</v>
      </c>
      <c r="X730" s="6">
        <f t="shared" si="204"/>
        <v>0</v>
      </c>
      <c r="Y730" s="7">
        <f t="shared" si="207"/>
        <v>567</v>
      </c>
      <c r="AA730" s="7">
        <f t="shared" si="208"/>
        <v>0</v>
      </c>
      <c r="AB730" s="7" t="str">
        <f t="shared" si="209"/>
        <v/>
      </c>
      <c r="AC730" s="7">
        <f t="shared" si="210"/>
        <v>0</v>
      </c>
      <c r="AD730" s="7" t="str">
        <f t="shared" si="211"/>
        <v/>
      </c>
      <c r="AE730" s="6">
        <f t="shared" si="212"/>
        <v>0</v>
      </c>
      <c r="AF730" s="69">
        <f t="shared" si="213"/>
        <v>3.0354883978460196</v>
      </c>
      <c r="AG730" s="6">
        <f t="shared" si="214"/>
        <v>0</v>
      </c>
      <c r="AH730" s="6">
        <f t="shared" si="215"/>
        <v>604</v>
      </c>
    </row>
    <row r="731" spans="8:34" x14ac:dyDescent="0.25">
      <c r="H731" s="7">
        <v>738</v>
      </c>
      <c r="I731" s="7" t="s">
        <v>10</v>
      </c>
      <c r="J731" s="8">
        <v>38430</v>
      </c>
      <c r="K731" s="12" t="s">
        <v>18</v>
      </c>
      <c r="L731" s="9">
        <v>34</v>
      </c>
      <c r="M731" s="10">
        <v>103.34843435833068</v>
      </c>
      <c r="N731" s="7" t="s">
        <v>22</v>
      </c>
      <c r="P731" s="29" t="str">
        <f t="shared" si="198"/>
        <v/>
      </c>
      <c r="Q731" s="29" t="str">
        <f t="shared" si="199"/>
        <v/>
      </c>
      <c r="R731" s="29" t="str">
        <f t="shared" si="200"/>
        <v/>
      </c>
      <c r="S731" s="29" t="str">
        <f t="shared" si="201"/>
        <v/>
      </c>
      <c r="T731" s="32" t="str">
        <f t="shared" si="202"/>
        <v/>
      </c>
      <c r="U731" s="32">
        <f t="shared" si="205"/>
        <v>1</v>
      </c>
      <c r="V731" s="32" t="str">
        <f t="shared" si="206"/>
        <v/>
      </c>
      <c r="W731" s="41">
        <f t="shared" si="203"/>
        <v>3.0396598340685492</v>
      </c>
      <c r="X731" s="6">
        <f t="shared" si="204"/>
        <v>103.34843435833068</v>
      </c>
      <c r="Y731" s="7">
        <f t="shared" si="207"/>
        <v>358</v>
      </c>
      <c r="AA731" s="7">
        <f t="shared" si="208"/>
        <v>1</v>
      </c>
      <c r="AB731" s="7">
        <f t="shared" si="209"/>
        <v>34</v>
      </c>
      <c r="AC731" s="7">
        <f t="shared" si="210"/>
        <v>0</v>
      </c>
      <c r="AD731" s="7" t="str">
        <f t="shared" si="211"/>
        <v/>
      </c>
      <c r="AE731" s="6">
        <f t="shared" si="212"/>
        <v>0</v>
      </c>
      <c r="AF731" s="69">
        <f t="shared" si="213"/>
        <v>3.0396598340685492</v>
      </c>
      <c r="AG731" s="6">
        <f t="shared" si="214"/>
        <v>0</v>
      </c>
      <c r="AH731" s="6">
        <f t="shared" si="215"/>
        <v>604</v>
      </c>
    </row>
    <row r="732" spans="8:34" x14ac:dyDescent="0.25">
      <c r="H732" s="7">
        <v>739</v>
      </c>
      <c r="I732" s="7" t="s">
        <v>8</v>
      </c>
      <c r="J732" s="8">
        <v>38375</v>
      </c>
      <c r="K732" s="12" t="s">
        <v>17</v>
      </c>
      <c r="L732" s="9">
        <v>56</v>
      </c>
      <c r="M732" s="10">
        <v>170.12124352907122</v>
      </c>
      <c r="N732" s="7" t="s">
        <v>24</v>
      </c>
      <c r="P732" s="29" t="str">
        <f t="shared" si="198"/>
        <v/>
      </c>
      <c r="Q732" s="29" t="str">
        <f t="shared" si="199"/>
        <v/>
      </c>
      <c r="R732" s="29" t="str">
        <f t="shared" si="200"/>
        <v/>
      </c>
      <c r="S732" s="29" t="str">
        <f t="shared" si="201"/>
        <v/>
      </c>
      <c r="T732" s="32" t="str">
        <f t="shared" si="202"/>
        <v/>
      </c>
      <c r="U732" s="32">
        <f t="shared" si="205"/>
        <v>1</v>
      </c>
      <c r="V732" s="32" t="str">
        <f t="shared" si="206"/>
        <v/>
      </c>
      <c r="W732" s="41">
        <f t="shared" si="203"/>
        <v>3.0378793487334148</v>
      </c>
      <c r="X732" s="6">
        <f t="shared" si="204"/>
        <v>170.12124352907122</v>
      </c>
      <c r="Y732" s="7">
        <f t="shared" si="207"/>
        <v>228</v>
      </c>
      <c r="AA732" s="7">
        <f t="shared" si="208"/>
        <v>1</v>
      </c>
      <c r="AB732" s="7">
        <f t="shared" si="209"/>
        <v>56</v>
      </c>
      <c r="AC732" s="7">
        <f t="shared" si="210"/>
        <v>0</v>
      </c>
      <c r="AD732" s="7" t="str">
        <f t="shared" si="211"/>
        <v/>
      </c>
      <c r="AE732" s="6">
        <f t="shared" si="212"/>
        <v>0</v>
      </c>
      <c r="AF732" s="69">
        <f t="shared" si="213"/>
        <v>3.0378793487334148</v>
      </c>
      <c r="AG732" s="6">
        <f t="shared" si="214"/>
        <v>0</v>
      </c>
      <c r="AH732" s="6">
        <f t="shared" si="215"/>
        <v>604</v>
      </c>
    </row>
    <row r="733" spans="8:34" x14ac:dyDescent="0.25">
      <c r="H733" s="7">
        <v>740</v>
      </c>
      <c r="I733" s="7" t="s">
        <v>12</v>
      </c>
      <c r="J733" s="8">
        <v>38133</v>
      </c>
      <c r="K733" s="12" t="s">
        <v>16</v>
      </c>
      <c r="L733" s="9">
        <v>81</v>
      </c>
      <c r="M733" s="10">
        <v>244.85421438007515</v>
      </c>
      <c r="N733" s="7" t="s">
        <v>23</v>
      </c>
      <c r="P733" s="29" t="str">
        <f t="shared" si="198"/>
        <v/>
      </c>
      <c r="Q733" s="29">
        <f t="shared" si="199"/>
        <v>1</v>
      </c>
      <c r="R733" s="29" t="str">
        <f t="shared" si="200"/>
        <v/>
      </c>
      <c r="S733" s="29" t="str">
        <f t="shared" si="201"/>
        <v/>
      </c>
      <c r="T733" s="32" t="str">
        <f t="shared" si="202"/>
        <v/>
      </c>
      <c r="U733" s="32" t="str">
        <f t="shared" si="205"/>
        <v/>
      </c>
      <c r="V733" s="32" t="str">
        <f t="shared" si="206"/>
        <v/>
      </c>
      <c r="W733" s="41">
        <f t="shared" si="203"/>
        <v>3.0228915355564832</v>
      </c>
      <c r="X733" s="6">
        <f t="shared" si="204"/>
        <v>0</v>
      </c>
      <c r="Y733" s="7">
        <f t="shared" si="207"/>
        <v>567</v>
      </c>
      <c r="AA733" s="7">
        <f t="shared" si="208"/>
        <v>0</v>
      </c>
      <c r="AB733" s="7" t="str">
        <f t="shared" si="209"/>
        <v/>
      </c>
      <c r="AC733" s="7">
        <f t="shared" si="210"/>
        <v>0</v>
      </c>
      <c r="AD733" s="7" t="str">
        <f t="shared" si="211"/>
        <v/>
      </c>
      <c r="AE733" s="6">
        <f t="shared" si="212"/>
        <v>0</v>
      </c>
      <c r="AF733" s="69">
        <f t="shared" si="213"/>
        <v>3.0228915355564832</v>
      </c>
      <c r="AG733" s="6">
        <f t="shared" si="214"/>
        <v>244.85421438007515</v>
      </c>
      <c r="AH733" s="6">
        <f t="shared" si="215"/>
        <v>76</v>
      </c>
    </row>
    <row r="734" spans="8:34" x14ac:dyDescent="0.25">
      <c r="H734" s="7">
        <v>741</v>
      </c>
      <c r="I734" s="7" t="s">
        <v>7</v>
      </c>
      <c r="J734" s="8">
        <v>38089</v>
      </c>
      <c r="K734" s="12" t="s">
        <v>16</v>
      </c>
      <c r="L734" s="9">
        <v>63</v>
      </c>
      <c r="M734" s="10">
        <v>191.24656039127012</v>
      </c>
      <c r="N734" s="7" t="s">
        <v>23</v>
      </c>
      <c r="P734" s="29" t="str">
        <f t="shared" si="198"/>
        <v/>
      </c>
      <c r="Q734" s="29">
        <f t="shared" si="199"/>
        <v>1</v>
      </c>
      <c r="R734" s="29" t="str">
        <f t="shared" si="200"/>
        <v/>
      </c>
      <c r="S734" s="29" t="str">
        <f t="shared" si="201"/>
        <v/>
      </c>
      <c r="T734" s="32" t="str">
        <f t="shared" si="202"/>
        <v/>
      </c>
      <c r="U734" s="32" t="str">
        <f t="shared" si="205"/>
        <v/>
      </c>
      <c r="V734" s="32" t="str">
        <f t="shared" si="206"/>
        <v/>
      </c>
      <c r="W734" s="41">
        <f t="shared" si="203"/>
        <v>3.0356596887503193</v>
      </c>
      <c r="X734" s="6">
        <f t="shared" si="204"/>
        <v>0</v>
      </c>
      <c r="Y734" s="7">
        <f t="shared" si="207"/>
        <v>567</v>
      </c>
      <c r="AA734" s="7">
        <f t="shared" si="208"/>
        <v>0</v>
      </c>
      <c r="AB734" s="7" t="str">
        <f t="shared" si="209"/>
        <v/>
      </c>
      <c r="AC734" s="7">
        <f t="shared" si="210"/>
        <v>0</v>
      </c>
      <c r="AD734" s="7" t="str">
        <f t="shared" si="211"/>
        <v/>
      </c>
      <c r="AE734" s="6">
        <f t="shared" si="212"/>
        <v>0</v>
      </c>
      <c r="AF734" s="69">
        <f t="shared" si="213"/>
        <v>3.0356596887503193</v>
      </c>
      <c r="AG734" s="6">
        <f t="shared" si="214"/>
        <v>191.24656039127012</v>
      </c>
      <c r="AH734" s="6">
        <f t="shared" si="215"/>
        <v>190</v>
      </c>
    </row>
    <row r="735" spans="8:34" x14ac:dyDescent="0.25">
      <c r="H735" s="7">
        <v>742</v>
      </c>
      <c r="I735" s="7" t="s">
        <v>12</v>
      </c>
      <c r="J735" s="8">
        <v>38474</v>
      </c>
      <c r="K735" s="12" t="s">
        <v>18</v>
      </c>
      <c r="L735" s="9">
        <v>-3</v>
      </c>
      <c r="M735" s="10">
        <v>-7.3657850032017285</v>
      </c>
      <c r="N735" s="7" t="s">
        <v>22</v>
      </c>
      <c r="P735" s="29" t="str">
        <f t="shared" si="198"/>
        <v/>
      </c>
      <c r="Q735" s="29" t="str">
        <f t="shared" si="199"/>
        <v/>
      </c>
      <c r="R735" s="29" t="str">
        <f t="shared" si="200"/>
        <v/>
      </c>
      <c r="S735" s="29" t="str">
        <f t="shared" si="201"/>
        <v/>
      </c>
      <c r="T735" s="32" t="str">
        <f t="shared" si="202"/>
        <v/>
      </c>
      <c r="U735" s="32">
        <f t="shared" si="205"/>
        <v>1</v>
      </c>
      <c r="V735" s="32" t="str">
        <f t="shared" si="206"/>
        <v/>
      </c>
      <c r="W735" s="41" t="str">
        <f t="shared" si="203"/>
        <v/>
      </c>
      <c r="X735" s="6">
        <f t="shared" si="204"/>
        <v>-7.3657850032017285</v>
      </c>
      <c r="Y735" s="7">
        <f t="shared" si="207"/>
        <v>1857</v>
      </c>
      <c r="AA735" s="7">
        <f t="shared" si="208"/>
        <v>0</v>
      </c>
      <c r="AB735" s="7" t="str">
        <f t="shared" si="209"/>
        <v/>
      </c>
      <c r="AC735" s="7">
        <f t="shared" si="210"/>
        <v>1</v>
      </c>
      <c r="AD735" s="7">
        <f t="shared" si="211"/>
        <v>-3</v>
      </c>
      <c r="AE735" s="6">
        <f t="shared" si="212"/>
        <v>-3</v>
      </c>
      <c r="AF735" s="69" t="str">
        <f t="shared" si="213"/>
        <v/>
      </c>
      <c r="AG735" s="6">
        <f t="shared" si="214"/>
        <v>0</v>
      </c>
      <c r="AH735" s="6">
        <f t="shared" si="215"/>
        <v>604</v>
      </c>
    </row>
    <row r="736" spans="8:34" x14ac:dyDescent="0.25">
      <c r="H736" s="7">
        <v>743</v>
      </c>
      <c r="I736" s="7" t="s">
        <v>11</v>
      </c>
      <c r="J736" s="8">
        <v>38540</v>
      </c>
      <c r="K736" s="12" t="s">
        <v>18</v>
      </c>
      <c r="L736" s="9">
        <v>8</v>
      </c>
      <c r="M736" s="10">
        <v>25.810666689825588</v>
      </c>
      <c r="N736" s="7" t="s">
        <v>24</v>
      </c>
      <c r="P736" s="29" t="str">
        <f t="shared" si="198"/>
        <v/>
      </c>
      <c r="Q736" s="29" t="str">
        <f t="shared" si="199"/>
        <v/>
      </c>
      <c r="R736" s="29" t="str">
        <f t="shared" si="200"/>
        <v/>
      </c>
      <c r="S736" s="29" t="str">
        <f t="shared" si="201"/>
        <v/>
      </c>
      <c r="T736" s="32" t="str">
        <f t="shared" si="202"/>
        <v/>
      </c>
      <c r="U736" s="32">
        <f t="shared" si="205"/>
        <v>1</v>
      </c>
      <c r="V736" s="32" t="str">
        <f t="shared" si="206"/>
        <v/>
      </c>
      <c r="W736" s="41">
        <f t="shared" si="203"/>
        <v>3.2263333362281985</v>
      </c>
      <c r="X736" s="6">
        <f t="shared" si="204"/>
        <v>25.810666689825588</v>
      </c>
      <c r="Y736" s="7">
        <f t="shared" si="207"/>
        <v>512</v>
      </c>
      <c r="AA736" s="7">
        <f t="shared" si="208"/>
        <v>1</v>
      </c>
      <c r="AB736" s="7">
        <f t="shared" si="209"/>
        <v>8</v>
      </c>
      <c r="AC736" s="7">
        <f t="shared" si="210"/>
        <v>0</v>
      </c>
      <c r="AD736" s="7" t="str">
        <f t="shared" si="211"/>
        <v/>
      </c>
      <c r="AE736" s="6">
        <f t="shared" si="212"/>
        <v>0</v>
      </c>
      <c r="AF736" s="69">
        <f t="shared" si="213"/>
        <v>3.2263333362281985</v>
      </c>
      <c r="AG736" s="6">
        <f t="shared" si="214"/>
        <v>0</v>
      </c>
      <c r="AH736" s="6">
        <f t="shared" si="215"/>
        <v>604</v>
      </c>
    </row>
    <row r="737" spans="8:34" x14ac:dyDescent="0.25">
      <c r="H737" s="7">
        <v>744</v>
      </c>
      <c r="I737" s="7" t="s">
        <v>14</v>
      </c>
      <c r="J737" s="8">
        <v>38078</v>
      </c>
      <c r="K737" s="12" t="s">
        <v>17</v>
      </c>
      <c r="L737" s="9">
        <v>46</v>
      </c>
      <c r="M737" s="10">
        <v>139.61633299698832</v>
      </c>
      <c r="N737" s="7" t="s">
        <v>23</v>
      </c>
      <c r="P737" s="29" t="str">
        <f t="shared" si="198"/>
        <v/>
      </c>
      <c r="Q737" s="29">
        <f t="shared" si="199"/>
        <v>1</v>
      </c>
      <c r="R737" s="29" t="str">
        <f t="shared" si="200"/>
        <v/>
      </c>
      <c r="S737" s="29" t="str">
        <f t="shared" si="201"/>
        <v/>
      </c>
      <c r="T737" s="32" t="str">
        <f t="shared" si="202"/>
        <v/>
      </c>
      <c r="U737" s="32" t="str">
        <f t="shared" si="205"/>
        <v/>
      </c>
      <c r="V737" s="32" t="str">
        <f t="shared" si="206"/>
        <v/>
      </c>
      <c r="W737" s="41">
        <f t="shared" si="203"/>
        <v>3.0351376738475722</v>
      </c>
      <c r="X737" s="6">
        <f t="shared" si="204"/>
        <v>0</v>
      </c>
      <c r="Y737" s="7">
        <f t="shared" si="207"/>
        <v>567</v>
      </c>
      <c r="AA737" s="7">
        <f t="shared" si="208"/>
        <v>0</v>
      </c>
      <c r="AB737" s="7" t="str">
        <f t="shared" si="209"/>
        <v/>
      </c>
      <c r="AC737" s="7">
        <f t="shared" si="210"/>
        <v>0</v>
      </c>
      <c r="AD737" s="7" t="str">
        <f t="shared" si="211"/>
        <v/>
      </c>
      <c r="AE737" s="6">
        <f t="shared" si="212"/>
        <v>0</v>
      </c>
      <c r="AF737" s="69">
        <f t="shared" si="213"/>
        <v>3.0351376738475722</v>
      </c>
      <c r="AG737" s="6">
        <f t="shared" si="214"/>
        <v>139.61633299698832</v>
      </c>
      <c r="AH737" s="6">
        <f t="shared" si="215"/>
        <v>300</v>
      </c>
    </row>
    <row r="738" spans="8:34" x14ac:dyDescent="0.25">
      <c r="H738" s="7">
        <v>745</v>
      </c>
      <c r="I738" s="7" t="s">
        <v>11</v>
      </c>
      <c r="J738" s="8">
        <v>38397</v>
      </c>
      <c r="K738" s="12" t="s">
        <v>17</v>
      </c>
      <c r="L738" s="9">
        <v>3</v>
      </c>
      <c r="M738" s="10">
        <v>10.87686297512148</v>
      </c>
      <c r="N738" s="7" t="s">
        <v>21</v>
      </c>
      <c r="P738" s="29" t="str">
        <f t="shared" si="198"/>
        <v/>
      </c>
      <c r="Q738" s="29" t="str">
        <f t="shared" si="199"/>
        <v/>
      </c>
      <c r="R738" s="29" t="str">
        <f t="shared" si="200"/>
        <v/>
      </c>
      <c r="S738" s="29" t="str">
        <f t="shared" si="201"/>
        <v/>
      </c>
      <c r="T738" s="32" t="str">
        <f t="shared" si="202"/>
        <v/>
      </c>
      <c r="U738" s="32">
        <f t="shared" si="205"/>
        <v>1</v>
      </c>
      <c r="V738" s="32" t="str">
        <f t="shared" si="206"/>
        <v/>
      </c>
      <c r="W738" s="41">
        <f t="shared" si="203"/>
        <v>3.62562099170716</v>
      </c>
      <c r="X738" s="6">
        <f t="shared" si="204"/>
        <v>10.87686297512148</v>
      </c>
      <c r="Y738" s="7">
        <f t="shared" si="207"/>
        <v>540</v>
      </c>
      <c r="AA738" s="7">
        <f t="shared" si="208"/>
        <v>1</v>
      </c>
      <c r="AB738" s="7">
        <f t="shared" si="209"/>
        <v>3</v>
      </c>
      <c r="AC738" s="7">
        <f t="shared" si="210"/>
        <v>0</v>
      </c>
      <c r="AD738" s="7" t="str">
        <f t="shared" si="211"/>
        <v/>
      </c>
      <c r="AE738" s="6">
        <f t="shared" si="212"/>
        <v>0</v>
      </c>
      <c r="AF738" s="69">
        <f t="shared" si="213"/>
        <v>3.62562099170716</v>
      </c>
      <c r="AG738" s="6">
        <f t="shared" si="214"/>
        <v>0</v>
      </c>
      <c r="AH738" s="6">
        <f t="shared" si="215"/>
        <v>604</v>
      </c>
    </row>
    <row r="739" spans="8:34" x14ac:dyDescent="0.25">
      <c r="H739" s="7">
        <v>746</v>
      </c>
      <c r="I739" s="7" t="s">
        <v>11</v>
      </c>
      <c r="J739" s="8">
        <v>38859</v>
      </c>
      <c r="K739" s="12" t="s">
        <v>18</v>
      </c>
      <c r="L739" s="9">
        <v>68</v>
      </c>
      <c r="M739" s="10">
        <v>205.86039765882776</v>
      </c>
      <c r="N739" s="7" t="s">
        <v>23</v>
      </c>
      <c r="P739" s="29" t="str">
        <f t="shared" si="198"/>
        <v/>
      </c>
      <c r="Q739" s="29" t="str">
        <f t="shared" si="199"/>
        <v/>
      </c>
      <c r="R739" s="29" t="str">
        <f t="shared" si="200"/>
        <v/>
      </c>
      <c r="S739" s="29" t="str">
        <f t="shared" si="201"/>
        <v/>
      </c>
      <c r="T739" s="32" t="str">
        <f t="shared" si="202"/>
        <v/>
      </c>
      <c r="U739" s="32" t="str">
        <f t="shared" si="205"/>
        <v/>
      </c>
      <c r="V739" s="32">
        <f t="shared" si="206"/>
        <v>1</v>
      </c>
      <c r="W739" s="41">
        <f t="shared" si="203"/>
        <v>3.0273587891004081</v>
      </c>
      <c r="X739" s="6">
        <f t="shared" si="204"/>
        <v>0</v>
      </c>
      <c r="Y739" s="7">
        <f t="shared" si="207"/>
        <v>567</v>
      </c>
      <c r="AA739" s="7">
        <f t="shared" si="208"/>
        <v>0</v>
      </c>
      <c r="AB739" s="7" t="str">
        <f t="shared" si="209"/>
        <v/>
      </c>
      <c r="AC739" s="7">
        <f t="shared" si="210"/>
        <v>0</v>
      </c>
      <c r="AD739" s="7" t="str">
        <f t="shared" si="211"/>
        <v/>
      </c>
      <c r="AE739" s="6">
        <f t="shared" si="212"/>
        <v>0</v>
      </c>
      <c r="AF739" s="69">
        <f t="shared" si="213"/>
        <v>3.0273587891004081</v>
      </c>
      <c r="AG739" s="6">
        <f t="shared" si="214"/>
        <v>0</v>
      </c>
      <c r="AH739" s="6">
        <f t="shared" si="215"/>
        <v>604</v>
      </c>
    </row>
    <row r="740" spans="8:34" x14ac:dyDescent="0.25">
      <c r="H740" s="7">
        <v>747</v>
      </c>
      <c r="I740" s="7" t="s">
        <v>7</v>
      </c>
      <c r="J740" s="8">
        <v>38826</v>
      </c>
      <c r="K740" s="12" t="s">
        <v>18</v>
      </c>
      <c r="L740" s="9">
        <v>83</v>
      </c>
      <c r="M740" s="10">
        <v>251.06283096017734</v>
      </c>
      <c r="N740" s="7" t="s">
        <v>24</v>
      </c>
      <c r="P740" s="29" t="str">
        <f t="shared" si="198"/>
        <v/>
      </c>
      <c r="Q740" s="29" t="str">
        <f t="shared" si="199"/>
        <v/>
      </c>
      <c r="R740" s="29" t="str">
        <f t="shared" si="200"/>
        <v/>
      </c>
      <c r="S740" s="29" t="str">
        <f t="shared" si="201"/>
        <v/>
      </c>
      <c r="T740" s="32" t="str">
        <f t="shared" si="202"/>
        <v/>
      </c>
      <c r="U740" s="32" t="str">
        <f t="shared" si="205"/>
        <v/>
      </c>
      <c r="V740" s="32">
        <f t="shared" si="206"/>
        <v>1</v>
      </c>
      <c r="W740" s="41">
        <f t="shared" si="203"/>
        <v>3.0248533850623773</v>
      </c>
      <c r="X740" s="6">
        <f t="shared" si="204"/>
        <v>0</v>
      </c>
      <c r="Y740" s="7">
        <f t="shared" si="207"/>
        <v>567</v>
      </c>
      <c r="AA740" s="7">
        <f t="shared" si="208"/>
        <v>0</v>
      </c>
      <c r="AB740" s="7" t="str">
        <f t="shared" si="209"/>
        <v/>
      </c>
      <c r="AC740" s="7">
        <f t="shared" si="210"/>
        <v>0</v>
      </c>
      <c r="AD740" s="7" t="str">
        <f t="shared" si="211"/>
        <v/>
      </c>
      <c r="AE740" s="6">
        <f t="shared" si="212"/>
        <v>0</v>
      </c>
      <c r="AF740" s="69">
        <f t="shared" si="213"/>
        <v>3.0248533850623773</v>
      </c>
      <c r="AG740" s="6">
        <f t="shared" si="214"/>
        <v>0</v>
      </c>
      <c r="AH740" s="6">
        <f t="shared" si="215"/>
        <v>604</v>
      </c>
    </row>
    <row r="741" spans="8:34" x14ac:dyDescent="0.25">
      <c r="H741" s="7">
        <v>748</v>
      </c>
      <c r="I741" s="7" t="s">
        <v>12</v>
      </c>
      <c r="J741" s="8">
        <v>38397</v>
      </c>
      <c r="K741" s="12" t="s">
        <v>16</v>
      </c>
      <c r="L741" s="9">
        <v>51</v>
      </c>
      <c r="M741" s="10">
        <v>155.12341917228474</v>
      </c>
      <c r="N741" s="7" t="s">
        <v>23</v>
      </c>
      <c r="P741" s="29" t="str">
        <f t="shared" si="198"/>
        <v/>
      </c>
      <c r="Q741" s="29" t="str">
        <f t="shared" si="199"/>
        <v/>
      </c>
      <c r="R741" s="29" t="str">
        <f t="shared" si="200"/>
        <v/>
      </c>
      <c r="S741" s="29" t="str">
        <f t="shared" si="201"/>
        <v/>
      </c>
      <c r="T741" s="32" t="str">
        <f t="shared" si="202"/>
        <v/>
      </c>
      <c r="U741" s="32">
        <f t="shared" si="205"/>
        <v>1</v>
      </c>
      <c r="V741" s="32" t="str">
        <f t="shared" si="206"/>
        <v/>
      </c>
      <c r="W741" s="41">
        <f t="shared" si="203"/>
        <v>3.0416356700447991</v>
      </c>
      <c r="X741" s="6">
        <f t="shared" si="204"/>
        <v>155.12341917228474</v>
      </c>
      <c r="Y741" s="7">
        <f t="shared" si="207"/>
        <v>255</v>
      </c>
      <c r="AA741" s="7">
        <f t="shared" si="208"/>
        <v>1</v>
      </c>
      <c r="AB741" s="7">
        <f t="shared" si="209"/>
        <v>51</v>
      </c>
      <c r="AC741" s="7">
        <f t="shared" si="210"/>
        <v>0</v>
      </c>
      <c r="AD741" s="7" t="str">
        <f t="shared" si="211"/>
        <v/>
      </c>
      <c r="AE741" s="6">
        <f t="shared" si="212"/>
        <v>0</v>
      </c>
      <c r="AF741" s="69">
        <f t="shared" si="213"/>
        <v>3.0416356700447991</v>
      </c>
      <c r="AG741" s="6">
        <f t="shared" si="214"/>
        <v>0</v>
      </c>
      <c r="AH741" s="6">
        <f t="shared" si="215"/>
        <v>604</v>
      </c>
    </row>
    <row r="742" spans="8:34" x14ac:dyDescent="0.25">
      <c r="H742" s="7">
        <v>749</v>
      </c>
      <c r="I742" s="7" t="s">
        <v>15</v>
      </c>
      <c r="J742" s="8">
        <v>38826</v>
      </c>
      <c r="K742" s="12" t="s">
        <v>18</v>
      </c>
      <c r="L742" s="9">
        <v>16</v>
      </c>
      <c r="M742" s="10">
        <v>50.203538747394113</v>
      </c>
      <c r="N742" s="7" t="s">
        <v>23</v>
      </c>
      <c r="P742" s="29" t="str">
        <f t="shared" si="198"/>
        <v/>
      </c>
      <c r="Q742" s="29" t="str">
        <f t="shared" si="199"/>
        <v/>
      </c>
      <c r="R742" s="29" t="str">
        <f t="shared" si="200"/>
        <v/>
      </c>
      <c r="S742" s="29" t="str">
        <f t="shared" si="201"/>
        <v/>
      </c>
      <c r="T742" s="32" t="str">
        <f t="shared" si="202"/>
        <v/>
      </c>
      <c r="U742" s="32" t="str">
        <f t="shared" si="205"/>
        <v/>
      </c>
      <c r="V742" s="32">
        <f t="shared" si="206"/>
        <v>1</v>
      </c>
      <c r="W742" s="41">
        <f t="shared" si="203"/>
        <v>3.1377211717121321</v>
      </c>
      <c r="X742" s="6">
        <f t="shared" si="204"/>
        <v>0</v>
      </c>
      <c r="Y742" s="7">
        <f t="shared" si="207"/>
        <v>567</v>
      </c>
      <c r="AA742" s="7">
        <f t="shared" si="208"/>
        <v>0</v>
      </c>
      <c r="AB742" s="7" t="str">
        <f t="shared" si="209"/>
        <v/>
      </c>
      <c r="AC742" s="7">
        <f t="shared" si="210"/>
        <v>0</v>
      </c>
      <c r="AD742" s="7" t="str">
        <f t="shared" si="211"/>
        <v/>
      </c>
      <c r="AE742" s="6">
        <f t="shared" si="212"/>
        <v>0</v>
      </c>
      <c r="AF742" s="69">
        <f t="shared" si="213"/>
        <v>3.1377211717121321</v>
      </c>
      <c r="AG742" s="6">
        <f t="shared" si="214"/>
        <v>0</v>
      </c>
      <c r="AH742" s="6">
        <f t="shared" si="215"/>
        <v>604</v>
      </c>
    </row>
    <row r="743" spans="8:34" x14ac:dyDescent="0.25">
      <c r="H743" s="7">
        <v>750</v>
      </c>
      <c r="I743" s="7" t="s">
        <v>15</v>
      </c>
      <c r="J743" s="8">
        <v>38848</v>
      </c>
      <c r="K743" s="12" t="s">
        <v>16</v>
      </c>
      <c r="L743" s="9">
        <v>-2</v>
      </c>
      <c r="M743" s="10">
        <v>-3.9135627833735267</v>
      </c>
      <c r="N743" s="7" t="s">
        <v>21</v>
      </c>
      <c r="P743" s="29" t="str">
        <f t="shared" si="198"/>
        <v/>
      </c>
      <c r="Q743" s="29" t="str">
        <f t="shared" si="199"/>
        <v/>
      </c>
      <c r="R743" s="29" t="str">
        <f t="shared" si="200"/>
        <v/>
      </c>
      <c r="S743" s="29" t="str">
        <f t="shared" si="201"/>
        <v/>
      </c>
      <c r="T743" s="32" t="str">
        <f t="shared" si="202"/>
        <v/>
      </c>
      <c r="U743" s="32" t="str">
        <f t="shared" si="205"/>
        <v/>
      </c>
      <c r="V743" s="32">
        <f t="shared" si="206"/>
        <v>1</v>
      </c>
      <c r="W743" s="41" t="str">
        <f t="shared" si="203"/>
        <v/>
      </c>
      <c r="X743" s="6">
        <f t="shared" si="204"/>
        <v>0</v>
      </c>
      <c r="Y743" s="7">
        <f t="shared" si="207"/>
        <v>567</v>
      </c>
      <c r="AA743" s="7">
        <f t="shared" si="208"/>
        <v>0</v>
      </c>
      <c r="AB743" s="7" t="str">
        <f t="shared" si="209"/>
        <v/>
      </c>
      <c r="AC743" s="7">
        <f t="shared" si="210"/>
        <v>0</v>
      </c>
      <c r="AD743" s="7" t="str">
        <f t="shared" si="211"/>
        <v/>
      </c>
      <c r="AE743" s="6">
        <f t="shared" si="212"/>
        <v>-2</v>
      </c>
      <c r="AF743" s="69" t="str">
        <f t="shared" si="213"/>
        <v/>
      </c>
      <c r="AG743" s="6">
        <f t="shared" si="214"/>
        <v>0</v>
      </c>
      <c r="AH743" s="6">
        <f t="shared" si="215"/>
        <v>604</v>
      </c>
    </row>
    <row r="744" spans="8:34" x14ac:dyDescent="0.25">
      <c r="H744" s="7">
        <v>751</v>
      </c>
      <c r="I744" s="7" t="s">
        <v>12</v>
      </c>
      <c r="J744" s="8">
        <v>38320</v>
      </c>
      <c r="K744" s="12" t="s">
        <v>17</v>
      </c>
      <c r="L744" s="9">
        <v>6</v>
      </c>
      <c r="M744" s="10">
        <v>20.370424027363761</v>
      </c>
      <c r="N744" s="7" t="s">
        <v>21</v>
      </c>
      <c r="P744" s="29" t="str">
        <f t="shared" si="198"/>
        <v/>
      </c>
      <c r="Q744" s="29" t="str">
        <f t="shared" si="199"/>
        <v/>
      </c>
      <c r="R744" s="29" t="str">
        <f t="shared" si="200"/>
        <v/>
      </c>
      <c r="S744" s="29">
        <f t="shared" si="201"/>
        <v>1</v>
      </c>
      <c r="T744" s="32" t="str">
        <f t="shared" si="202"/>
        <v/>
      </c>
      <c r="U744" s="32" t="str">
        <f t="shared" si="205"/>
        <v/>
      </c>
      <c r="V744" s="32" t="str">
        <f t="shared" si="206"/>
        <v/>
      </c>
      <c r="W744" s="41">
        <f t="shared" si="203"/>
        <v>3.3950706712272933</v>
      </c>
      <c r="X744" s="6">
        <f t="shared" si="204"/>
        <v>0</v>
      </c>
      <c r="Y744" s="7">
        <f t="shared" si="207"/>
        <v>567</v>
      </c>
      <c r="AA744" s="7">
        <f t="shared" si="208"/>
        <v>0</v>
      </c>
      <c r="AB744" s="7" t="str">
        <f t="shared" si="209"/>
        <v/>
      </c>
      <c r="AC744" s="7">
        <f t="shared" si="210"/>
        <v>0</v>
      </c>
      <c r="AD744" s="7" t="str">
        <f t="shared" si="211"/>
        <v/>
      </c>
      <c r="AE744" s="6">
        <f t="shared" si="212"/>
        <v>0</v>
      </c>
      <c r="AF744" s="69">
        <f t="shared" si="213"/>
        <v>3.3950706712272933</v>
      </c>
      <c r="AG744" s="6">
        <f t="shared" si="214"/>
        <v>20.370424027363761</v>
      </c>
      <c r="AH744" s="6">
        <f t="shared" si="215"/>
        <v>558</v>
      </c>
    </row>
    <row r="745" spans="8:34" x14ac:dyDescent="0.25">
      <c r="H745" s="7">
        <v>752</v>
      </c>
      <c r="I745" s="7" t="s">
        <v>11</v>
      </c>
      <c r="J745" s="8">
        <v>38650</v>
      </c>
      <c r="K745" s="12" t="s">
        <v>17</v>
      </c>
      <c r="L745" s="9">
        <v>-5</v>
      </c>
      <c r="M745" s="10">
        <v>-12.571701775011148</v>
      </c>
      <c r="N745" s="7" t="s">
        <v>24</v>
      </c>
      <c r="P745" s="29" t="str">
        <f t="shared" si="198"/>
        <v/>
      </c>
      <c r="Q745" s="29" t="str">
        <f t="shared" si="199"/>
        <v/>
      </c>
      <c r="R745" s="29" t="str">
        <f t="shared" si="200"/>
        <v/>
      </c>
      <c r="S745" s="29" t="str">
        <f t="shared" si="201"/>
        <v/>
      </c>
      <c r="T745" s="32">
        <f t="shared" si="202"/>
        <v>1</v>
      </c>
      <c r="U745" s="32">
        <f t="shared" si="205"/>
        <v>1</v>
      </c>
      <c r="V745" s="32" t="str">
        <f t="shared" si="206"/>
        <v/>
      </c>
      <c r="W745" s="41" t="str">
        <f t="shared" si="203"/>
        <v/>
      </c>
      <c r="X745" s="6">
        <f t="shared" si="204"/>
        <v>-12.571701775011148</v>
      </c>
      <c r="Y745" s="7">
        <f t="shared" si="207"/>
        <v>1865</v>
      </c>
      <c r="AA745" s="7">
        <f t="shared" si="208"/>
        <v>0</v>
      </c>
      <c r="AB745" s="7" t="str">
        <f t="shared" si="209"/>
        <v/>
      </c>
      <c r="AC745" s="7">
        <f t="shared" si="210"/>
        <v>1</v>
      </c>
      <c r="AD745" s="7">
        <f t="shared" si="211"/>
        <v>-5</v>
      </c>
      <c r="AE745" s="6">
        <f t="shared" si="212"/>
        <v>-5</v>
      </c>
      <c r="AF745" s="69" t="str">
        <f t="shared" si="213"/>
        <v/>
      </c>
      <c r="AG745" s="6">
        <f t="shared" si="214"/>
        <v>0</v>
      </c>
      <c r="AH745" s="6">
        <f t="shared" si="215"/>
        <v>604</v>
      </c>
    </row>
    <row r="746" spans="8:34" x14ac:dyDescent="0.25">
      <c r="H746" s="7">
        <v>753</v>
      </c>
      <c r="I746" s="7" t="s">
        <v>7</v>
      </c>
      <c r="J746" s="8">
        <v>38738</v>
      </c>
      <c r="K746" s="12" t="s">
        <v>16</v>
      </c>
      <c r="L746" s="9">
        <v>42</v>
      </c>
      <c r="M746" s="10">
        <v>127.71123178411425</v>
      </c>
      <c r="N746" s="7" t="s">
        <v>21</v>
      </c>
      <c r="P746" s="29" t="str">
        <f t="shared" si="198"/>
        <v/>
      </c>
      <c r="Q746" s="29" t="str">
        <f t="shared" si="199"/>
        <v/>
      </c>
      <c r="R746" s="29" t="str">
        <f t="shared" si="200"/>
        <v/>
      </c>
      <c r="S746" s="29" t="str">
        <f t="shared" si="201"/>
        <v/>
      </c>
      <c r="T746" s="32" t="str">
        <f t="shared" si="202"/>
        <v/>
      </c>
      <c r="U746" s="32" t="str">
        <f t="shared" si="205"/>
        <v/>
      </c>
      <c r="V746" s="32">
        <f t="shared" si="206"/>
        <v>1</v>
      </c>
      <c r="W746" s="41">
        <f t="shared" si="203"/>
        <v>3.0407436139074822</v>
      </c>
      <c r="X746" s="6">
        <f t="shared" si="204"/>
        <v>0</v>
      </c>
      <c r="Y746" s="7">
        <f t="shared" si="207"/>
        <v>567</v>
      </c>
      <c r="AA746" s="7">
        <f t="shared" si="208"/>
        <v>0</v>
      </c>
      <c r="AB746" s="7" t="str">
        <f t="shared" si="209"/>
        <v/>
      </c>
      <c r="AC746" s="7">
        <f t="shared" si="210"/>
        <v>0</v>
      </c>
      <c r="AD746" s="7" t="str">
        <f t="shared" si="211"/>
        <v/>
      </c>
      <c r="AE746" s="6">
        <f t="shared" si="212"/>
        <v>0</v>
      </c>
      <c r="AF746" s="69">
        <f t="shared" si="213"/>
        <v>3.0407436139074822</v>
      </c>
      <c r="AG746" s="6">
        <f t="shared" si="214"/>
        <v>0</v>
      </c>
      <c r="AH746" s="6">
        <f t="shared" si="215"/>
        <v>604</v>
      </c>
    </row>
    <row r="747" spans="8:34" x14ac:dyDescent="0.25">
      <c r="H747" s="7">
        <v>754</v>
      </c>
      <c r="I747" s="7" t="s">
        <v>12</v>
      </c>
      <c r="J747" s="8">
        <v>38364</v>
      </c>
      <c r="K747" s="12" t="s">
        <v>16</v>
      </c>
      <c r="L747" s="9">
        <v>47</v>
      </c>
      <c r="M747" s="10">
        <v>143.38409457230034</v>
      </c>
      <c r="N747" s="7" t="s">
        <v>22</v>
      </c>
      <c r="P747" s="29" t="str">
        <f t="shared" si="198"/>
        <v/>
      </c>
      <c r="Q747" s="29" t="str">
        <f t="shared" si="199"/>
        <v/>
      </c>
      <c r="R747" s="29" t="str">
        <f t="shared" si="200"/>
        <v/>
      </c>
      <c r="S747" s="29" t="str">
        <f t="shared" si="201"/>
        <v/>
      </c>
      <c r="T747" s="32" t="str">
        <f t="shared" si="202"/>
        <v/>
      </c>
      <c r="U747" s="32">
        <f t="shared" si="205"/>
        <v>1</v>
      </c>
      <c r="V747" s="32" t="str">
        <f t="shared" si="206"/>
        <v/>
      </c>
      <c r="W747" s="41">
        <f t="shared" si="203"/>
        <v>3.0507254164319222</v>
      </c>
      <c r="X747" s="6">
        <f t="shared" si="204"/>
        <v>143.38409457230034</v>
      </c>
      <c r="Y747" s="7">
        <f t="shared" si="207"/>
        <v>283</v>
      </c>
      <c r="AA747" s="7">
        <f t="shared" si="208"/>
        <v>1</v>
      </c>
      <c r="AB747" s="7">
        <f t="shared" si="209"/>
        <v>47</v>
      </c>
      <c r="AC747" s="7">
        <f t="shared" si="210"/>
        <v>0</v>
      </c>
      <c r="AD747" s="7" t="str">
        <f t="shared" si="211"/>
        <v/>
      </c>
      <c r="AE747" s="6">
        <f t="shared" si="212"/>
        <v>0</v>
      </c>
      <c r="AF747" s="69">
        <f t="shared" si="213"/>
        <v>3.0507254164319222</v>
      </c>
      <c r="AG747" s="6">
        <f t="shared" si="214"/>
        <v>0</v>
      </c>
      <c r="AH747" s="6">
        <f t="shared" si="215"/>
        <v>604</v>
      </c>
    </row>
    <row r="748" spans="8:34" x14ac:dyDescent="0.25">
      <c r="H748" s="7">
        <v>755</v>
      </c>
      <c r="I748" s="7" t="s">
        <v>8</v>
      </c>
      <c r="J748" s="8">
        <v>38925</v>
      </c>
      <c r="K748" s="12" t="s">
        <v>20</v>
      </c>
      <c r="L748" s="9">
        <v>16</v>
      </c>
      <c r="M748" s="10">
        <v>50.193862989445165</v>
      </c>
      <c r="N748" s="7" t="s">
        <v>23</v>
      </c>
      <c r="P748" s="29" t="str">
        <f t="shared" si="198"/>
        <v/>
      </c>
      <c r="Q748" s="29" t="str">
        <f t="shared" si="199"/>
        <v/>
      </c>
      <c r="R748" s="29" t="str">
        <f t="shared" si="200"/>
        <v/>
      </c>
      <c r="S748" s="29" t="str">
        <f t="shared" si="201"/>
        <v/>
      </c>
      <c r="T748" s="32" t="str">
        <f t="shared" si="202"/>
        <v/>
      </c>
      <c r="U748" s="32" t="str">
        <f t="shared" si="205"/>
        <v/>
      </c>
      <c r="V748" s="32">
        <f t="shared" si="206"/>
        <v>1</v>
      </c>
      <c r="W748" s="41">
        <f t="shared" si="203"/>
        <v>3.1371164368403228</v>
      </c>
      <c r="X748" s="6">
        <f t="shared" si="204"/>
        <v>0</v>
      </c>
      <c r="Y748" s="7">
        <f t="shared" si="207"/>
        <v>567</v>
      </c>
      <c r="AA748" s="7">
        <f t="shared" si="208"/>
        <v>0</v>
      </c>
      <c r="AB748" s="7" t="str">
        <f t="shared" si="209"/>
        <v/>
      </c>
      <c r="AC748" s="7">
        <f t="shared" si="210"/>
        <v>0</v>
      </c>
      <c r="AD748" s="7" t="str">
        <f t="shared" si="211"/>
        <v/>
      </c>
      <c r="AE748" s="6">
        <f t="shared" si="212"/>
        <v>0</v>
      </c>
      <c r="AF748" s="69">
        <f t="shared" si="213"/>
        <v>3.1371164368403228</v>
      </c>
      <c r="AG748" s="6">
        <f t="shared" si="214"/>
        <v>0</v>
      </c>
      <c r="AH748" s="6">
        <f t="shared" si="215"/>
        <v>604</v>
      </c>
    </row>
    <row r="749" spans="8:34" x14ac:dyDescent="0.25">
      <c r="H749" s="7">
        <v>756</v>
      </c>
      <c r="I749" s="7" t="s">
        <v>15</v>
      </c>
      <c r="J749" s="8">
        <v>38122</v>
      </c>
      <c r="K749" s="12" t="s">
        <v>17</v>
      </c>
      <c r="L749" s="9">
        <v>11</v>
      </c>
      <c r="M749" s="10">
        <v>35.356196404749518</v>
      </c>
      <c r="N749" s="7" t="s">
        <v>23</v>
      </c>
      <c r="P749" s="29" t="str">
        <f t="shared" si="198"/>
        <v/>
      </c>
      <c r="Q749" s="29">
        <f t="shared" si="199"/>
        <v>1</v>
      </c>
      <c r="R749" s="29" t="str">
        <f t="shared" si="200"/>
        <v/>
      </c>
      <c r="S749" s="29" t="str">
        <f t="shared" si="201"/>
        <v/>
      </c>
      <c r="T749" s="32" t="str">
        <f t="shared" si="202"/>
        <v/>
      </c>
      <c r="U749" s="32" t="str">
        <f t="shared" si="205"/>
        <v/>
      </c>
      <c r="V749" s="32" t="str">
        <f t="shared" si="206"/>
        <v/>
      </c>
      <c r="W749" s="41">
        <f t="shared" si="203"/>
        <v>3.214199673159047</v>
      </c>
      <c r="X749" s="6">
        <f t="shared" si="204"/>
        <v>0</v>
      </c>
      <c r="Y749" s="7">
        <f t="shared" si="207"/>
        <v>567</v>
      </c>
      <c r="AA749" s="7">
        <f t="shared" si="208"/>
        <v>0</v>
      </c>
      <c r="AB749" s="7" t="str">
        <f t="shared" si="209"/>
        <v/>
      </c>
      <c r="AC749" s="7">
        <f t="shared" si="210"/>
        <v>0</v>
      </c>
      <c r="AD749" s="7" t="str">
        <f t="shared" si="211"/>
        <v/>
      </c>
      <c r="AE749" s="6">
        <f t="shared" si="212"/>
        <v>0</v>
      </c>
      <c r="AF749" s="69">
        <f t="shared" si="213"/>
        <v>3.214199673159047</v>
      </c>
      <c r="AG749" s="6">
        <f t="shared" si="214"/>
        <v>35.356196404749518</v>
      </c>
      <c r="AH749" s="6">
        <f t="shared" si="215"/>
        <v>515</v>
      </c>
    </row>
    <row r="750" spans="8:34" x14ac:dyDescent="0.25">
      <c r="H750" s="7">
        <v>757</v>
      </c>
      <c r="I750" s="7" t="s">
        <v>7</v>
      </c>
      <c r="J750" s="8">
        <v>38320</v>
      </c>
      <c r="K750" s="12" t="s">
        <v>16</v>
      </c>
      <c r="L750" s="9">
        <v>-10</v>
      </c>
      <c r="M750" s="10">
        <v>-27.896760549483552</v>
      </c>
      <c r="N750" s="7" t="s">
        <v>24</v>
      </c>
      <c r="P750" s="29" t="str">
        <f t="shared" si="198"/>
        <v/>
      </c>
      <c r="Q750" s="29" t="str">
        <f t="shared" si="199"/>
        <v/>
      </c>
      <c r="R750" s="29" t="str">
        <f t="shared" si="200"/>
        <v/>
      </c>
      <c r="S750" s="29">
        <f t="shared" si="201"/>
        <v>1</v>
      </c>
      <c r="T750" s="32" t="str">
        <f t="shared" si="202"/>
        <v/>
      </c>
      <c r="U750" s="32" t="str">
        <f t="shared" si="205"/>
        <v/>
      </c>
      <c r="V750" s="32" t="str">
        <f t="shared" si="206"/>
        <v/>
      </c>
      <c r="W750" s="41" t="str">
        <f t="shared" si="203"/>
        <v/>
      </c>
      <c r="X750" s="6">
        <f t="shared" si="204"/>
        <v>0</v>
      </c>
      <c r="Y750" s="7">
        <f t="shared" si="207"/>
        <v>567</v>
      </c>
      <c r="AA750" s="7">
        <f t="shared" si="208"/>
        <v>0</v>
      </c>
      <c r="AB750" s="7" t="str">
        <f t="shared" si="209"/>
        <v/>
      </c>
      <c r="AC750" s="7">
        <f t="shared" si="210"/>
        <v>0</v>
      </c>
      <c r="AD750" s="7" t="str">
        <f t="shared" si="211"/>
        <v/>
      </c>
      <c r="AE750" s="6">
        <f t="shared" si="212"/>
        <v>-10</v>
      </c>
      <c r="AF750" s="69" t="str">
        <f t="shared" si="213"/>
        <v/>
      </c>
      <c r="AG750" s="6">
        <f t="shared" si="214"/>
        <v>0</v>
      </c>
      <c r="AH750" s="6">
        <f t="shared" si="215"/>
        <v>604</v>
      </c>
    </row>
    <row r="751" spans="8:34" x14ac:dyDescent="0.25">
      <c r="H751" s="7">
        <v>758</v>
      </c>
      <c r="I751" s="7" t="s">
        <v>9</v>
      </c>
      <c r="J751" s="8">
        <v>38056</v>
      </c>
      <c r="K751" s="12" t="s">
        <v>16</v>
      </c>
      <c r="L751" s="9">
        <v>21</v>
      </c>
      <c r="M751" s="10">
        <v>65.379195576752196</v>
      </c>
      <c r="N751" s="7" t="s">
        <v>21</v>
      </c>
      <c r="P751" s="29">
        <f t="shared" si="198"/>
        <v>1</v>
      </c>
      <c r="Q751" s="29" t="str">
        <f t="shared" si="199"/>
        <v/>
      </c>
      <c r="R751" s="29" t="str">
        <f t="shared" si="200"/>
        <v/>
      </c>
      <c r="S751" s="29" t="str">
        <f t="shared" si="201"/>
        <v/>
      </c>
      <c r="T751" s="32" t="str">
        <f t="shared" si="202"/>
        <v/>
      </c>
      <c r="U751" s="32" t="str">
        <f t="shared" si="205"/>
        <v/>
      </c>
      <c r="V751" s="32" t="str">
        <f t="shared" si="206"/>
        <v/>
      </c>
      <c r="W751" s="41">
        <f t="shared" si="203"/>
        <v>3.1132950274643902</v>
      </c>
      <c r="X751" s="6">
        <f t="shared" si="204"/>
        <v>0</v>
      </c>
      <c r="Y751" s="7">
        <f t="shared" si="207"/>
        <v>567</v>
      </c>
      <c r="AA751" s="7">
        <f t="shared" si="208"/>
        <v>0</v>
      </c>
      <c r="AB751" s="7" t="str">
        <f t="shared" si="209"/>
        <v/>
      </c>
      <c r="AC751" s="7">
        <f t="shared" si="210"/>
        <v>0</v>
      </c>
      <c r="AD751" s="7" t="str">
        <f t="shared" si="211"/>
        <v/>
      </c>
      <c r="AE751" s="6">
        <f t="shared" si="212"/>
        <v>0</v>
      </c>
      <c r="AF751" s="69">
        <f t="shared" si="213"/>
        <v>3.1132950274643902</v>
      </c>
      <c r="AG751" s="6">
        <f t="shared" si="214"/>
        <v>65.379195576752196</v>
      </c>
      <c r="AH751" s="6">
        <f t="shared" si="215"/>
        <v>449</v>
      </c>
    </row>
    <row r="752" spans="8:34" x14ac:dyDescent="0.25">
      <c r="H752" s="7">
        <v>759</v>
      </c>
      <c r="I752" s="7" t="s">
        <v>15</v>
      </c>
      <c r="J752" s="8">
        <v>38650</v>
      </c>
      <c r="K752" s="12" t="s">
        <v>20</v>
      </c>
      <c r="L752" s="9">
        <v>52</v>
      </c>
      <c r="M752" s="10">
        <v>157.72596503790041</v>
      </c>
      <c r="N752" s="7" t="s">
        <v>24</v>
      </c>
      <c r="P752" s="29" t="str">
        <f t="shared" si="198"/>
        <v/>
      </c>
      <c r="Q752" s="29" t="str">
        <f t="shared" si="199"/>
        <v/>
      </c>
      <c r="R752" s="29" t="str">
        <f t="shared" si="200"/>
        <v/>
      </c>
      <c r="S752" s="29" t="str">
        <f t="shared" si="201"/>
        <v/>
      </c>
      <c r="T752" s="32">
        <f t="shared" si="202"/>
        <v>1</v>
      </c>
      <c r="U752" s="32">
        <f t="shared" si="205"/>
        <v>1</v>
      </c>
      <c r="V752" s="32" t="str">
        <f t="shared" si="206"/>
        <v/>
      </c>
      <c r="W752" s="41">
        <f t="shared" si="203"/>
        <v>3.0331916353442385</v>
      </c>
      <c r="X752" s="6">
        <f t="shared" si="204"/>
        <v>157.72596503790041</v>
      </c>
      <c r="Y752" s="7">
        <f t="shared" si="207"/>
        <v>248</v>
      </c>
      <c r="AA752" s="7">
        <f t="shared" si="208"/>
        <v>0</v>
      </c>
      <c r="AB752" s="7" t="str">
        <f t="shared" si="209"/>
        <v/>
      </c>
      <c r="AC752" s="7">
        <f t="shared" si="210"/>
        <v>1</v>
      </c>
      <c r="AD752" s="7">
        <f t="shared" si="211"/>
        <v>52</v>
      </c>
      <c r="AE752" s="6">
        <f t="shared" si="212"/>
        <v>0</v>
      </c>
      <c r="AF752" s="69">
        <f t="shared" si="213"/>
        <v>3.0331916353442385</v>
      </c>
      <c r="AG752" s="6">
        <f t="shared" si="214"/>
        <v>0</v>
      </c>
      <c r="AH752" s="6">
        <f t="shared" si="215"/>
        <v>604</v>
      </c>
    </row>
    <row r="753" spans="8:34" x14ac:dyDescent="0.25">
      <c r="H753" s="7">
        <v>760</v>
      </c>
      <c r="I753" s="7" t="s">
        <v>12</v>
      </c>
      <c r="J753" s="8">
        <v>38089</v>
      </c>
      <c r="K753" s="12" t="s">
        <v>19</v>
      </c>
      <c r="L753" s="9">
        <v>5</v>
      </c>
      <c r="M753" s="10">
        <v>17.005120052550815</v>
      </c>
      <c r="N753" s="7" t="s">
        <v>21</v>
      </c>
      <c r="P753" s="29" t="str">
        <f t="shared" si="198"/>
        <v/>
      </c>
      <c r="Q753" s="29">
        <f t="shared" si="199"/>
        <v>1</v>
      </c>
      <c r="R753" s="29" t="str">
        <f t="shared" si="200"/>
        <v/>
      </c>
      <c r="S753" s="29" t="str">
        <f t="shared" si="201"/>
        <v/>
      </c>
      <c r="T753" s="32" t="str">
        <f t="shared" si="202"/>
        <v/>
      </c>
      <c r="U753" s="32" t="str">
        <f t="shared" si="205"/>
        <v/>
      </c>
      <c r="V753" s="32" t="str">
        <f t="shared" si="206"/>
        <v/>
      </c>
      <c r="W753" s="41">
        <f t="shared" si="203"/>
        <v>3.401024010510163</v>
      </c>
      <c r="X753" s="6">
        <f t="shared" si="204"/>
        <v>0</v>
      </c>
      <c r="Y753" s="7">
        <f t="shared" si="207"/>
        <v>567</v>
      </c>
      <c r="AA753" s="7">
        <f t="shared" si="208"/>
        <v>0</v>
      </c>
      <c r="AB753" s="7" t="str">
        <f t="shared" si="209"/>
        <v/>
      </c>
      <c r="AC753" s="7">
        <f t="shared" si="210"/>
        <v>0</v>
      </c>
      <c r="AD753" s="7" t="str">
        <f t="shared" si="211"/>
        <v/>
      </c>
      <c r="AE753" s="6">
        <f t="shared" si="212"/>
        <v>0</v>
      </c>
      <c r="AF753" s="69">
        <f t="shared" si="213"/>
        <v>3.401024010510163</v>
      </c>
      <c r="AG753" s="6">
        <f t="shared" si="214"/>
        <v>17.005120052550815</v>
      </c>
      <c r="AH753" s="6">
        <f t="shared" si="215"/>
        <v>571</v>
      </c>
    </row>
    <row r="754" spans="8:34" x14ac:dyDescent="0.25">
      <c r="H754" s="7">
        <v>761</v>
      </c>
      <c r="I754" s="7" t="s">
        <v>12</v>
      </c>
      <c r="J754" s="8">
        <v>38562</v>
      </c>
      <c r="K754" s="12" t="s">
        <v>16</v>
      </c>
      <c r="L754" s="9">
        <v>52</v>
      </c>
      <c r="M754" s="10">
        <v>158.43447603180036</v>
      </c>
      <c r="N754" s="7" t="s">
        <v>22</v>
      </c>
      <c r="P754" s="29" t="str">
        <f t="shared" si="198"/>
        <v/>
      </c>
      <c r="Q754" s="29" t="str">
        <f t="shared" si="199"/>
        <v/>
      </c>
      <c r="R754" s="29" t="str">
        <f t="shared" si="200"/>
        <v/>
      </c>
      <c r="S754" s="29" t="str">
        <f t="shared" si="201"/>
        <v/>
      </c>
      <c r="T754" s="32" t="str">
        <f t="shared" si="202"/>
        <v/>
      </c>
      <c r="U754" s="32">
        <f t="shared" si="205"/>
        <v>1</v>
      </c>
      <c r="V754" s="32" t="str">
        <f t="shared" si="206"/>
        <v/>
      </c>
      <c r="W754" s="41">
        <f t="shared" si="203"/>
        <v>3.0468168467653913</v>
      </c>
      <c r="X754" s="6">
        <f t="shared" si="204"/>
        <v>158.43447603180036</v>
      </c>
      <c r="Y754" s="7">
        <f t="shared" si="207"/>
        <v>242</v>
      </c>
      <c r="AA754" s="7">
        <f t="shared" si="208"/>
        <v>1</v>
      </c>
      <c r="AB754" s="7">
        <f t="shared" si="209"/>
        <v>52</v>
      </c>
      <c r="AC754" s="7">
        <f t="shared" si="210"/>
        <v>0</v>
      </c>
      <c r="AD754" s="7" t="str">
        <f t="shared" si="211"/>
        <v/>
      </c>
      <c r="AE754" s="6">
        <f t="shared" si="212"/>
        <v>0</v>
      </c>
      <c r="AF754" s="69">
        <f t="shared" si="213"/>
        <v>3.0468168467653913</v>
      </c>
      <c r="AG754" s="6">
        <f t="shared" si="214"/>
        <v>0</v>
      </c>
      <c r="AH754" s="6">
        <f t="shared" si="215"/>
        <v>604</v>
      </c>
    </row>
    <row r="755" spans="8:34" x14ac:dyDescent="0.25">
      <c r="H755" s="7">
        <v>762</v>
      </c>
      <c r="I755" s="7" t="s">
        <v>11</v>
      </c>
      <c r="J755" s="8">
        <v>38441</v>
      </c>
      <c r="K755" s="12" t="s">
        <v>20</v>
      </c>
      <c r="L755" s="9">
        <v>38</v>
      </c>
      <c r="M755" s="10">
        <v>115.38889596804569</v>
      </c>
      <c r="N755" s="7" t="s">
        <v>21</v>
      </c>
      <c r="P755" s="29" t="str">
        <f t="shared" si="198"/>
        <v/>
      </c>
      <c r="Q755" s="29" t="str">
        <f t="shared" si="199"/>
        <v/>
      </c>
      <c r="R755" s="29" t="str">
        <f t="shared" si="200"/>
        <v/>
      </c>
      <c r="S755" s="29" t="str">
        <f t="shared" si="201"/>
        <v/>
      </c>
      <c r="T755" s="32" t="str">
        <f t="shared" si="202"/>
        <v/>
      </c>
      <c r="U755" s="32">
        <f t="shared" si="205"/>
        <v>1</v>
      </c>
      <c r="V755" s="32" t="str">
        <f t="shared" si="206"/>
        <v/>
      </c>
      <c r="W755" s="41">
        <f t="shared" si="203"/>
        <v>3.036549893895939</v>
      </c>
      <c r="X755" s="6">
        <f t="shared" si="204"/>
        <v>115.38889596804569</v>
      </c>
      <c r="Y755" s="7">
        <f t="shared" si="207"/>
        <v>330</v>
      </c>
      <c r="AA755" s="7">
        <f t="shared" si="208"/>
        <v>1</v>
      </c>
      <c r="AB755" s="7">
        <f t="shared" si="209"/>
        <v>38</v>
      </c>
      <c r="AC755" s="7">
        <f t="shared" si="210"/>
        <v>0</v>
      </c>
      <c r="AD755" s="7" t="str">
        <f t="shared" si="211"/>
        <v/>
      </c>
      <c r="AE755" s="6">
        <f t="shared" si="212"/>
        <v>0</v>
      </c>
      <c r="AF755" s="69">
        <f t="shared" si="213"/>
        <v>3.036549893895939</v>
      </c>
      <c r="AG755" s="6">
        <f t="shared" si="214"/>
        <v>0</v>
      </c>
      <c r="AH755" s="6">
        <f t="shared" si="215"/>
        <v>604</v>
      </c>
    </row>
    <row r="756" spans="8:34" x14ac:dyDescent="0.25">
      <c r="H756" s="7">
        <v>763</v>
      </c>
      <c r="I756" s="7" t="s">
        <v>13</v>
      </c>
      <c r="J756" s="8">
        <v>38848</v>
      </c>
      <c r="K756" s="12" t="s">
        <v>20</v>
      </c>
      <c r="L756" s="9">
        <v>84</v>
      </c>
      <c r="M756" s="10">
        <v>254.2621659223083</v>
      </c>
      <c r="N756" s="7" t="s">
        <v>24</v>
      </c>
      <c r="P756" s="29" t="str">
        <f t="shared" si="198"/>
        <v/>
      </c>
      <c r="Q756" s="29" t="str">
        <f t="shared" si="199"/>
        <v/>
      </c>
      <c r="R756" s="29" t="str">
        <f t="shared" si="200"/>
        <v/>
      </c>
      <c r="S756" s="29" t="str">
        <f t="shared" si="201"/>
        <v/>
      </c>
      <c r="T756" s="32" t="str">
        <f t="shared" si="202"/>
        <v/>
      </c>
      <c r="U756" s="32" t="str">
        <f t="shared" si="205"/>
        <v/>
      </c>
      <c r="V756" s="32">
        <f t="shared" si="206"/>
        <v>1</v>
      </c>
      <c r="W756" s="41">
        <f t="shared" si="203"/>
        <v>3.0269305466941465</v>
      </c>
      <c r="X756" s="6">
        <f t="shared" si="204"/>
        <v>0</v>
      </c>
      <c r="Y756" s="7">
        <f t="shared" si="207"/>
        <v>567</v>
      </c>
      <c r="AA756" s="7">
        <f t="shared" si="208"/>
        <v>0</v>
      </c>
      <c r="AB756" s="7" t="str">
        <f t="shared" si="209"/>
        <v/>
      </c>
      <c r="AC756" s="7">
        <f t="shared" si="210"/>
        <v>0</v>
      </c>
      <c r="AD756" s="7" t="str">
        <f t="shared" si="211"/>
        <v/>
      </c>
      <c r="AE756" s="6">
        <f t="shared" si="212"/>
        <v>0</v>
      </c>
      <c r="AF756" s="69">
        <f t="shared" si="213"/>
        <v>3.0269305466941465</v>
      </c>
      <c r="AG756" s="6">
        <f t="shared" si="214"/>
        <v>0</v>
      </c>
      <c r="AH756" s="6">
        <f t="shared" si="215"/>
        <v>604</v>
      </c>
    </row>
    <row r="757" spans="8:34" x14ac:dyDescent="0.25">
      <c r="H757" s="7">
        <v>764</v>
      </c>
      <c r="I757" s="7" t="s">
        <v>15</v>
      </c>
      <c r="J757" s="8">
        <v>39057</v>
      </c>
      <c r="K757" s="12" t="s">
        <v>19</v>
      </c>
      <c r="L757" s="9">
        <v>18</v>
      </c>
      <c r="M757" s="10">
        <v>55.343428443559006</v>
      </c>
      <c r="N757" s="7" t="s">
        <v>21</v>
      </c>
      <c r="P757" s="29" t="str">
        <f t="shared" si="198"/>
        <v/>
      </c>
      <c r="Q757" s="29" t="str">
        <f t="shared" si="199"/>
        <v/>
      </c>
      <c r="R757" s="29" t="str">
        <f t="shared" si="200"/>
        <v/>
      </c>
      <c r="S757" s="29" t="str">
        <f t="shared" si="201"/>
        <v/>
      </c>
      <c r="T757" s="32" t="str">
        <f t="shared" si="202"/>
        <v/>
      </c>
      <c r="U757" s="32" t="str">
        <f t="shared" si="205"/>
        <v/>
      </c>
      <c r="V757" s="32">
        <f t="shared" si="206"/>
        <v>1</v>
      </c>
      <c r="W757" s="41">
        <f t="shared" si="203"/>
        <v>3.0746349135310558</v>
      </c>
      <c r="X757" s="6">
        <f t="shared" si="204"/>
        <v>0</v>
      </c>
      <c r="Y757" s="7">
        <f t="shared" si="207"/>
        <v>567</v>
      </c>
      <c r="AA757" s="7">
        <f t="shared" si="208"/>
        <v>0</v>
      </c>
      <c r="AB757" s="7" t="str">
        <f t="shared" si="209"/>
        <v/>
      </c>
      <c r="AC757" s="7">
        <f t="shared" si="210"/>
        <v>0</v>
      </c>
      <c r="AD757" s="7" t="str">
        <f t="shared" si="211"/>
        <v/>
      </c>
      <c r="AE757" s="6">
        <f t="shared" si="212"/>
        <v>0</v>
      </c>
      <c r="AF757" s="69">
        <f t="shared" si="213"/>
        <v>3.0746349135310558</v>
      </c>
      <c r="AG757" s="6">
        <f t="shared" si="214"/>
        <v>0</v>
      </c>
      <c r="AH757" s="6">
        <f t="shared" si="215"/>
        <v>604</v>
      </c>
    </row>
    <row r="758" spans="8:34" x14ac:dyDescent="0.25">
      <c r="H758" s="7">
        <v>765</v>
      </c>
      <c r="I758" s="7" t="s">
        <v>14</v>
      </c>
      <c r="J758" s="8">
        <v>38111</v>
      </c>
      <c r="K758" s="12" t="s">
        <v>17</v>
      </c>
      <c r="L758" s="9">
        <v>-6</v>
      </c>
      <c r="M758" s="10">
        <v>-15.742829763147856</v>
      </c>
      <c r="N758" s="7" t="s">
        <v>23</v>
      </c>
      <c r="P758" s="29" t="str">
        <f t="shared" si="198"/>
        <v/>
      </c>
      <c r="Q758" s="29">
        <f t="shared" si="199"/>
        <v>1</v>
      </c>
      <c r="R758" s="29" t="str">
        <f t="shared" si="200"/>
        <v/>
      </c>
      <c r="S758" s="29" t="str">
        <f t="shared" si="201"/>
        <v/>
      </c>
      <c r="T758" s="32" t="str">
        <f t="shared" si="202"/>
        <v/>
      </c>
      <c r="U758" s="32" t="str">
        <f t="shared" si="205"/>
        <v/>
      </c>
      <c r="V758" s="32" t="str">
        <f t="shared" si="206"/>
        <v/>
      </c>
      <c r="W758" s="41" t="str">
        <f t="shared" si="203"/>
        <v/>
      </c>
      <c r="X758" s="6">
        <f t="shared" si="204"/>
        <v>0</v>
      </c>
      <c r="Y758" s="7">
        <f t="shared" si="207"/>
        <v>567</v>
      </c>
      <c r="AA758" s="7">
        <f t="shared" si="208"/>
        <v>0</v>
      </c>
      <c r="AB758" s="7" t="str">
        <f t="shared" si="209"/>
        <v/>
      </c>
      <c r="AC758" s="7">
        <f t="shared" si="210"/>
        <v>0</v>
      </c>
      <c r="AD758" s="7" t="str">
        <f t="shared" si="211"/>
        <v/>
      </c>
      <c r="AE758" s="6">
        <f t="shared" si="212"/>
        <v>-6</v>
      </c>
      <c r="AF758" s="69" t="str">
        <f t="shared" si="213"/>
        <v/>
      </c>
      <c r="AG758" s="6">
        <f t="shared" si="214"/>
        <v>0</v>
      </c>
      <c r="AH758" s="6">
        <f t="shared" si="215"/>
        <v>604</v>
      </c>
    </row>
    <row r="759" spans="8:34" x14ac:dyDescent="0.25">
      <c r="H759" s="7">
        <v>766</v>
      </c>
      <c r="I759" s="7" t="s">
        <v>15</v>
      </c>
      <c r="J759" s="8">
        <v>38078</v>
      </c>
      <c r="K759" s="12" t="s">
        <v>17</v>
      </c>
      <c r="L759" s="9">
        <v>5</v>
      </c>
      <c r="M759" s="10">
        <v>16.913541625810112</v>
      </c>
      <c r="N759" s="7" t="s">
        <v>23</v>
      </c>
      <c r="P759" s="29" t="str">
        <f t="shared" si="198"/>
        <v/>
      </c>
      <c r="Q759" s="29">
        <f t="shared" si="199"/>
        <v>1</v>
      </c>
      <c r="R759" s="29" t="str">
        <f t="shared" si="200"/>
        <v/>
      </c>
      <c r="S759" s="29" t="str">
        <f t="shared" si="201"/>
        <v/>
      </c>
      <c r="T759" s="32" t="str">
        <f t="shared" si="202"/>
        <v/>
      </c>
      <c r="U759" s="32" t="str">
        <f t="shared" si="205"/>
        <v/>
      </c>
      <c r="V759" s="32" t="str">
        <f t="shared" si="206"/>
        <v/>
      </c>
      <c r="W759" s="41">
        <f t="shared" si="203"/>
        <v>3.3827083251620222</v>
      </c>
      <c r="X759" s="6">
        <f t="shared" si="204"/>
        <v>0</v>
      </c>
      <c r="Y759" s="7">
        <f t="shared" si="207"/>
        <v>567</v>
      </c>
      <c r="AA759" s="7">
        <f t="shared" si="208"/>
        <v>0</v>
      </c>
      <c r="AB759" s="7" t="str">
        <f t="shared" si="209"/>
        <v/>
      </c>
      <c r="AC759" s="7">
        <f t="shared" si="210"/>
        <v>0</v>
      </c>
      <c r="AD759" s="7" t="str">
        <f t="shared" si="211"/>
        <v/>
      </c>
      <c r="AE759" s="6">
        <f t="shared" si="212"/>
        <v>0</v>
      </c>
      <c r="AF759" s="69">
        <f t="shared" si="213"/>
        <v>3.3827083251620222</v>
      </c>
      <c r="AG759" s="6">
        <f t="shared" si="214"/>
        <v>16.913541625810112</v>
      </c>
      <c r="AH759" s="6">
        <f t="shared" si="215"/>
        <v>572</v>
      </c>
    </row>
    <row r="760" spans="8:34" x14ac:dyDescent="0.25">
      <c r="H760" s="7">
        <v>767</v>
      </c>
      <c r="I760" s="7" t="s">
        <v>11</v>
      </c>
      <c r="J760" s="8">
        <v>39057</v>
      </c>
      <c r="K760" s="12" t="s">
        <v>18</v>
      </c>
      <c r="L760" s="9">
        <v>59</v>
      </c>
      <c r="M760" s="10">
        <v>178.89597357687876</v>
      </c>
      <c r="N760" s="7" t="s">
        <v>21</v>
      </c>
      <c r="P760" s="29" t="str">
        <f t="shared" si="198"/>
        <v/>
      </c>
      <c r="Q760" s="29" t="str">
        <f t="shared" si="199"/>
        <v/>
      </c>
      <c r="R760" s="29" t="str">
        <f t="shared" si="200"/>
        <v/>
      </c>
      <c r="S760" s="29" t="str">
        <f t="shared" si="201"/>
        <v/>
      </c>
      <c r="T760" s="32" t="str">
        <f t="shared" si="202"/>
        <v/>
      </c>
      <c r="U760" s="32" t="str">
        <f t="shared" si="205"/>
        <v/>
      </c>
      <c r="V760" s="32">
        <f t="shared" si="206"/>
        <v>1</v>
      </c>
      <c r="W760" s="41">
        <f t="shared" si="203"/>
        <v>3.0321351453708263</v>
      </c>
      <c r="X760" s="6">
        <f t="shared" si="204"/>
        <v>0</v>
      </c>
      <c r="Y760" s="7">
        <f t="shared" si="207"/>
        <v>567</v>
      </c>
      <c r="AA760" s="7">
        <f t="shared" si="208"/>
        <v>0</v>
      </c>
      <c r="AB760" s="7" t="str">
        <f t="shared" si="209"/>
        <v/>
      </c>
      <c r="AC760" s="7">
        <f t="shared" si="210"/>
        <v>0</v>
      </c>
      <c r="AD760" s="7" t="str">
        <f t="shared" si="211"/>
        <v/>
      </c>
      <c r="AE760" s="6">
        <f t="shared" si="212"/>
        <v>0</v>
      </c>
      <c r="AF760" s="69">
        <f t="shared" si="213"/>
        <v>3.0321351453708263</v>
      </c>
      <c r="AG760" s="6">
        <f t="shared" si="214"/>
        <v>0</v>
      </c>
      <c r="AH760" s="6">
        <f t="shared" si="215"/>
        <v>604</v>
      </c>
    </row>
    <row r="761" spans="8:34" x14ac:dyDescent="0.25">
      <c r="H761" s="7">
        <v>768</v>
      </c>
      <c r="I761" s="7" t="s">
        <v>11</v>
      </c>
      <c r="J761" s="8">
        <v>38529</v>
      </c>
      <c r="K761" s="12" t="s">
        <v>20</v>
      </c>
      <c r="L761" s="9">
        <v>-1</v>
      </c>
      <c r="M761" s="10">
        <v>-1.4317242178607446</v>
      </c>
      <c r="N761" s="7" t="s">
        <v>24</v>
      </c>
      <c r="P761" s="29" t="str">
        <f t="shared" si="198"/>
        <v/>
      </c>
      <c r="Q761" s="29" t="str">
        <f t="shared" si="199"/>
        <v/>
      </c>
      <c r="R761" s="29" t="str">
        <f t="shared" si="200"/>
        <v/>
      </c>
      <c r="S761" s="29" t="str">
        <f t="shared" si="201"/>
        <v/>
      </c>
      <c r="T761" s="32" t="str">
        <f t="shared" si="202"/>
        <v/>
      </c>
      <c r="U761" s="32">
        <f t="shared" si="205"/>
        <v>1</v>
      </c>
      <c r="V761" s="32" t="str">
        <f t="shared" si="206"/>
        <v/>
      </c>
      <c r="W761" s="41" t="str">
        <f t="shared" si="203"/>
        <v/>
      </c>
      <c r="X761" s="6">
        <f t="shared" si="204"/>
        <v>-1.4317242178607446</v>
      </c>
      <c r="Y761" s="7">
        <f t="shared" si="207"/>
        <v>1844</v>
      </c>
      <c r="AA761" s="7">
        <f t="shared" si="208"/>
        <v>0</v>
      </c>
      <c r="AB761" s="7" t="str">
        <f t="shared" si="209"/>
        <v/>
      </c>
      <c r="AC761" s="7">
        <f t="shared" si="210"/>
        <v>1</v>
      </c>
      <c r="AD761" s="7">
        <f t="shared" si="211"/>
        <v>-1</v>
      </c>
      <c r="AE761" s="6">
        <f t="shared" si="212"/>
        <v>-1</v>
      </c>
      <c r="AF761" s="69" t="str">
        <f t="shared" si="213"/>
        <v/>
      </c>
      <c r="AG761" s="6">
        <f t="shared" si="214"/>
        <v>0</v>
      </c>
      <c r="AH761" s="6">
        <f t="shared" si="215"/>
        <v>604</v>
      </c>
    </row>
    <row r="762" spans="8:34" x14ac:dyDescent="0.25">
      <c r="H762" s="7">
        <v>769</v>
      </c>
      <c r="I762" s="7" t="s">
        <v>14</v>
      </c>
      <c r="J762" s="8">
        <v>38375</v>
      </c>
      <c r="K762" s="12" t="s">
        <v>19</v>
      </c>
      <c r="L762" s="9">
        <v>12</v>
      </c>
      <c r="M762" s="10">
        <v>37.854496358374917</v>
      </c>
      <c r="N762" s="7" t="s">
        <v>24</v>
      </c>
      <c r="P762" s="29" t="str">
        <f t="shared" si="198"/>
        <v/>
      </c>
      <c r="Q762" s="29" t="str">
        <f t="shared" si="199"/>
        <v/>
      </c>
      <c r="R762" s="29" t="str">
        <f t="shared" si="200"/>
        <v/>
      </c>
      <c r="S762" s="29" t="str">
        <f t="shared" si="201"/>
        <v/>
      </c>
      <c r="T762" s="32" t="str">
        <f t="shared" si="202"/>
        <v/>
      </c>
      <c r="U762" s="32">
        <f t="shared" si="205"/>
        <v>1</v>
      </c>
      <c r="V762" s="32" t="str">
        <f t="shared" si="206"/>
        <v/>
      </c>
      <c r="W762" s="41">
        <f t="shared" si="203"/>
        <v>3.1545413631979096</v>
      </c>
      <c r="X762" s="6">
        <f t="shared" si="204"/>
        <v>37.854496358374917</v>
      </c>
      <c r="Y762" s="7">
        <f t="shared" si="207"/>
        <v>483</v>
      </c>
      <c r="AA762" s="7">
        <f t="shared" si="208"/>
        <v>1</v>
      </c>
      <c r="AB762" s="7">
        <f t="shared" si="209"/>
        <v>12</v>
      </c>
      <c r="AC762" s="7">
        <f t="shared" si="210"/>
        <v>0</v>
      </c>
      <c r="AD762" s="7" t="str">
        <f t="shared" si="211"/>
        <v/>
      </c>
      <c r="AE762" s="6">
        <f t="shared" si="212"/>
        <v>0</v>
      </c>
      <c r="AF762" s="69">
        <f t="shared" si="213"/>
        <v>3.1545413631979096</v>
      </c>
      <c r="AG762" s="6">
        <f t="shared" si="214"/>
        <v>0</v>
      </c>
      <c r="AH762" s="6">
        <f t="shared" si="215"/>
        <v>604</v>
      </c>
    </row>
    <row r="763" spans="8:34" x14ac:dyDescent="0.25">
      <c r="H763" s="7">
        <v>770</v>
      </c>
      <c r="I763" s="7" t="s">
        <v>11</v>
      </c>
      <c r="J763" s="8">
        <v>38067</v>
      </c>
      <c r="K763" s="12" t="s">
        <v>19</v>
      </c>
      <c r="L763" s="9">
        <v>25</v>
      </c>
      <c r="M763" s="10">
        <v>76.808458339015715</v>
      </c>
      <c r="N763" s="7" t="s">
        <v>24</v>
      </c>
      <c r="P763" s="29">
        <f t="shared" si="198"/>
        <v>1</v>
      </c>
      <c r="Q763" s="29" t="str">
        <f t="shared" si="199"/>
        <v/>
      </c>
      <c r="R763" s="29" t="str">
        <f t="shared" si="200"/>
        <v/>
      </c>
      <c r="S763" s="29" t="str">
        <f t="shared" si="201"/>
        <v/>
      </c>
      <c r="T763" s="32" t="str">
        <f t="shared" si="202"/>
        <v/>
      </c>
      <c r="U763" s="32" t="str">
        <f t="shared" si="205"/>
        <v/>
      </c>
      <c r="V763" s="32" t="str">
        <f t="shared" si="206"/>
        <v/>
      </c>
      <c r="W763" s="41">
        <f t="shared" si="203"/>
        <v>3.0723383335606287</v>
      </c>
      <c r="X763" s="6">
        <f t="shared" si="204"/>
        <v>0</v>
      </c>
      <c r="Y763" s="7">
        <f t="shared" si="207"/>
        <v>567</v>
      </c>
      <c r="AA763" s="7">
        <f t="shared" si="208"/>
        <v>0</v>
      </c>
      <c r="AB763" s="7" t="str">
        <f t="shared" si="209"/>
        <v/>
      </c>
      <c r="AC763" s="7">
        <f t="shared" si="210"/>
        <v>0</v>
      </c>
      <c r="AD763" s="7" t="str">
        <f t="shared" si="211"/>
        <v/>
      </c>
      <c r="AE763" s="6">
        <f t="shared" si="212"/>
        <v>0</v>
      </c>
      <c r="AF763" s="69">
        <f t="shared" si="213"/>
        <v>3.0723383335606287</v>
      </c>
      <c r="AG763" s="6">
        <f t="shared" si="214"/>
        <v>76.808458339015715</v>
      </c>
      <c r="AH763" s="6">
        <f t="shared" si="215"/>
        <v>430</v>
      </c>
    </row>
    <row r="764" spans="8:34" x14ac:dyDescent="0.25">
      <c r="H764" s="7">
        <v>771</v>
      </c>
      <c r="I764" s="7" t="s">
        <v>12</v>
      </c>
      <c r="J764" s="8">
        <v>38529</v>
      </c>
      <c r="K764" s="12" t="s">
        <v>20</v>
      </c>
      <c r="L764" s="9">
        <v>33</v>
      </c>
      <c r="M764" s="10">
        <v>101.42418309364238</v>
      </c>
      <c r="N764" s="7" t="s">
        <v>24</v>
      </c>
      <c r="P764" s="29" t="str">
        <f t="shared" si="198"/>
        <v/>
      </c>
      <c r="Q764" s="29" t="str">
        <f t="shared" si="199"/>
        <v/>
      </c>
      <c r="R764" s="29" t="str">
        <f t="shared" si="200"/>
        <v/>
      </c>
      <c r="S764" s="29" t="str">
        <f t="shared" si="201"/>
        <v/>
      </c>
      <c r="T764" s="32" t="str">
        <f t="shared" si="202"/>
        <v/>
      </c>
      <c r="U764" s="32">
        <f t="shared" si="205"/>
        <v>1</v>
      </c>
      <c r="V764" s="32" t="str">
        <f t="shared" si="206"/>
        <v/>
      </c>
      <c r="W764" s="41">
        <f t="shared" si="203"/>
        <v>3.0734600937467391</v>
      </c>
      <c r="X764" s="6">
        <f t="shared" si="204"/>
        <v>101.42418309364238</v>
      </c>
      <c r="Y764" s="7">
        <f t="shared" si="207"/>
        <v>359</v>
      </c>
      <c r="AA764" s="7">
        <f t="shared" si="208"/>
        <v>0</v>
      </c>
      <c r="AB764" s="7" t="str">
        <f t="shared" si="209"/>
        <v/>
      </c>
      <c r="AC764" s="7">
        <f t="shared" si="210"/>
        <v>1</v>
      </c>
      <c r="AD764" s="7">
        <f t="shared" si="211"/>
        <v>33</v>
      </c>
      <c r="AE764" s="6">
        <f t="shared" si="212"/>
        <v>0</v>
      </c>
      <c r="AF764" s="69">
        <f t="shared" si="213"/>
        <v>3.0734600937467391</v>
      </c>
      <c r="AG764" s="6">
        <f t="shared" si="214"/>
        <v>0</v>
      </c>
      <c r="AH764" s="6">
        <f t="shared" si="215"/>
        <v>604</v>
      </c>
    </row>
    <row r="765" spans="8:34" x14ac:dyDescent="0.25">
      <c r="H765" s="7">
        <v>772</v>
      </c>
      <c r="I765" s="7" t="s">
        <v>7</v>
      </c>
      <c r="J765" s="8">
        <v>38045</v>
      </c>
      <c r="K765" s="12" t="s">
        <v>20</v>
      </c>
      <c r="L765" s="9">
        <v>12</v>
      </c>
      <c r="M765" s="10">
        <v>37.887038047747772</v>
      </c>
      <c r="N765" s="7" t="s">
        <v>23</v>
      </c>
      <c r="P765" s="29">
        <f t="shared" si="198"/>
        <v>1</v>
      </c>
      <c r="Q765" s="29" t="str">
        <f t="shared" si="199"/>
        <v/>
      </c>
      <c r="R765" s="29" t="str">
        <f t="shared" si="200"/>
        <v/>
      </c>
      <c r="S765" s="29" t="str">
        <f t="shared" si="201"/>
        <v/>
      </c>
      <c r="T765" s="32" t="str">
        <f t="shared" si="202"/>
        <v/>
      </c>
      <c r="U765" s="32" t="str">
        <f t="shared" si="205"/>
        <v/>
      </c>
      <c r="V765" s="32" t="str">
        <f t="shared" si="206"/>
        <v/>
      </c>
      <c r="W765" s="41">
        <f t="shared" si="203"/>
        <v>3.1572531706456477</v>
      </c>
      <c r="X765" s="6">
        <f t="shared" si="204"/>
        <v>0</v>
      </c>
      <c r="Y765" s="7">
        <f t="shared" si="207"/>
        <v>567</v>
      </c>
      <c r="AA765" s="7">
        <f t="shared" si="208"/>
        <v>0</v>
      </c>
      <c r="AB765" s="7" t="str">
        <f t="shared" si="209"/>
        <v/>
      </c>
      <c r="AC765" s="7">
        <f t="shared" si="210"/>
        <v>0</v>
      </c>
      <c r="AD765" s="7" t="str">
        <f t="shared" si="211"/>
        <v/>
      </c>
      <c r="AE765" s="6">
        <f t="shared" si="212"/>
        <v>0</v>
      </c>
      <c r="AF765" s="69">
        <f t="shared" si="213"/>
        <v>3.1572531706456477</v>
      </c>
      <c r="AG765" s="6">
        <f t="shared" si="214"/>
        <v>37.887038047747772</v>
      </c>
      <c r="AH765" s="6">
        <f t="shared" si="215"/>
        <v>512</v>
      </c>
    </row>
    <row r="766" spans="8:34" x14ac:dyDescent="0.25">
      <c r="H766" s="7">
        <v>773</v>
      </c>
      <c r="I766" s="7" t="s">
        <v>13</v>
      </c>
      <c r="J766" s="8">
        <v>38573</v>
      </c>
      <c r="K766" s="12" t="s">
        <v>16</v>
      </c>
      <c r="L766" s="9">
        <v>52</v>
      </c>
      <c r="M766" s="10">
        <v>158.30772051149228</v>
      </c>
      <c r="N766" s="7" t="s">
        <v>24</v>
      </c>
      <c r="P766" s="29" t="str">
        <f t="shared" si="198"/>
        <v/>
      </c>
      <c r="Q766" s="29" t="str">
        <f t="shared" si="199"/>
        <v/>
      </c>
      <c r="R766" s="29" t="str">
        <f t="shared" si="200"/>
        <v/>
      </c>
      <c r="S766" s="29" t="str">
        <f t="shared" si="201"/>
        <v/>
      </c>
      <c r="T766" s="32" t="str">
        <f t="shared" si="202"/>
        <v/>
      </c>
      <c r="U766" s="32">
        <f t="shared" si="205"/>
        <v>1</v>
      </c>
      <c r="V766" s="32" t="str">
        <f t="shared" si="206"/>
        <v/>
      </c>
      <c r="W766" s="41">
        <f t="shared" si="203"/>
        <v>3.0443792406056209</v>
      </c>
      <c r="X766" s="6">
        <f t="shared" si="204"/>
        <v>158.30772051149228</v>
      </c>
      <c r="Y766" s="7">
        <f t="shared" si="207"/>
        <v>243</v>
      </c>
      <c r="AA766" s="7">
        <f t="shared" si="208"/>
        <v>1</v>
      </c>
      <c r="AB766" s="7">
        <f t="shared" si="209"/>
        <v>52</v>
      </c>
      <c r="AC766" s="7">
        <f t="shared" si="210"/>
        <v>0</v>
      </c>
      <c r="AD766" s="7" t="str">
        <f t="shared" si="211"/>
        <v/>
      </c>
      <c r="AE766" s="6">
        <f t="shared" si="212"/>
        <v>0</v>
      </c>
      <c r="AF766" s="69">
        <f t="shared" si="213"/>
        <v>3.0443792406056209</v>
      </c>
      <c r="AG766" s="6">
        <f t="shared" si="214"/>
        <v>0</v>
      </c>
      <c r="AH766" s="6">
        <f t="shared" si="215"/>
        <v>604</v>
      </c>
    </row>
    <row r="767" spans="8:34" x14ac:dyDescent="0.25">
      <c r="H767" s="7">
        <v>774</v>
      </c>
      <c r="I767" s="7" t="s">
        <v>14</v>
      </c>
      <c r="J767" s="8">
        <v>38441</v>
      </c>
      <c r="K767" s="12" t="s">
        <v>16</v>
      </c>
      <c r="L767" s="9">
        <v>34</v>
      </c>
      <c r="M767" s="10">
        <v>103.62316183025368</v>
      </c>
      <c r="N767" s="7" t="s">
        <v>23</v>
      </c>
      <c r="P767" s="29" t="str">
        <f t="shared" si="198"/>
        <v/>
      </c>
      <c r="Q767" s="29" t="str">
        <f t="shared" si="199"/>
        <v/>
      </c>
      <c r="R767" s="29" t="str">
        <f t="shared" si="200"/>
        <v/>
      </c>
      <c r="S767" s="29" t="str">
        <f t="shared" si="201"/>
        <v/>
      </c>
      <c r="T767" s="32" t="str">
        <f t="shared" si="202"/>
        <v/>
      </c>
      <c r="U767" s="32">
        <f t="shared" si="205"/>
        <v>1</v>
      </c>
      <c r="V767" s="32" t="str">
        <f t="shared" si="206"/>
        <v/>
      </c>
      <c r="W767" s="41">
        <f t="shared" si="203"/>
        <v>3.0477400538309904</v>
      </c>
      <c r="X767" s="6">
        <f t="shared" si="204"/>
        <v>103.62316183025368</v>
      </c>
      <c r="Y767" s="7">
        <f t="shared" si="207"/>
        <v>357</v>
      </c>
      <c r="AA767" s="7">
        <f t="shared" si="208"/>
        <v>1</v>
      </c>
      <c r="AB767" s="7">
        <f t="shared" si="209"/>
        <v>34</v>
      </c>
      <c r="AC767" s="7">
        <f t="shared" si="210"/>
        <v>0</v>
      </c>
      <c r="AD767" s="7" t="str">
        <f t="shared" si="211"/>
        <v/>
      </c>
      <c r="AE767" s="6">
        <f t="shared" si="212"/>
        <v>0</v>
      </c>
      <c r="AF767" s="69">
        <f t="shared" si="213"/>
        <v>3.0477400538309904</v>
      </c>
      <c r="AG767" s="6">
        <f t="shared" si="214"/>
        <v>0</v>
      </c>
      <c r="AH767" s="6">
        <f t="shared" si="215"/>
        <v>604</v>
      </c>
    </row>
    <row r="768" spans="8:34" x14ac:dyDescent="0.25">
      <c r="H768" s="7">
        <v>775</v>
      </c>
      <c r="I768" s="7" t="s">
        <v>12</v>
      </c>
      <c r="J768" s="8">
        <v>38562</v>
      </c>
      <c r="K768" s="12" t="s">
        <v>18</v>
      </c>
      <c r="L768" s="9">
        <v>66</v>
      </c>
      <c r="M768" s="10">
        <v>200.65880996778469</v>
      </c>
      <c r="N768" s="7" t="s">
        <v>21</v>
      </c>
      <c r="P768" s="29" t="str">
        <f t="shared" si="198"/>
        <v/>
      </c>
      <c r="Q768" s="29" t="str">
        <f t="shared" si="199"/>
        <v/>
      </c>
      <c r="R768" s="29" t="str">
        <f t="shared" si="200"/>
        <v/>
      </c>
      <c r="S768" s="29" t="str">
        <f t="shared" si="201"/>
        <v/>
      </c>
      <c r="T768" s="32" t="str">
        <f t="shared" si="202"/>
        <v/>
      </c>
      <c r="U768" s="32">
        <f t="shared" si="205"/>
        <v>1</v>
      </c>
      <c r="V768" s="32" t="str">
        <f t="shared" si="206"/>
        <v/>
      </c>
      <c r="W768" s="41">
        <f t="shared" si="203"/>
        <v>3.0402849995118895</v>
      </c>
      <c r="X768" s="6">
        <f t="shared" si="204"/>
        <v>200.65880996778469</v>
      </c>
      <c r="Y768" s="7">
        <f t="shared" si="207"/>
        <v>178</v>
      </c>
      <c r="AA768" s="7">
        <f t="shared" si="208"/>
        <v>1</v>
      </c>
      <c r="AB768" s="7">
        <f t="shared" si="209"/>
        <v>66</v>
      </c>
      <c r="AC768" s="7">
        <f t="shared" si="210"/>
        <v>0</v>
      </c>
      <c r="AD768" s="7" t="str">
        <f t="shared" si="211"/>
        <v/>
      </c>
      <c r="AE768" s="6">
        <f t="shared" si="212"/>
        <v>0</v>
      </c>
      <c r="AF768" s="69">
        <f t="shared" si="213"/>
        <v>3.0402849995118895</v>
      </c>
      <c r="AG768" s="6">
        <f t="shared" si="214"/>
        <v>0</v>
      </c>
      <c r="AH768" s="6">
        <f t="shared" si="215"/>
        <v>604</v>
      </c>
    </row>
    <row r="769" spans="8:34" x14ac:dyDescent="0.25">
      <c r="H769" s="7">
        <v>776</v>
      </c>
      <c r="I769" s="7" t="s">
        <v>12</v>
      </c>
      <c r="J769" s="8">
        <v>38199</v>
      </c>
      <c r="K769" s="12" t="s">
        <v>19</v>
      </c>
      <c r="L769" s="9">
        <v>10</v>
      </c>
      <c r="M769" s="10">
        <v>31.853247271934272</v>
      </c>
      <c r="N769" s="7" t="s">
        <v>21</v>
      </c>
      <c r="P769" s="29" t="str">
        <f t="shared" si="198"/>
        <v/>
      </c>
      <c r="Q769" s="29" t="str">
        <f t="shared" si="199"/>
        <v/>
      </c>
      <c r="R769" s="29">
        <f t="shared" si="200"/>
        <v>1</v>
      </c>
      <c r="S769" s="29" t="str">
        <f t="shared" si="201"/>
        <v/>
      </c>
      <c r="T769" s="32" t="str">
        <f t="shared" si="202"/>
        <v/>
      </c>
      <c r="U769" s="32" t="str">
        <f t="shared" si="205"/>
        <v/>
      </c>
      <c r="V769" s="32" t="str">
        <f t="shared" si="206"/>
        <v/>
      </c>
      <c r="W769" s="41">
        <f t="shared" si="203"/>
        <v>3.1853247271934273</v>
      </c>
      <c r="X769" s="6">
        <f t="shared" si="204"/>
        <v>0</v>
      </c>
      <c r="Y769" s="7">
        <f t="shared" si="207"/>
        <v>567</v>
      </c>
      <c r="AA769" s="7">
        <f t="shared" si="208"/>
        <v>0</v>
      </c>
      <c r="AB769" s="7" t="str">
        <f t="shared" si="209"/>
        <v/>
      </c>
      <c r="AC769" s="7">
        <f t="shared" si="210"/>
        <v>0</v>
      </c>
      <c r="AD769" s="7" t="str">
        <f t="shared" si="211"/>
        <v/>
      </c>
      <c r="AE769" s="6">
        <f t="shared" si="212"/>
        <v>0</v>
      </c>
      <c r="AF769" s="69">
        <f t="shared" si="213"/>
        <v>3.1853247271934273</v>
      </c>
      <c r="AG769" s="6">
        <f t="shared" si="214"/>
        <v>31.853247271934272</v>
      </c>
      <c r="AH769" s="6">
        <f t="shared" si="215"/>
        <v>527</v>
      </c>
    </row>
    <row r="770" spans="8:34" x14ac:dyDescent="0.25">
      <c r="H770" s="7">
        <v>777</v>
      </c>
      <c r="I770" s="7" t="s">
        <v>15</v>
      </c>
      <c r="J770" s="8">
        <v>38045</v>
      </c>
      <c r="K770" s="12" t="s">
        <v>18</v>
      </c>
      <c r="L770" s="9">
        <v>-5</v>
      </c>
      <c r="M770" s="10">
        <v>-12.547627479219663</v>
      </c>
      <c r="N770" s="7" t="s">
        <v>22</v>
      </c>
      <c r="P770" s="29">
        <f t="shared" si="198"/>
        <v>1</v>
      </c>
      <c r="Q770" s="29" t="str">
        <f t="shared" si="199"/>
        <v/>
      </c>
      <c r="R770" s="29" t="str">
        <f t="shared" si="200"/>
        <v/>
      </c>
      <c r="S770" s="29" t="str">
        <f t="shared" si="201"/>
        <v/>
      </c>
      <c r="T770" s="32" t="str">
        <f t="shared" si="202"/>
        <v/>
      </c>
      <c r="U770" s="32" t="str">
        <f t="shared" si="205"/>
        <v/>
      </c>
      <c r="V770" s="32" t="str">
        <f t="shared" si="206"/>
        <v/>
      </c>
      <c r="W770" s="41" t="str">
        <f t="shared" si="203"/>
        <v/>
      </c>
      <c r="X770" s="6">
        <f t="shared" si="204"/>
        <v>0</v>
      </c>
      <c r="Y770" s="7">
        <f t="shared" si="207"/>
        <v>567</v>
      </c>
      <c r="AA770" s="7">
        <f t="shared" si="208"/>
        <v>0</v>
      </c>
      <c r="AB770" s="7" t="str">
        <f t="shared" si="209"/>
        <v/>
      </c>
      <c r="AC770" s="7">
        <f t="shared" si="210"/>
        <v>0</v>
      </c>
      <c r="AD770" s="7" t="str">
        <f t="shared" si="211"/>
        <v/>
      </c>
      <c r="AE770" s="6">
        <f t="shared" si="212"/>
        <v>-5</v>
      </c>
      <c r="AF770" s="69" t="str">
        <f t="shared" si="213"/>
        <v/>
      </c>
      <c r="AG770" s="6">
        <f t="shared" si="214"/>
        <v>0</v>
      </c>
      <c r="AH770" s="6">
        <f t="shared" si="215"/>
        <v>604</v>
      </c>
    </row>
    <row r="771" spans="8:34" x14ac:dyDescent="0.25">
      <c r="H771" s="7">
        <v>778</v>
      </c>
      <c r="I771" s="7" t="s">
        <v>9</v>
      </c>
      <c r="J771" s="8">
        <v>38573</v>
      </c>
      <c r="K771" s="12" t="s">
        <v>20</v>
      </c>
      <c r="L771" s="9">
        <v>89</v>
      </c>
      <c r="M771" s="10">
        <v>269.48918997457559</v>
      </c>
      <c r="N771" s="7" t="s">
        <v>21</v>
      </c>
      <c r="P771" s="29" t="str">
        <f t="shared" ref="P771:P834" si="216">IF(AND((MONTH(J771))&lt;4,YEAR(J771)=2004),1,"")</f>
        <v/>
      </c>
      <c r="Q771" s="29" t="str">
        <f t="shared" ref="Q771:Q834" si="217">IF(AND(3&lt;(MONTH(J771)),(MONTH(J771)&lt;7),YEAR(J771)=2004),1,"")</f>
        <v/>
      </c>
      <c r="R771" s="29" t="str">
        <f t="shared" ref="R771:R834" si="218">IF(AND(6&lt;(MONTH(J771)),(MONTH(J771)&lt;10),YEAR(J771)=2004),1,"")</f>
        <v/>
      </c>
      <c r="S771" s="29" t="str">
        <f t="shared" ref="S771:S834" si="219">IF(AND(9&lt;(MONTH(J771)),(MONTH(J771)&lt;13),YEAR(J771)=2004),1,"")</f>
        <v/>
      </c>
      <c r="T771" s="32" t="str">
        <f t="shared" ref="T771:T834" si="220">IF(AND((9&lt;MONTH(J771)),YEAR(J771)=2005),1,"")</f>
        <v/>
      </c>
      <c r="U771" s="32">
        <f t="shared" si="205"/>
        <v>1</v>
      </c>
      <c r="V771" s="32" t="str">
        <f t="shared" si="206"/>
        <v/>
      </c>
      <c r="W771" s="41">
        <f t="shared" ref="W771:W834" si="221">IF(L771&gt;0,M771/L771,"")</f>
        <v>3.0279684266806246</v>
      </c>
      <c r="X771" s="6">
        <f t="shared" ref="X771:X834" si="222">IF(U771=1,M771,0)</f>
        <v>269.48918997457559</v>
      </c>
      <c r="Y771" s="7">
        <f t="shared" si="207"/>
        <v>43</v>
      </c>
      <c r="AA771" s="7">
        <f t="shared" si="208"/>
        <v>1</v>
      </c>
      <c r="AB771" s="7">
        <f t="shared" si="209"/>
        <v>89</v>
      </c>
      <c r="AC771" s="7">
        <f t="shared" si="210"/>
        <v>0</v>
      </c>
      <c r="AD771" s="7" t="str">
        <f t="shared" si="211"/>
        <v/>
      </c>
      <c r="AE771" s="6">
        <f t="shared" si="212"/>
        <v>0</v>
      </c>
      <c r="AF771" s="69">
        <f t="shared" si="213"/>
        <v>3.0279684266806246</v>
      </c>
      <c r="AG771" s="6">
        <f t="shared" si="214"/>
        <v>0</v>
      </c>
      <c r="AH771" s="6">
        <f t="shared" si="215"/>
        <v>604</v>
      </c>
    </row>
    <row r="772" spans="8:34" x14ac:dyDescent="0.25">
      <c r="H772" s="7">
        <v>779</v>
      </c>
      <c r="I772" s="7" t="s">
        <v>15</v>
      </c>
      <c r="J772" s="8">
        <v>38452</v>
      </c>
      <c r="K772" s="12" t="s">
        <v>18</v>
      </c>
      <c r="L772" s="9">
        <v>5</v>
      </c>
      <c r="M772" s="10">
        <v>16.818206363269947</v>
      </c>
      <c r="N772" s="7" t="s">
        <v>21</v>
      </c>
      <c r="P772" s="29" t="str">
        <f t="shared" si="216"/>
        <v/>
      </c>
      <c r="Q772" s="29" t="str">
        <f t="shared" si="217"/>
        <v/>
      </c>
      <c r="R772" s="29" t="str">
        <f t="shared" si="218"/>
        <v/>
      </c>
      <c r="S772" s="29" t="str">
        <f t="shared" si="219"/>
        <v/>
      </c>
      <c r="T772" s="32" t="str">
        <f t="shared" si="220"/>
        <v/>
      </c>
      <c r="U772" s="32">
        <f t="shared" ref="U772:U835" si="223">IF(YEAR(J772)=2005,1,"")</f>
        <v>1</v>
      </c>
      <c r="V772" s="32" t="str">
        <f t="shared" ref="V772:V835" si="224">IF(YEAR(J772)=2006,1,"")</f>
        <v/>
      </c>
      <c r="W772" s="41">
        <f t="shared" si="221"/>
        <v>3.3636412726539895</v>
      </c>
      <c r="X772" s="6">
        <f t="shared" si="222"/>
        <v>16.818206363269947</v>
      </c>
      <c r="Y772" s="7">
        <f t="shared" ref="Y772:Y835" si="225">RANK(X772,$X$3:$X$1893)</f>
        <v>532</v>
      </c>
      <c r="AA772" s="7">
        <f t="shared" ref="AA772:AA835" si="226">IF(AND(OR((MONTH(J772))=1,(MONTH(J772))=2,(MONTH(J772))=3,(MONTH(J772))=7,(MONTH(J772))=8,(MONTH(J772))=9),YEAR(J772)=2005),1,0)</f>
        <v>0</v>
      </c>
      <c r="AB772" s="7" t="str">
        <f t="shared" ref="AB772:AB835" si="227">IF(AA772=1,L772,"")</f>
        <v/>
      </c>
      <c r="AC772" s="7">
        <f t="shared" ref="AC772:AC835" si="228">IF(AND(OR((MONTH(J772))=4,(MONTH(J772))=5,(MONTH(J772))=6,(MONTH(J772))=10,(MONTH(J772))=11,(MONTH(J772))=12),YEAR(J772)=2005),1,0)</f>
        <v>1</v>
      </c>
      <c r="AD772" s="7">
        <f t="shared" ref="AD772:AD835" si="229">IF(AC772=1,L772,"")</f>
        <v>5</v>
      </c>
      <c r="AE772" s="6">
        <f t="shared" ref="AE772:AE835" si="230">IF(L772&lt;0,L772,0)</f>
        <v>0</v>
      </c>
      <c r="AF772" s="69">
        <f t="shared" ref="AF772:AF835" si="231">IF(L772&gt;0,W772,"")</f>
        <v>3.3636412726539895</v>
      </c>
      <c r="AG772" s="6">
        <f t="shared" ref="AG772:AG835" si="232">IF(AND((M772&gt;0),(YEAR(J772)=2004)),M772,0)</f>
        <v>0</v>
      </c>
      <c r="AH772" s="6">
        <f t="shared" ref="AH772:AH835" si="233">RANK(AG772,$AG$3:$AG$1893)</f>
        <v>604</v>
      </c>
    </row>
    <row r="773" spans="8:34" x14ac:dyDescent="0.25">
      <c r="H773" s="7">
        <v>780</v>
      </c>
      <c r="I773" s="7" t="s">
        <v>14</v>
      </c>
      <c r="J773" s="8">
        <v>39002</v>
      </c>
      <c r="K773" s="12" t="s">
        <v>20</v>
      </c>
      <c r="L773" s="9">
        <v>48</v>
      </c>
      <c r="M773" s="10">
        <v>145.98516396408215</v>
      </c>
      <c r="N773" s="7" t="s">
        <v>22</v>
      </c>
      <c r="P773" s="29" t="str">
        <f t="shared" si="216"/>
        <v/>
      </c>
      <c r="Q773" s="29" t="str">
        <f t="shared" si="217"/>
        <v/>
      </c>
      <c r="R773" s="29" t="str">
        <f t="shared" si="218"/>
        <v/>
      </c>
      <c r="S773" s="29" t="str">
        <f t="shared" si="219"/>
        <v/>
      </c>
      <c r="T773" s="32" t="str">
        <f t="shared" si="220"/>
        <v/>
      </c>
      <c r="U773" s="32" t="str">
        <f t="shared" si="223"/>
        <v/>
      </c>
      <c r="V773" s="32">
        <f t="shared" si="224"/>
        <v>1</v>
      </c>
      <c r="W773" s="41">
        <f t="shared" si="221"/>
        <v>3.0413575825850447</v>
      </c>
      <c r="X773" s="6">
        <f t="shared" si="222"/>
        <v>0</v>
      </c>
      <c r="Y773" s="7">
        <f t="shared" si="225"/>
        <v>567</v>
      </c>
      <c r="AA773" s="7">
        <f t="shared" si="226"/>
        <v>0</v>
      </c>
      <c r="AB773" s="7" t="str">
        <f t="shared" si="227"/>
        <v/>
      </c>
      <c r="AC773" s="7">
        <f t="shared" si="228"/>
        <v>0</v>
      </c>
      <c r="AD773" s="7" t="str">
        <f t="shared" si="229"/>
        <v/>
      </c>
      <c r="AE773" s="6">
        <f t="shared" si="230"/>
        <v>0</v>
      </c>
      <c r="AF773" s="69">
        <f t="shared" si="231"/>
        <v>3.0413575825850447</v>
      </c>
      <c r="AG773" s="6">
        <f t="shared" si="232"/>
        <v>0</v>
      </c>
      <c r="AH773" s="6">
        <f t="shared" si="233"/>
        <v>604</v>
      </c>
    </row>
    <row r="774" spans="8:34" x14ac:dyDescent="0.25">
      <c r="H774" s="7">
        <v>781</v>
      </c>
      <c r="I774" s="7" t="s">
        <v>7</v>
      </c>
      <c r="J774" s="8">
        <v>39057</v>
      </c>
      <c r="K774" s="12" t="s">
        <v>20</v>
      </c>
      <c r="L774" s="9">
        <v>36</v>
      </c>
      <c r="M774" s="10">
        <v>109.92397437204225</v>
      </c>
      <c r="N774" s="7" t="s">
        <v>22</v>
      </c>
      <c r="P774" s="29" t="str">
        <f t="shared" si="216"/>
        <v/>
      </c>
      <c r="Q774" s="29" t="str">
        <f t="shared" si="217"/>
        <v/>
      </c>
      <c r="R774" s="29" t="str">
        <f t="shared" si="218"/>
        <v/>
      </c>
      <c r="S774" s="29" t="str">
        <f t="shared" si="219"/>
        <v/>
      </c>
      <c r="T774" s="32" t="str">
        <f t="shared" si="220"/>
        <v/>
      </c>
      <c r="U774" s="32" t="str">
        <f t="shared" si="223"/>
        <v/>
      </c>
      <c r="V774" s="32">
        <f t="shared" si="224"/>
        <v>1</v>
      </c>
      <c r="W774" s="41">
        <f t="shared" si="221"/>
        <v>3.0534437325567292</v>
      </c>
      <c r="X774" s="6">
        <f t="shared" si="222"/>
        <v>0</v>
      </c>
      <c r="Y774" s="7">
        <f t="shared" si="225"/>
        <v>567</v>
      </c>
      <c r="AA774" s="7">
        <f t="shared" si="226"/>
        <v>0</v>
      </c>
      <c r="AB774" s="7" t="str">
        <f t="shared" si="227"/>
        <v/>
      </c>
      <c r="AC774" s="7">
        <f t="shared" si="228"/>
        <v>0</v>
      </c>
      <c r="AD774" s="7" t="str">
        <f t="shared" si="229"/>
        <v/>
      </c>
      <c r="AE774" s="6">
        <f t="shared" si="230"/>
        <v>0</v>
      </c>
      <c r="AF774" s="69">
        <f t="shared" si="231"/>
        <v>3.0534437325567292</v>
      </c>
      <c r="AG774" s="6">
        <f t="shared" si="232"/>
        <v>0</v>
      </c>
      <c r="AH774" s="6">
        <f t="shared" si="233"/>
        <v>604</v>
      </c>
    </row>
    <row r="775" spans="8:34" x14ac:dyDescent="0.25">
      <c r="H775" s="7">
        <v>782</v>
      </c>
      <c r="I775" s="7" t="s">
        <v>12</v>
      </c>
      <c r="J775" s="8">
        <v>39035</v>
      </c>
      <c r="K775" s="12" t="s">
        <v>20</v>
      </c>
      <c r="L775" s="9">
        <v>80</v>
      </c>
      <c r="M775" s="10">
        <v>241.99741515278305</v>
      </c>
      <c r="N775" s="7" t="s">
        <v>23</v>
      </c>
      <c r="P775" s="29" t="str">
        <f t="shared" si="216"/>
        <v/>
      </c>
      <c r="Q775" s="29" t="str">
        <f t="shared" si="217"/>
        <v/>
      </c>
      <c r="R775" s="29" t="str">
        <f t="shared" si="218"/>
        <v/>
      </c>
      <c r="S775" s="29" t="str">
        <f t="shared" si="219"/>
        <v/>
      </c>
      <c r="T775" s="32" t="str">
        <f t="shared" si="220"/>
        <v/>
      </c>
      <c r="U775" s="32" t="str">
        <f t="shared" si="223"/>
        <v/>
      </c>
      <c r="V775" s="32">
        <f t="shared" si="224"/>
        <v>1</v>
      </c>
      <c r="W775" s="41">
        <f t="shared" si="221"/>
        <v>3.0249676894097881</v>
      </c>
      <c r="X775" s="6">
        <f t="shared" si="222"/>
        <v>0</v>
      </c>
      <c r="Y775" s="7">
        <f t="shared" si="225"/>
        <v>567</v>
      </c>
      <c r="AA775" s="7">
        <f t="shared" si="226"/>
        <v>0</v>
      </c>
      <c r="AB775" s="7" t="str">
        <f t="shared" si="227"/>
        <v/>
      </c>
      <c r="AC775" s="7">
        <f t="shared" si="228"/>
        <v>0</v>
      </c>
      <c r="AD775" s="7" t="str">
        <f t="shared" si="229"/>
        <v/>
      </c>
      <c r="AE775" s="6">
        <f t="shared" si="230"/>
        <v>0</v>
      </c>
      <c r="AF775" s="69">
        <f t="shared" si="231"/>
        <v>3.0249676894097881</v>
      </c>
      <c r="AG775" s="6">
        <f t="shared" si="232"/>
        <v>0</v>
      </c>
      <c r="AH775" s="6">
        <f t="shared" si="233"/>
        <v>604</v>
      </c>
    </row>
    <row r="776" spans="8:34" x14ac:dyDescent="0.25">
      <c r="H776" s="7">
        <v>783</v>
      </c>
      <c r="I776" s="7" t="s">
        <v>7</v>
      </c>
      <c r="J776" s="8">
        <v>39046</v>
      </c>
      <c r="K776" s="12" t="s">
        <v>17</v>
      </c>
      <c r="L776" s="9">
        <v>64</v>
      </c>
      <c r="M776" s="10">
        <v>193.891081917441</v>
      </c>
      <c r="N776" s="7" t="s">
        <v>23</v>
      </c>
      <c r="P776" s="29" t="str">
        <f t="shared" si="216"/>
        <v/>
      </c>
      <c r="Q776" s="29" t="str">
        <f t="shared" si="217"/>
        <v/>
      </c>
      <c r="R776" s="29" t="str">
        <f t="shared" si="218"/>
        <v/>
      </c>
      <c r="S776" s="29" t="str">
        <f t="shared" si="219"/>
        <v/>
      </c>
      <c r="T776" s="32" t="str">
        <f t="shared" si="220"/>
        <v/>
      </c>
      <c r="U776" s="32" t="str">
        <f t="shared" si="223"/>
        <v/>
      </c>
      <c r="V776" s="32">
        <f t="shared" si="224"/>
        <v>1</v>
      </c>
      <c r="W776" s="41">
        <f t="shared" si="221"/>
        <v>3.0295481549600156</v>
      </c>
      <c r="X776" s="6">
        <f t="shared" si="222"/>
        <v>0</v>
      </c>
      <c r="Y776" s="7">
        <f t="shared" si="225"/>
        <v>567</v>
      </c>
      <c r="AA776" s="7">
        <f t="shared" si="226"/>
        <v>0</v>
      </c>
      <c r="AB776" s="7" t="str">
        <f t="shared" si="227"/>
        <v/>
      </c>
      <c r="AC776" s="7">
        <f t="shared" si="228"/>
        <v>0</v>
      </c>
      <c r="AD776" s="7" t="str">
        <f t="shared" si="229"/>
        <v/>
      </c>
      <c r="AE776" s="6">
        <f t="shared" si="230"/>
        <v>0</v>
      </c>
      <c r="AF776" s="69">
        <f t="shared" si="231"/>
        <v>3.0295481549600156</v>
      </c>
      <c r="AG776" s="6">
        <f t="shared" si="232"/>
        <v>0</v>
      </c>
      <c r="AH776" s="6">
        <f t="shared" si="233"/>
        <v>604</v>
      </c>
    </row>
    <row r="777" spans="8:34" x14ac:dyDescent="0.25">
      <c r="H777" s="7">
        <v>784</v>
      </c>
      <c r="I777" s="7" t="s">
        <v>7</v>
      </c>
      <c r="J777" s="8">
        <v>38639</v>
      </c>
      <c r="K777" s="12" t="s">
        <v>18</v>
      </c>
      <c r="L777" s="9">
        <v>51</v>
      </c>
      <c r="M777" s="10">
        <v>155.49981680350626</v>
      </c>
      <c r="N777" s="7" t="s">
        <v>24</v>
      </c>
      <c r="P777" s="29" t="str">
        <f t="shared" si="216"/>
        <v/>
      </c>
      <c r="Q777" s="29" t="str">
        <f t="shared" si="217"/>
        <v/>
      </c>
      <c r="R777" s="29" t="str">
        <f t="shared" si="218"/>
        <v/>
      </c>
      <c r="S777" s="29" t="str">
        <f t="shared" si="219"/>
        <v/>
      </c>
      <c r="T777" s="32">
        <f t="shared" si="220"/>
        <v>1</v>
      </c>
      <c r="U777" s="32">
        <f t="shared" si="223"/>
        <v>1</v>
      </c>
      <c r="V777" s="32" t="str">
        <f t="shared" si="224"/>
        <v/>
      </c>
      <c r="W777" s="41">
        <f t="shared" si="221"/>
        <v>3.0490160157550248</v>
      </c>
      <c r="X777" s="6">
        <f t="shared" si="222"/>
        <v>155.49981680350626</v>
      </c>
      <c r="Y777" s="7">
        <f t="shared" si="225"/>
        <v>252</v>
      </c>
      <c r="AA777" s="7">
        <f t="shared" si="226"/>
        <v>0</v>
      </c>
      <c r="AB777" s="7" t="str">
        <f t="shared" si="227"/>
        <v/>
      </c>
      <c r="AC777" s="7">
        <f t="shared" si="228"/>
        <v>1</v>
      </c>
      <c r="AD777" s="7">
        <f t="shared" si="229"/>
        <v>51</v>
      </c>
      <c r="AE777" s="6">
        <f t="shared" si="230"/>
        <v>0</v>
      </c>
      <c r="AF777" s="69">
        <f t="shared" si="231"/>
        <v>3.0490160157550248</v>
      </c>
      <c r="AG777" s="6">
        <f t="shared" si="232"/>
        <v>0</v>
      </c>
      <c r="AH777" s="6">
        <f t="shared" si="233"/>
        <v>604</v>
      </c>
    </row>
    <row r="778" spans="8:34" x14ac:dyDescent="0.25">
      <c r="H778" s="7">
        <v>785</v>
      </c>
      <c r="I778" s="7" t="s">
        <v>9</v>
      </c>
      <c r="J778" s="8">
        <v>38452</v>
      </c>
      <c r="K778" s="12" t="s">
        <v>16</v>
      </c>
      <c r="L778" s="9">
        <v>92</v>
      </c>
      <c r="M778" s="10">
        <v>278.34020387718806</v>
      </c>
      <c r="N778" s="7" t="s">
        <v>24</v>
      </c>
      <c r="P778" s="29" t="str">
        <f t="shared" si="216"/>
        <v/>
      </c>
      <c r="Q778" s="29" t="str">
        <f t="shared" si="217"/>
        <v/>
      </c>
      <c r="R778" s="29" t="str">
        <f t="shared" si="218"/>
        <v/>
      </c>
      <c r="S778" s="29" t="str">
        <f t="shared" si="219"/>
        <v/>
      </c>
      <c r="T778" s="32" t="str">
        <f t="shared" si="220"/>
        <v/>
      </c>
      <c r="U778" s="32">
        <f t="shared" si="223"/>
        <v>1</v>
      </c>
      <c r="V778" s="32" t="str">
        <f t="shared" si="224"/>
        <v/>
      </c>
      <c r="W778" s="41">
        <f t="shared" si="221"/>
        <v>3.0254369986650875</v>
      </c>
      <c r="X778" s="6">
        <f t="shared" si="222"/>
        <v>278.34020387718806</v>
      </c>
      <c r="Y778" s="7">
        <f t="shared" si="225"/>
        <v>30</v>
      </c>
      <c r="AA778" s="7">
        <f t="shared" si="226"/>
        <v>0</v>
      </c>
      <c r="AB778" s="7" t="str">
        <f t="shared" si="227"/>
        <v/>
      </c>
      <c r="AC778" s="7">
        <f t="shared" si="228"/>
        <v>1</v>
      </c>
      <c r="AD778" s="7">
        <f t="shared" si="229"/>
        <v>92</v>
      </c>
      <c r="AE778" s="6">
        <f t="shared" si="230"/>
        <v>0</v>
      </c>
      <c r="AF778" s="69">
        <f t="shared" si="231"/>
        <v>3.0254369986650875</v>
      </c>
      <c r="AG778" s="6">
        <f t="shared" si="232"/>
        <v>0</v>
      </c>
      <c r="AH778" s="6">
        <f t="shared" si="233"/>
        <v>604</v>
      </c>
    </row>
    <row r="779" spans="8:34" x14ac:dyDescent="0.25">
      <c r="H779" s="7">
        <v>786</v>
      </c>
      <c r="I779" s="7" t="s">
        <v>15</v>
      </c>
      <c r="J779" s="8">
        <v>38463</v>
      </c>
      <c r="K779" s="12" t="s">
        <v>16</v>
      </c>
      <c r="L779" s="9">
        <v>93</v>
      </c>
      <c r="M779" s="10">
        <v>280.85575758245068</v>
      </c>
      <c r="N779" s="7" t="s">
        <v>22</v>
      </c>
      <c r="P779" s="29" t="str">
        <f t="shared" si="216"/>
        <v/>
      </c>
      <c r="Q779" s="29" t="str">
        <f t="shared" si="217"/>
        <v/>
      </c>
      <c r="R779" s="29" t="str">
        <f t="shared" si="218"/>
        <v/>
      </c>
      <c r="S779" s="29" t="str">
        <f t="shared" si="219"/>
        <v/>
      </c>
      <c r="T779" s="32" t="str">
        <f t="shared" si="220"/>
        <v/>
      </c>
      <c r="U779" s="32">
        <f t="shared" si="223"/>
        <v>1</v>
      </c>
      <c r="V779" s="32" t="str">
        <f t="shared" si="224"/>
        <v/>
      </c>
      <c r="W779" s="41">
        <f t="shared" si="221"/>
        <v>3.0199543826069966</v>
      </c>
      <c r="X779" s="6">
        <f t="shared" si="222"/>
        <v>280.85575758245068</v>
      </c>
      <c r="Y779" s="7">
        <f t="shared" si="225"/>
        <v>22</v>
      </c>
      <c r="AA779" s="7">
        <f t="shared" si="226"/>
        <v>0</v>
      </c>
      <c r="AB779" s="7" t="str">
        <f t="shared" si="227"/>
        <v/>
      </c>
      <c r="AC779" s="7">
        <f t="shared" si="228"/>
        <v>1</v>
      </c>
      <c r="AD779" s="7">
        <f t="shared" si="229"/>
        <v>93</v>
      </c>
      <c r="AE779" s="6">
        <f t="shared" si="230"/>
        <v>0</v>
      </c>
      <c r="AF779" s="69">
        <f t="shared" si="231"/>
        <v>3.0199543826069966</v>
      </c>
      <c r="AG779" s="6">
        <f t="shared" si="232"/>
        <v>0</v>
      </c>
      <c r="AH779" s="6">
        <f t="shared" si="233"/>
        <v>604</v>
      </c>
    </row>
    <row r="780" spans="8:34" x14ac:dyDescent="0.25">
      <c r="H780" s="7">
        <v>787</v>
      </c>
      <c r="I780" s="7" t="s">
        <v>14</v>
      </c>
      <c r="J780" s="8">
        <v>38386</v>
      </c>
      <c r="K780" s="12" t="s">
        <v>18</v>
      </c>
      <c r="L780" s="9">
        <v>36</v>
      </c>
      <c r="M780" s="10">
        <v>110.48116735303131</v>
      </c>
      <c r="N780" s="7" t="s">
        <v>23</v>
      </c>
      <c r="P780" s="29" t="str">
        <f t="shared" si="216"/>
        <v/>
      </c>
      <c r="Q780" s="29" t="str">
        <f t="shared" si="217"/>
        <v/>
      </c>
      <c r="R780" s="29" t="str">
        <f t="shared" si="218"/>
        <v/>
      </c>
      <c r="S780" s="29" t="str">
        <f t="shared" si="219"/>
        <v/>
      </c>
      <c r="T780" s="32" t="str">
        <f t="shared" si="220"/>
        <v/>
      </c>
      <c r="U780" s="32">
        <f t="shared" si="223"/>
        <v>1</v>
      </c>
      <c r="V780" s="32" t="str">
        <f t="shared" si="224"/>
        <v/>
      </c>
      <c r="W780" s="41">
        <f t="shared" si="221"/>
        <v>3.068921315361981</v>
      </c>
      <c r="X780" s="6">
        <f t="shared" si="222"/>
        <v>110.48116735303131</v>
      </c>
      <c r="Y780" s="7">
        <f t="shared" si="225"/>
        <v>339</v>
      </c>
      <c r="AA780" s="7">
        <f t="shared" si="226"/>
        <v>1</v>
      </c>
      <c r="AB780" s="7">
        <f t="shared" si="227"/>
        <v>36</v>
      </c>
      <c r="AC780" s="7">
        <f t="shared" si="228"/>
        <v>0</v>
      </c>
      <c r="AD780" s="7" t="str">
        <f t="shared" si="229"/>
        <v/>
      </c>
      <c r="AE780" s="6">
        <f t="shared" si="230"/>
        <v>0</v>
      </c>
      <c r="AF780" s="69">
        <f t="shared" si="231"/>
        <v>3.068921315361981</v>
      </c>
      <c r="AG780" s="6">
        <f t="shared" si="232"/>
        <v>0</v>
      </c>
      <c r="AH780" s="6">
        <f t="shared" si="233"/>
        <v>604</v>
      </c>
    </row>
    <row r="781" spans="8:34" x14ac:dyDescent="0.25">
      <c r="H781" s="7">
        <v>788</v>
      </c>
      <c r="I781" s="7" t="s">
        <v>9</v>
      </c>
      <c r="J781" s="8">
        <v>39002</v>
      </c>
      <c r="K781" s="12" t="s">
        <v>17</v>
      </c>
      <c r="L781" s="9">
        <v>-9</v>
      </c>
      <c r="M781" s="10">
        <v>-24.826904970027119</v>
      </c>
      <c r="N781" s="7" t="s">
        <v>22</v>
      </c>
      <c r="P781" s="29" t="str">
        <f t="shared" si="216"/>
        <v/>
      </c>
      <c r="Q781" s="29" t="str">
        <f t="shared" si="217"/>
        <v/>
      </c>
      <c r="R781" s="29" t="str">
        <f t="shared" si="218"/>
        <v/>
      </c>
      <c r="S781" s="29" t="str">
        <f t="shared" si="219"/>
        <v/>
      </c>
      <c r="T781" s="32" t="str">
        <f t="shared" si="220"/>
        <v/>
      </c>
      <c r="U781" s="32" t="str">
        <f t="shared" si="223"/>
        <v/>
      </c>
      <c r="V781" s="32">
        <f t="shared" si="224"/>
        <v>1</v>
      </c>
      <c r="W781" s="41" t="str">
        <f t="shared" si="221"/>
        <v/>
      </c>
      <c r="X781" s="6">
        <f t="shared" si="222"/>
        <v>0</v>
      </c>
      <c r="Y781" s="7">
        <f t="shared" si="225"/>
        <v>567</v>
      </c>
      <c r="AA781" s="7">
        <f t="shared" si="226"/>
        <v>0</v>
      </c>
      <c r="AB781" s="7" t="str">
        <f t="shared" si="227"/>
        <v/>
      </c>
      <c r="AC781" s="7">
        <f t="shared" si="228"/>
        <v>0</v>
      </c>
      <c r="AD781" s="7" t="str">
        <f t="shared" si="229"/>
        <v/>
      </c>
      <c r="AE781" s="6">
        <f t="shared" si="230"/>
        <v>-9</v>
      </c>
      <c r="AF781" s="69" t="str">
        <f t="shared" si="231"/>
        <v/>
      </c>
      <c r="AG781" s="6">
        <f t="shared" si="232"/>
        <v>0</v>
      </c>
      <c r="AH781" s="6">
        <f t="shared" si="233"/>
        <v>604</v>
      </c>
    </row>
    <row r="782" spans="8:34" x14ac:dyDescent="0.25">
      <c r="H782" s="7">
        <v>789</v>
      </c>
      <c r="I782" s="7" t="s">
        <v>14</v>
      </c>
      <c r="J782" s="8">
        <v>38496</v>
      </c>
      <c r="K782" s="12" t="s">
        <v>17</v>
      </c>
      <c r="L782" s="9">
        <v>48</v>
      </c>
      <c r="M782" s="10">
        <v>146.23287015814799</v>
      </c>
      <c r="N782" s="7" t="s">
        <v>23</v>
      </c>
      <c r="P782" s="29" t="str">
        <f t="shared" si="216"/>
        <v/>
      </c>
      <c r="Q782" s="29" t="str">
        <f t="shared" si="217"/>
        <v/>
      </c>
      <c r="R782" s="29" t="str">
        <f t="shared" si="218"/>
        <v/>
      </c>
      <c r="S782" s="29" t="str">
        <f t="shared" si="219"/>
        <v/>
      </c>
      <c r="T782" s="32" t="str">
        <f t="shared" si="220"/>
        <v/>
      </c>
      <c r="U782" s="32">
        <f t="shared" si="223"/>
        <v>1</v>
      </c>
      <c r="V782" s="32" t="str">
        <f t="shared" si="224"/>
        <v/>
      </c>
      <c r="W782" s="41">
        <f t="shared" si="221"/>
        <v>3.0465181282947498</v>
      </c>
      <c r="X782" s="6">
        <f t="shared" si="222"/>
        <v>146.23287015814799</v>
      </c>
      <c r="Y782" s="7">
        <f t="shared" si="225"/>
        <v>278</v>
      </c>
      <c r="AA782" s="7">
        <f t="shared" si="226"/>
        <v>0</v>
      </c>
      <c r="AB782" s="7" t="str">
        <f t="shared" si="227"/>
        <v/>
      </c>
      <c r="AC782" s="7">
        <f t="shared" si="228"/>
        <v>1</v>
      </c>
      <c r="AD782" s="7">
        <f t="shared" si="229"/>
        <v>48</v>
      </c>
      <c r="AE782" s="6">
        <f t="shared" si="230"/>
        <v>0</v>
      </c>
      <c r="AF782" s="69">
        <f t="shared" si="231"/>
        <v>3.0465181282947498</v>
      </c>
      <c r="AG782" s="6">
        <f t="shared" si="232"/>
        <v>0</v>
      </c>
      <c r="AH782" s="6">
        <f t="shared" si="233"/>
        <v>604</v>
      </c>
    </row>
    <row r="783" spans="8:34" x14ac:dyDescent="0.25">
      <c r="H783" s="7">
        <v>790</v>
      </c>
      <c r="I783" s="7" t="s">
        <v>15</v>
      </c>
      <c r="J783" s="8">
        <v>38672</v>
      </c>
      <c r="K783" s="12" t="s">
        <v>16</v>
      </c>
      <c r="L783" s="9">
        <v>11</v>
      </c>
      <c r="M783" s="10">
        <v>34.54792782212121</v>
      </c>
      <c r="N783" s="7" t="s">
        <v>24</v>
      </c>
      <c r="P783" s="29" t="str">
        <f t="shared" si="216"/>
        <v/>
      </c>
      <c r="Q783" s="29" t="str">
        <f t="shared" si="217"/>
        <v/>
      </c>
      <c r="R783" s="29" t="str">
        <f t="shared" si="218"/>
        <v/>
      </c>
      <c r="S783" s="29" t="str">
        <f t="shared" si="219"/>
        <v/>
      </c>
      <c r="T783" s="32">
        <f t="shared" si="220"/>
        <v>1</v>
      </c>
      <c r="U783" s="32">
        <f t="shared" si="223"/>
        <v>1</v>
      </c>
      <c r="V783" s="32" t="str">
        <f t="shared" si="224"/>
        <v/>
      </c>
      <c r="W783" s="41">
        <f t="shared" si="221"/>
        <v>3.140720711101928</v>
      </c>
      <c r="X783" s="6">
        <f t="shared" si="222"/>
        <v>34.54792782212121</v>
      </c>
      <c r="Y783" s="7">
        <f t="shared" si="225"/>
        <v>493</v>
      </c>
      <c r="AA783" s="7">
        <f t="shared" si="226"/>
        <v>0</v>
      </c>
      <c r="AB783" s="7" t="str">
        <f t="shared" si="227"/>
        <v/>
      </c>
      <c r="AC783" s="7">
        <f t="shared" si="228"/>
        <v>1</v>
      </c>
      <c r="AD783" s="7">
        <f t="shared" si="229"/>
        <v>11</v>
      </c>
      <c r="AE783" s="6">
        <f t="shared" si="230"/>
        <v>0</v>
      </c>
      <c r="AF783" s="69">
        <f t="shared" si="231"/>
        <v>3.140720711101928</v>
      </c>
      <c r="AG783" s="6">
        <f t="shared" si="232"/>
        <v>0</v>
      </c>
      <c r="AH783" s="6">
        <f t="shared" si="233"/>
        <v>604</v>
      </c>
    </row>
    <row r="784" spans="8:34" x14ac:dyDescent="0.25">
      <c r="H784" s="7">
        <v>791</v>
      </c>
      <c r="I784" s="7" t="s">
        <v>15</v>
      </c>
      <c r="J784" s="8">
        <v>38188</v>
      </c>
      <c r="K784" s="12" t="s">
        <v>19</v>
      </c>
      <c r="L784" s="9">
        <v>8</v>
      </c>
      <c r="M784" s="10">
        <v>25.453618816298423</v>
      </c>
      <c r="N784" s="7" t="s">
        <v>23</v>
      </c>
      <c r="P784" s="29" t="str">
        <f t="shared" si="216"/>
        <v/>
      </c>
      <c r="Q784" s="29" t="str">
        <f t="shared" si="217"/>
        <v/>
      </c>
      <c r="R784" s="29">
        <f t="shared" si="218"/>
        <v>1</v>
      </c>
      <c r="S784" s="29" t="str">
        <f t="shared" si="219"/>
        <v/>
      </c>
      <c r="T784" s="32" t="str">
        <f t="shared" si="220"/>
        <v/>
      </c>
      <c r="U784" s="32" t="str">
        <f t="shared" si="223"/>
        <v/>
      </c>
      <c r="V784" s="32" t="str">
        <f t="shared" si="224"/>
        <v/>
      </c>
      <c r="W784" s="41">
        <f t="shared" si="221"/>
        <v>3.1817023520373029</v>
      </c>
      <c r="X784" s="6">
        <f t="shared" si="222"/>
        <v>0</v>
      </c>
      <c r="Y784" s="7">
        <f t="shared" si="225"/>
        <v>567</v>
      </c>
      <c r="AA784" s="7">
        <f t="shared" si="226"/>
        <v>0</v>
      </c>
      <c r="AB784" s="7" t="str">
        <f t="shared" si="227"/>
        <v/>
      </c>
      <c r="AC784" s="7">
        <f t="shared" si="228"/>
        <v>0</v>
      </c>
      <c r="AD784" s="7" t="str">
        <f t="shared" si="229"/>
        <v/>
      </c>
      <c r="AE784" s="6">
        <f t="shared" si="230"/>
        <v>0</v>
      </c>
      <c r="AF784" s="69">
        <f t="shared" si="231"/>
        <v>3.1817023520373029</v>
      </c>
      <c r="AG784" s="6">
        <f t="shared" si="232"/>
        <v>25.453618816298423</v>
      </c>
      <c r="AH784" s="6">
        <f t="shared" si="233"/>
        <v>546</v>
      </c>
    </row>
    <row r="785" spans="8:34" x14ac:dyDescent="0.25">
      <c r="H785" s="7">
        <v>792</v>
      </c>
      <c r="I785" s="7" t="s">
        <v>11</v>
      </c>
      <c r="J785" s="8">
        <v>38089</v>
      </c>
      <c r="K785" s="12" t="s">
        <v>18</v>
      </c>
      <c r="L785" s="9">
        <v>36</v>
      </c>
      <c r="M785" s="10">
        <v>110.09171904672033</v>
      </c>
      <c r="N785" s="7" t="s">
        <v>24</v>
      </c>
      <c r="P785" s="29" t="str">
        <f t="shared" si="216"/>
        <v/>
      </c>
      <c r="Q785" s="29">
        <f t="shared" si="217"/>
        <v>1</v>
      </c>
      <c r="R785" s="29" t="str">
        <f t="shared" si="218"/>
        <v/>
      </c>
      <c r="S785" s="29" t="str">
        <f t="shared" si="219"/>
        <v/>
      </c>
      <c r="T785" s="32" t="str">
        <f t="shared" si="220"/>
        <v/>
      </c>
      <c r="U785" s="32" t="str">
        <f t="shared" si="223"/>
        <v/>
      </c>
      <c r="V785" s="32" t="str">
        <f t="shared" si="224"/>
        <v/>
      </c>
      <c r="W785" s="41">
        <f t="shared" si="221"/>
        <v>3.0581033068533423</v>
      </c>
      <c r="X785" s="6">
        <f t="shared" si="222"/>
        <v>0</v>
      </c>
      <c r="Y785" s="7">
        <f t="shared" si="225"/>
        <v>567</v>
      </c>
      <c r="AA785" s="7">
        <f t="shared" si="226"/>
        <v>0</v>
      </c>
      <c r="AB785" s="7" t="str">
        <f t="shared" si="227"/>
        <v/>
      </c>
      <c r="AC785" s="7">
        <f t="shared" si="228"/>
        <v>0</v>
      </c>
      <c r="AD785" s="7" t="str">
        <f t="shared" si="229"/>
        <v/>
      </c>
      <c r="AE785" s="6">
        <f t="shared" si="230"/>
        <v>0</v>
      </c>
      <c r="AF785" s="69">
        <f t="shared" si="231"/>
        <v>3.0581033068533423</v>
      </c>
      <c r="AG785" s="6">
        <f t="shared" si="232"/>
        <v>110.09171904672033</v>
      </c>
      <c r="AH785" s="6">
        <f t="shared" si="233"/>
        <v>353</v>
      </c>
    </row>
    <row r="786" spans="8:34" x14ac:dyDescent="0.25">
      <c r="H786" s="7">
        <v>793</v>
      </c>
      <c r="I786" s="7" t="s">
        <v>15</v>
      </c>
      <c r="J786" s="8">
        <v>38661</v>
      </c>
      <c r="K786" s="12" t="s">
        <v>20</v>
      </c>
      <c r="L786" s="9">
        <v>93</v>
      </c>
      <c r="M786" s="10">
        <v>280.77976287020761</v>
      </c>
      <c r="N786" s="7" t="s">
        <v>23</v>
      </c>
      <c r="P786" s="29" t="str">
        <f t="shared" si="216"/>
        <v/>
      </c>
      <c r="Q786" s="29" t="str">
        <f t="shared" si="217"/>
        <v/>
      </c>
      <c r="R786" s="29" t="str">
        <f t="shared" si="218"/>
        <v/>
      </c>
      <c r="S786" s="29" t="str">
        <f t="shared" si="219"/>
        <v/>
      </c>
      <c r="T786" s="32">
        <f t="shared" si="220"/>
        <v>1</v>
      </c>
      <c r="U786" s="32">
        <f t="shared" si="223"/>
        <v>1</v>
      </c>
      <c r="V786" s="32" t="str">
        <f t="shared" si="224"/>
        <v/>
      </c>
      <c r="W786" s="41">
        <f t="shared" si="221"/>
        <v>3.0191372351635226</v>
      </c>
      <c r="X786" s="6">
        <f t="shared" si="222"/>
        <v>280.77976287020761</v>
      </c>
      <c r="Y786" s="7">
        <f t="shared" si="225"/>
        <v>24</v>
      </c>
      <c r="AA786" s="7">
        <f t="shared" si="226"/>
        <v>0</v>
      </c>
      <c r="AB786" s="7" t="str">
        <f t="shared" si="227"/>
        <v/>
      </c>
      <c r="AC786" s="7">
        <f t="shared" si="228"/>
        <v>1</v>
      </c>
      <c r="AD786" s="7">
        <f t="shared" si="229"/>
        <v>93</v>
      </c>
      <c r="AE786" s="6">
        <f t="shared" si="230"/>
        <v>0</v>
      </c>
      <c r="AF786" s="69">
        <f t="shared" si="231"/>
        <v>3.0191372351635226</v>
      </c>
      <c r="AG786" s="6">
        <f t="shared" si="232"/>
        <v>0</v>
      </c>
      <c r="AH786" s="6">
        <f t="shared" si="233"/>
        <v>604</v>
      </c>
    </row>
    <row r="787" spans="8:34" x14ac:dyDescent="0.25">
      <c r="H787" s="7">
        <v>794</v>
      </c>
      <c r="I787" s="7" t="s">
        <v>8</v>
      </c>
      <c r="J787" s="8">
        <v>38089</v>
      </c>
      <c r="K787" s="12" t="s">
        <v>17</v>
      </c>
      <c r="L787" s="9">
        <v>39</v>
      </c>
      <c r="M787" s="10">
        <v>119.20284079894812</v>
      </c>
      <c r="N787" s="7" t="s">
        <v>24</v>
      </c>
      <c r="P787" s="29" t="str">
        <f t="shared" si="216"/>
        <v/>
      </c>
      <c r="Q787" s="29">
        <f t="shared" si="217"/>
        <v>1</v>
      </c>
      <c r="R787" s="29" t="str">
        <f t="shared" si="218"/>
        <v/>
      </c>
      <c r="S787" s="29" t="str">
        <f t="shared" si="219"/>
        <v/>
      </c>
      <c r="T787" s="32" t="str">
        <f t="shared" si="220"/>
        <v/>
      </c>
      <c r="U787" s="32" t="str">
        <f t="shared" si="223"/>
        <v/>
      </c>
      <c r="V787" s="32" t="str">
        <f t="shared" si="224"/>
        <v/>
      </c>
      <c r="W787" s="41">
        <f t="shared" si="221"/>
        <v>3.0564830974089259</v>
      </c>
      <c r="X787" s="6">
        <f t="shared" si="222"/>
        <v>0</v>
      </c>
      <c r="Y787" s="7">
        <f t="shared" si="225"/>
        <v>567</v>
      </c>
      <c r="AA787" s="7">
        <f t="shared" si="226"/>
        <v>0</v>
      </c>
      <c r="AB787" s="7" t="str">
        <f t="shared" si="227"/>
        <v/>
      </c>
      <c r="AC787" s="7">
        <f t="shared" si="228"/>
        <v>0</v>
      </c>
      <c r="AD787" s="7" t="str">
        <f t="shared" si="229"/>
        <v/>
      </c>
      <c r="AE787" s="6">
        <f t="shared" si="230"/>
        <v>0</v>
      </c>
      <c r="AF787" s="69">
        <f t="shared" si="231"/>
        <v>3.0564830974089259</v>
      </c>
      <c r="AG787" s="6">
        <f t="shared" si="232"/>
        <v>119.20284079894812</v>
      </c>
      <c r="AH787" s="6">
        <f t="shared" si="233"/>
        <v>333</v>
      </c>
    </row>
    <row r="788" spans="8:34" x14ac:dyDescent="0.25">
      <c r="H788" s="7">
        <v>795</v>
      </c>
      <c r="I788" s="7" t="s">
        <v>8</v>
      </c>
      <c r="J788" s="8">
        <v>38133</v>
      </c>
      <c r="K788" s="12" t="s">
        <v>16</v>
      </c>
      <c r="L788" s="9">
        <v>72</v>
      </c>
      <c r="M788" s="10">
        <v>218.07728873022205</v>
      </c>
      <c r="N788" s="7" t="s">
        <v>21</v>
      </c>
      <c r="P788" s="29" t="str">
        <f t="shared" si="216"/>
        <v/>
      </c>
      <c r="Q788" s="29">
        <f t="shared" si="217"/>
        <v>1</v>
      </c>
      <c r="R788" s="29" t="str">
        <f t="shared" si="218"/>
        <v/>
      </c>
      <c r="S788" s="29" t="str">
        <f t="shared" si="219"/>
        <v/>
      </c>
      <c r="T788" s="32" t="str">
        <f t="shared" si="220"/>
        <v/>
      </c>
      <c r="U788" s="32" t="str">
        <f t="shared" si="223"/>
        <v/>
      </c>
      <c r="V788" s="32" t="str">
        <f t="shared" si="224"/>
        <v/>
      </c>
      <c r="W788" s="41">
        <f t="shared" si="221"/>
        <v>3.028851232364195</v>
      </c>
      <c r="X788" s="6">
        <f t="shared" si="222"/>
        <v>0</v>
      </c>
      <c r="Y788" s="7">
        <f t="shared" si="225"/>
        <v>567</v>
      </c>
      <c r="AA788" s="7">
        <f t="shared" si="226"/>
        <v>0</v>
      </c>
      <c r="AB788" s="7" t="str">
        <f t="shared" si="227"/>
        <v/>
      </c>
      <c r="AC788" s="7">
        <f t="shared" si="228"/>
        <v>0</v>
      </c>
      <c r="AD788" s="7" t="str">
        <f t="shared" si="229"/>
        <v/>
      </c>
      <c r="AE788" s="6">
        <f t="shared" si="230"/>
        <v>0</v>
      </c>
      <c r="AF788" s="69">
        <f t="shared" si="231"/>
        <v>3.028851232364195</v>
      </c>
      <c r="AG788" s="6">
        <f t="shared" si="232"/>
        <v>218.07728873022205</v>
      </c>
      <c r="AH788" s="6">
        <f t="shared" si="233"/>
        <v>139</v>
      </c>
    </row>
    <row r="789" spans="8:34" x14ac:dyDescent="0.25">
      <c r="H789" s="7">
        <v>796</v>
      </c>
      <c r="I789" s="7" t="s">
        <v>13</v>
      </c>
      <c r="J789" s="8">
        <v>38782</v>
      </c>
      <c r="K789" s="12" t="s">
        <v>17</v>
      </c>
      <c r="L789" s="9">
        <v>3</v>
      </c>
      <c r="M789" s="10">
        <v>10.416176420457935</v>
      </c>
      <c r="N789" s="7" t="s">
        <v>22</v>
      </c>
      <c r="P789" s="29" t="str">
        <f t="shared" si="216"/>
        <v/>
      </c>
      <c r="Q789" s="29" t="str">
        <f t="shared" si="217"/>
        <v/>
      </c>
      <c r="R789" s="29" t="str">
        <f t="shared" si="218"/>
        <v/>
      </c>
      <c r="S789" s="29" t="str">
        <f t="shared" si="219"/>
        <v/>
      </c>
      <c r="T789" s="32" t="str">
        <f t="shared" si="220"/>
        <v/>
      </c>
      <c r="U789" s="32" t="str">
        <f t="shared" si="223"/>
        <v/>
      </c>
      <c r="V789" s="32">
        <f t="shared" si="224"/>
        <v>1</v>
      </c>
      <c r="W789" s="41">
        <f t="shared" si="221"/>
        <v>3.4720588068193119</v>
      </c>
      <c r="X789" s="6">
        <f t="shared" si="222"/>
        <v>0</v>
      </c>
      <c r="Y789" s="7">
        <f t="shared" si="225"/>
        <v>567</v>
      </c>
      <c r="AA789" s="7">
        <f t="shared" si="226"/>
        <v>0</v>
      </c>
      <c r="AB789" s="7" t="str">
        <f t="shared" si="227"/>
        <v/>
      </c>
      <c r="AC789" s="7">
        <f t="shared" si="228"/>
        <v>0</v>
      </c>
      <c r="AD789" s="7" t="str">
        <f t="shared" si="229"/>
        <v/>
      </c>
      <c r="AE789" s="6">
        <f t="shared" si="230"/>
        <v>0</v>
      </c>
      <c r="AF789" s="69">
        <f t="shared" si="231"/>
        <v>3.4720588068193119</v>
      </c>
      <c r="AG789" s="6">
        <f t="shared" si="232"/>
        <v>0</v>
      </c>
      <c r="AH789" s="6">
        <f t="shared" si="233"/>
        <v>604</v>
      </c>
    </row>
    <row r="790" spans="8:34" x14ac:dyDescent="0.25">
      <c r="H790" s="7">
        <v>797</v>
      </c>
      <c r="I790" s="7" t="s">
        <v>10</v>
      </c>
      <c r="J790" s="8">
        <v>38353</v>
      </c>
      <c r="K790" s="12" t="s">
        <v>20</v>
      </c>
      <c r="L790" s="9">
        <v>47</v>
      </c>
      <c r="M790" s="10">
        <v>142.8388636236887</v>
      </c>
      <c r="N790" s="7" t="s">
        <v>24</v>
      </c>
      <c r="P790" s="29" t="str">
        <f t="shared" si="216"/>
        <v/>
      </c>
      <c r="Q790" s="29" t="str">
        <f t="shared" si="217"/>
        <v/>
      </c>
      <c r="R790" s="29" t="str">
        <f t="shared" si="218"/>
        <v/>
      </c>
      <c r="S790" s="29" t="str">
        <f t="shared" si="219"/>
        <v/>
      </c>
      <c r="T790" s="32" t="str">
        <f t="shared" si="220"/>
        <v/>
      </c>
      <c r="U790" s="32">
        <f t="shared" si="223"/>
        <v>1</v>
      </c>
      <c r="V790" s="32" t="str">
        <f t="shared" si="224"/>
        <v/>
      </c>
      <c r="W790" s="41">
        <f t="shared" si="221"/>
        <v>3.0391247579508232</v>
      </c>
      <c r="X790" s="6">
        <f t="shared" si="222"/>
        <v>142.8388636236887</v>
      </c>
      <c r="Y790" s="7">
        <f t="shared" si="225"/>
        <v>284</v>
      </c>
      <c r="AA790" s="7">
        <f t="shared" si="226"/>
        <v>1</v>
      </c>
      <c r="AB790" s="7">
        <f t="shared" si="227"/>
        <v>47</v>
      </c>
      <c r="AC790" s="7">
        <f t="shared" si="228"/>
        <v>0</v>
      </c>
      <c r="AD790" s="7" t="str">
        <f t="shared" si="229"/>
        <v/>
      </c>
      <c r="AE790" s="6">
        <f t="shared" si="230"/>
        <v>0</v>
      </c>
      <c r="AF790" s="69">
        <f t="shared" si="231"/>
        <v>3.0391247579508232</v>
      </c>
      <c r="AG790" s="6">
        <f t="shared" si="232"/>
        <v>0</v>
      </c>
      <c r="AH790" s="6">
        <f t="shared" si="233"/>
        <v>604</v>
      </c>
    </row>
    <row r="791" spans="8:34" x14ac:dyDescent="0.25">
      <c r="H791" s="7">
        <v>798</v>
      </c>
      <c r="I791" s="7" t="s">
        <v>12</v>
      </c>
      <c r="J791" s="8">
        <v>39079</v>
      </c>
      <c r="K791" s="12" t="s">
        <v>20</v>
      </c>
      <c r="L791" s="9">
        <v>72</v>
      </c>
      <c r="M791" s="10">
        <v>217.32445132799407</v>
      </c>
      <c r="N791" s="7" t="s">
        <v>23</v>
      </c>
      <c r="P791" s="29" t="str">
        <f t="shared" si="216"/>
        <v/>
      </c>
      <c r="Q791" s="29" t="str">
        <f t="shared" si="217"/>
        <v/>
      </c>
      <c r="R791" s="29" t="str">
        <f t="shared" si="218"/>
        <v/>
      </c>
      <c r="S791" s="29" t="str">
        <f t="shared" si="219"/>
        <v/>
      </c>
      <c r="T791" s="32" t="str">
        <f t="shared" si="220"/>
        <v/>
      </c>
      <c r="U791" s="32" t="str">
        <f t="shared" si="223"/>
        <v/>
      </c>
      <c r="V791" s="32">
        <f t="shared" si="224"/>
        <v>1</v>
      </c>
      <c r="W791" s="41">
        <f t="shared" si="221"/>
        <v>3.0183951573332508</v>
      </c>
      <c r="X791" s="6">
        <f t="shared" si="222"/>
        <v>0</v>
      </c>
      <c r="Y791" s="7">
        <f t="shared" si="225"/>
        <v>567</v>
      </c>
      <c r="AA791" s="7">
        <f t="shared" si="226"/>
        <v>0</v>
      </c>
      <c r="AB791" s="7" t="str">
        <f t="shared" si="227"/>
        <v/>
      </c>
      <c r="AC791" s="7">
        <f t="shared" si="228"/>
        <v>0</v>
      </c>
      <c r="AD791" s="7" t="str">
        <f t="shared" si="229"/>
        <v/>
      </c>
      <c r="AE791" s="6">
        <f t="shared" si="230"/>
        <v>0</v>
      </c>
      <c r="AF791" s="69">
        <f t="shared" si="231"/>
        <v>3.0183951573332508</v>
      </c>
      <c r="AG791" s="6">
        <f t="shared" si="232"/>
        <v>0</v>
      </c>
      <c r="AH791" s="6">
        <f t="shared" si="233"/>
        <v>604</v>
      </c>
    </row>
    <row r="792" spans="8:34" x14ac:dyDescent="0.25">
      <c r="H792" s="7">
        <v>799</v>
      </c>
      <c r="I792" s="7" t="s">
        <v>11</v>
      </c>
      <c r="J792" s="8">
        <v>39057</v>
      </c>
      <c r="K792" s="12" t="s">
        <v>20</v>
      </c>
      <c r="L792" s="9">
        <v>26</v>
      </c>
      <c r="M792" s="10">
        <v>79.748589199087291</v>
      </c>
      <c r="N792" s="7" t="s">
        <v>22</v>
      </c>
      <c r="P792" s="29" t="str">
        <f t="shared" si="216"/>
        <v/>
      </c>
      <c r="Q792" s="29" t="str">
        <f t="shared" si="217"/>
        <v/>
      </c>
      <c r="R792" s="29" t="str">
        <f t="shared" si="218"/>
        <v/>
      </c>
      <c r="S792" s="29" t="str">
        <f t="shared" si="219"/>
        <v/>
      </c>
      <c r="T792" s="32" t="str">
        <f t="shared" si="220"/>
        <v/>
      </c>
      <c r="U792" s="32" t="str">
        <f t="shared" si="223"/>
        <v/>
      </c>
      <c r="V792" s="32">
        <f t="shared" si="224"/>
        <v>1</v>
      </c>
      <c r="W792" s="41">
        <f t="shared" si="221"/>
        <v>3.0672534307341266</v>
      </c>
      <c r="X792" s="6">
        <f t="shared" si="222"/>
        <v>0</v>
      </c>
      <c r="Y792" s="7">
        <f t="shared" si="225"/>
        <v>567</v>
      </c>
      <c r="AA792" s="7">
        <f t="shared" si="226"/>
        <v>0</v>
      </c>
      <c r="AB792" s="7" t="str">
        <f t="shared" si="227"/>
        <v/>
      </c>
      <c r="AC792" s="7">
        <f t="shared" si="228"/>
        <v>0</v>
      </c>
      <c r="AD792" s="7" t="str">
        <f t="shared" si="229"/>
        <v/>
      </c>
      <c r="AE792" s="6">
        <f t="shared" si="230"/>
        <v>0</v>
      </c>
      <c r="AF792" s="69">
        <f t="shared" si="231"/>
        <v>3.0672534307341266</v>
      </c>
      <c r="AG792" s="6">
        <f t="shared" si="232"/>
        <v>0</v>
      </c>
      <c r="AH792" s="6">
        <f t="shared" si="233"/>
        <v>604</v>
      </c>
    </row>
    <row r="793" spans="8:34" x14ac:dyDescent="0.25">
      <c r="H793" s="7">
        <v>800</v>
      </c>
      <c r="I793" s="7" t="s">
        <v>10</v>
      </c>
      <c r="J793" s="8">
        <v>38265</v>
      </c>
      <c r="K793" s="12" t="s">
        <v>16</v>
      </c>
      <c r="L793" s="9">
        <v>47</v>
      </c>
      <c r="M793" s="10">
        <v>142.48755479367787</v>
      </c>
      <c r="N793" s="7" t="s">
        <v>21</v>
      </c>
      <c r="P793" s="29" t="str">
        <f t="shared" si="216"/>
        <v/>
      </c>
      <c r="Q793" s="29" t="str">
        <f t="shared" si="217"/>
        <v/>
      </c>
      <c r="R793" s="29" t="str">
        <f t="shared" si="218"/>
        <v/>
      </c>
      <c r="S793" s="29">
        <f t="shared" si="219"/>
        <v>1</v>
      </c>
      <c r="T793" s="32" t="str">
        <f t="shared" si="220"/>
        <v/>
      </c>
      <c r="U793" s="32" t="str">
        <f t="shared" si="223"/>
        <v/>
      </c>
      <c r="V793" s="32" t="str">
        <f t="shared" si="224"/>
        <v/>
      </c>
      <c r="W793" s="41">
        <f t="shared" si="221"/>
        <v>3.0316501019931463</v>
      </c>
      <c r="X793" s="6">
        <f t="shared" si="222"/>
        <v>0</v>
      </c>
      <c r="Y793" s="7">
        <f t="shared" si="225"/>
        <v>567</v>
      </c>
      <c r="AA793" s="7">
        <f t="shared" si="226"/>
        <v>0</v>
      </c>
      <c r="AB793" s="7" t="str">
        <f t="shared" si="227"/>
        <v/>
      </c>
      <c r="AC793" s="7">
        <f t="shared" si="228"/>
        <v>0</v>
      </c>
      <c r="AD793" s="7" t="str">
        <f t="shared" si="229"/>
        <v/>
      </c>
      <c r="AE793" s="6">
        <f t="shared" si="230"/>
        <v>0</v>
      </c>
      <c r="AF793" s="69">
        <f t="shared" si="231"/>
        <v>3.0316501019931463</v>
      </c>
      <c r="AG793" s="6">
        <f t="shared" si="232"/>
        <v>142.48755479367787</v>
      </c>
      <c r="AH793" s="6">
        <f t="shared" si="233"/>
        <v>292</v>
      </c>
    </row>
    <row r="794" spans="8:34" x14ac:dyDescent="0.25">
      <c r="H794" s="7">
        <v>801</v>
      </c>
      <c r="I794" s="7" t="s">
        <v>12</v>
      </c>
      <c r="J794" s="8">
        <v>38727</v>
      </c>
      <c r="K794" s="12" t="s">
        <v>17</v>
      </c>
      <c r="L794" s="9">
        <v>14</v>
      </c>
      <c r="M794" s="10">
        <v>43.403824731122626</v>
      </c>
      <c r="N794" s="7" t="s">
        <v>24</v>
      </c>
      <c r="P794" s="29" t="str">
        <f t="shared" si="216"/>
        <v/>
      </c>
      <c r="Q794" s="29" t="str">
        <f t="shared" si="217"/>
        <v/>
      </c>
      <c r="R794" s="29" t="str">
        <f t="shared" si="218"/>
        <v/>
      </c>
      <c r="S794" s="29" t="str">
        <f t="shared" si="219"/>
        <v/>
      </c>
      <c r="T794" s="32" t="str">
        <f t="shared" si="220"/>
        <v/>
      </c>
      <c r="U794" s="32" t="str">
        <f t="shared" si="223"/>
        <v/>
      </c>
      <c r="V794" s="32">
        <f t="shared" si="224"/>
        <v>1</v>
      </c>
      <c r="W794" s="41">
        <f t="shared" si="221"/>
        <v>3.1002731950801876</v>
      </c>
      <c r="X794" s="6">
        <f t="shared" si="222"/>
        <v>0</v>
      </c>
      <c r="Y794" s="7">
        <f t="shared" si="225"/>
        <v>567</v>
      </c>
      <c r="AA794" s="7">
        <f t="shared" si="226"/>
        <v>0</v>
      </c>
      <c r="AB794" s="7" t="str">
        <f t="shared" si="227"/>
        <v/>
      </c>
      <c r="AC794" s="7">
        <f t="shared" si="228"/>
        <v>0</v>
      </c>
      <c r="AD794" s="7" t="str">
        <f t="shared" si="229"/>
        <v/>
      </c>
      <c r="AE794" s="6">
        <f t="shared" si="230"/>
        <v>0</v>
      </c>
      <c r="AF794" s="69">
        <f t="shared" si="231"/>
        <v>3.1002731950801876</v>
      </c>
      <c r="AG794" s="6">
        <f t="shared" si="232"/>
        <v>0</v>
      </c>
      <c r="AH794" s="6">
        <f t="shared" si="233"/>
        <v>604</v>
      </c>
    </row>
    <row r="795" spans="8:34" x14ac:dyDescent="0.25">
      <c r="H795" s="7">
        <v>802</v>
      </c>
      <c r="I795" s="7" t="s">
        <v>10</v>
      </c>
      <c r="J795" s="8">
        <v>38529</v>
      </c>
      <c r="K795" s="12" t="s">
        <v>20</v>
      </c>
      <c r="L795" s="9">
        <v>71</v>
      </c>
      <c r="M795" s="10">
        <v>215.07582310104507</v>
      </c>
      <c r="N795" s="7" t="s">
        <v>21</v>
      </c>
      <c r="P795" s="29" t="str">
        <f t="shared" si="216"/>
        <v/>
      </c>
      <c r="Q795" s="29" t="str">
        <f t="shared" si="217"/>
        <v/>
      </c>
      <c r="R795" s="29" t="str">
        <f t="shared" si="218"/>
        <v/>
      </c>
      <c r="S795" s="29" t="str">
        <f t="shared" si="219"/>
        <v/>
      </c>
      <c r="T795" s="32" t="str">
        <f t="shared" si="220"/>
        <v/>
      </c>
      <c r="U795" s="32">
        <f t="shared" si="223"/>
        <v>1</v>
      </c>
      <c r="V795" s="32" t="str">
        <f t="shared" si="224"/>
        <v/>
      </c>
      <c r="W795" s="41">
        <f t="shared" si="221"/>
        <v>3.0292369450851417</v>
      </c>
      <c r="X795" s="6">
        <f t="shared" si="222"/>
        <v>215.07582310104507</v>
      </c>
      <c r="Y795" s="7">
        <f t="shared" si="225"/>
        <v>152</v>
      </c>
      <c r="AA795" s="7">
        <f t="shared" si="226"/>
        <v>0</v>
      </c>
      <c r="AB795" s="7" t="str">
        <f t="shared" si="227"/>
        <v/>
      </c>
      <c r="AC795" s="7">
        <f t="shared" si="228"/>
        <v>1</v>
      </c>
      <c r="AD795" s="7">
        <f t="shared" si="229"/>
        <v>71</v>
      </c>
      <c r="AE795" s="6">
        <f t="shared" si="230"/>
        <v>0</v>
      </c>
      <c r="AF795" s="69">
        <f t="shared" si="231"/>
        <v>3.0292369450851417</v>
      </c>
      <c r="AG795" s="6">
        <f t="shared" si="232"/>
        <v>0</v>
      </c>
      <c r="AH795" s="6">
        <f t="shared" si="233"/>
        <v>604</v>
      </c>
    </row>
    <row r="796" spans="8:34" x14ac:dyDescent="0.25">
      <c r="H796" s="7">
        <v>803</v>
      </c>
      <c r="I796" s="7" t="s">
        <v>8</v>
      </c>
      <c r="J796" s="8">
        <v>38947</v>
      </c>
      <c r="K796" s="12" t="s">
        <v>18</v>
      </c>
      <c r="L796" s="9">
        <v>95</v>
      </c>
      <c r="M796" s="10">
        <v>287.79738255613682</v>
      </c>
      <c r="N796" s="7" t="s">
        <v>22</v>
      </c>
      <c r="P796" s="29" t="str">
        <f t="shared" si="216"/>
        <v/>
      </c>
      <c r="Q796" s="29" t="str">
        <f t="shared" si="217"/>
        <v/>
      </c>
      <c r="R796" s="29" t="str">
        <f t="shared" si="218"/>
        <v/>
      </c>
      <c r="S796" s="29" t="str">
        <f t="shared" si="219"/>
        <v/>
      </c>
      <c r="T796" s="32" t="str">
        <f t="shared" si="220"/>
        <v/>
      </c>
      <c r="U796" s="32" t="str">
        <f t="shared" si="223"/>
        <v/>
      </c>
      <c r="V796" s="32">
        <f t="shared" si="224"/>
        <v>1</v>
      </c>
      <c r="W796" s="41">
        <f t="shared" si="221"/>
        <v>3.0294461321698614</v>
      </c>
      <c r="X796" s="6">
        <f t="shared" si="222"/>
        <v>0</v>
      </c>
      <c r="Y796" s="7">
        <f t="shared" si="225"/>
        <v>567</v>
      </c>
      <c r="AA796" s="7">
        <f t="shared" si="226"/>
        <v>0</v>
      </c>
      <c r="AB796" s="7" t="str">
        <f t="shared" si="227"/>
        <v/>
      </c>
      <c r="AC796" s="7">
        <f t="shared" si="228"/>
        <v>0</v>
      </c>
      <c r="AD796" s="7" t="str">
        <f t="shared" si="229"/>
        <v/>
      </c>
      <c r="AE796" s="6">
        <f t="shared" si="230"/>
        <v>0</v>
      </c>
      <c r="AF796" s="69">
        <f t="shared" si="231"/>
        <v>3.0294461321698614</v>
      </c>
      <c r="AG796" s="6">
        <f t="shared" si="232"/>
        <v>0</v>
      </c>
      <c r="AH796" s="6">
        <f t="shared" si="233"/>
        <v>604</v>
      </c>
    </row>
    <row r="797" spans="8:34" x14ac:dyDescent="0.25">
      <c r="H797" s="7">
        <v>804</v>
      </c>
      <c r="I797" s="7" t="s">
        <v>15</v>
      </c>
      <c r="J797" s="8">
        <v>38782</v>
      </c>
      <c r="K797" s="12" t="s">
        <v>20</v>
      </c>
      <c r="L797" s="9">
        <v>37</v>
      </c>
      <c r="M797" s="10">
        <v>112.77919739726129</v>
      </c>
      <c r="N797" s="7" t="s">
        <v>21</v>
      </c>
      <c r="P797" s="29" t="str">
        <f t="shared" si="216"/>
        <v/>
      </c>
      <c r="Q797" s="29" t="str">
        <f t="shared" si="217"/>
        <v/>
      </c>
      <c r="R797" s="29" t="str">
        <f t="shared" si="218"/>
        <v/>
      </c>
      <c r="S797" s="29" t="str">
        <f t="shared" si="219"/>
        <v/>
      </c>
      <c r="T797" s="32" t="str">
        <f t="shared" si="220"/>
        <v/>
      </c>
      <c r="U797" s="32" t="str">
        <f t="shared" si="223"/>
        <v/>
      </c>
      <c r="V797" s="32">
        <f t="shared" si="224"/>
        <v>1</v>
      </c>
      <c r="W797" s="41">
        <f t="shared" si="221"/>
        <v>3.0480864161421968</v>
      </c>
      <c r="X797" s="6">
        <f t="shared" si="222"/>
        <v>0</v>
      </c>
      <c r="Y797" s="7">
        <f t="shared" si="225"/>
        <v>567</v>
      </c>
      <c r="AA797" s="7">
        <f t="shared" si="226"/>
        <v>0</v>
      </c>
      <c r="AB797" s="7" t="str">
        <f t="shared" si="227"/>
        <v/>
      </c>
      <c r="AC797" s="7">
        <f t="shared" si="228"/>
        <v>0</v>
      </c>
      <c r="AD797" s="7" t="str">
        <f t="shared" si="229"/>
        <v/>
      </c>
      <c r="AE797" s="6">
        <f t="shared" si="230"/>
        <v>0</v>
      </c>
      <c r="AF797" s="69">
        <f t="shared" si="231"/>
        <v>3.0480864161421968</v>
      </c>
      <c r="AG797" s="6">
        <f t="shared" si="232"/>
        <v>0</v>
      </c>
      <c r="AH797" s="6">
        <f t="shared" si="233"/>
        <v>604</v>
      </c>
    </row>
    <row r="798" spans="8:34" x14ac:dyDescent="0.25">
      <c r="H798" s="7">
        <v>805</v>
      </c>
      <c r="I798" s="7" t="s">
        <v>8</v>
      </c>
      <c r="J798" s="8">
        <v>38694</v>
      </c>
      <c r="K798" s="12" t="s">
        <v>17</v>
      </c>
      <c r="L798" s="9">
        <v>-1</v>
      </c>
      <c r="M798" s="10">
        <v>-0.39117514400995779</v>
      </c>
      <c r="N798" s="7" t="s">
        <v>24</v>
      </c>
      <c r="P798" s="29" t="str">
        <f t="shared" si="216"/>
        <v/>
      </c>
      <c r="Q798" s="29" t="str">
        <f t="shared" si="217"/>
        <v/>
      </c>
      <c r="R798" s="29" t="str">
        <f t="shared" si="218"/>
        <v/>
      </c>
      <c r="S798" s="29" t="str">
        <f t="shared" si="219"/>
        <v/>
      </c>
      <c r="T798" s="32">
        <f t="shared" si="220"/>
        <v>1</v>
      </c>
      <c r="U798" s="32">
        <f t="shared" si="223"/>
        <v>1</v>
      </c>
      <c r="V798" s="32" t="str">
        <f t="shared" si="224"/>
        <v/>
      </c>
      <c r="W798" s="41" t="str">
        <f t="shared" si="221"/>
        <v/>
      </c>
      <c r="X798" s="6">
        <f t="shared" si="222"/>
        <v>-0.39117514400995779</v>
      </c>
      <c r="Y798" s="7">
        <f t="shared" si="225"/>
        <v>1838</v>
      </c>
      <c r="AA798" s="7">
        <f t="shared" si="226"/>
        <v>0</v>
      </c>
      <c r="AB798" s="7" t="str">
        <f t="shared" si="227"/>
        <v/>
      </c>
      <c r="AC798" s="7">
        <f t="shared" si="228"/>
        <v>1</v>
      </c>
      <c r="AD798" s="7">
        <f t="shared" si="229"/>
        <v>-1</v>
      </c>
      <c r="AE798" s="6">
        <f t="shared" si="230"/>
        <v>-1</v>
      </c>
      <c r="AF798" s="69" t="str">
        <f t="shared" si="231"/>
        <v/>
      </c>
      <c r="AG798" s="6">
        <f t="shared" si="232"/>
        <v>0</v>
      </c>
      <c r="AH798" s="6">
        <f t="shared" si="233"/>
        <v>604</v>
      </c>
    </row>
    <row r="799" spans="8:34" x14ac:dyDescent="0.25">
      <c r="H799" s="7">
        <v>806</v>
      </c>
      <c r="I799" s="7" t="s">
        <v>13</v>
      </c>
      <c r="J799" s="8">
        <v>38947</v>
      </c>
      <c r="K799" s="12" t="s">
        <v>16</v>
      </c>
      <c r="L799" s="9">
        <v>26</v>
      </c>
      <c r="M799" s="10">
        <v>80.208589830999188</v>
      </c>
      <c r="N799" s="7" t="s">
        <v>22</v>
      </c>
      <c r="P799" s="29" t="str">
        <f t="shared" si="216"/>
        <v/>
      </c>
      <c r="Q799" s="29" t="str">
        <f t="shared" si="217"/>
        <v/>
      </c>
      <c r="R799" s="29" t="str">
        <f t="shared" si="218"/>
        <v/>
      </c>
      <c r="S799" s="29" t="str">
        <f t="shared" si="219"/>
        <v/>
      </c>
      <c r="T799" s="32" t="str">
        <f t="shared" si="220"/>
        <v/>
      </c>
      <c r="U799" s="32" t="str">
        <f t="shared" si="223"/>
        <v/>
      </c>
      <c r="V799" s="32">
        <f t="shared" si="224"/>
        <v>1</v>
      </c>
      <c r="W799" s="41">
        <f t="shared" si="221"/>
        <v>3.084945762730738</v>
      </c>
      <c r="X799" s="6">
        <f t="shared" si="222"/>
        <v>0</v>
      </c>
      <c r="Y799" s="7">
        <f t="shared" si="225"/>
        <v>567</v>
      </c>
      <c r="AA799" s="7">
        <f t="shared" si="226"/>
        <v>0</v>
      </c>
      <c r="AB799" s="7" t="str">
        <f t="shared" si="227"/>
        <v/>
      </c>
      <c r="AC799" s="7">
        <f t="shared" si="228"/>
        <v>0</v>
      </c>
      <c r="AD799" s="7" t="str">
        <f t="shared" si="229"/>
        <v/>
      </c>
      <c r="AE799" s="6">
        <f t="shared" si="230"/>
        <v>0</v>
      </c>
      <c r="AF799" s="69">
        <f t="shared" si="231"/>
        <v>3.084945762730738</v>
      </c>
      <c r="AG799" s="6">
        <f t="shared" si="232"/>
        <v>0</v>
      </c>
      <c r="AH799" s="6">
        <f t="shared" si="233"/>
        <v>604</v>
      </c>
    </row>
    <row r="800" spans="8:34" x14ac:dyDescent="0.25">
      <c r="H800" s="7">
        <v>807</v>
      </c>
      <c r="I800" s="7" t="s">
        <v>10</v>
      </c>
      <c r="J800" s="8">
        <v>37990</v>
      </c>
      <c r="K800" s="12" t="s">
        <v>16</v>
      </c>
      <c r="L800" s="9">
        <v>67</v>
      </c>
      <c r="M800" s="10">
        <v>203.54299038710067</v>
      </c>
      <c r="N800" s="7" t="s">
        <v>24</v>
      </c>
      <c r="P800" s="29">
        <f t="shared" si="216"/>
        <v>1</v>
      </c>
      <c r="Q800" s="29" t="str">
        <f t="shared" si="217"/>
        <v/>
      </c>
      <c r="R800" s="29" t="str">
        <f t="shared" si="218"/>
        <v/>
      </c>
      <c r="S800" s="29" t="str">
        <f t="shared" si="219"/>
        <v/>
      </c>
      <c r="T800" s="32" t="str">
        <f t="shared" si="220"/>
        <v/>
      </c>
      <c r="U800" s="32" t="str">
        <f t="shared" si="223"/>
        <v/>
      </c>
      <c r="V800" s="32" t="str">
        <f t="shared" si="224"/>
        <v/>
      </c>
      <c r="W800" s="41">
        <f t="shared" si="221"/>
        <v>3.0379550804044877</v>
      </c>
      <c r="X800" s="6">
        <f t="shared" si="222"/>
        <v>0</v>
      </c>
      <c r="Y800" s="7">
        <f t="shared" si="225"/>
        <v>567</v>
      </c>
      <c r="AA800" s="7">
        <f t="shared" si="226"/>
        <v>0</v>
      </c>
      <c r="AB800" s="7" t="str">
        <f t="shared" si="227"/>
        <v/>
      </c>
      <c r="AC800" s="7">
        <f t="shared" si="228"/>
        <v>0</v>
      </c>
      <c r="AD800" s="7" t="str">
        <f t="shared" si="229"/>
        <v/>
      </c>
      <c r="AE800" s="6">
        <f t="shared" si="230"/>
        <v>0</v>
      </c>
      <c r="AF800" s="69">
        <f t="shared" si="231"/>
        <v>3.0379550804044877</v>
      </c>
      <c r="AG800" s="6">
        <f t="shared" si="232"/>
        <v>203.54299038710067</v>
      </c>
      <c r="AH800" s="6">
        <f t="shared" si="233"/>
        <v>165</v>
      </c>
    </row>
    <row r="801" spans="8:34" x14ac:dyDescent="0.25">
      <c r="H801" s="7">
        <v>808</v>
      </c>
      <c r="I801" s="7" t="s">
        <v>13</v>
      </c>
      <c r="J801" s="8">
        <v>38034</v>
      </c>
      <c r="K801" s="12" t="s">
        <v>17</v>
      </c>
      <c r="L801" s="9">
        <v>15</v>
      </c>
      <c r="M801" s="10">
        <v>47.198351483731813</v>
      </c>
      <c r="N801" s="7" t="s">
        <v>22</v>
      </c>
      <c r="P801" s="29">
        <f t="shared" si="216"/>
        <v>1</v>
      </c>
      <c r="Q801" s="29" t="str">
        <f t="shared" si="217"/>
        <v/>
      </c>
      <c r="R801" s="29" t="str">
        <f t="shared" si="218"/>
        <v/>
      </c>
      <c r="S801" s="29" t="str">
        <f t="shared" si="219"/>
        <v/>
      </c>
      <c r="T801" s="32" t="str">
        <f t="shared" si="220"/>
        <v/>
      </c>
      <c r="U801" s="32" t="str">
        <f t="shared" si="223"/>
        <v/>
      </c>
      <c r="V801" s="32" t="str">
        <f t="shared" si="224"/>
        <v/>
      </c>
      <c r="W801" s="41">
        <f t="shared" si="221"/>
        <v>3.1465567655821207</v>
      </c>
      <c r="X801" s="6">
        <f t="shared" si="222"/>
        <v>0</v>
      </c>
      <c r="Y801" s="7">
        <f t="shared" si="225"/>
        <v>567</v>
      </c>
      <c r="AA801" s="7">
        <f t="shared" si="226"/>
        <v>0</v>
      </c>
      <c r="AB801" s="7" t="str">
        <f t="shared" si="227"/>
        <v/>
      </c>
      <c r="AC801" s="7">
        <f t="shared" si="228"/>
        <v>0</v>
      </c>
      <c r="AD801" s="7" t="str">
        <f t="shared" si="229"/>
        <v/>
      </c>
      <c r="AE801" s="6">
        <f t="shared" si="230"/>
        <v>0</v>
      </c>
      <c r="AF801" s="69">
        <f t="shared" si="231"/>
        <v>3.1465567655821207</v>
      </c>
      <c r="AG801" s="6">
        <f t="shared" si="232"/>
        <v>47.198351483731813</v>
      </c>
      <c r="AH801" s="6">
        <f t="shared" si="233"/>
        <v>486</v>
      </c>
    </row>
    <row r="802" spans="8:34" x14ac:dyDescent="0.25">
      <c r="H802" s="7">
        <v>809</v>
      </c>
      <c r="I802" s="7" t="s">
        <v>14</v>
      </c>
      <c r="J802" s="8">
        <v>38771</v>
      </c>
      <c r="K802" s="12" t="s">
        <v>17</v>
      </c>
      <c r="L802" s="9">
        <v>73</v>
      </c>
      <c r="M802" s="10">
        <v>221.33612349849449</v>
      </c>
      <c r="N802" s="7" t="s">
        <v>21</v>
      </c>
      <c r="P802" s="29" t="str">
        <f t="shared" si="216"/>
        <v/>
      </c>
      <c r="Q802" s="29" t="str">
        <f t="shared" si="217"/>
        <v/>
      </c>
      <c r="R802" s="29" t="str">
        <f t="shared" si="218"/>
        <v/>
      </c>
      <c r="S802" s="29" t="str">
        <f t="shared" si="219"/>
        <v/>
      </c>
      <c r="T802" s="32" t="str">
        <f t="shared" si="220"/>
        <v/>
      </c>
      <c r="U802" s="32" t="str">
        <f t="shared" si="223"/>
        <v/>
      </c>
      <c r="V802" s="32">
        <f t="shared" si="224"/>
        <v>1</v>
      </c>
      <c r="W802" s="41">
        <f t="shared" si="221"/>
        <v>3.0320016917601986</v>
      </c>
      <c r="X802" s="6">
        <f t="shared" si="222"/>
        <v>0</v>
      </c>
      <c r="Y802" s="7">
        <f t="shared" si="225"/>
        <v>567</v>
      </c>
      <c r="AA802" s="7">
        <f t="shared" si="226"/>
        <v>0</v>
      </c>
      <c r="AB802" s="7" t="str">
        <f t="shared" si="227"/>
        <v/>
      </c>
      <c r="AC802" s="7">
        <f t="shared" si="228"/>
        <v>0</v>
      </c>
      <c r="AD802" s="7" t="str">
        <f t="shared" si="229"/>
        <v/>
      </c>
      <c r="AE802" s="6">
        <f t="shared" si="230"/>
        <v>0</v>
      </c>
      <c r="AF802" s="69">
        <f t="shared" si="231"/>
        <v>3.0320016917601986</v>
      </c>
      <c r="AG802" s="6">
        <f t="shared" si="232"/>
        <v>0</v>
      </c>
      <c r="AH802" s="6">
        <f t="shared" si="233"/>
        <v>604</v>
      </c>
    </row>
    <row r="803" spans="8:34" x14ac:dyDescent="0.25">
      <c r="H803" s="7">
        <v>810</v>
      </c>
      <c r="I803" s="7" t="s">
        <v>14</v>
      </c>
      <c r="J803" s="8">
        <v>38265</v>
      </c>
      <c r="K803" s="12" t="s">
        <v>20</v>
      </c>
      <c r="L803" s="9">
        <v>13</v>
      </c>
      <c r="M803" s="10">
        <v>40.899875452377259</v>
      </c>
      <c r="N803" s="7" t="s">
        <v>23</v>
      </c>
      <c r="P803" s="29" t="str">
        <f t="shared" si="216"/>
        <v/>
      </c>
      <c r="Q803" s="29" t="str">
        <f t="shared" si="217"/>
        <v/>
      </c>
      <c r="R803" s="29" t="str">
        <f t="shared" si="218"/>
        <v/>
      </c>
      <c r="S803" s="29">
        <f t="shared" si="219"/>
        <v>1</v>
      </c>
      <c r="T803" s="32" t="str">
        <f t="shared" si="220"/>
        <v/>
      </c>
      <c r="U803" s="32" t="str">
        <f t="shared" si="223"/>
        <v/>
      </c>
      <c r="V803" s="32" t="str">
        <f t="shared" si="224"/>
        <v/>
      </c>
      <c r="W803" s="41">
        <f t="shared" si="221"/>
        <v>3.1461442655674814</v>
      </c>
      <c r="X803" s="6">
        <f t="shared" si="222"/>
        <v>0</v>
      </c>
      <c r="Y803" s="7">
        <f t="shared" si="225"/>
        <v>567</v>
      </c>
      <c r="AA803" s="7">
        <f t="shared" si="226"/>
        <v>0</v>
      </c>
      <c r="AB803" s="7" t="str">
        <f t="shared" si="227"/>
        <v/>
      </c>
      <c r="AC803" s="7">
        <f t="shared" si="228"/>
        <v>0</v>
      </c>
      <c r="AD803" s="7" t="str">
        <f t="shared" si="229"/>
        <v/>
      </c>
      <c r="AE803" s="6">
        <f t="shared" si="230"/>
        <v>0</v>
      </c>
      <c r="AF803" s="69">
        <f t="shared" si="231"/>
        <v>3.1461442655674814</v>
      </c>
      <c r="AG803" s="6">
        <f t="shared" si="232"/>
        <v>40.899875452377259</v>
      </c>
      <c r="AH803" s="6">
        <f t="shared" si="233"/>
        <v>502</v>
      </c>
    </row>
    <row r="804" spans="8:34" x14ac:dyDescent="0.25">
      <c r="H804" s="7">
        <v>811</v>
      </c>
      <c r="I804" s="7" t="s">
        <v>13</v>
      </c>
      <c r="J804" s="8">
        <v>38067</v>
      </c>
      <c r="K804" s="12" t="s">
        <v>18</v>
      </c>
      <c r="L804" s="9">
        <v>76</v>
      </c>
      <c r="M804" s="10">
        <v>229.55812152109252</v>
      </c>
      <c r="N804" s="7" t="s">
        <v>24</v>
      </c>
      <c r="P804" s="29">
        <f t="shared" si="216"/>
        <v>1</v>
      </c>
      <c r="Q804" s="29" t="str">
        <f t="shared" si="217"/>
        <v/>
      </c>
      <c r="R804" s="29" t="str">
        <f t="shared" si="218"/>
        <v/>
      </c>
      <c r="S804" s="29" t="str">
        <f t="shared" si="219"/>
        <v/>
      </c>
      <c r="T804" s="32" t="str">
        <f t="shared" si="220"/>
        <v/>
      </c>
      <c r="U804" s="32" t="str">
        <f t="shared" si="223"/>
        <v/>
      </c>
      <c r="V804" s="32" t="str">
        <f t="shared" si="224"/>
        <v/>
      </c>
      <c r="W804" s="41">
        <f t="shared" si="221"/>
        <v>3.0205015989617436</v>
      </c>
      <c r="X804" s="6">
        <f t="shared" si="222"/>
        <v>0</v>
      </c>
      <c r="Y804" s="7">
        <f t="shared" si="225"/>
        <v>567</v>
      </c>
      <c r="AA804" s="7">
        <f t="shared" si="226"/>
        <v>0</v>
      </c>
      <c r="AB804" s="7" t="str">
        <f t="shared" si="227"/>
        <v/>
      </c>
      <c r="AC804" s="7">
        <f t="shared" si="228"/>
        <v>0</v>
      </c>
      <c r="AD804" s="7" t="str">
        <f t="shared" si="229"/>
        <v/>
      </c>
      <c r="AE804" s="6">
        <f t="shared" si="230"/>
        <v>0</v>
      </c>
      <c r="AF804" s="69">
        <f t="shared" si="231"/>
        <v>3.0205015989617436</v>
      </c>
      <c r="AG804" s="6">
        <f t="shared" si="232"/>
        <v>229.55812152109252</v>
      </c>
      <c r="AH804" s="6">
        <f t="shared" si="233"/>
        <v>117</v>
      </c>
    </row>
    <row r="805" spans="8:34" x14ac:dyDescent="0.25">
      <c r="H805" s="7">
        <v>812</v>
      </c>
      <c r="I805" s="7" t="s">
        <v>15</v>
      </c>
      <c r="J805" s="8">
        <v>38144</v>
      </c>
      <c r="K805" s="12" t="s">
        <v>16</v>
      </c>
      <c r="L805" s="9">
        <v>-9</v>
      </c>
      <c r="M805" s="10">
        <v>-24.933082918901754</v>
      </c>
      <c r="N805" s="7" t="s">
        <v>21</v>
      </c>
      <c r="P805" s="29" t="str">
        <f t="shared" si="216"/>
        <v/>
      </c>
      <c r="Q805" s="29">
        <f t="shared" si="217"/>
        <v>1</v>
      </c>
      <c r="R805" s="29" t="str">
        <f t="shared" si="218"/>
        <v/>
      </c>
      <c r="S805" s="29" t="str">
        <f t="shared" si="219"/>
        <v/>
      </c>
      <c r="T805" s="32" t="str">
        <f t="shared" si="220"/>
        <v/>
      </c>
      <c r="U805" s="32" t="str">
        <f t="shared" si="223"/>
        <v/>
      </c>
      <c r="V805" s="32" t="str">
        <f t="shared" si="224"/>
        <v/>
      </c>
      <c r="W805" s="41" t="str">
        <f t="shared" si="221"/>
        <v/>
      </c>
      <c r="X805" s="6">
        <f t="shared" si="222"/>
        <v>0</v>
      </c>
      <c r="Y805" s="7">
        <f t="shared" si="225"/>
        <v>567</v>
      </c>
      <c r="AA805" s="7">
        <f t="shared" si="226"/>
        <v>0</v>
      </c>
      <c r="AB805" s="7" t="str">
        <f t="shared" si="227"/>
        <v/>
      </c>
      <c r="AC805" s="7">
        <f t="shared" si="228"/>
        <v>0</v>
      </c>
      <c r="AD805" s="7" t="str">
        <f t="shared" si="229"/>
        <v/>
      </c>
      <c r="AE805" s="6">
        <f t="shared" si="230"/>
        <v>-9</v>
      </c>
      <c r="AF805" s="69" t="str">
        <f t="shared" si="231"/>
        <v/>
      </c>
      <c r="AG805" s="6">
        <f t="shared" si="232"/>
        <v>0</v>
      </c>
      <c r="AH805" s="6">
        <f t="shared" si="233"/>
        <v>604</v>
      </c>
    </row>
    <row r="806" spans="8:34" x14ac:dyDescent="0.25">
      <c r="H806" s="7">
        <v>813</v>
      </c>
      <c r="I806" s="7" t="s">
        <v>11</v>
      </c>
      <c r="J806" s="8">
        <v>38507</v>
      </c>
      <c r="K806" s="12" t="s">
        <v>19</v>
      </c>
      <c r="L806" s="9">
        <v>36</v>
      </c>
      <c r="M806" s="10">
        <v>109.53328220052806</v>
      </c>
      <c r="N806" s="7" t="s">
        <v>23</v>
      </c>
      <c r="P806" s="29" t="str">
        <f t="shared" si="216"/>
        <v/>
      </c>
      <c r="Q806" s="29" t="str">
        <f t="shared" si="217"/>
        <v/>
      </c>
      <c r="R806" s="29" t="str">
        <f t="shared" si="218"/>
        <v/>
      </c>
      <c r="S806" s="29" t="str">
        <f t="shared" si="219"/>
        <v/>
      </c>
      <c r="T806" s="32" t="str">
        <f t="shared" si="220"/>
        <v/>
      </c>
      <c r="U806" s="32">
        <f t="shared" si="223"/>
        <v>1</v>
      </c>
      <c r="V806" s="32" t="str">
        <f t="shared" si="224"/>
        <v/>
      </c>
      <c r="W806" s="41">
        <f t="shared" si="221"/>
        <v>3.0425911722368908</v>
      </c>
      <c r="X806" s="6">
        <f t="shared" si="222"/>
        <v>109.53328220052806</v>
      </c>
      <c r="Y806" s="7">
        <f t="shared" si="225"/>
        <v>343</v>
      </c>
      <c r="AA806" s="7">
        <f t="shared" si="226"/>
        <v>0</v>
      </c>
      <c r="AB806" s="7" t="str">
        <f t="shared" si="227"/>
        <v/>
      </c>
      <c r="AC806" s="7">
        <f t="shared" si="228"/>
        <v>1</v>
      </c>
      <c r="AD806" s="7">
        <f t="shared" si="229"/>
        <v>36</v>
      </c>
      <c r="AE806" s="6">
        <f t="shared" si="230"/>
        <v>0</v>
      </c>
      <c r="AF806" s="69">
        <f t="shared" si="231"/>
        <v>3.0425911722368908</v>
      </c>
      <c r="AG806" s="6">
        <f t="shared" si="232"/>
        <v>0</v>
      </c>
      <c r="AH806" s="6">
        <f t="shared" si="233"/>
        <v>604</v>
      </c>
    </row>
    <row r="807" spans="8:34" x14ac:dyDescent="0.25">
      <c r="H807" s="7">
        <v>814</v>
      </c>
      <c r="I807" s="7" t="s">
        <v>9</v>
      </c>
      <c r="J807" s="8">
        <v>38133</v>
      </c>
      <c r="K807" s="12" t="s">
        <v>18</v>
      </c>
      <c r="L807" s="9">
        <v>11</v>
      </c>
      <c r="M807" s="10">
        <v>35.52180509936634</v>
      </c>
      <c r="N807" s="7" t="s">
        <v>21</v>
      </c>
      <c r="P807" s="29" t="str">
        <f t="shared" si="216"/>
        <v/>
      </c>
      <c r="Q807" s="29">
        <f t="shared" si="217"/>
        <v>1</v>
      </c>
      <c r="R807" s="29" t="str">
        <f t="shared" si="218"/>
        <v/>
      </c>
      <c r="S807" s="29" t="str">
        <f t="shared" si="219"/>
        <v/>
      </c>
      <c r="T807" s="32" t="str">
        <f t="shared" si="220"/>
        <v/>
      </c>
      <c r="U807" s="32" t="str">
        <f t="shared" si="223"/>
        <v/>
      </c>
      <c r="V807" s="32" t="str">
        <f t="shared" si="224"/>
        <v/>
      </c>
      <c r="W807" s="41">
        <f t="shared" si="221"/>
        <v>3.2292550090333036</v>
      </c>
      <c r="X807" s="6">
        <f t="shared" si="222"/>
        <v>0</v>
      </c>
      <c r="Y807" s="7">
        <f t="shared" si="225"/>
        <v>567</v>
      </c>
      <c r="AA807" s="7">
        <f t="shared" si="226"/>
        <v>0</v>
      </c>
      <c r="AB807" s="7" t="str">
        <f t="shared" si="227"/>
        <v/>
      </c>
      <c r="AC807" s="7">
        <f t="shared" si="228"/>
        <v>0</v>
      </c>
      <c r="AD807" s="7" t="str">
        <f t="shared" si="229"/>
        <v/>
      </c>
      <c r="AE807" s="6">
        <f t="shared" si="230"/>
        <v>0</v>
      </c>
      <c r="AF807" s="69">
        <f t="shared" si="231"/>
        <v>3.2292550090333036</v>
      </c>
      <c r="AG807" s="6">
        <f t="shared" si="232"/>
        <v>35.52180509936634</v>
      </c>
      <c r="AH807" s="6">
        <f t="shared" si="233"/>
        <v>514</v>
      </c>
    </row>
    <row r="808" spans="8:34" x14ac:dyDescent="0.25">
      <c r="H808" s="7">
        <v>815</v>
      </c>
      <c r="I808" s="7" t="s">
        <v>11</v>
      </c>
      <c r="J808" s="8">
        <v>38738</v>
      </c>
      <c r="K808" s="12" t="s">
        <v>17</v>
      </c>
      <c r="L808" s="9">
        <v>73</v>
      </c>
      <c r="M808" s="10">
        <v>220.50049794203733</v>
      </c>
      <c r="N808" s="7" t="s">
        <v>24</v>
      </c>
      <c r="P808" s="29" t="str">
        <f t="shared" si="216"/>
        <v/>
      </c>
      <c r="Q808" s="29" t="str">
        <f t="shared" si="217"/>
        <v/>
      </c>
      <c r="R808" s="29" t="str">
        <f t="shared" si="218"/>
        <v/>
      </c>
      <c r="S808" s="29" t="str">
        <f t="shared" si="219"/>
        <v/>
      </c>
      <c r="T808" s="32" t="str">
        <f t="shared" si="220"/>
        <v/>
      </c>
      <c r="U808" s="32" t="str">
        <f t="shared" si="223"/>
        <v/>
      </c>
      <c r="V808" s="32">
        <f t="shared" si="224"/>
        <v>1</v>
      </c>
      <c r="W808" s="41">
        <f t="shared" si="221"/>
        <v>3.0205547663292784</v>
      </c>
      <c r="X808" s="6">
        <f t="shared" si="222"/>
        <v>0</v>
      </c>
      <c r="Y808" s="7">
        <f t="shared" si="225"/>
        <v>567</v>
      </c>
      <c r="AA808" s="7">
        <f t="shared" si="226"/>
        <v>0</v>
      </c>
      <c r="AB808" s="7" t="str">
        <f t="shared" si="227"/>
        <v/>
      </c>
      <c r="AC808" s="7">
        <f t="shared" si="228"/>
        <v>0</v>
      </c>
      <c r="AD808" s="7" t="str">
        <f t="shared" si="229"/>
        <v/>
      </c>
      <c r="AE808" s="6">
        <f t="shared" si="230"/>
        <v>0</v>
      </c>
      <c r="AF808" s="69">
        <f t="shared" si="231"/>
        <v>3.0205547663292784</v>
      </c>
      <c r="AG808" s="6">
        <f t="shared" si="232"/>
        <v>0</v>
      </c>
      <c r="AH808" s="6">
        <f t="shared" si="233"/>
        <v>604</v>
      </c>
    </row>
    <row r="809" spans="8:34" x14ac:dyDescent="0.25">
      <c r="H809" s="7">
        <v>816</v>
      </c>
      <c r="I809" s="7" t="s">
        <v>14</v>
      </c>
      <c r="J809" s="8">
        <v>38276</v>
      </c>
      <c r="K809" s="12" t="s">
        <v>19</v>
      </c>
      <c r="L809" s="9">
        <v>93</v>
      </c>
      <c r="M809" s="10">
        <v>280.26544889145606</v>
      </c>
      <c r="N809" s="7" t="s">
        <v>21</v>
      </c>
      <c r="P809" s="29" t="str">
        <f t="shared" si="216"/>
        <v/>
      </c>
      <c r="Q809" s="29" t="str">
        <f t="shared" si="217"/>
        <v/>
      </c>
      <c r="R809" s="29" t="str">
        <f t="shared" si="218"/>
        <v/>
      </c>
      <c r="S809" s="29">
        <f t="shared" si="219"/>
        <v>1</v>
      </c>
      <c r="T809" s="32" t="str">
        <f t="shared" si="220"/>
        <v/>
      </c>
      <c r="U809" s="32" t="str">
        <f t="shared" si="223"/>
        <v/>
      </c>
      <c r="V809" s="32" t="str">
        <f t="shared" si="224"/>
        <v/>
      </c>
      <c r="W809" s="41">
        <f t="shared" si="221"/>
        <v>3.0136069773274845</v>
      </c>
      <c r="X809" s="6">
        <f t="shared" si="222"/>
        <v>0</v>
      </c>
      <c r="Y809" s="7">
        <f t="shared" si="225"/>
        <v>567</v>
      </c>
      <c r="AA809" s="7">
        <f t="shared" si="226"/>
        <v>0</v>
      </c>
      <c r="AB809" s="7" t="str">
        <f t="shared" si="227"/>
        <v/>
      </c>
      <c r="AC809" s="7">
        <f t="shared" si="228"/>
        <v>0</v>
      </c>
      <c r="AD809" s="7" t="str">
        <f t="shared" si="229"/>
        <v/>
      </c>
      <c r="AE809" s="6">
        <f t="shared" si="230"/>
        <v>0</v>
      </c>
      <c r="AF809" s="69">
        <f t="shared" si="231"/>
        <v>3.0136069773274845</v>
      </c>
      <c r="AG809" s="6">
        <f t="shared" si="232"/>
        <v>280.26544889145606</v>
      </c>
      <c r="AH809" s="6">
        <f t="shared" si="233"/>
        <v>17</v>
      </c>
    </row>
    <row r="810" spans="8:34" x14ac:dyDescent="0.25">
      <c r="H810" s="7">
        <v>817</v>
      </c>
      <c r="I810" s="7" t="s">
        <v>7</v>
      </c>
      <c r="J810" s="8">
        <v>38815</v>
      </c>
      <c r="K810" s="12" t="s">
        <v>18</v>
      </c>
      <c r="L810" s="9">
        <v>69</v>
      </c>
      <c r="M810" s="10">
        <v>209.31670948874884</v>
      </c>
      <c r="N810" s="7" t="s">
        <v>24</v>
      </c>
      <c r="P810" s="29" t="str">
        <f t="shared" si="216"/>
        <v/>
      </c>
      <c r="Q810" s="29" t="str">
        <f t="shared" si="217"/>
        <v/>
      </c>
      <c r="R810" s="29" t="str">
        <f t="shared" si="218"/>
        <v/>
      </c>
      <c r="S810" s="29" t="str">
        <f t="shared" si="219"/>
        <v/>
      </c>
      <c r="T810" s="32" t="str">
        <f t="shared" si="220"/>
        <v/>
      </c>
      <c r="U810" s="32" t="str">
        <f t="shared" si="223"/>
        <v/>
      </c>
      <c r="V810" s="32">
        <f t="shared" si="224"/>
        <v>1</v>
      </c>
      <c r="W810" s="41">
        <f t="shared" si="221"/>
        <v>3.0335754998369397</v>
      </c>
      <c r="X810" s="6">
        <f t="shared" si="222"/>
        <v>0</v>
      </c>
      <c r="Y810" s="7">
        <f t="shared" si="225"/>
        <v>567</v>
      </c>
      <c r="AA810" s="7">
        <f t="shared" si="226"/>
        <v>0</v>
      </c>
      <c r="AB810" s="7" t="str">
        <f t="shared" si="227"/>
        <v/>
      </c>
      <c r="AC810" s="7">
        <f t="shared" si="228"/>
        <v>0</v>
      </c>
      <c r="AD810" s="7" t="str">
        <f t="shared" si="229"/>
        <v/>
      </c>
      <c r="AE810" s="6">
        <f t="shared" si="230"/>
        <v>0</v>
      </c>
      <c r="AF810" s="69">
        <f t="shared" si="231"/>
        <v>3.0335754998369397</v>
      </c>
      <c r="AG810" s="6">
        <f t="shared" si="232"/>
        <v>0</v>
      </c>
      <c r="AH810" s="6">
        <f t="shared" si="233"/>
        <v>604</v>
      </c>
    </row>
    <row r="811" spans="8:34" x14ac:dyDescent="0.25">
      <c r="H811" s="7">
        <v>818</v>
      </c>
      <c r="I811" s="7" t="s">
        <v>8</v>
      </c>
      <c r="J811" s="8">
        <v>38089</v>
      </c>
      <c r="K811" s="12" t="s">
        <v>16</v>
      </c>
      <c r="L811" s="9">
        <v>86</v>
      </c>
      <c r="M811" s="10">
        <v>259.4849368720744</v>
      </c>
      <c r="N811" s="7" t="s">
        <v>22</v>
      </c>
      <c r="P811" s="29" t="str">
        <f t="shared" si="216"/>
        <v/>
      </c>
      <c r="Q811" s="29">
        <f t="shared" si="217"/>
        <v>1</v>
      </c>
      <c r="R811" s="29" t="str">
        <f t="shared" si="218"/>
        <v/>
      </c>
      <c r="S811" s="29" t="str">
        <f t="shared" si="219"/>
        <v/>
      </c>
      <c r="T811" s="32" t="str">
        <f t="shared" si="220"/>
        <v/>
      </c>
      <c r="U811" s="32" t="str">
        <f t="shared" si="223"/>
        <v/>
      </c>
      <c r="V811" s="32" t="str">
        <f t="shared" si="224"/>
        <v/>
      </c>
      <c r="W811" s="41">
        <f t="shared" si="221"/>
        <v>3.0172667078148185</v>
      </c>
      <c r="X811" s="6">
        <f t="shared" si="222"/>
        <v>0</v>
      </c>
      <c r="Y811" s="7">
        <f t="shared" si="225"/>
        <v>567</v>
      </c>
      <c r="AA811" s="7">
        <f t="shared" si="226"/>
        <v>0</v>
      </c>
      <c r="AB811" s="7" t="str">
        <f t="shared" si="227"/>
        <v/>
      </c>
      <c r="AC811" s="7">
        <f t="shared" si="228"/>
        <v>0</v>
      </c>
      <c r="AD811" s="7" t="str">
        <f t="shared" si="229"/>
        <v/>
      </c>
      <c r="AE811" s="6">
        <f t="shared" si="230"/>
        <v>0</v>
      </c>
      <c r="AF811" s="69">
        <f t="shared" si="231"/>
        <v>3.0172667078148185</v>
      </c>
      <c r="AG811" s="6">
        <f t="shared" si="232"/>
        <v>259.4849368720744</v>
      </c>
      <c r="AH811" s="6">
        <f t="shared" si="233"/>
        <v>57</v>
      </c>
    </row>
    <row r="812" spans="8:34" x14ac:dyDescent="0.25">
      <c r="H812" s="7">
        <v>819</v>
      </c>
      <c r="I812" s="7" t="s">
        <v>7</v>
      </c>
      <c r="J812" s="8">
        <v>38870</v>
      </c>
      <c r="K812" s="12" t="s">
        <v>20</v>
      </c>
      <c r="L812" s="9">
        <v>54</v>
      </c>
      <c r="M812" s="10">
        <v>164.37938973773885</v>
      </c>
      <c r="N812" s="7" t="s">
        <v>21</v>
      </c>
      <c r="P812" s="29" t="str">
        <f t="shared" si="216"/>
        <v/>
      </c>
      <c r="Q812" s="29" t="str">
        <f t="shared" si="217"/>
        <v/>
      </c>
      <c r="R812" s="29" t="str">
        <f t="shared" si="218"/>
        <v/>
      </c>
      <c r="S812" s="29" t="str">
        <f t="shared" si="219"/>
        <v/>
      </c>
      <c r="T812" s="32" t="str">
        <f t="shared" si="220"/>
        <v/>
      </c>
      <c r="U812" s="32" t="str">
        <f t="shared" si="223"/>
        <v/>
      </c>
      <c r="V812" s="32">
        <f t="shared" si="224"/>
        <v>1</v>
      </c>
      <c r="W812" s="41">
        <f t="shared" si="221"/>
        <v>3.0440627729210896</v>
      </c>
      <c r="X812" s="6">
        <f t="shared" si="222"/>
        <v>0</v>
      </c>
      <c r="Y812" s="7">
        <f t="shared" si="225"/>
        <v>567</v>
      </c>
      <c r="AA812" s="7">
        <f t="shared" si="226"/>
        <v>0</v>
      </c>
      <c r="AB812" s="7" t="str">
        <f t="shared" si="227"/>
        <v/>
      </c>
      <c r="AC812" s="7">
        <f t="shared" si="228"/>
        <v>0</v>
      </c>
      <c r="AD812" s="7" t="str">
        <f t="shared" si="229"/>
        <v/>
      </c>
      <c r="AE812" s="6">
        <f t="shared" si="230"/>
        <v>0</v>
      </c>
      <c r="AF812" s="69">
        <f t="shared" si="231"/>
        <v>3.0440627729210896</v>
      </c>
      <c r="AG812" s="6">
        <f t="shared" si="232"/>
        <v>0</v>
      </c>
      <c r="AH812" s="6">
        <f t="shared" si="233"/>
        <v>604</v>
      </c>
    </row>
    <row r="813" spans="8:34" x14ac:dyDescent="0.25">
      <c r="H813" s="7">
        <v>820</v>
      </c>
      <c r="I813" s="7" t="s">
        <v>12</v>
      </c>
      <c r="J813" s="8">
        <v>38463</v>
      </c>
      <c r="K813" s="12" t="s">
        <v>20</v>
      </c>
      <c r="L813" s="9">
        <v>-2</v>
      </c>
      <c r="M813" s="10">
        <v>-4.040363555098244</v>
      </c>
      <c r="N813" s="7" t="s">
        <v>22</v>
      </c>
      <c r="P813" s="29" t="str">
        <f t="shared" si="216"/>
        <v/>
      </c>
      <c r="Q813" s="29" t="str">
        <f t="shared" si="217"/>
        <v/>
      </c>
      <c r="R813" s="29" t="str">
        <f t="shared" si="218"/>
        <v/>
      </c>
      <c r="S813" s="29" t="str">
        <f t="shared" si="219"/>
        <v/>
      </c>
      <c r="T813" s="32" t="str">
        <f t="shared" si="220"/>
        <v/>
      </c>
      <c r="U813" s="32">
        <f t="shared" si="223"/>
        <v>1</v>
      </c>
      <c r="V813" s="32" t="str">
        <f t="shared" si="224"/>
        <v/>
      </c>
      <c r="W813" s="41" t="str">
        <f t="shared" si="221"/>
        <v/>
      </c>
      <c r="X813" s="6">
        <f t="shared" si="222"/>
        <v>-4.040363555098244</v>
      </c>
      <c r="Y813" s="7">
        <f t="shared" si="225"/>
        <v>1848</v>
      </c>
      <c r="AA813" s="7">
        <f t="shared" si="226"/>
        <v>0</v>
      </c>
      <c r="AB813" s="7" t="str">
        <f t="shared" si="227"/>
        <v/>
      </c>
      <c r="AC813" s="7">
        <f t="shared" si="228"/>
        <v>1</v>
      </c>
      <c r="AD813" s="7">
        <f t="shared" si="229"/>
        <v>-2</v>
      </c>
      <c r="AE813" s="6">
        <f t="shared" si="230"/>
        <v>-2</v>
      </c>
      <c r="AF813" s="69" t="str">
        <f t="shared" si="231"/>
        <v/>
      </c>
      <c r="AG813" s="6">
        <f t="shared" si="232"/>
        <v>0</v>
      </c>
      <c r="AH813" s="6">
        <f t="shared" si="233"/>
        <v>604</v>
      </c>
    </row>
    <row r="814" spans="8:34" x14ac:dyDescent="0.25">
      <c r="H814" s="7">
        <v>821</v>
      </c>
      <c r="I814" s="7" t="s">
        <v>10</v>
      </c>
      <c r="J814" s="8">
        <v>38980</v>
      </c>
      <c r="K814" s="12" t="s">
        <v>18</v>
      </c>
      <c r="L814" s="9">
        <v>83</v>
      </c>
      <c r="M814" s="10">
        <v>250.16533632828239</v>
      </c>
      <c r="N814" s="7" t="s">
        <v>23</v>
      </c>
      <c r="P814" s="29" t="str">
        <f t="shared" si="216"/>
        <v/>
      </c>
      <c r="Q814" s="29" t="str">
        <f t="shared" si="217"/>
        <v/>
      </c>
      <c r="R814" s="29" t="str">
        <f t="shared" si="218"/>
        <v/>
      </c>
      <c r="S814" s="29" t="str">
        <f t="shared" si="219"/>
        <v/>
      </c>
      <c r="T814" s="32" t="str">
        <f t="shared" si="220"/>
        <v/>
      </c>
      <c r="U814" s="32" t="str">
        <f t="shared" si="223"/>
        <v/>
      </c>
      <c r="V814" s="32">
        <f t="shared" si="224"/>
        <v>1</v>
      </c>
      <c r="W814" s="41">
        <f t="shared" si="221"/>
        <v>3.014040196726294</v>
      </c>
      <c r="X814" s="6">
        <f t="shared" si="222"/>
        <v>0</v>
      </c>
      <c r="Y814" s="7">
        <f t="shared" si="225"/>
        <v>567</v>
      </c>
      <c r="AA814" s="7">
        <f t="shared" si="226"/>
        <v>0</v>
      </c>
      <c r="AB814" s="7" t="str">
        <f t="shared" si="227"/>
        <v/>
      </c>
      <c r="AC814" s="7">
        <f t="shared" si="228"/>
        <v>0</v>
      </c>
      <c r="AD814" s="7" t="str">
        <f t="shared" si="229"/>
        <v/>
      </c>
      <c r="AE814" s="6">
        <f t="shared" si="230"/>
        <v>0</v>
      </c>
      <c r="AF814" s="69">
        <f t="shared" si="231"/>
        <v>3.014040196726294</v>
      </c>
      <c r="AG814" s="6">
        <f t="shared" si="232"/>
        <v>0</v>
      </c>
      <c r="AH814" s="6">
        <f t="shared" si="233"/>
        <v>604</v>
      </c>
    </row>
    <row r="815" spans="8:34" x14ac:dyDescent="0.25">
      <c r="H815" s="7">
        <v>822</v>
      </c>
      <c r="I815" s="7" t="s">
        <v>15</v>
      </c>
      <c r="J815" s="8">
        <v>38639</v>
      </c>
      <c r="K815" s="12" t="s">
        <v>20</v>
      </c>
      <c r="L815" s="9">
        <v>2</v>
      </c>
      <c r="M815" s="10">
        <v>8.0012184182764319</v>
      </c>
      <c r="N815" s="7" t="s">
        <v>23</v>
      </c>
      <c r="P815" s="29" t="str">
        <f t="shared" si="216"/>
        <v/>
      </c>
      <c r="Q815" s="29" t="str">
        <f t="shared" si="217"/>
        <v/>
      </c>
      <c r="R815" s="29" t="str">
        <f t="shared" si="218"/>
        <v/>
      </c>
      <c r="S815" s="29" t="str">
        <f t="shared" si="219"/>
        <v/>
      </c>
      <c r="T815" s="32">
        <f t="shared" si="220"/>
        <v>1</v>
      </c>
      <c r="U815" s="32">
        <f t="shared" si="223"/>
        <v>1</v>
      </c>
      <c r="V815" s="32" t="str">
        <f t="shared" si="224"/>
        <v/>
      </c>
      <c r="W815" s="41">
        <f t="shared" si="221"/>
        <v>4.0006092091382159</v>
      </c>
      <c r="X815" s="6">
        <f t="shared" si="222"/>
        <v>8.0012184182764319</v>
      </c>
      <c r="Y815" s="7">
        <f t="shared" si="225"/>
        <v>548</v>
      </c>
      <c r="AA815" s="7">
        <f t="shared" si="226"/>
        <v>0</v>
      </c>
      <c r="AB815" s="7" t="str">
        <f t="shared" si="227"/>
        <v/>
      </c>
      <c r="AC815" s="7">
        <f t="shared" si="228"/>
        <v>1</v>
      </c>
      <c r="AD815" s="7">
        <f t="shared" si="229"/>
        <v>2</v>
      </c>
      <c r="AE815" s="6">
        <f t="shared" si="230"/>
        <v>0</v>
      </c>
      <c r="AF815" s="69">
        <f t="shared" si="231"/>
        <v>4.0006092091382159</v>
      </c>
      <c r="AG815" s="6">
        <f t="shared" si="232"/>
        <v>0</v>
      </c>
      <c r="AH815" s="6">
        <f t="shared" si="233"/>
        <v>604</v>
      </c>
    </row>
    <row r="816" spans="8:34" x14ac:dyDescent="0.25">
      <c r="H816" s="7">
        <v>823</v>
      </c>
      <c r="I816" s="7" t="s">
        <v>11</v>
      </c>
      <c r="J816" s="8">
        <v>38947</v>
      </c>
      <c r="K816" s="12" t="s">
        <v>16</v>
      </c>
      <c r="L816" s="9">
        <v>54</v>
      </c>
      <c r="M816" s="10">
        <v>164.14962862314266</v>
      </c>
      <c r="N816" s="7" t="s">
        <v>22</v>
      </c>
      <c r="P816" s="29" t="str">
        <f t="shared" si="216"/>
        <v/>
      </c>
      <c r="Q816" s="29" t="str">
        <f t="shared" si="217"/>
        <v/>
      </c>
      <c r="R816" s="29" t="str">
        <f t="shared" si="218"/>
        <v/>
      </c>
      <c r="S816" s="29" t="str">
        <f t="shared" si="219"/>
        <v/>
      </c>
      <c r="T816" s="32" t="str">
        <f t="shared" si="220"/>
        <v/>
      </c>
      <c r="U816" s="32" t="str">
        <f t="shared" si="223"/>
        <v/>
      </c>
      <c r="V816" s="32">
        <f t="shared" si="224"/>
        <v>1</v>
      </c>
      <c r="W816" s="41">
        <f t="shared" si="221"/>
        <v>3.0398079374656048</v>
      </c>
      <c r="X816" s="6">
        <f t="shared" si="222"/>
        <v>0</v>
      </c>
      <c r="Y816" s="7">
        <f t="shared" si="225"/>
        <v>567</v>
      </c>
      <c r="AA816" s="7">
        <f t="shared" si="226"/>
        <v>0</v>
      </c>
      <c r="AB816" s="7" t="str">
        <f t="shared" si="227"/>
        <v/>
      </c>
      <c r="AC816" s="7">
        <f t="shared" si="228"/>
        <v>0</v>
      </c>
      <c r="AD816" s="7" t="str">
        <f t="shared" si="229"/>
        <v/>
      </c>
      <c r="AE816" s="6">
        <f t="shared" si="230"/>
        <v>0</v>
      </c>
      <c r="AF816" s="69">
        <f t="shared" si="231"/>
        <v>3.0398079374656048</v>
      </c>
      <c r="AG816" s="6">
        <f t="shared" si="232"/>
        <v>0</v>
      </c>
      <c r="AH816" s="6">
        <f t="shared" si="233"/>
        <v>604</v>
      </c>
    </row>
    <row r="817" spans="8:34" x14ac:dyDescent="0.25">
      <c r="H817" s="7">
        <v>824</v>
      </c>
      <c r="I817" s="7" t="s">
        <v>8</v>
      </c>
      <c r="J817" s="8">
        <v>38078</v>
      </c>
      <c r="K817" s="12" t="s">
        <v>18</v>
      </c>
      <c r="L817" s="9">
        <v>76</v>
      </c>
      <c r="M817" s="10">
        <v>230.41943809745561</v>
      </c>
      <c r="N817" s="7" t="s">
        <v>24</v>
      </c>
      <c r="P817" s="29" t="str">
        <f t="shared" si="216"/>
        <v/>
      </c>
      <c r="Q817" s="29">
        <f t="shared" si="217"/>
        <v>1</v>
      </c>
      <c r="R817" s="29" t="str">
        <f t="shared" si="218"/>
        <v/>
      </c>
      <c r="S817" s="29" t="str">
        <f t="shared" si="219"/>
        <v/>
      </c>
      <c r="T817" s="32" t="str">
        <f t="shared" si="220"/>
        <v/>
      </c>
      <c r="U817" s="32" t="str">
        <f t="shared" si="223"/>
        <v/>
      </c>
      <c r="V817" s="32" t="str">
        <f t="shared" si="224"/>
        <v/>
      </c>
      <c r="W817" s="41">
        <f t="shared" si="221"/>
        <v>3.0318347118086266</v>
      </c>
      <c r="X817" s="6">
        <f t="shared" si="222"/>
        <v>0</v>
      </c>
      <c r="Y817" s="7">
        <f t="shared" si="225"/>
        <v>567</v>
      </c>
      <c r="AA817" s="7">
        <f t="shared" si="226"/>
        <v>0</v>
      </c>
      <c r="AB817" s="7" t="str">
        <f t="shared" si="227"/>
        <v/>
      </c>
      <c r="AC817" s="7">
        <f t="shared" si="228"/>
        <v>0</v>
      </c>
      <c r="AD817" s="7" t="str">
        <f t="shared" si="229"/>
        <v/>
      </c>
      <c r="AE817" s="6">
        <f t="shared" si="230"/>
        <v>0</v>
      </c>
      <c r="AF817" s="69">
        <f t="shared" si="231"/>
        <v>3.0318347118086266</v>
      </c>
      <c r="AG817" s="6">
        <f t="shared" si="232"/>
        <v>230.41943809745561</v>
      </c>
      <c r="AH817" s="6">
        <f t="shared" si="233"/>
        <v>115</v>
      </c>
    </row>
    <row r="818" spans="8:34" x14ac:dyDescent="0.25">
      <c r="H818" s="7">
        <v>825</v>
      </c>
      <c r="I818" s="7" t="s">
        <v>7</v>
      </c>
      <c r="J818" s="8">
        <v>38595</v>
      </c>
      <c r="K818" s="12" t="s">
        <v>16</v>
      </c>
      <c r="L818" s="9">
        <v>10</v>
      </c>
      <c r="M818" s="10">
        <v>32.250567590543547</v>
      </c>
      <c r="N818" s="7" t="s">
        <v>22</v>
      </c>
      <c r="P818" s="29" t="str">
        <f t="shared" si="216"/>
        <v/>
      </c>
      <c r="Q818" s="29" t="str">
        <f t="shared" si="217"/>
        <v/>
      </c>
      <c r="R818" s="29" t="str">
        <f t="shared" si="218"/>
        <v/>
      </c>
      <c r="S818" s="29" t="str">
        <f t="shared" si="219"/>
        <v/>
      </c>
      <c r="T818" s="32" t="str">
        <f t="shared" si="220"/>
        <v/>
      </c>
      <c r="U818" s="32">
        <f t="shared" si="223"/>
        <v>1</v>
      </c>
      <c r="V818" s="32" t="str">
        <f t="shared" si="224"/>
        <v/>
      </c>
      <c r="W818" s="41">
        <f t="shared" si="221"/>
        <v>3.2250567590543548</v>
      </c>
      <c r="X818" s="6">
        <f t="shared" si="222"/>
        <v>32.250567590543547</v>
      </c>
      <c r="Y818" s="7">
        <f t="shared" si="225"/>
        <v>497</v>
      </c>
      <c r="AA818" s="7">
        <f t="shared" si="226"/>
        <v>1</v>
      </c>
      <c r="AB818" s="7">
        <f t="shared" si="227"/>
        <v>10</v>
      </c>
      <c r="AC818" s="7">
        <f t="shared" si="228"/>
        <v>0</v>
      </c>
      <c r="AD818" s="7" t="str">
        <f t="shared" si="229"/>
        <v/>
      </c>
      <c r="AE818" s="6">
        <f t="shared" si="230"/>
        <v>0</v>
      </c>
      <c r="AF818" s="69">
        <f t="shared" si="231"/>
        <v>3.2250567590543548</v>
      </c>
      <c r="AG818" s="6">
        <f t="shared" si="232"/>
        <v>0</v>
      </c>
      <c r="AH818" s="6">
        <f t="shared" si="233"/>
        <v>604</v>
      </c>
    </row>
    <row r="819" spans="8:34" x14ac:dyDescent="0.25">
      <c r="H819" s="7">
        <v>826</v>
      </c>
      <c r="I819" s="7" t="s">
        <v>14</v>
      </c>
      <c r="J819" s="8">
        <v>39002</v>
      </c>
      <c r="K819" s="12" t="s">
        <v>18</v>
      </c>
      <c r="L819" s="9">
        <v>81</v>
      </c>
      <c r="M819" s="10">
        <v>245.03936147229382</v>
      </c>
      <c r="N819" s="7" t="s">
        <v>23</v>
      </c>
      <c r="P819" s="29" t="str">
        <f t="shared" si="216"/>
        <v/>
      </c>
      <c r="Q819" s="29" t="str">
        <f t="shared" si="217"/>
        <v/>
      </c>
      <c r="R819" s="29" t="str">
        <f t="shared" si="218"/>
        <v/>
      </c>
      <c r="S819" s="29" t="str">
        <f t="shared" si="219"/>
        <v/>
      </c>
      <c r="T819" s="32" t="str">
        <f t="shared" si="220"/>
        <v/>
      </c>
      <c r="U819" s="32" t="str">
        <f t="shared" si="223"/>
        <v/>
      </c>
      <c r="V819" s="32">
        <f t="shared" si="224"/>
        <v>1</v>
      </c>
      <c r="W819" s="41">
        <f t="shared" si="221"/>
        <v>3.025177302127084</v>
      </c>
      <c r="X819" s="6">
        <f t="shared" si="222"/>
        <v>0</v>
      </c>
      <c r="Y819" s="7">
        <f t="shared" si="225"/>
        <v>567</v>
      </c>
      <c r="AA819" s="7">
        <f t="shared" si="226"/>
        <v>0</v>
      </c>
      <c r="AB819" s="7" t="str">
        <f t="shared" si="227"/>
        <v/>
      </c>
      <c r="AC819" s="7">
        <f t="shared" si="228"/>
        <v>0</v>
      </c>
      <c r="AD819" s="7" t="str">
        <f t="shared" si="229"/>
        <v/>
      </c>
      <c r="AE819" s="6">
        <f t="shared" si="230"/>
        <v>0</v>
      </c>
      <c r="AF819" s="69">
        <f t="shared" si="231"/>
        <v>3.025177302127084</v>
      </c>
      <c r="AG819" s="6">
        <f t="shared" si="232"/>
        <v>0</v>
      </c>
      <c r="AH819" s="6">
        <f t="shared" si="233"/>
        <v>604</v>
      </c>
    </row>
    <row r="820" spans="8:34" x14ac:dyDescent="0.25">
      <c r="H820" s="7">
        <v>827</v>
      </c>
      <c r="I820" s="7" t="s">
        <v>14</v>
      </c>
      <c r="J820" s="8">
        <v>38980</v>
      </c>
      <c r="K820" s="12" t="s">
        <v>16</v>
      </c>
      <c r="L820" s="9">
        <v>83</v>
      </c>
      <c r="M820" s="10">
        <v>251.14060708825255</v>
      </c>
      <c r="N820" s="7" t="s">
        <v>22</v>
      </c>
      <c r="P820" s="29" t="str">
        <f t="shared" si="216"/>
        <v/>
      </c>
      <c r="Q820" s="29" t="str">
        <f t="shared" si="217"/>
        <v/>
      </c>
      <c r="R820" s="29" t="str">
        <f t="shared" si="218"/>
        <v/>
      </c>
      <c r="S820" s="29" t="str">
        <f t="shared" si="219"/>
        <v/>
      </c>
      <c r="T820" s="32" t="str">
        <f t="shared" si="220"/>
        <v/>
      </c>
      <c r="U820" s="32" t="str">
        <f t="shared" si="223"/>
        <v/>
      </c>
      <c r="V820" s="32">
        <f t="shared" si="224"/>
        <v>1</v>
      </c>
      <c r="W820" s="41">
        <f t="shared" si="221"/>
        <v>3.0257904468464161</v>
      </c>
      <c r="X820" s="6">
        <f t="shared" si="222"/>
        <v>0</v>
      </c>
      <c r="Y820" s="7">
        <f t="shared" si="225"/>
        <v>567</v>
      </c>
      <c r="AA820" s="7">
        <f t="shared" si="226"/>
        <v>0</v>
      </c>
      <c r="AB820" s="7" t="str">
        <f t="shared" si="227"/>
        <v/>
      </c>
      <c r="AC820" s="7">
        <f t="shared" si="228"/>
        <v>0</v>
      </c>
      <c r="AD820" s="7" t="str">
        <f t="shared" si="229"/>
        <v/>
      </c>
      <c r="AE820" s="6">
        <f t="shared" si="230"/>
        <v>0</v>
      </c>
      <c r="AF820" s="69">
        <f t="shared" si="231"/>
        <v>3.0257904468464161</v>
      </c>
      <c r="AG820" s="6">
        <f t="shared" si="232"/>
        <v>0</v>
      </c>
      <c r="AH820" s="6">
        <f t="shared" si="233"/>
        <v>604</v>
      </c>
    </row>
    <row r="821" spans="8:34" x14ac:dyDescent="0.25">
      <c r="H821" s="7">
        <v>828</v>
      </c>
      <c r="I821" s="7" t="s">
        <v>10</v>
      </c>
      <c r="J821" s="8">
        <v>39024</v>
      </c>
      <c r="K821" s="12" t="s">
        <v>18</v>
      </c>
      <c r="L821" s="9">
        <v>6</v>
      </c>
      <c r="M821" s="10">
        <v>19.522370228620925</v>
      </c>
      <c r="N821" s="7" t="s">
        <v>21</v>
      </c>
      <c r="P821" s="29" t="str">
        <f t="shared" si="216"/>
        <v/>
      </c>
      <c r="Q821" s="29" t="str">
        <f t="shared" si="217"/>
        <v/>
      </c>
      <c r="R821" s="29" t="str">
        <f t="shared" si="218"/>
        <v/>
      </c>
      <c r="S821" s="29" t="str">
        <f t="shared" si="219"/>
        <v/>
      </c>
      <c r="T821" s="32" t="str">
        <f t="shared" si="220"/>
        <v/>
      </c>
      <c r="U821" s="32" t="str">
        <f t="shared" si="223"/>
        <v/>
      </c>
      <c r="V821" s="32">
        <f t="shared" si="224"/>
        <v>1</v>
      </c>
      <c r="W821" s="41">
        <f t="shared" si="221"/>
        <v>3.253728371436821</v>
      </c>
      <c r="X821" s="6">
        <f t="shared" si="222"/>
        <v>0</v>
      </c>
      <c r="Y821" s="7">
        <f t="shared" si="225"/>
        <v>567</v>
      </c>
      <c r="AA821" s="7">
        <f t="shared" si="226"/>
        <v>0</v>
      </c>
      <c r="AB821" s="7" t="str">
        <f t="shared" si="227"/>
        <v/>
      </c>
      <c r="AC821" s="7">
        <f t="shared" si="228"/>
        <v>0</v>
      </c>
      <c r="AD821" s="7" t="str">
        <f t="shared" si="229"/>
        <v/>
      </c>
      <c r="AE821" s="6">
        <f t="shared" si="230"/>
        <v>0</v>
      </c>
      <c r="AF821" s="69">
        <f t="shared" si="231"/>
        <v>3.253728371436821</v>
      </c>
      <c r="AG821" s="6">
        <f t="shared" si="232"/>
        <v>0</v>
      </c>
      <c r="AH821" s="6">
        <f t="shared" si="233"/>
        <v>604</v>
      </c>
    </row>
    <row r="822" spans="8:34" x14ac:dyDescent="0.25">
      <c r="H822" s="7">
        <v>829</v>
      </c>
      <c r="I822" s="7" t="s">
        <v>11</v>
      </c>
      <c r="J822" s="8">
        <v>39035</v>
      </c>
      <c r="K822" s="12" t="s">
        <v>20</v>
      </c>
      <c r="L822" s="9">
        <v>77</v>
      </c>
      <c r="M822" s="10">
        <v>233.15631874033514</v>
      </c>
      <c r="N822" s="7" t="s">
        <v>24</v>
      </c>
      <c r="P822" s="29" t="str">
        <f t="shared" si="216"/>
        <v/>
      </c>
      <c r="Q822" s="29" t="str">
        <f t="shared" si="217"/>
        <v/>
      </c>
      <c r="R822" s="29" t="str">
        <f t="shared" si="218"/>
        <v/>
      </c>
      <c r="S822" s="29" t="str">
        <f t="shared" si="219"/>
        <v/>
      </c>
      <c r="T822" s="32" t="str">
        <f t="shared" si="220"/>
        <v/>
      </c>
      <c r="U822" s="32" t="str">
        <f t="shared" si="223"/>
        <v/>
      </c>
      <c r="V822" s="32">
        <f t="shared" si="224"/>
        <v>1</v>
      </c>
      <c r="W822" s="41">
        <f t="shared" si="221"/>
        <v>3.0280041394848718</v>
      </c>
      <c r="X822" s="6">
        <f t="shared" si="222"/>
        <v>0</v>
      </c>
      <c r="Y822" s="7">
        <f t="shared" si="225"/>
        <v>567</v>
      </c>
      <c r="AA822" s="7">
        <f t="shared" si="226"/>
        <v>0</v>
      </c>
      <c r="AB822" s="7" t="str">
        <f t="shared" si="227"/>
        <v/>
      </c>
      <c r="AC822" s="7">
        <f t="shared" si="228"/>
        <v>0</v>
      </c>
      <c r="AD822" s="7" t="str">
        <f t="shared" si="229"/>
        <v/>
      </c>
      <c r="AE822" s="6">
        <f t="shared" si="230"/>
        <v>0</v>
      </c>
      <c r="AF822" s="69">
        <f t="shared" si="231"/>
        <v>3.0280041394848718</v>
      </c>
      <c r="AG822" s="6">
        <f t="shared" si="232"/>
        <v>0</v>
      </c>
      <c r="AH822" s="6">
        <f t="shared" si="233"/>
        <v>604</v>
      </c>
    </row>
    <row r="823" spans="8:34" x14ac:dyDescent="0.25">
      <c r="H823" s="7">
        <v>830</v>
      </c>
      <c r="I823" s="7" t="s">
        <v>14</v>
      </c>
      <c r="J823" s="8">
        <v>38804</v>
      </c>
      <c r="K823" s="12" t="s">
        <v>20</v>
      </c>
      <c r="L823" s="9">
        <v>41</v>
      </c>
      <c r="M823" s="10">
        <v>125.28397193085664</v>
      </c>
      <c r="N823" s="7" t="s">
        <v>23</v>
      </c>
      <c r="P823" s="29" t="str">
        <f t="shared" si="216"/>
        <v/>
      </c>
      <c r="Q823" s="29" t="str">
        <f t="shared" si="217"/>
        <v/>
      </c>
      <c r="R823" s="29" t="str">
        <f t="shared" si="218"/>
        <v/>
      </c>
      <c r="S823" s="29" t="str">
        <f t="shared" si="219"/>
        <v/>
      </c>
      <c r="T823" s="32" t="str">
        <f t="shared" si="220"/>
        <v/>
      </c>
      <c r="U823" s="32" t="str">
        <f t="shared" si="223"/>
        <v/>
      </c>
      <c r="V823" s="32">
        <f t="shared" si="224"/>
        <v>1</v>
      </c>
      <c r="W823" s="41">
        <f t="shared" si="221"/>
        <v>3.055706632459918</v>
      </c>
      <c r="X823" s="6">
        <f t="shared" si="222"/>
        <v>0</v>
      </c>
      <c r="Y823" s="7">
        <f t="shared" si="225"/>
        <v>567</v>
      </c>
      <c r="AA823" s="7">
        <f t="shared" si="226"/>
        <v>0</v>
      </c>
      <c r="AB823" s="7" t="str">
        <f t="shared" si="227"/>
        <v/>
      </c>
      <c r="AC823" s="7">
        <f t="shared" si="228"/>
        <v>0</v>
      </c>
      <c r="AD823" s="7" t="str">
        <f t="shared" si="229"/>
        <v/>
      </c>
      <c r="AE823" s="6">
        <f t="shared" si="230"/>
        <v>0</v>
      </c>
      <c r="AF823" s="69">
        <f t="shared" si="231"/>
        <v>3.055706632459918</v>
      </c>
      <c r="AG823" s="6">
        <f t="shared" si="232"/>
        <v>0</v>
      </c>
      <c r="AH823" s="6">
        <f t="shared" si="233"/>
        <v>604</v>
      </c>
    </row>
    <row r="824" spans="8:34" x14ac:dyDescent="0.25">
      <c r="H824" s="7">
        <v>831</v>
      </c>
      <c r="I824" s="7" t="s">
        <v>9</v>
      </c>
      <c r="J824" s="8">
        <v>39057</v>
      </c>
      <c r="K824" s="12" t="s">
        <v>17</v>
      </c>
      <c r="L824" s="9">
        <v>80</v>
      </c>
      <c r="M824" s="10">
        <v>241.70735878482179</v>
      </c>
      <c r="N824" s="7" t="s">
        <v>21</v>
      </c>
      <c r="P824" s="29" t="str">
        <f t="shared" si="216"/>
        <v/>
      </c>
      <c r="Q824" s="29" t="str">
        <f t="shared" si="217"/>
        <v/>
      </c>
      <c r="R824" s="29" t="str">
        <f t="shared" si="218"/>
        <v/>
      </c>
      <c r="S824" s="29" t="str">
        <f t="shared" si="219"/>
        <v/>
      </c>
      <c r="T824" s="32" t="str">
        <f t="shared" si="220"/>
        <v/>
      </c>
      <c r="U824" s="32" t="str">
        <f t="shared" si="223"/>
        <v/>
      </c>
      <c r="V824" s="32">
        <f t="shared" si="224"/>
        <v>1</v>
      </c>
      <c r="W824" s="41">
        <f t="shared" si="221"/>
        <v>3.0213419848102725</v>
      </c>
      <c r="X824" s="6">
        <f t="shared" si="222"/>
        <v>0</v>
      </c>
      <c r="Y824" s="7">
        <f t="shared" si="225"/>
        <v>567</v>
      </c>
      <c r="AA824" s="7">
        <f t="shared" si="226"/>
        <v>0</v>
      </c>
      <c r="AB824" s="7" t="str">
        <f t="shared" si="227"/>
        <v/>
      </c>
      <c r="AC824" s="7">
        <f t="shared" si="228"/>
        <v>0</v>
      </c>
      <c r="AD824" s="7" t="str">
        <f t="shared" si="229"/>
        <v/>
      </c>
      <c r="AE824" s="6">
        <f t="shared" si="230"/>
        <v>0</v>
      </c>
      <c r="AF824" s="69">
        <f t="shared" si="231"/>
        <v>3.0213419848102725</v>
      </c>
      <c r="AG824" s="6">
        <f t="shared" si="232"/>
        <v>0</v>
      </c>
      <c r="AH824" s="6">
        <f t="shared" si="233"/>
        <v>604</v>
      </c>
    </row>
    <row r="825" spans="8:34" x14ac:dyDescent="0.25">
      <c r="H825" s="7">
        <v>832</v>
      </c>
      <c r="I825" s="7" t="s">
        <v>10</v>
      </c>
      <c r="J825" s="8">
        <v>38859</v>
      </c>
      <c r="K825" s="12" t="s">
        <v>16</v>
      </c>
      <c r="L825" s="9">
        <v>20</v>
      </c>
      <c r="M825" s="10">
        <v>62.210097856811508</v>
      </c>
      <c r="N825" s="7" t="s">
        <v>24</v>
      </c>
      <c r="P825" s="29" t="str">
        <f t="shared" si="216"/>
        <v/>
      </c>
      <c r="Q825" s="29" t="str">
        <f t="shared" si="217"/>
        <v/>
      </c>
      <c r="R825" s="29" t="str">
        <f t="shared" si="218"/>
        <v/>
      </c>
      <c r="S825" s="29" t="str">
        <f t="shared" si="219"/>
        <v/>
      </c>
      <c r="T825" s="32" t="str">
        <f t="shared" si="220"/>
        <v/>
      </c>
      <c r="U825" s="32" t="str">
        <f t="shared" si="223"/>
        <v/>
      </c>
      <c r="V825" s="32">
        <f t="shared" si="224"/>
        <v>1</v>
      </c>
      <c r="W825" s="41">
        <f t="shared" si="221"/>
        <v>3.1105048928405754</v>
      </c>
      <c r="X825" s="6">
        <f t="shared" si="222"/>
        <v>0</v>
      </c>
      <c r="Y825" s="7">
        <f t="shared" si="225"/>
        <v>567</v>
      </c>
      <c r="AA825" s="7">
        <f t="shared" si="226"/>
        <v>0</v>
      </c>
      <c r="AB825" s="7" t="str">
        <f t="shared" si="227"/>
        <v/>
      </c>
      <c r="AC825" s="7">
        <f t="shared" si="228"/>
        <v>0</v>
      </c>
      <c r="AD825" s="7" t="str">
        <f t="shared" si="229"/>
        <v/>
      </c>
      <c r="AE825" s="6">
        <f t="shared" si="230"/>
        <v>0</v>
      </c>
      <c r="AF825" s="69">
        <f t="shared" si="231"/>
        <v>3.1105048928405754</v>
      </c>
      <c r="AG825" s="6">
        <f t="shared" si="232"/>
        <v>0</v>
      </c>
      <c r="AH825" s="6">
        <f t="shared" si="233"/>
        <v>604</v>
      </c>
    </row>
    <row r="826" spans="8:34" x14ac:dyDescent="0.25">
      <c r="H826" s="7">
        <v>833</v>
      </c>
      <c r="I826" s="7" t="s">
        <v>13</v>
      </c>
      <c r="J826" s="8">
        <v>38012</v>
      </c>
      <c r="K826" s="12" t="s">
        <v>16</v>
      </c>
      <c r="L826" s="9">
        <v>31</v>
      </c>
      <c r="M826" s="10">
        <v>95.327196648200925</v>
      </c>
      <c r="N826" s="7" t="s">
        <v>22</v>
      </c>
      <c r="P826" s="29">
        <f t="shared" si="216"/>
        <v>1</v>
      </c>
      <c r="Q826" s="29" t="str">
        <f t="shared" si="217"/>
        <v/>
      </c>
      <c r="R826" s="29" t="str">
        <f t="shared" si="218"/>
        <v/>
      </c>
      <c r="S826" s="29" t="str">
        <f t="shared" si="219"/>
        <v/>
      </c>
      <c r="T826" s="32" t="str">
        <f t="shared" si="220"/>
        <v/>
      </c>
      <c r="U826" s="32" t="str">
        <f t="shared" si="223"/>
        <v/>
      </c>
      <c r="V826" s="32" t="str">
        <f t="shared" si="224"/>
        <v/>
      </c>
      <c r="W826" s="41">
        <f t="shared" si="221"/>
        <v>3.0750708596193848</v>
      </c>
      <c r="X826" s="6">
        <f t="shared" si="222"/>
        <v>0</v>
      </c>
      <c r="Y826" s="7">
        <f t="shared" si="225"/>
        <v>567</v>
      </c>
      <c r="AA826" s="7">
        <f t="shared" si="226"/>
        <v>0</v>
      </c>
      <c r="AB826" s="7" t="str">
        <f t="shared" si="227"/>
        <v/>
      </c>
      <c r="AC826" s="7">
        <f t="shared" si="228"/>
        <v>0</v>
      </c>
      <c r="AD826" s="7" t="str">
        <f t="shared" si="229"/>
        <v/>
      </c>
      <c r="AE826" s="6">
        <f t="shared" si="230"/>
        <v>0</v>
      </c>
      <c r="AF826" s="69">
        <f t="shared" si="231"/>
        <v>3.0750708596193848</v>
      </c>
      <c r="AG826" s="6">
        <f t="shared" si="232"/>
        <v>95.327196648200925</v>
      </c>
      <c r="AH826" s="6">
        <f t="shared" si="233"/>
        <v>383</v>
      </c>
    </row>
    <row r="827" spans="8:34" x14ac:dyDescent="0.25">
      <c r="H827" s="7">
        <v>834</v>
      </c>
      <c r="I827" s="7" t="s">
        <v>8</v>
      </c>
      <c r="J827" s="8">
        <v>38727</v>
      </c>
      <c r="K827" s="12" t="s">
        <v>18</v>
      </c>
      <c r="L827" s="9">
        <v>34</v>
      </c>
      <c r="M827" s="10">
        <v>103.89654308960344</v>
      </c>
      <c r="N827" s="7" t="s">
        <v>24</v>
      </c>
      <c r="P827" s="29" t="str">
        <f t="shared" si="216"/>
        <v/>
      </c>
      <c r="Q827" s="29" t="str">
        <f t="shared" si="217"/>
        <v/>
      </c>
      <c r="R827" s="29" t="str">
        <f t="shared" si="218"/>
        <v/>
      </c>
      <c r="S827" s="29" t="str">
        <f t="shared" si="219"/>
        <v/>
      </c>
      <c r="T827" s="32" t="str">
        <f t="shared" si="220"/>
        <v/>
      </c>
      <c r="U827" s="32" t="str">
        <f t="shared" si="223"/>
        <v/>
      </c>
      <c r="V827" s="32">
        <f t="shared" si="224"/>
        <v>1</v>
      </c>
      <c r="W827" s="41">
        <f t="shared" si="221"/>
        <v>3.0557806791059834</v>
      </c>
      <c r="X827" s="6">
        <f t="shared" si="222"/>
        <v>0</v>
      </c>
      <c r="Y827" s="7">
        <f t="shared" si="225"/>
        <v>567</v>
      </c>
      <c r="AA827" s="7">
        <f t="shared" si="226"/>
        <v>0</v>
      </c>
      <c r="AB827" s="7" t="str">
        <f t="shared" si="227"/>
        <v/>
      </c>
      <c r="AC827" s="7">
        <f t="shared" si="228"/>
        <v>0</v>
      </c>
      <c r="AD827" s="7" t="str">
        <f t="shared" si="229"/>
        <v/>
      </c>
      <c r="AE827" s="6">
        <f t="shared" si="230"/>
        <v>0</v>
      </c>
      <c r="AF827" s="69">
        <f t="shared" si="231"/>
        <v>3.0557806791059834</v>
      </c>
      <c r="AG827" s="6">
        <f t="shared" si="232"/>
        <v>0</v>
      </c>
      <c r="AH827" s="6">
        <f t="shared" si="233"/>
        <v>604</v>
      </c>
    </row>
    <row r="828" spans="8:34" x14ac:dyDescent="0.25">
      <c r="H828" s="7">
        <v>835</v>
      </c>
      <c r="I828" s="7" t="s">
        <v>9</v>
      </c>
      <c r="J828" s="8">
        <v>38595</v>
      </c>
      <c r="K828" s="12" t="s">
        <v>18</v>
      </c>
      <c r="L828" s="9">
        <v>2</v>
      </c>
      <c r="M828" s="10">
        <v>8.0342514695562706</v>
      </c>
      <c r="N828" s="7" t="s">
        <v>23</v>
      </c>
      <c r="P828" s="29" t="str">
        <f t="shared" si="216"/>
        <v/>
      </c>
      <c r="Q828" s="29" t="str">
        <f t="shared" si="217"/>
        <v/>
      </c>
      <c r="R828" s="29" t="str">
        <f t="shared" si="218"/>
        <v/>
      </c>
      <c r="S828" s="29" t="str">
        <f t="shared" si="219"/>
        <v/>
      </c>
      <c r="T828" s="32" t="str">
        <f t="shared" si="220"/>
        <v/>
      </c>
      <c r="U828" s="32">
        <f t="shared" si="223"/>
        <v>1</v>
      </c>
      <c r="V828" s="32" t="str">
        <f t="shared" si="224"/>
        <v/>
      </c>
      <c r="W828" s="41">
        <f t="shared" si="221"/>
        <v>4.0171257347781353</v>
      </c>
      <c r="X828" s="6">
        <f t="shared" si="222"/>
        <v>8.0342514695562706</v>
      </c>
      <c r="Y828" s="7">
        <f t="shared" si="225"/>
        <v>547</v>
      </c>
      <c r="AA828" s="7">
        <f t="shared" si="226"/>
        <v>1</v>
      </c>
      <c r="AB828" s="7">
        <f t="shared" si="227"/>
        <v>2</v>
      </c>
      <c r="AC828" s="7">
        <f t="shared" si="228"/>
        <v>0</v>
      </c>
      <c r="AD828" s="7" t="str">
        <f t="shared" si="229"/>
        <v/>
      </c>
      <c r="AE828" s="6">
        <f t="shared" si="230"/>
        <v>0</v>
      </c>
      <c r="AF828" s="69">
        <f t="shared" si="231"/>
        <v>4.0171257347781353</v>
      </c>
      <c r="AG828" s="6">
        <f t="shared" si="232"/>
        <v>0</v>
      </c>
      <c r="AH828" s="6">
        <f t="shared" si="233"/>
        <v>604</v>
      </c>
    </row>
    <row r="829" spans="8:34" x14ac:dyDescent="0.25">
      <c r="H829" s="7">
        <v>836</v>
      </c>
      <c r="I829" s="7" t="s">
        <v>14</v>
      </c>
      <c r="J829" s="8">
        <v>38760</v>
      </c>
      <c r="K829" s="12" t="s">
        <v>18</v>
      </c>
      <c r="L829" s="9">
        <v>17</v>
      </c>
      <c r="M829" s="10">
        <v>53.331838418625381</v>
      </c>
      <c r="N829" s="7" t="s">
        <v>21</v>
      </c>
      <c r="P829" s="29" t="str">
        <f t="shared" si="216"/>
        <v/>
      </c>
      <c r="Q829" s="29" t="str">
        <f t="shared" si="217"/>
        <v/>
      </c>
      <c r="R829" s="29" t="str">
        <f t="shared" si="218"/>
        <v/>
      </c>
      <c r="S829" s="29" t="str">
        <f t="shared" si="219"/>
        <v/>
      </c>
      <c r="T829" s="32" t="str">
        <f t="shared" si="220"/>
        <v/>
      </c>
      <c r="U829" s="32" t="str">
        <f t="shared" si="223"/>
        <v/>
      </c>
      <c r="V829" s="32">
        <f t="shared" si="224"/>
        <v>1</v>
      </c>
      <c r="W829" s="41">
        <f t="shared" si="221"/>
        <v>3.1371669658014931</v>
      </c>
      <c r="X829" s="6">
        <f t="shared" si="222"/>
        <v>0</v>
      </c>
      <c r="Y829" s="7">
        <f t="shared" si="225"/>
        <v>567</v>
      </c>
      <c r="AA829" s="7">
        <f t="shared" si="226"/>
        <v>0</v>
      </c>
      <c r="AB829" s="7" t="str">
        <f t="shared" si="227"/>
        <v/>
      </c>
      <c r="AC829" s="7">
        <f t="shared" si="228"/>
        <v>0</v>
      </c>
      <c r="AD829" s="7" t="str">
        <f t="shared" si="229"/>
        <v/>
      </c>
      <c r="AE829" s="6">
        <f t="shared" si="230"/>
        <v>0</v>
      </c>
      <c r="AF829" s="69">
        <f t="shared" si="231"/>
        <v>3.1371669658014931</v>
      </c>
      <c r="AG829" s="6">
        <f t="shared" si="232"/>
        <v>0</v>
      </c>
      <c r="AH829" s="6">
        <f t="shared" si="233"/>
        <v>604</v>
      </c>
    </row>
    <row r="830" spans="8:34" x14ac:dyDescent="0.25">
      <c r="H830" s="7">
        <v>837</v>
      </c>
      <c r="I830" s="7" t="s">
        <v>13</v>
      </c>
      <c r="J830" s="8">
        <v>38870</v>
      </c>
      <c r="K830" s="12" t="s">
        <v>16</v>
      </c>
      <c r="L830" s="9">
        <v>16</v>
      </c>
      <c r="M830" s="10">
        <v>50.310894482412991</v>
      </c>
      <c r="N830" s="7" t="s">
        <v>21</v>
      </c>
      <c r="P830" s="29" t="str">
        <f t="shared" si="216"/>
        <v/>
      </c>
      <c r="Q830" s="29" t="str">
        <f t="shared" si="217"/>
        <v/>
      </c>
      <c r="R830" s="29" t="str">
        <f t="shared" si="218"/>
        <v/>
      </c>
      <c r="S830" s="29" t="str">
        <f t="shared" si="219"/>
        <v/>
      </c>
      <c r="T830" s="32" t="str">
        <f t="shared" si="220"/>
        <v/>
      </c>
      <c r="U830" s="32" t="str">
        <f t="shared" si="223"/>
        <v/>
      </c>
      <c r="V830" s="32">
        <f t="shared" si="224"/>
        <v>1</v>
      </c>
      <c r="W830" s="41">
        <f t="shared" si="221"/>
        <v>3.1444309051508119</v>
      </c>
      <c r="X830" s="6">
        <f t="shared" si="222"/>
        <v>0</v>
      </c>
      <c r="Y830" s="7">
        <f t="shared" si="225"/>
        <v>567</v>
      </c>
      <c r="AA830" s="7">
        <f t="shared" si="226"/>
        <v>0</v>
      </c>
      <c r="AB830" s="7" t="str">
        <f t="shared" si="227"/>
        <v/>
      </c>
      <c r="AC830" s="7">
        <f t="shared" si="228"/>
        <v>0</v>
      </c>
      <c r="AD830" s="7" t="str">
        <f t="shared" si="229"/>
        <v/>
      </c>
      <c r="AE830" s="6">
        <f t="shared" si="230"/>
        <v>0</v>
      </c>
      <c r="AF830" s="69">
        <f t="shared" si="231"/>
        <v>3.1444309051508119</v>
      </c>
      <c r="AG830" s="6">
        <f t="shared" si="232"/>
        <v>0</v>
      </c>
      <c r="AH830" s="6">
        <f t="shared" si="233"/>
        <v>604</v>
      </c>
    </row>
    <row r="831" spans="8:34" x14ac:dyDescent="0.25">
      <c r="H831" s="7">
        <v>838</v>
      </c>
      <c r="I831" s="7" t="s">
        <v>12</v>
      </c>
      <c r="J831" s="8">
        <v>38782</v>
      </c>
      <c r="K831" s="12" t="s">
        <v>18</v>
      </c>
      <c r="L831" s="9">
        <v>54</v>
      </c>
      <c r="M831" s="10">
        <v>163.70197903495185</v>
      </c>
      <c r="N831" s="7" t="s">
        <v>23</v>
      </c>
      <c r="P831" s="29" t="str">
        <f t="shared" si="216"/>
        <v/>
      </c>
      <c r="Q831" s="29" t="str">
        <f t="shared" si="217"/>
        <v/>
      </c>
      <c r="R831" s="29" t="str">
        <f t="shared" si="218"/>
        <v/>
      </c>
      <c r="S831" s="29" t="str">
        <f t="shared" si="219"/>
        <v/>
      </c>
      <c r="T831" s="32" t="str">
        <f t="shared" si="220"/>
        <v/>
      </c>
      <c r="U831" s="32" t="str">
        <f t="shared" si="223"/>
        <v/>
      </c>
      <c r="V831" s="32">
        <f t="shared" si="224"/>
        <v>1</v>
      </c>
      <c r="W831" s="41">
        <f t="shared" si="221"/>
        <v>3.0315181302768859</v>
      </c>
      <c r="X831" s="6">
        <f t="shared" si="222"/>
        <v>0</v>
      </c>
      <c r="Y831" s="7">
        <f t="shared" si="225"/>
        <v>567</v>
      </c>
      <c r="AA831" s="7">
        <f t="shared" si="226"/>
        <v>0</v>
      </c>
      <c r="AB831" s="7" t="str">
        <f t="shared" si="227"/>
        <v/>
      </c>
      <c r="AC831" s="7">
        <f t="shared" si="228"/>
        <v>0</v>
      </c>
      <c r="AD831" s="7" t="str">
        <f t="shared" si="229"/>
        <v/>
      </c>
      <c r="AE831" s="6">
        <f t="shared" si="230"/>
        <v>0</v>
      </c>
      <c r="AF831" s="69">
        <f t="shared" si="231"/>
        <v>3.0315181302768859</v>
      </c>
      <c r="AG831" s="6">
        <f t="shared" si="232"/>
        <v>0</v>
      </c>
      <c r="AH831" s="6">
        <f t="shared" si="233"/>
        <v>604</v>
      </c>
    </row>
    <row r="832" spans="8:34" x14ac:dyDescent="0.25">
      <c r="H832" s="7">
        <v>839</v>
      </c>
      <c r="I832" s="7" t="s">
        <v>10</v>
      </c>
      <c r="J832" s="8">
        <v>38034</v>
      </c>
      <c r="K832" s="12" t="s">
        <v>17</v>
      </c>
      <c r="L832" s="9">
        <v>-9</v>
      </c>
      <c r="M832" s="10">
        <v>-24.921999927055641</v>
      </c>
      <c r="N832" s="7" t="s">
        <v>24</v>
      </c>
      <c r="P832" s="29">
        <f t="shared" si="216"/>
        <v>1</v>
      </c>
      <c r="Q832" s="29" t="str">
        <f t="shared" si="217"/>
        <v/>
      </c>
      <c r="R832" s="29" t="str">
        <f t="shared" si="218"/>
        <v/>
      </c>
      <c r="S832" s="29" t="str">
        <f t="shared" si="219"/>
        <v/>
      </c>
      <c r="T832" s="32" t="str">
        <f t="shared" si="220"/>
        <v/>
      </c>
      <c r="U832" s="32" t="str">
        <f t="shared" si="223"/>
        <v/>
      </c>
      <c r="V832" s="32" t="str">
        <f t="shared" si="224"/>
        <v/>
      </c>
      <c r="W832" s="41" t="str">
        <f t="shared" si="221"/>
        <v/>
      </c>
      <c r="X832" s="6">
        <f t="shared" si="222"/>
        <v>0</v>
      </c>
      <c r="Y832" s="7">
        <f t="shared" si="225"/>
        <v>567</v>
      </c>
      <c r="AA832" s="7">
        <f t="shared" si="226"/>
        <v>0</v>
      </c>
      <c r="AB832" s="7" t="str">
        <f t="shared" si="227"/>
        <v/>
      </c>
      <c r="AC832" s="7">
        <f t="shared" si="228"/>
        <v>0</v>
      </c>
      <c r="AD832" s="7" t="str">
        <f t="shared" si="229"/>
        <v/>
      </c>
      <c r="AE832" s="6">
        <f t="shared" si="230"/>
        <v>-9</v>
      </c>
      <c r="AF832" s="69" t="str">
        <f t="shared" si="231"/>
        <v/>
      </c>
      <c r="AG832" s="6">
        <f t="shared" si="232"/>
        <v>0</v>
      </c>
      <c r="AH832" s="6">
        <f t="shared" si="233"/>
        <v>604</v>
      </c>
    </row>
    <row r="833" spans="8:34" x14ac:dyDescent="0.25">
      <c r="H833" s="7">
        <v>840</v>
      </c>
      <c r="I833" s="7" t="s">
        <v>10</v>
      </c>
      <c r="J833" s="8">
        <v>38837</v>
      </c>
      <c r="K833" s="12" t="s">
        <v>16</v>
      </c>
      <c r="L833" s="9">
        <v>94</v>
      </c>
      <c r="M833" s="10">
        <v>284.53575317756747</v>
      </c>
      <c r="N833" s="7" t="s">
        <v>23</v>
      </c>
      <c r="P833" s="29" t="str">
        <f t="shared" si="216"/>
        <v/>
      </c>
      <c r="Q833" s="29" t="str">
        <f t="shared" si="217"/>
        <v/>
      </c>
      <c r="R833" s="29" t="str">
        <f t="shared" si="218"/>
        <v/>
      </c>
      <c r="S833" s="29" t="str">
        <f t="shared" si="219"/>
        <v/>
      </c>
      <c r="T833" s="32" t="str">
        <f t="shared" si="220"/>
        <v/>
      </c>
      <c r="U833" s="32" t="str">
        <f t="shared" si="223"/>
        <v/>
      </c>
      <c r="V833" s="32">
        <f t="shared" si="224"/>
        <v>1</v>
      </c>
      <c r="W833" s="41">
        <f t="shared" si="221"/>
        <v>3.0269760976336966</v>
      </c>
      <c r="X833" s="6">
        <f t="shared" si="222"/>
        <v>0</v>
      </c>
      <c r="Y833" s="7">
        <f t="shared" si="225"/>
        <v>567</v>
      </c>
      <c r="AA833" s="7">
        <f t="shared" si="226"/>
        <v>0</v>
      </c>
      <c r="AB833" s="7" t="str">
        <f t="shared" si="227"/>
        <v/>
      </c>
      <c r="AC833" s="7">
        <f t="shared" si="228"/>
        <v>0</v>
      </c>
      <c r="AD833" s="7" t="str">
        <f t="shared" si="229"/>
        <v/>
      </c>
      <c r="AE833" s="6">
        <f t="shared" si="230"/>
        <v>0</v>
      </c>
      <c r="AF833" s="69">
        <f t="shared" si="231"/>
        <v>3.0269760976336966</v>
      </c>
      <c r="AG833" s="6">
        <f t="shared" si="232"/>
        <v>0</v>
      </c>
      <c r="AH833" s="6">
        <f t="shared" si="233"/>
        <v>604</v>
      </c>
    </row>
    <row r="834" spans="8:34" x14ac:dyDescent="0.25">
      <c r="H834" s="7">
        <v>841</v>
      </c>
      <c r="I834" s="7" t="s">
        <v>14</v>
      </c>
      <c r="J834" s="8">
        <v>38232</v>
      </c>
      <c r="K834" s="12" t="s">
        <v>18</v>
      </c>
      <c r="L834" s="9">
        <v>-3</v>
      </c>
      <c r="M834" s="10">
        <v>-7.4497114042005954</v>
      </c>
      <c r="N834" s="7" t="s">
        <v>22</v>
      </c>
      <c r="P834" s="29" t="str">
        <f t="shared" si="216"/>
        <v/>
      </c>
      <c r="Q834" s="29" t="str">
        <f t="shared" si="217"/>
        <v/>
      </c>
      <c r="R834" s="29">
        <f t="shared" si="218"/>
        <v>1</v>
      </c>
      <c r="S834" s="29" t="str">
        <f t="shared" si="219"/>
        <v/>
      </c>
      <c r="T834" s="32" t="str">
        <f t="shared" si="220"/>
        <v/>
      </c>
      <c r="U834" s="32" t="str">
        <f t="shared" si="223"/>
        <v/>
      </c>
      <c r="V834" s="32" t="str">
        <f t="shared" si="224"/>
        <v/>
      </c>
      <c r="W834" s="41" t="str">
        <f t="shared" si="221"/>
        <v/>
      </c>
      <c r="X834" s="6">
        <f t="shared" si="222"/>
        <v>0</v>
      </c>
      <c r="Y834" s="7">
        <f t="shared" si="225"/>
        <v>567</v>
      </c>
      <c r="AA834" s="7">
        <f t="shared" si="226"/>
        <v>0</v>
      </c>
      <c r="AB834" s="7" t="str">
        <f t="shared" si="227"/>
        <v/>
      </c>
      <c r="AC834" s="7">
        <f t="shared" si="228"/>
        <v>0</v>
      </c>
      <c r="AD834" s="7" t="str">
        <f t="shared" si="229"/>
        <v/>
      </c>
      <c r="AE834" s="6">
        <f t="shared" si="230"/>
        <v>-3</v>
      </c>
      <c r="AF834" s="69" t="str">
        <f t="shared" si="231"/>
        <v/>
      </c>
      <c r="AG834" s="6">
        <f t="shared" si="232"/>
        <v>0</v>
      </c>
      <c r="AH834" s="6">
        <f t="shared" si="233"/>
        <v>604</v>
      </c>
    </row>
    <row r="835" spans="8:34" x14ac:dyDescent="0.25">
      <c r="H835" s="7">
        <v>842</v>
      </c>
      <c r="I835" s="7" t="s">
        <v>12</v>
      </c>
      <c r="J835" s="8">
        <v>38298</v>
      </c>
      <c r="K835" s="12" t="s">
        <v>20</v>
      </c>
      <c r="L835" s="9">
        <v>9</v>
      </c>
      <c r="M835" s="10">
        <v>28.830809944248564</v>
      </c>
      <c r="N835" s="7" t="s">
        <v>23</v>
      </c>
      <c r="P835" s="29" t="str">
        <f t="shared" ref="P835:P898" si="234">IF(AND((MONTH(J835))&lt;4,YEAR(J835)=2004),1,"")</f>
        <v/>
      </c>
      <c r="Q835" s="29" t="str">
        <f t="shared" ref="Q835:Q898" si="235">IF(AND(3&lt;(MONTH(J835)),(MONTH(J835)&lt;7),YEAR(J835)=2004),1,"")</f>
        <v/>
      </c>
      <c r="R835" s="29" t="str">
        <f t="shared" ref="R835:R898" si="236">IF(AND(6&lt;(MONTH(J835)),(MONTH(J835)&lt;10),YEAR(J835)=2004),1,"")</f>
        <v/>
      </c>
      <c r="S835" s="29">
        <f t="shared" ref="S835:S898" si="237">IF(AND(9&lt;(MONTH(J835)),(MONTH(J835)&lt;13),YEAR(J835)=2004),1,"")</f>
        <v>1</v>
      </c>
      <c r="T835" s="32" t="str">
        <f t="shared" ref="T835:T898" si="238">IF(AND((9&lt;MONTH(J835)),YEAR(J835)=2005),1,"")</f>
        <v/>
      </c>
      <c r="U835" s="32" t="str">
        <f t="shared" si="223"/>
        <v/>
      </c>
      <c r="V835" s="32" t="str">
        <f t="shared" si="224"/>
        <v/>
      </c>
      <c r="W835" s="41">
        <f t="shared" ref="W835:W898" si="239">IF(L835&gt;0,M835/L835,"")</f>
        <v>3.2034233271387293</v>
      </c>
      <c r="X835" s="6">
        <f t="shared" ref="X835:X898" si="240">IF(U835=1,M835,0)</f>
        <v>0</v>
      </c>
      <c r="Y835" s="7">
        <f t="shared" si="225"/>
        <v>567</v>
      </c>
      <c r="AA835" s="7">
        <f t="shared" si="226"/>
        <v>0</v>
      </c>
      <c r="AB835" s="7" t="str">
        <f t="shared" si="227"/>
        <v/>
      </c>
      <c r="AC835" s="7">
        <f t="shared" si="228"/>
        <v>0</v>
      </c>
      <c r="AD835" s="7" t="str">
        <f t="shared" si="229"/>
        <v/>
      </c>
      <c r="AE835" s="6">
        <f t="shared" si="230"/>
        <v>0</v>
      </c>
      <c r="AF835" s="69">
        <f t="shared" si="231"/>
        <v>3.2034233271387293</v>
      </c>
      <c r="AG835" s="6">
        <f t="shared" si="232"/>
        <v>28.830809944248564</v>
      </c>
      <c r="AH835" s="6">
        <f t="shared" si="233"/>
        <v>535</v>
      </c>
    </row>
    <row r="836" spans="8:34" x14ac:dyDescent="0.25">
      <c r="H836" s="7">
        <v>843</v>
      </c>
      <c r="I836" s="7" t="s">
        <v>8</v>
      </c>
      <c r="J836" s="8">
        <v>38067</v>
      </c>
      <c r="K836" s="12" t="s">
        <v>18</v>
      </c>
      <c r="L836" s="9">
        <v>25</v>
      </c>
      <c r="M836" s="10">
        <v>77.108203405128648</v>
      </c>
      <c r="N836" s="7" t="s">
        <v>24</v>
      </c>
      <c r="P836" s="29">
        <f t="shared" si="234"/>
        <v>1</v>
      </c>
      <c r="Q836" s="29" t="str">
        <f t="shared" si="235"/>
        <v/>
      </c>
      <c r="R836" s="29" t="str">
        <f t="shared" si="236"/>
        <v/>
      </c>
      <c r="S836" s="29" t="str">
        <f t="shared" si="237"/>
        <v/>
      </c>
      <c r="T836" s="32" t="str">
        <f t="shared" si="238"/>
        <v/>
      </c>
      <c r="U836" s="32" t="str">
        <f t="shared" ref="U836:U899" si="241">IF(YEAR(J836)=2005,1,"")</f>
        <v/>
      </c>
      <c r="V836" s="32" t="str">
        <f t="shared" ref="V836:V899" si="242">IF(YEAR(J836)=2006,1,"")</f>
        <v/>
      </c>
      <c r="W836" s="41">
        <f t="shared" si="239"/>
        <v>3.084328136205146</v>
      </c>
      <c r="X836" s="6">
        <f t="shared" si="240"/>
        <v>0</v>
      </c>
      <c r="Y836" s="7">
        <f t="shared" ref="Y836:Y899" si="243">RANK(X836,$X$3:$X$1893)</f>
        <v>567</v>
      </c>
      <c r="AA836" s="7">
        <f t="shared" ref="AA836:AA899" si="244">IF(AND(OR((MONTH(J836))=1,(MONTH(J836))=2,(MONTH(J836))=3,(MONTH(J836))=7,(MONTH(J836))=8,(MONTH(J836))=9),YEAR(J836)=2005),1,0)</f>
        <v>0</v>
      </c>
      <c r="AB836" s="7" t="str">
        <f t="shared" ref="AB836:AB899" si="245">IF(AA836=1,L836,"")</f>
        <v/>
      </c>
      <c r="AC836" s="7">
        <f t="shared" ref="AC836:AC899" si="246">IF(AND(OR((MONTH(J836))=4,(MONTH(J836))=5,(MONTH(J836))=6,(MONTH(J836))=10,(MONTH(J836))=11,(MONTH(J836))=12),YEAR(J836)=2005),1,0)</f>
        <v>0</v>
      </c>
      <c r="AD836" s="7" t="str">
        <f t="shared" ref="AD836:AD899" si="247">IF(AC836=1,L836,"")</f>
        <v/>
      </c>
      <c r="AE836" s="6">
        <f t="shared" ref="AE836:AE899" si="248">IF(L836&lt;0,L836,0)</f>
        <v>0</v>
      </c>
      <c r="AF836" s="69">
        <f t="shared" ref="AF836:AF899" si="249">IF(L836&gt;0,W836,"")</f>
        <v>3.084328136205146</v>
      </c>
      <c r="AG836" s="6">
        <f t="shared" ref="AG836:AG899" si="250">IF(AND((M836&gt;0),(YEAR(J836)=2004)),M836,0)</f>
        <v>77.108203405128648</v>
      </c>
      <c r="AH836" s="6">
        <f t="shared" ref="AH836:AH899" si="251">RANK(AG836,$AG$3:$AG$1893)</f>
        <v>428</v>
      </c>
    </row>
    <row r="837" spans="8:34" x14ac:dyDescent="0.25">
      <c r="H837" s="7">
        <v>844</v>
      </c>
      <c r="I837" s="7" t="s">
        <v>9</v>
      </c>
      <c r="J837" s="8">
        <v>39013</v>
      </c>
      <c r="K837" s="12" t="s">
        <v>17</v>
      </c>
      <c r="L837" s="9">
        <v>29</v>
      </c>
      <c r="M837" s="10">
        <v>89.310545900397301</v>
      </c>
      <c r="N837" s="7" t="s">
        <v>21</v>
      </c>
      <c r="P837" s="29" t="str">
        <f t="shared" si="234"/>
        <v/>
      </c>
      <c r="Q837" s="29" t="str">
        <f t="shared" si="235"/>
        <v/>
      </c>
      <c r="R837" s="29" t="str">
        <f t="shared" si="236"/>
        <v/>
      </c>
      <c r="S837" s="29" t="str">
        <f t="shared" si="237"/>
        <v/>
      </c>
      <c r="T837" s="32" t="str">
        <f t="shared" si="238"/>
        <v/>
      </c>
      <c r="U837" s="32" t="str">
        <f t="shared" si="241"/>
        <v/>
      </c>
      <c r="V837" s="32">
        <f t="shared" si="242"/>
        <v>1</v>
      </c>
      <c r="W837" s="41">
        <f t="shared" si="239"/>
        <v>3.0796739965654241</v>
      </c>
      <c r="X837" s="6">
        <f t="shared" si="240"/>
        <v>0</v>
      </c>
      <c r="Y837" s="7">
        <f t="shared" si="243"/>
        <v>567</v>
      </c>
      <c r="AA837" s="7">
        <f t="shared" si="244"/>
        <v>0</v>
      </c>
      <c r="AB837" s="7" t="str">
        <f t="shared" si="245"/>
        <v/>
      </c>
      <c r="AC837" s="7">
        <f t="shared" si="246"/>
        <v>0</v>
      </c>
      <c r="AD837" s="7" t="str">
        <f t="shared" si="247"/>
        <v/>
      </c>
      <c r="AE837" s="6">
        <f t="shared" si="248"/>
        <v>0</v>
      </c>
      <c r="AF837" s="69">
        <f t="shared" si="249"/>
        <v>3.0796739965654241</v>
      </c>
      <c r="AG837" s="6">
        <f t="shared" si="250"/>
        <v>0</v>
      </c>
      <c r="AH837" s="6">
        <f t="shared" si="251"/>
        <v>604</v>
      </c>
    </row>
    <row r="838" spans="8:34" x14ac:dyDescent="0.25">
      <c r="H838" s="7">
        <v>845</v>
      </c>
      <c r="I838" s="7" t="s">
        <v>15</v>
      </c>
      <c r="J838" s="8">
        <v>38221</v>
      </c>
      <c r="K838" s="12" t="s">
        <v>16</v>
      </c>
      <c r="L838" s="9">
        <v>37</v>
      </c>
      <c r="M838" s="10">
        <v>113.21323460768004</v>
      </c>
      <c r="N838" s="7" t="s">
        <v>24</v>
      </c>
      <c r="P838" s="29" t="str">
        <f t="shared" si="234"/>
        <v/>
      </c>
      <c r="Q838" s="29" t="str">
        <f t="shared" si="235"/>
        <v/>
      </c>
      <c r="R838" s="29">
        <f t="shared" si="236"/>
        <v>1</v>
      </c>
      <c r="S838" s="29" t="str">
        <f t="shared" si="237"/>
        <v/>
      </c>
      <c r="T838" s="32" t="str">
        <f t="shared" si="238"/>
        <v/>
      </c>
      <c r="U838" s="32" t="str">
        <f t="shared" si="241"/>
        <v/>
      </c>
      <c r="V838" s="32" t="str">
        <f t="shared" si="242"/>
        <v/>
      </c>
      <c r="W838" s="41">
        <f t="shared" si="239"/>
        <v>3.0598171515589199</v>
      </c>
      <c r="X838" s="6">
        <f t="shared" si="240"/>
        <v>0</v>
      </c>
      <c r="Y838" s="7">
        <f t="shared" si="243"/>
        <v>567</v>
      </c>
      <c r="AA838" s="7">
        <f t="shared" si="244"/>
        <v>0</v>
      </c>
      <c r="AB838" s="7" t="str">
        <f t="shared" si="245"/>
        <v/>
      </c>
      <c r="AC838" s="7">
        <f t="shared" si="246"/>
        <v>0</v>
      </c>
      <c r="AD838" s="7" t="str">
        <f t="shared" si="247"/>
        <v/>
      </c>
      <c r="AE838" s="6">
        <f t="shared" si="248"/>
        <v>0</v>
      </c>
      <c r="AF838" s="69">
        <f t="shared" si="249"/>
        <v>3.0598171515589199</v>
      </c>
      <c r="AG838" s="6">
        <f t="shared" si="250"/>
        <v>113.21323460768004</v>
      </c>
      <c r="AH838" s="6">
        <f t="shared" si="251"/>
        <v>345</v>
      </c>
    </row>
    <row r="839" spans="8:34" x14ac:dyDescent="0.25">
      <c r="H839" s="7">
        <v>846</v>
      </c>
      <c r="I839" s="7" t="s">
        <v>10</v>
      </c>
      <c r="J839" s="8">
        <v>38529</v>
      </c>
      <c r="K839" s="12" t="s">
        <v>18</v>
      </c>
      <c r="L839" s="9">
        <v>19</v>
      </c>
      <c r="M839" s="10">
        <v>59.003760475925063</v>
      </c>
      <c r="N839" s="7" t="s">
        <v>23</v>
      </c>
      <c r="P839" s="29" t="str">
        <f t="shared" si="234"/>
        <v/>
      </c>
      <c r="Q839" s="29" t="str">
        <f t="shared" si="235"/>
        <v/>
      </c>
      <c r="R839" s="29" t="str">
        <f t="shared" si="236"/>
        <v/>
      </c>
      <c r="S839" s="29" t="str">
        <f t="shared" si="237"/>
        <v/>
      </c>
      <c r="T839" s="32" t="str">
        <f t="shared" si="238"/>
        <v/>
      </c>
      <c r="U839" s="32">
        <f t="shared" si="241"/>
        <v>1</v>
      </c>
      <c r="V839" s="32" t="str">
        <f t="shared" si="242"/>
        <v/>
      </c>
      <c r="W839" s="41">
        <f t="shared" si="239"/>
        <v>3.1054610776802662</v>
      </c>
      <c r="X839" s="6">
        <f t="shared" si="240"/>
        <v>59.003760475925063</v>
      </c>
      <c r="Y839" s="7">
        <f t="shared" si="243"/>
        <v>445</v>
      </c>
      <c r="AA839" s="7">
        <f t="shared" si="244"/>
        <v>0</v>
      </c>
      <c r="AB839" s="7" t="str">
        <f t="shared" si="245"/>
        <v/>
      </c>
      <c r="AC839" s="7">
        <f t="shared" si="246"/>
        <v>1</v>
      </c>
      <c r="AD839" s="7">
        <f t="shared" si="247"/>
        <v>19</v>
      </c>
      <c r="AE839" s="6">
        <f t="shared" si="248"/>
        <v>0</v>
      </c>
      <c r="AF839" s="69">
        <f t="shared" si="249"/>
        <v>3.1054610776802662</v>
      </c>
      <c r="AG839" s="6">
        <f t="shared" si="250"/>
        <v>0</v>
      </c>
      <c r="AH839" s="6">
        <f t="shared" si="251"/>
        <v>604</v>
      </c>
    </row>
    <row r="840" spans="8:34" x14ac:dyDescent="0.25">
      <c r="H840" s="7">
        <v>847</v>
      </c>
      <c r="I840" s="7" t="s">
        <v>12</v>
      </c>
      <c r="J840" s="8">
        <v>38089</v>
      </c>
      <c r="K840" s="12" t="s">
        <v>17</v>
      </c>
      <c r="L840" s="9">
        <v>28</v>
      </c>
      <c r="M840" s="10">
        <v>86.04518510559123</v>
      </c>
      <c r="N840" s="7" t="s">
        <v>22</v>
      </c>
      <c r="P840" s="29" t="str">
        <f t="shared" si="234"/>
        <v/>
      </c>
      <c r="Q840" s="29">
        <f t="shared" si="235"/>
        <v>1</v>
      </c>
      <c r="R840" s="29" t="str">
        <f t="shared" si="236"/>
        <v/>
      </c>
      <c r="S840" s="29" t="str">
        <f t="shared" si="237"/>
        <v/>
      </c>
      <c r="T840" s="32" t="str">
        <f t="shared" si="238"/>
        <v/>
      </c>
      <c r="U840" s="32" t="str">
        <f t="shared" si="241"/>
        <v/>
      </c>
      <c r="V840" s="32" t="str">
        <f t="shared" si="242"/>
        <v/>
      </c>
      <c r="W840" s="41">
        <f t="shared" si="239"/>
        <v>3.0730423251996868</v>
      </c>
      <c r="X840" s="6">
        <f t="shared" si="240"/>
        <v>0</v>
      </c>
      <c r="Y840" s="7">
        <f t="shared" si="243"/>
        <v>567</v>
      </c>
      <c r="AA840" s="7">
        <f t="shared" si="244"/>
        <v>0</v>
      </c>
      <c r="AB840" s="7" t="str">
        <f t="shared" si="245"/>
        <v/>
      </c>
      <c r="AC840" s="7">
        <f t="shared" si="246"/>
        <v>0</v>
      </c>
      <c r="AD840" s="7" t="str">
        <f t="shared" si="247"/>
        <v/>
      </c>
      <c r="AE840" s="6">
        <f t="shared" si="248"/>
        <v>0</v>
      </c>
      <c r="AF840" s="69">
        <f t="shared" si="249"/>
        <v>3.0730423251996868</v>
      </c>
      <c r="AG840" s="6">
        <f t="shared" si="250"/>
        <v>86.04518510559123</v>
      </c>
      <c r="AH840" s="6">
        <f t="shared" si="251"/>
        <v>410</v>
      </c>
    </row>
    <row r="841" spans="8:34" x14ac:dyDescent="0.25">
      <c r="H841" s="7">
        <v>848</v>
      </c>
      <c r="I841" s="7" t="s">
        <v>14</v>
      </c>
      <c r="J841" s="8">
        <v>38144</v>
      </c>
      <c r="K841" s="12" t="s">
        <v>16</v>
      </c>
      <c r="L841" s="9">
        <v>18</v>
      </c>
      <c r="M841" s="10">
        <v>55.858549479616173</v>
      </c>
      <c r="N841" s="7" t="s">
        <v>23</v>
      </c>
      <c r="P841" s="29" t="str">
        <f t="shared" si="234"/>
        <v/>
      </c>
      <c r="Q841" s="29">
        <f t="shared" si="235"/>
        <v>1</v>
      </c>
      <c r="R841" s="29" t="str">
        <f t="shared" si="236"/>
        <v/>
      </c>
      <c r="S841" s="29" t="str">
        <f t="shared" si="237"/>
        <v/>
      </c>
      <c r="T841" s="32" t="str">
        <f t="shared" si="238"/>
        <v/>
      </c>
      <c r="U841" s="32" t="str">
        <f t="shared" si="241"/>
        <v/>
      </c>
      <c r="V841" s="32" t="str">
        <f t="shared" si="242"/>
        <v/>
      </c>
      <c r="W841" s="41">
        <f t="shared" si="239"/>
        <v>3.1032527488675652</v>
      </c>
      <c r="X841" s="6">
        <f t="shared" si="240"/>
        <v>0</v>
      </c>
      <c r="Y841" s="7">
        <f t="shared" si="243"/>
        <v>567</v>
      </c>
      <c r="AA841" s="7">
        <f t="shared" si="244"/>
        <v>0</v>
      </c>
      <c r="AB841" s="7" t="str">
        <f t="shared" si="245"/>
        <v/>
      </c>
      <c r="AC841" s="7">
        <f t="shared" si="246"/>
        <v>0</v>
      </c>
      <c r="AD841" s="7" t="str">
        <f t="shared" si="247"/>
        <v/>
      </c>
      <c r="AE841" s="6">
        <f t="shared" si="248"/>
        <v>0</v>
      </c>
      <c r="AF841" s="69">
        <f t="shared" si="249"/>
        <v>3.1032527488675652</v>
      </c>
      <c r="AG841" s="6">
        <f t="shared" si="250"/>
        <v>55.858549479616173</v>
      </c>
      <c r="AH841" s="6">
        <f t="shared" si="251"/>
        <v>472</v>
      </c>
    </row>
    <row r="842" spans="8:34" x14ac:dyDescent="0.25">
      <c r="H842" s="7">
        <v>849</v>
      </c>
      <c r="I842" s="7" t="s">
        <v>9</v>
      </c>
      <c r="J842" s="8">
        <v>38870</v>
      </c>
      <c r="K842" s="12" t="s">
        <v>19</v>
      </c>
      <c r="L842" s="9">
        <v>84</v>
      </c>
      <c r="M842" s="10">
        <v>254.04302513210774</v>
      </c>
      <c r="N842" s="7" t="s">
        <v>21</v>
      </c>
      <c r="P842" s="29" t="str">
        <f t="shared" si="234"/>
        <v/>
      </c>
      <c r="Q842" s="29" t="str">
        <f t="shared" si="235"/>
        <v/>
      </c>
      <c r="R842" s="29" t="str">
        <f t="shared" si="236"/>
        <v/>
      </c>
      <c r="S842" s="29" t="str">
        <f t="shared" si="237"/>
        <v/>
      </c>
      <c r="T842" s="32" t="str">
        <f t="shared" si="238"/>
        <v/>
      </c>
      <c r="U842" s="32" t="str">
        <f t="shared" si="241"/>
        <v/>
      </c>
      <c r="V842" s="32">
        <f t="shared" si="242"/>
        <v>1</v>
      </c>
      <c r="W842" s="41">
        <f t="shared" si="239"/>
        <v>3.0243217277631875</v>
      </c>
      <c r="X842" s="6">
        <f t="shared" si="240"/>
        <v>0</v>
      </c>
      <c r="Y842" s="7">
        <f t="shared" si="243"/>
        <v>567</v>
      </c>
      <c r="AA842" s="7">
        <f t="shared" si="244"/>
        <v>0</v>
      </c>
      <c r="AB842" s="7" t="str">
        <f t="shared" si="245"/>
        <v/>
      </c>
      <c r="AC842" s="7">
        <f t="shared" si="246"/>
        <v>0</v>
      </c>
      <c r="AD842" s="7" t="str">
        <f t="shared" si="247"/>
        <v/>
      </c>
      <c r="AE842" s="6">
        <f t="shared" si="248"/>
        <v>0</v>
      </c>
      <c r="AF842" s="69">
        <f t="shared" si="249"/>
        <v>3.0243217277631875</v>
      </c>
      <c r="AG842" s="6">
        <f t="shared" si="250"/>
        <v>0</v>
      </c>
      <c r="AH842" s="6">
        <f t="shared" si="251"/>
        <v>604</v>
      </c>
    </row>
    <row r="843" spans="8:34" x14ac:dyDescent="0.25">
      <c r="H843" s="7">
        <v>850</v>
      </c>
      <c r="I843" s="7" t="s">
        <v>13</v>
      </c>
      <c r="J843" s="8">
        <v>38276</v>
      </c>
      <c r="K843" s="12" t="s">
        <v>18</v>
      </c>
      <c r="L843" s="9">
        <v>79</v>
      </c>
      <c r="M843" s="10">
        <v>238.82743961542425</v>
      </c>
      <c r="N843" s="7" t="s">
        <v>23</v>
      </c>
      <c r="P843" s="29" t="str">
        <f t="shared" si="234"/>
        <v/>
      </c>
      <c r="Q843" s="29" t="str">
        <f t="shared" si="235"/>
        <v/>
      </c>
      <c r="R843" s="29" t="str">
        <f t="shared" si="236"/>
        <v/>
      </c>
      <c r="S843" s="29">
        <f t="shared" si="237"/>
        <v>1</v>
      </c>
      <c r="T843" s="32" t="str">
        <f t="shared" si="238"/>
        <v/>
      </c>
      <c r="U843" s="32" t="str">
        <f t="shared" si="241"/>
        <v/>
      </c>
      <c r="V843" s="32" t="str">
        <f t="shared" si="242"/>
        <v/>
      </c>
      <c r="W843" s="41">
        <f t="shared" si="239"/>
        <v>3.0231321470306867</v>
      </c>
      <c r="X843" s="6">
        <f t="shared" si="240"/>
        <v>0</v>
      </c>
      <c r="Y843" s="7">
        <f t="shared" si="243"/>
        <v>567</v>
      </c>
      <c r="AA843" s="7">
        <f t="shared" si="244"/>
        <v>0</v>
      </c>
      <c r="AB843" s="7" t="str">
        <f t="shared" si="245"/>
        <v/>
      </c>
      <c r="AC843" s="7">
        <f t="shared" si="246"/>
        <v>0</v>
      </c>
      <c r="AD843" s="7" t="str">
        <f t="shared" si="247"/>
        <v/>
      </c>
      <c r="AE843" s="6">
        <f t="shared" si="248"/>
        <v>0</v>
      </c>
      <c r="AF843" s="69">
        <f t="shared" si="249"/>
        <v>3.0231321470306867</v>
      </c>
      <c r="AG843" s="6">
        <f t="shared" si="250"/>
        <v>238.82743961542425</v>
      </c>
      <c r="AH843" s="6">
        <f t="shared" si="251"/>
        <v>97</v>
      </c>
    </row>
    <row r="844" spans="8:34" x14ac:dyDescent="0.25">
      <c r="H844" s="7">
        <v>851</v>
      </c>
      <c r="I844" s="7" t="s">
        <v>15</v>
      </c>
      <c r="J844" s="8">
        <v>38298</v>
      </c>
      <c r="K844" s="12" t="s">
        <v>18</v>
      </c>
      <c r="L844" s="9">
        <v>31</v>
      </c>
      <c r="M844" s="10">
        <v>94.972961203791044</v>
      </c>
      <c r="N844" s="7" t="s">
        <v>22</v>
      </c>
      <c r="P844" s="29" t="str">
        <f t="shared" si="234"/>
        <v/>
      </c>
      <c r="Q844" s="29" t="str">
        <f t="shared" si="235"/>
        <v/>
      </c>
      <c r="R844" s="29" t="str">
        <f t="shared" si="236"/>
        <v/>
      </c>
      <c r="S844" s="29">
        <f t="shared" si="237"/>
        <v>1</v>
      </c>
      <c r="T844" s="32" t="str">
        <f t="shared" si="238"/>
        <v/>
      </c>
      <c r="U844" s="32" t="str">
        <f t="shared" si="241"/>
        <v/>
      </c>
      <c r="V844" s="32" t="str">
        <f t="shared" si="242"/>
        <v/>
      </c>
      <c r="W844" s="41">
        <f t="shared" si="239"/>
        <v>3.063643909799711</v>
      </c>
      <c r="X844" s="6">
        <f t="shared" si="240"/>
        <v>0</v>
      </c>
      <c r="Y844" s="7">
        <f t="shared" si="243"/>
        <v>567</v>
      </c>
      <c r="AA844" s="7">
        <f t="shared" si="244"/>
        <v>0</v>
      </c>
      <c r="AB844" s="7" t="str">
        <f t="shared" si="245"/>
        <v/>
      </c>
      <c r="AC844" s="7">
        <f t="shared" si="246"/>
        <v>0</v>
      </c>
      <c r="AD844" s="7" t="str">
        <f t="shared" si="247"/>
        <v/>
      </c>
      <c r="AE844" s="6">
        <f t="shared" si="248"/>
        <v>0</v>
      </c>
      <c r="AF844" s="69">
        <f t="shared" si="249"/>
        <v>3.063643909799711</v>
      </c>
      <c r="AG844" s="6">
        <f t="shared" si="250"/>
        <v>94.972961203791044</v>
      </c>
      <c r="AH844" s="6">
        <f t="shared" si="251"/>
        <v>384</v>
      </c>
    </row>
    <row r="845" spans="8:34" x14ac:dyDescent="0.25">
      <c r="H845" s="7">
        <v>852</v>
      </c>
      <c r="I845" s="7" t="s">
        <v>14</v>
      </c>
      <c r="J845" s="8">
        <v>38925</v>
      </c>
      <c r="K845" s="12" t="s">
        <v>19</v>
      </c>
      <c r="L845" s="9">
        <v>34</v>
      </c>
      <c r="M845" s="10">
        <v>103.39863614232333</v>
      </c>
      <c r="N845" s="7" t="s">
        <v>24</v>
      </c>
      <c r="P845" s="29" t="str">
        <f t="shared" si="234"/>
        <v/>
      </c>
      <c r="Q845" s="29" t="str">
        <f t="shared" si="235"/>
        <v/>
      </c>
      <c r="R845" s="29" t="str">
        <f t="shared" si="236"/>
        <v/>
      </c>
      <c r="S845" s="29" t="str">
        <f t="shared" si="237"/>
        <v/>
      </c>
      <c r="T845" s="32" t="str">
        <f t="shared" si="238"/>
        <v/>
      </c>
      <c r="U845" s="32" t="str">
        <f t="shared" si="241"/>
        <v/>
      </c>
      <c r="V845" s="32">
        <f t="shared" si="242"/>
        <v>1</v>
      </c>
      <c r="W845" s="41">
        <f t="shared" si="239"/>
        <v>3.0411363571271566</v>
      </c>
      <c r="X845" s="6">
        <f t="shared" si="240"/>
        <v>0</v>
      </c>
      <c r="Y845" s="7">
        <f t="shared" si="243"/>
        <v>567</v>
      </c>
      <c r="AA845" s="7">
        <f t="shared" si="244"/>
        <v>0</v>
      </c>
      <c r="AB845" s="7" t="str">
        <f t="shared" si="245"/>
        <v/>
      </c>
      <c r="AC845" s="7">
        <f t="shared" si="246"/>
        <v>0</v>
      </c>
      <c r="AD845" s="7" t="str">
        <f t="shared" si="247"/>
        <v/>
      </c>
      <c r="AE845" s="6">
        <f t="shared" si="248"/>
        <v>0</v>
      </c>
      <c r="AF845" s="69">
        <f t="shared" si="249"/>
        <v>3.0411363571271566</v>
      </c>
      <c r="AG845" s="6">
        <f t="shared" si="250"/>
        <v>0</v>
      </c>
      <c r="AH845" s="6">
        <f t="shared" si="251"/>
        <v>604</v>
      </c>
    </row>
    <row r="846" spans="8:34" x14ac:dyDescent="0.25">
      <c r="H846" s="7">
        <v>853</v>
      </c>
      <c r="I846" s="7" t="s">
        <v>15</v>
      </c>
      <c r="J846" s="8">
        <v>38672</v>
      </c>
      <c r="K846" s="12" t="s">
        <v>20</v>
      </c>
      <c r="L846" s="9">
        <v>66</v>
      </c>
      <c r="M846" s="10">
        <v>201.25536797949457</v>
      </c>
      <c r="N846" s="7" t="s">
        <v>21</v>
      </c>
      <c r="P846" s="29" t="str">
        <f t="shared" si="234"/>
        <v/>
      </c>
      <c r="Q846" s="29" t="str">
        <f t="shared" si="235"/>
        <v/>
      </c>
      <c r="R846" s="29" t="str">
        <f t="shared" si="236"/>
        <v/>
      </c>
      <c r="S846" s="29" t="str">
        <f t="shared" si="237"/>
        <v/>
      </c>
      <c r="T846" s="32">
        <f t="shared" si="238"/>
        <v>1</v>
      </c>
      <c r="U846" s="32">
        <f t="shared" si="241"/>
        <v>1</v>
      </c>
      <c r="V846" s="32" t="str">
        <f t="shared" si="242"/>
        <v/>
      </c>
      <c r="W846" s="41">
        <f t="shared" si="239"/>
        <v>3.0493237572650691</v>
      </c>
      <c r="X846" s="6">
        <f t="shared" si="240"/>
        <v>201.25536797949457</v>
      </c>
      <c r="Y846" s="7">
        <f t="shared" si="243"/>
        <v>177</v>
      </c>
      <c r="AA846" s="7">
        <f t="shared" si="244"/>
        <v>0</v>
      </c>
      <c r="AB846" s="7" t="str">
        <f t="shared" si="245"/>
        <v/>
      </c>
      <c r="AC846" s="7">
        <f t="shared" si="246"/>
        <v>1</v>
      </c>
      <c r="AD846" s="7">
        <f t="shared" si="247"/>
        <v>66</v>
      </c>
      <c r="AE846" s="6">
        <f t="shared" si="248"/>
        <v>0</v>
      </c>
      <c r="AF846" s="69">
        <f t="shared" si="249"/>
        <v>3.0493237572650691</v>
      </c>
      <c r="AG846" s="6">
        <f t="shared" si="250"/>
        <v>0</v>
      </c>
      <c r="AH846" s="6">
        <f t="shared" si="251"/>
        <v>604</v>
      </c>
    </row>
    <row r="847" spans="8:34" x14ac:dyDescent="0.25">
      <c r="H847" s="7">
        <v>854</v>
      </c>
      <c r="I847" s="7" t="s">
        <v>13</v>
      </c>
      <c r="J847" s="8">
        <v>38859</v>
      </c>
      <c r="K847" s="12" t="s">
        <v>20</v>
      </c>
      <c r="L847" s="9">
        <v>44</v>
      </c>
      <c r="M847" s="10">
        <v>134.44985862590835</v>
      </c>
      <c r="N847" s="7" t="s">
        <v>24</v>
      </c>
      <c r="P847" s="29" t="str">
        <f t="shared" si="234"/>
        <v/>
      </c>
      <c r="Q847" s="29" t="str">
        <f t="shared" si="235"/>
        <v/>
      </c>
      <c r="R847" s="29" t="str">
        <f t="shared" si="236"/>
        <v/>
      </c>
      <c r="S847" s="29" t="str">
        <f t="shared" si="237"/>
        <v/>
      </c>
      <c r="T847" s="32" t="str">
        <f t="shared" si="238"/>
        <v/>
      </c>
      <c r="U847" s="32" t="str">
        <f t="shared" si="241"/>
        <v/>
      </c>
      <c r="V847" s="32">
        <f t="shared" si="242"/>
        <v>1</v>
      </c>
      <c r="W847" s="41">
        <f t="shared" si="239"/>
        <v>3.0556786051342808</v>
      </c>
      <c r="X847" s="6">
        <f t="shared" si="240"/>
        <v>0</v>
      </c>
      <c r="Y847" s="7">
        <f t="shared" si="243"/>
        <v>567</v>
      </c>
      <c r="AA847" s="7">
        <f t="shared" si="244"/>
        <v>0</v>
      </c>
      <c r="AB847" s="7" t="str">
        <f t="shared" si="245"/>
        <v/>
      </c>
      <c r="AC847" s="7">
        <f t="shared" si="246"/>
        <v>0</v>
      </c>
      <c r="AD847" s="7" t="str">
        <f t="shared" si="247"/>
        <v/>
      </c>
      <c r="AE847" s="6">
        <f t="shared" si="248"/>
        <v>0</v>
      </c>
      <c r="AF847" s="69">
        <f t="shared" si="249"/>
        <v>3.0556786051342808</v>
      </c>
      <c r="AG847" s="6">
        <f t="shared" si="250"/>
        <v>0</v>
      </c>
      <c r="AH847" s="6">
        <f t="shared" si="251"/>
        <v>604</v>
      </c>
    </row>
    <row r="848" spans="8:34" x14ac:dyDescent="0.25">
      <c r="H848" s="7">
        <v>855</v>
      </c>
      <c r="I848" s="7" t="s">
        <v>7</v>
      </c>
      <c r="J848" s="8">
        <v>38375</v>
      </c>
      <c r="K848" s="12" t="s">
        <v>16</v>
      </c>
      <c r="L848" s="9">
        <v>94</v>
      </c>
      <c r="M848" s="10">
        <v>284.41944495958916</v>
      </c>
      <c r="N848" s="7" t="s">
        <v>21</v>
      </c>
      <c r="P848" s="29" t="str">
        <f t="shared" si="234"/>
        <v/>
      </c>
      <c r="Q848" s="29" t="str">
        <f t="shared" si="235"/>
        <v/>
      </c>
      <c r="R848" s="29" t="str">
        <f t="shared" si="236"/>
        <v/>
      </c>
      <c r="S848" s="29" t="str">
        <f t="shared" si="237"/>
        <v/>
      </c>
      <c r="T848" s="32" t="str">
        <f t="shared" si="238"/>
        <v/>
      </c>
      <c r="U848" s="32">
        <f t="shared" si="241"/>
        <v>1</v>
      </c>
      <c r="V848" s="32" t="str">
        <f t="shared" si="242"/>
        <v/>
      </c>
      <c r="W848" s="41">
        <f t="shared" si="239"/>
        <v>3.0257387761658423</v>
      </c>
      <c r="X848" s="6">
        <f t="shared" si="240"/>
        <v>284.41944495958916</v>
      </c>
      <c r="Y848" s="7">
        <f t="shared" si="243"/>
        <v>8</v>
      </c>
      <c r="AA848" s="7">
        <f t="shared" si="244"/>
        <v>1</v>
      </c>
      <c r="AB848" s="7">
        <f t="shared" si="245"/>
        <v>94</v>
      </c>
      <c r="AC848" s="7">
        <f t="shared" si="246"/>
        <v>0</v>
      </c>
      <c r="AD848" s="7" t="str">
        <f t="shared" si="247"/>
        <v/>
      </c>
      <c r="AE848" s="6">
        <f t="shared" si="248"/>
        <v>0</v>
      </c>
      <c r="AF848" s="69">
        <f t="shared" si="249"/>
        <v>3.0257387761658423</v>
      </c>
      <c r="AG848" s="6">
        <f t="shared" si="250"/>
        <v>0</v>
      </c>
      <c r="AH848" s="6">
        <f t="shared" si="251"/>
        <v>604</v>
      </c>
    </row>
    <row r="849" spans="8:34" x14ac:dyDescent="0.25">
      <c r="H849" s="7">
        <v>856</v>
      </c>
      <c r="I849" s="7" t="s">
        <v>11</v>
      </c>
      <c r="J849" s="8">
        <v>38089</v>
      </c>
      <c r="K849" s="12" t="s">
        <v>18</v>
      </c>
      <c r="L849" s="9">
        <v>11</v>
      </c>
      <c r="M849" s="10">
        <v>35.299860689817372</v>
      </c>
      <c r="N849" s="7" t="s">
        <v>24</v>
      </c>
      <c r="P849" s="29" t="str">
        <f t="shared" si="234"/>
        <v/>
      </c>
      <c r="Q849" s="29">
        <f t="shared" si="235"/>
        <v>1</v>
      </c>
      <c r="R849" s="29" t="str">
        <f t="shared" si="236"/>
        <v/>
      </c>
      <c r="S849" s="29" t="str">
        <f t="shared" si="237"/>
        <v/>
      </c>
      <c r="T849" s="32" t="str">
        <f t="shared" si="238"/>
        <v/>
      </c>
      <c r="U849" s="32" t="str">
        <f t="shared" si="241"/>
        <v/>
      </c>
      <c r="V849" s="32" t="str">
        <f t="shared" si="242"/>
        <v/>
      </c>
      <c r="W849" s="41">
        <f t="shared" si="239"/>
        <v>3.2090782445288522</v>
      </c>
      <c r="X849" s="6">
        <f t="shared" si="240"/>
        <v>0</v>
      </c>
      <c r="Y849" s="7">
        <f t="shared" si="243"/>
        <v>567</v>
      </c>
      <c r="AA849" s="7">
        <f t="shared" si="244"/>
        <v>0</v>
      </c>
      <c r="AB849" s="7" t="str">
        <f t="shared" si="245"/>
        <v/>
      </c>
      <c r="AC849" s="7">
        <f t="shared" si="246"/>
        <v>0</v>
      </c>
      <c r="AD849" s="7" t="str">
        <f t="shared" si="247"/>
        <v/>
      </c>
      <c r="AE849" s="6">
        <f t="shared" si="248"/>
        <v>0</v>
      </c>
      <c r="AF849" s="69">
        <f t="shared" si="249"/>
        <v>3.2090782445288522</v>
      </c>
      <c r="AG849" s="6">
        <f t="shared" si="250"/>
        <v>35.299860689817372</v>
      </c>
      <c r="AH849" s="6">
        <f t="shared" si="251"/>
        <v>516</v>
      </c>
    </row>
    <row r="850" spans="8:34" x14ac:dyDescent="0.25">
      <c r="H850" s="7">
        <v>857</v>
      </c>
      <c r="I850" s="7" t="s">
        <v>8</v>
      </c>
      <c r="J850" s="8">
        <v>38221</v>
      </c>
      <c r="K850" s="12" t="s">
        <v>17</v>
      </c>
      <c r="L850" s="9">
        <v>74</v>
      </c>
      <c r="M850" s="10">
        <v>223.97457991298864</v>
      </c>
      <c r="N850" s="7" t="s">
        <v>24</v>
      </c>
      <c r="P850" s="29" t="str">
        <f t="shared" si="234"/>
        <v/>
      </c>
      <c r="Q850" s="29" t="str">
        <f t="shared" si="235"/>
        <v/>
      </c>
      <c r="R850" s="29">
        <f t="shared" si="236"/>
        <v>1</v>
      </c>
      <c r="S850" s="29" t="str">
        <f t="shared" si="237"/>
        <v/>
      </c>
      <c r="T850" s="32" t="str">
        <f t="shared" si="238"/>
        <v/>
      </c>
      <c r="U850" s="32" t="str">
        <f t="shared" si="241"/>
        <v/>
      </c>
      <c r="V850" s="32" t="str">
        <f t="shared" si="242"/>
        <v/>
      </c>
      <c r="W850" s="41">
        <f t="shared" si="239"/>
        <v>3.0266835123376845</v>
      </c>
      <c r="X850" s="6">
        <f t="shared" si="240"/>
        <v>0</v>
      </c>
      <c r="Y850" s="7">
        <f t="shared" si="243"/>
        <v>567</v>
      </c>
      <c r="AA850" s="7">
        <f t="shared" si="244"/>
        <v>0</v>
      </c>
      <c r="AB850" s="7" t="str">
        <f t="shared" si="245"/>
        <v/>
      </c>
      <c r="AC850" s="7">
        <f t="shared" si="246"/>
        <v>0</v>
      </c>
      <c r="AD850" s="7" t="str">
        <f t="shared" si="247"/>
        <v/>
      </c>
      <c r="AE850" s="6">
        <f t="shared" si="248"/>
        <v>0</v>
      </c>
      <c r="AF850" s="69">
        <f t="shared" si="249"/>
        <v>3.0266835123376845</v>
      </c>
      <c r="AG850" s="6">
        <f t="shared" si="250"/>
        <v>223.97457991298864</v>
      </c>
      <c r="AH850" s="6">
        <f t="shared" si="251"/>
        <v>129</v>
      </c>
    </row>
    <row r="851" spans="8:34" x14ac:dyDescent="0.25">
      <c r="H851" s="7">
        <v>858</v>
      </c>
      <c r="I851" s="7" t="s">
        <v>14</v>
      </c>
      <c r="J851" s="8">
        <v>39057</v>
      </c>
      <c r="K851" s="12" t="s">
        <v>20</v>
      </c>
      <c r="L851" s="9">
        <v>28</v>
      </c>
      <c r="M851" s="10">
        <v>86.485564911199845</v>
      </c>
      <c r="N851" s="7" t="s">
        <v>23</v>
      </c>
      <c r="P851" s="29" t="str">
        <f t="shared" si="234"/>
        <v/>
      </c>
      <c r="Q851" s="29" t="str">
        <f t="shared" si="235"/>
        <v/>
      </c>
      <c r="R851" s="29" t="str">
        <f t="shared" si="236"/>
        <v/>
      </c>
      <c r="S851" s="29" t="str">
        <f t="shared" si="237"/>
        <v/>
      </c>
      <c r="T851" s="32" t="str">
        <f t="shared" si="238"/>
        <v/>
      </c>
      <c r="U851" s="32" t="str">
        <f t="shared" si="241"/>
        <v/>
      </c>
      <c r="V851" s="32">
        <f t="shared" si="242"/>
        <v>1</v>
      </c>
      <c r="W851" s="41">
        <f t="shared" si="239"/>
        <v>3.0887701753999943</v>
      </c>
      <c r="X851" s="6">
        <f t="shared" si="240"/>
        <v>0</v>
      </c>
      <c r="Y851" s="7">
        <f t="shared" si="243"/>
        <v>567</v>
      </c>
      <c r="AA851" s="7">
        <f t="shared" si="244"/>
        <v>0</v>
      </c>
      <c r="AB851" s="7" t="str">
        <f t="shared" si="245"/>
        <v/>
      </c>
      <c r="AC851" s="7">
        <f t="shared" si="246"/>
        <v>0</v>
      </c>
      <c r="AD851" s="7" t="str">
        <f t="shared" si="247"/>
        <v/>
      </c>
      <c r="AE851" s="6">
        <f t="shared" si="248"/>
        <v>0</v>
      </c>
      <c r="AF851" s="69">
        <f t="shared" si="249"/>
        <v>3.0887701753999943</v>
      </c>
      <c r="AG851" s="6">
        <f t="shared" si="250"/>
        <v>0</v>
      </c>
      <c r="AH851" s="6">
        <f t="shared" si="251"/>
        <v>604</v>
      </c>
    </row>
    <row r="852" spans="8:34" x14ac:dyDescent="0.25">
      <c r="H852" s="7">
        <v>859</v>
      </c>
      <c r="I852" s="7" t="s">
        <v>12</v>
      </c>
      <c r="J852" s="8">
        <v>38507</v>
      </c>
      <c r="K852" s="12" t="s">
        <v>17</v>
      </c>
      <c r="L852" s="9">
        <v>40</v>
      </c>
      <c r="M852" s="10">
        <v>121.92180749554807</v>
      </c>
      <c r="N852" s="7" t="s">
        <v>23</v>
      </c>
      <c r="P852" s="29" t="str">
        <f t="shared" si="234"/>
        <v/>
      </c>
      <c r="Q852" s="29" t="str">
        <f t="shared" si="235"/>
        <v/>
      </c>
      <c r="R852" s="29" t="str">
        <f t="shared" si="236"/>
        <v/>
      </c>
      <c r="S852" s="29" t="str">
        <f t="shared" si="237"/>
        <v/>
      </c>
      <c r="T852" s="32" t="str">
        <f t="shared" si="238"/>
        <v/>
      </c>
      <c r="U852" s="32">
        <f t="shared" si="241"/>
        <v>1</v>
      </c>
      <c r="V852" s="32" t="str">
        <f t="shared" si="242"/>
        <v/>
      </c>
      <c r="W852" s="41">
        <f t="shared" si="239"/>
        <v>3.0480451873887016</v>
      </c>
      <c r="X852" s="6">
        <f t="shared" si="240"/>
        <v>121.92180749554807</v>
      </c>
      <c r="Y852" s="7">
        <f t="shared" si="243"/>
        <v>317</v>
      </c>
      <c r="AA852" s="7">
        <f t="shared" si="244"/>
        <v>0</v>
      </c>
      <c r="AB852" s="7" t="str">
        <f t="shared" si="245"/>
        <v/>
      </c>
      <c r="AC852" s="7">
        <f t="shared" si="246"/>
        <v>1</v>
      </c>
      <c r="AD852" s="7">
        <f t="shared" si="247"/>
        <v>40</v>
      </c>
      <c r="AE852" s="6">
        <f t="shared" si="248"/>
        <v>0</v>
      </c>
      <c r="AF852" s="69">
        <f t="shared" si="249"/>
        <v>3.0480451873887016</v>
      </c>
      <c r="AG852" s="6">
        <f t="shared" si="250"/>
        <v>0</v>
      </c>
      <c r="AH852" s="6">
        <f t="shared" si="251"/>
        <v>604</v>
      </c>
    </row>
    <row r="853" spans="8:34" x14ac:dyDescent="0.25">
      <c r="H853" s="7">
        <v>860</v>
      </c>
      <c r="I853" s="7" t="s">
        <v>12</v>
      </c>
      <c r="J853" s="8">
        <v>38023</v>
      </c>
      <c r="K853" s="12" t="s">
        <v>17</v>
      </c>
      <c r="L853" s="9">
        <v>34</v>
      </c>
      <c r="M853" s="10">
        <v>104.1689153871453</v>
      </c>
      <c r="N853" s="7" t="s">
        <v>21</v>
      </c>
      <c r="P853" s="29">
        <f t="shared" si="234"/>
        <v>1</v>
      </c>
      <c r="Q853" s="29" t="str">
        <f t="shared" si="235"/>
        <v/>
      </c>
      <c r="R853" s="29" t="str">
        <f t="shared" si="236"/>
        <v/>
      </c>
      <c r="S853" s="29" t="str">
        <f t="shared" si="237"/>
        <v/>
      </c>
      <c r="T853" s="32" t="str">
        <f t="shared" si="238"/>
        <v/>
      </c>
      <c r="U853" s="32" t="str">
        <f t="shared" si="241"/>
        <v/>
      </c>
      <c r="V853" s="32" t="str">
        <f t="shared" si="242"/>
        <v/>
      </c>
      <c r="W853" s="41">
        <f t="shared" si="239"/>
        <v>3.0637916290336853</v>
      </c>
      <c r="X853" s="6">
        <f t="shared" si="240"/>
        <v>0</v>
      </c>
      <c r="Y853" s="7">
        <f t="shared" si="243"/>
        <v>567</v>
      </c>
      <c r="AA853" s="7">
        <f t="shared" si="244"/>
        <v>0</v>
      </c>
      <c r="AB853" s="7" t="str">
        <f t="shared" si="245"/>
        <v/>
      </c>
      <c r="AC853" s="7">
        <f t="shared" si="246"/>
        <v>0</v>
      </c>
      <c r="AD853" s="7" t="str">
        <f t="shared" si="247"/>
        <v/>
      </c>
      <c r="AE853" s="6">
        <f t="shared" si="248"/>
        <v>0</v>
      </c>
      <c r="AF853" s="69">
        <f t="shared" si="249"/>
        <v>3.0637916290336853</v>
      </c>
      <c r="AG853" s="6">
        <f t="shared" si="250"/>
        <v>104.1689153871453</v>
      </c>
      <c r="AH853" s="6">
        <f t="shared" si="251"/>
        <v>362</v>
      </c>
    </row>
    <row r="854" spans="8:34" x14ac:dyDescent="0.25">
      <c r="H854" s="7">
        <v>861</v>
      </c>
      <c r="I854" s="7" t="s">
        <v>7</v>
      </c>
      <c r="J854" s="8">
        <v>38606</v>
      </c>
      <c r="K854" s="12" t="s">
        <v>16</v>
      </c>
      <c r="L854" s="9">
        <v>38</v>
      </c>
      <c r="M854" s="10">
        <v>115.85180148886141</v>
      </c>
      <c r="N854" s="7" t="s">
        <v>21</v>
      </c>
      <c r="P854" s="29" t="str">
        <f t="shared" si="234"/>
        <v/>
      </c>
      <c r="Q854" s="29" t="str">
        <f t="shared" si="235"/>
        <v/>
      </c>
      <c r="R854" s="29" t="str">
        <f t="shared" si="236"/>
        <v/>
      </c>
      <c r="S854" s="29" t="str">
        <f t="shared" si="237"/>
        <v/>
      </c>
      <c r="T854" s="32" t="str">
        <f t="shared" si="238"/>
        <v/>
      </c>
      <c r="U854" s="32">
        <f t="shared" si="241"/>
        <v>1</v>
      </c>
      <c r="V854" s="32" t="str">
        <f t="shared" si="242"/>
        <v/>
      </c>
      <c r="W854" s="41">
        <f t="shared" si="239"/>
        <v>3.048731618127932</v>
      </c>
      <c r="X854" s="6">
        <f t="shared" si="240"/>
        <v>115.85180148886141</v>
      </c>
      <c r="Y854" s="7">
        <f t="shared" si="243"/>
        <v>326</v>
      </c>
      <c r="AA854" s="7">
        <f t="shared" si="244"/>
        <v>1</v>
      </c>
      <c r="AB854" s="7">
        <f t="shared" si="245"/>
        <v>38</v>
      </c>
      <c r="AC854" s="7">
        <f t="shared" si="246"/>
        <v>0</v>
      </c>
      <c r="AD854" s="7" t="str">
        <f t="shared" si="247"/>
        <v/>
      </c>
      <c r="AE854" s="6">
        <f t="shared" si="248"/>
        <v>0</v>
      </c>
      <c r="AF854" s="69">
        <f t="shared" si="249"/>
        <v>3.048731618127932</v>
      </c>
      <c r="AG854" s="6">
        <f t="shared" si="250"/>
        <v>0</v>
      </c>
      <c r="AH854" s="6">
        <f t="shared" si="251"/>
        <v>604</v>
      </c>
    </row>
    <row r="855" spans="8:34" x14ac:dyDescent="0.25">
      <c r="H855" s="7">
        <v>862</v>
      </c>
      <c r="I855" s="7" t="s">
        <v>8</v>
      </c>
      <c r="J855" s="8">
        <v>38518</v>
      </c>
      <c r="K855" s="12" t="s">
        <v>20</v>
      </c>
      <c r="L855" s="9">
        <v>69</v>
      </c>
      <c r="M855" s="10">
        <v>209.14336391515394</v>
      </c>
      <c r="N855" s="7" t="s">
        <v>22</v>
      </c>
      <c r="P855" s="29" t="str">
        <f t="shared" si="234"/>
        <v/>
      </c>
      <c r="Q855" s="29" t="str">
        <f t="shared" si="235"/>
        <v/>
      </c>
      <c r="R855" s="29" t="str">
        <f t="shared" si="236"/>
        <v/>
      </c>
      <c r="S855" s="29" t="str">
        <f t="shared" si="237"/>
        <v/>
      </c>
      <c r="T855" s="32" t="str">
        <f t="shared" si="238"/>
        <v/>
      </c>
      <c r="U855" s="32">
        <f t="shared" si="241"/>
        <v>1</v>
      </c>
      <c r="V855" s="32" t="str">
        <f t="shared" si="242"/>
        <v/>
      </c>
      <c r="W855" s="41">
        <f t="shared" si="239"/>
        <v>3.0310632451471586</v>
      </c>
      <c r="X855" s="6">
        <f t="shared" si="240"/>
        <v>209.14336391515394</v>
      </c>
      <c r="Y855" s="7">
        <f t="shared" si="243"/>
        <v>164</v>
      </c>
      <c r="AA855" s="7">
        <f t="shared" si="244"/>
        <v>0</v>
      </c>
      <c r="AB855" s="7" t="str">
        <f t="shared" si="245"/>
        <v/>
      </c>
      <c r="AC855" s="7">
        <f t="shared" si="246"/>
        <v>1</v>
      </c>
      <c r="AD855" s="7">
        <f t="shared" si="247"/>
        <v>69</v>
      </c>
      <c r="AE855" s="6">
        <f t="shared" si="248"/>
        <v>0</v>
      </c>
      <c r="AF855" s="69">
        <f t="shared" si="249"/>
        <v>3.0310632451471586</v>
      </c>
      <c r="AG855" s="6">
        <f t="shared" si="250"/>
        <v>0</v>
      </c>
      <c r="AH855" s="6">
        <f t="shared" si="251"/>
        <v>604</v>
      </c>
    </row>
    <row r="856" spans="8:34" x14ac:dyDescent="0.25">
      <c r="H856" s="7">
        <v>863</v>
      </c>
      <c r="I856" s="7" t="s">
        <v>9</v>
      </c>
      <c r="J856" s="8">
        <v>38584</v>
      </c>
      <c r="K856" s="12" t="s">
        <v>16</v>
      </c>
      <c r="L856" s="9">
        <v>34</v>
      </c>
      <c r="M856" s="10">
        <v>103.97058317140277</v>
      </c>
      <c r="N856" s="7" t="s">
        <v>22</v>
      </c>
      <c r="P856" s="29" t="str">
        <f t="shared" si="234"/>
        <v/>
      </c>
      <c r="Q856" s="29" t="str">
        <f t="shared" si="235"/>
        <v/>
      </c>
      <c r="R856" s="29" t="str">
        <f t="shared" si="236"/>
        <v/>
      </c>
      <c r="S856" s="29" t="str">
        <f t="shared" si="237"/>
        <v/>
      </c>
      <c r="T856" s="32" t="str">
        <f t="shared" si="238"/>
        <v/>
      </c>
      <c r="U856" s="32">
        <f t="shared" si="241"/>
        <v>1</v>
      </c>
      <c r="V856" s="32" t="str">
        <f t="shared" si="242"/>
        <v/>
      </c>
      <c r="W856" s="41">
        <f t="shared" si="239"/>
        <v>3.0579583285706695</v>
      </c>
      <c r="X856" s="6">
        <f t="shared" si="240"/>
        <v>103.97058317140277</v>
      </c>
      <c r="Y856" s="7">
        <f t="shared" si="243"/>
        <v>353</v>
      </c>
      <c r="AA856" s="7">
        <f t="shared" si="244"/>
        <v>1</v>
      </c>
      <c r="AB856" s="7">
        <f t="shared" si="245"/>
        <v>34</v>
      </c>
      <c r="AC856" s="7">
        <f t="shared" si="246"/>
        <v>0</v>
      </c>
      <c r="AD856" s="7" t="str">
        <f t="shared" si="247"/>
        <v/>
      </c>
      <c r="AE856" s="6">
        <f t="shared" si="248"/>
        <v>0</v>
      </c>
      <c r="AF856" s="69">
        <f t="shared" si="249"/>
        <v>3.0579583285706695</v>
      </c>
      <c r="AG856" s="6">
        <f t="shared" si="250"/>
        <v>0</v>
      </c>
      <c r="AH856" s="6">
        <f t="shared" si="251"/>
        <v>604</v>
      </c>
    </row>
    <row r="857" spans="8:34" x14ac:dyDescent="0.25">
      <c r="H857" s="7">
        <v>864</v>
      </c>
      <c r="I857" s="7" t="s">
        <v>7</v>
      </c>
      <c r="J857" s="8">
        <v>38573</v>
      </c>
      <c r="K857" s="12" t="s">
        <v>20</v>
      </c>
      <c r="L857" s="9">
        <v>29</v>
      </c>
      <c r="M857" s="10">
        <v>89.383943739445868</v>
      </c>
      <c r="N857" s="7" t="s">
        <v>22</v>
      </c>
      <c r="P857" s="29" t="str">
        <f t="shared" si="234"/>
        <v/>
      </c>
      <c r="Q857" s="29" t="str">
        <f t="shared" si="235"/>
        <v/>
      </c>
      <c r="R857" s="29" t="str">
        <f t="shared" si="236"/>
        <v/>
      </c>
      <c r="S857" s="29" t="str">
        <f t="shared" si="237"/>
        <v/>
      </c>
      <c r="T857" s="32" t="str">
        <f t="shared" si="238"/>
        <v/>
      </c>
      <c r="U857" s="32">
        <f t="shared" si="241"/>
        <v>1</v>
      </c>
      <c r="V857" s="32" t="str">
        <f t="shared" si="242"/>
        <v/>
      </c>
      <c r="W857" s="41">
        <f t="shared" si="239"/>
        <v>3.0822049565326162</v>
      </c>
      <c r="X857" s="6">
        <f t="shared" si="240"/>
        <v>89.383943739445868</v>
      </c>
      <c r="Y857" s="7">
        <f t="shared" si="243"/>
        <v>376</v>
      </c>
      <c r="AA857" s="7">
        <f t="shared" si="244"/>
        <v>1</v>
      </c>
      <c r="AB857" s="7">
        <f t="shared" si="245"/>
        <v>29</v>
      </c>
      <c r="AC857" s="7">
        <f t="shared" si="246"/>
        <v>0</v>
      </c>
      <c r="AD857" s="7" t="str">
        <f t="shared" si="247"/>
        <v/>
      </c>
      <c r="AE857" s="6">
        <f t="shared" si="248"/>
        <v>0</v>
      </c>
      <c r="AF857" s="69">
        <f t="shared" si="249"/>
        <v>3.0822049565326162</v>
      </c>
      <c r="AG857" s="6">
        <f t="shared" si="250"/>
        <v>0</v>
      </c>
      <c r="AH857" s="6">
        <f t="shared" si="251"/>
        <v>604</v>
      </c>
    </row>
    <row r="858" spans="8:34" x14ac:dyDescent="0.25">
      <c r="H858" s="7">
        <v>865</v>
      </c>
      <c r="I858" s="7" t="s">
        <v>11</v>
      </c>
      <c r="J858" s="8">
        <v>38034</v>
      </c>
      <c r="K858" s="12" t="s">
        <v>18</v>
      </c>
      <c r="L858" s="9">
        <v>-10</v>
      </c>
      <c r="M858" s="10">
        <v>-27.724939048319342</v>
      </c>
      <c r="N858" s="7" t="s">
        <v>22</v>
      </c>
      <c r="P858" s="29">
        <f t="shared" si="234"/>
        <v>1</v>
      </c>
      <c r="Q858" s="29" t="str">
        <f t="shared" si="235"/>
        <v/>
      </c>
      <c r="R858" s="29" t="str">
        <f t="shared" si="236"/>
        <v/>
      </c>
      <c r="S858" s="29" t="str">
        <f t="shared" si="237"/>
        <v/>
      </c>
      <c r="T858" s="32" t="str">
        <f t="shared" si="238"/>
        <v/>
      </c>
      <c r="U858" s="32" t="str">
        <f t="shared" si="241"/>
        <v/>
      </c>
      <c r="V858" s="32" t="str">
        <f t="shared" si="242"/>
        <v/>
      </c>
      <c r="W858" s="41" t="str">
        <f t="shared" si="239"/>
        <v/>
      </c>
      <c r="X858" s="6">
        <f t="shared" si="240"/>
        <v>0</v>
      </c>
      <c r="Y858" s="7">
        <f t="shared" si="243"/>
        <v>567</v>
      </c>
      <c r="AA858" s="7">
        <f t="shared" si="244"/>
        <v>0</v>
      </c>
      <c r="AB858" s="7" t="str">
        <f t="shared" si="245"/>
        <v/>
      </c>
      <c r="AC858" s="7">
        <f t="shared" si="246"/>
        <v>0</v>
      </c>
      <c r="AD858" s="7" t="str">
        <f t="shared" si="247"/>
        <v/>
      </c>
      <c r="AE858" s="6">
        <f t="shared" si="248"/>
        <v>-10</v>
      </c>
      <c r="AF858" s="69" t="str">
        <f t="shared" si="249"/>
        <v/>
      </c>
      <c r="AG858" s="6">
        <f t="shared" si="250"/>
        <v>0</v>
      </c>
      <c r="AH858" s="6">
        <f t="shared" si="251"/>
        <v>604</v>
      </c>
    </row>
    <row r="859" spans="8:34" x14ac:dyDescent="0.25">
      <c r="H859" s="7">
        <v>866</v>
      </c>
      <c r="I859" s="7" t="s">
        <v>15</v>
      </c>
      <c r="J859" s="8">
        <v>38287</v>
      </c>
      <c r="K859" s="12" t="s">
        <v>19</v>
      </c>
      <c r="L859" s="9">
        <v>42</v>
      </c>
      <c r="M859" s="10">
        <v>128.42870398782102</v>
      </c>
      <c r="N859" s="7" t="s">
        <v>22</v>
      </c>
      <c r="P859" s="29" t="str">
        <f t="shared" si="234"/>
        <v/>
      </c>
      <c r="Q859" s="29" t="str">
        <f t="shared" si="235"/>
        <v/>
      </c>
      <c r="R859" s="29" t="str">
        <f t="shared" si="236"/>
        <v/>
      </c>
      <c r="S859" s="29">
        <f t="shared" si="237"/>
        <v>1</v>
      </c>
      <c r="T859" s="32" t="str">
        <f t="shared" si="238"/>
        <v/>
      </c>
      <c r="U859" s="32" t="str">
        <f t="shared" si="241"/>
        <v/>
      </c>
      <c r="V859" s="32" t="str">
        <f t="shared" si="242"/>
        <v/>
      </c>
      <c r="W859" s="41">
        <f t="shared" si="239"/>
        <v>3.0578262854243099</v>
      </c>
      <c r="X859" s="6">
        <f t="shared" si="240"/>
        <v>0</v>
      </c>
      <c r="Y859" s="7">
        <f t="shared" si="243"/>
        <v>567</v>
      </c>
      <c r="AA859" s="7">
        <f t="shared" si="244"/>
        <v>0</v>
      </c>
      <c r="AB859" s="7" t="str">
        <f t="shared" si="245"/>
        <v/>
      </c>
      <c r="AC859" s="7">
        <f t="shared" si="246"/>
        <v>0</v>
      </c>
      <c r="AD859" s="7" t="str">
        <f t="shared" si="247"/>
        <v/>
      </c>
      <c r="AE859" s="6">
        <f t="shared" si="248"/>
        <v>0</v>
      </c>
      <c r="AF859" s="69">
        <f t="shared" si="249"/>
        <v>3.0578262854243099</v>
      </c>
      <c r="AG859" s="6">
        <f t="shared" si="250"/>
        <v>128.42870398782102</v>
      </c>
      <c r="AH859" s="6">
        <f t="shared" si="251"/>
        <v>320</v>
      </c>
    </row>
    <row r="860" spans="8:34" x14ac:dyDescent="0.25">
      <c r="H860" s="7">
        <v>867</v>
      </c>
      <c r="I860" s="7" t="s">
        <v>10</v>
      </c>
      <c r="J860" s="8">
        <v>38793</v>
      </c>
      <c r="K860" s="12" t="s">
        <v>20</v>
      </c>
      <c r="L860" s="9">
        <v>58</v>
      </c>
      <c r="M860" s="10">
        <v>175.97423505292562</v>
      </c>
      <c r="N860" s="7" t="s">
        <v>23</v>
      </c>
      <c r="P860" s="29" t="str">
        <f t="shared" si="234"/>
        <v/>
      </c>
      <c r="Q860" s="29" t="str">
        <f t="shared" si="235"/>
        <v/>
      </c>
      <c r="R860" s="29" t="str">
        <f t="shared" si="236"/>
        <v/>
      </c>
      <c r="S860" s="29" t="str">
        <f t="shared" si="237"/>
        <v/>
      </c>
      <c r="T860" s="32" t="str">
        <f t="shared" si="238"/>
        <v/>
      </c>
      <c r="U860" s="32" t="str">
        <f t="shared" si="241"/>
        <v/>
      </c>
      <c r="V860" s="32">
        <f t="shared" si="242"/>
        <v>1</v>
      </c>
      <c r="W860" s="41">
        <f t="shared" si="239"/>
        <v>3.0340385353952692</v>
      </c>
      <c r="X860" s="6">
        <f t="shared" si="240"/>
        <v>0</v>
      </c>
      <c r="Y860" s="7">
        <f t="shared" si="243"/>
        <v>567</v>
      </c>
      <c r="AA860" s="7">
        <f t="shared" si="244"/>
        <v>0</v>
      </c>
      <c r="AB860" s="7" t="str">
        <f t="shared" si="245"/>
        <v/>
      </c>
      <c r="AC860" s="7">
        <f t="shared" si="246"/>
        <v>0</v>
      </c>
      <c r="AD860" s="7" t="str">
        <f t="shared" si="247"/>
        <v/>
      </c>
      <c r="AE860" s="6">
        <f t="shared" si="248"/>
        <v>0</v>
      </c>
      <c r="AF860" s="69">
        <f t="shared" si="249"/>
        <v>3.0340385353952692</v>
      </c>
      <c r="AG860" s="6">
        <f t="shared" si="250"/>
        <v>0</v>
      </c>
      <c r="AH860" s="6">
        <f t="shared" si="251"/>
        <v>604</v>
      </c>
    </row>
    <row r="861" spans="8:34" x14ac:dyDescent="0.25">
      <c r="H861" s="7">
        <v>868</v>
      </c>
      <c r="I861" s="7" t="s">
        <v>13</v>
      </c>
      <c r="J861" s="8">
        <v>38056</v>
      </c>
      <c r="K861" s="12" t="s">
        <v>18</v>
      </c>
      <c r="L861" s="9">
        <v>27</v>
      </c>
      <c r="M861" s="10">
        <v>83.01665013993393</v>
      </c>
      <c r="N861" s="7" t="s">
        <v>22</v>
      </c>
      <c r="P861" s="29">
        <f t="shared" si="234"/>
        <v>1</v>
      </c>
      <c r="Q861" s="29" t="str">
        <f t="shared" si="235"/>
        <v/>
      </c>
      <c r="R861" s="29" t="str">
        <f t="shared" si="236"/>
        <v/>
      </c>
      <c r="S861" s="29" t="str">
        <f t="shared" si="237"/>
        <v/>
      </c>
      <c r="T861" s="32" t="str">
        <f t="shared" si="238"/>
        <v/>
      </c>
      <c r="U861" s="32" t="str">
        <f t="shared" si="241"/>
        <v/>
      </c>
      <c r="V861" s="32" t="str">
        <f t="shared" si="242"/>
        <v/>
      </c>
      <c r="W861" s="41">
        <f t="shared" si="239"/>
        <v>3.0746907459234789</v>
      </c>
      <c r="X861" s="6">
        <f t="shared" si="240"/>
        <v>0</v>
      </c>
      <c r="Y861" s="7">
        <f t="shared" si="243"/>
        <v>567</v>
      </c>
      <c r="AA861" s="7">
        <f t="shared" si="244"/>
        <v>0</v>
      </c>
      <c r="AB861" s="7" t="str">
        <f t="shared" si="245"/>
        <v/>
      </c>
      <c r="AC861" s="7">
        <f t="shared" si="246"/>
        <v>0</v>
      </c>
      <c r="AD861" s="7" t="str">
        <f t="shared" si="247"/>
        <v/>
      </c>
      <c r="AE861" s="6">
        <f t="shared" si="248"/>
        <v>0</v>
      </c>
      <c r="AF861" s="69">
        <f t="shared" si="249"/>
        <v>3.0746907459234789</v>
      </c>
      <c r="AG861" s="6">
        <f t="shared" si="250"/>
        <v>83.01665013993393</v>
      </c>
      <c r="AH861" s="6">
        <f t="shared" si="251"/>
        <v>417</v>
      </c>
    </row>
    <row r="862" spans="8:34" x14ac:dyDescent="0.25">
      <c r="H862" s="7">
        <v>869</v>
      </c>
      <c r="I862" s="7" t="s">
        <v>15</v>
      </c>
      <c r="J862" s="8">
        <v>38903</v>
      </c>
      <c r="K862" s="12" t="s">
        <v>16</v>
      </c>
      <c r="L862" s="9">
        <v>47</v>
      </c>
      <c r="M862" s="10">
        <v>143.2742036645771</v>
      </c>
      <c r="N862" s="7" t="s">
        <v>24</v>
      </c>
      <c r="P862" s="29" t="str">
        <f t="shared" si="234"/>
        <v/>
      </c>
      <c r="Q862" s="29" t="str">
        <f t="shared" si="235"/>
        <v/>
      </c>
      <c r="R862" s="29" t="str">
        <f t="shared" si="236"/>
        <v/>
      </c>
      <c r="S862" s="29" t="str">
        <f t="shared" si="237"/>
        <v/>
      </c>
      <c r="T862" s="32" t="str">
        <f t="shared" si="238"/>
        <v/>
      </c>
      <c r="U862" s="32" t="str">
        <f t="shared" si="241"/>
        <v/>
      </c>
      <c r="V862" s="32">
        <f t="shared" si="242"/>
        <v>1</v>
      </c>
      <c r="W862" s="41">
        <f t="shared" si="239"/>
        <v>3.0483873120122786</v>
      </c>
      <c r="X862" s="6">
        <f t="shared" si="240"/>
        <v>0</v>
      </c>
      <c r="Y862" s="7">
        <f t="shared" si="243"/>
        <v>567</v>
      </c>
      <c r="AA862" s="7">
        <f t="shared" si="244"/>
        <v>0</v>
      </c>
      <c r="AB862" s="7" t="str">
        <f t="shared" si="245"/>
        <v/>
      </c>
      <c r="AC862" s="7">
        <f t="shared" si="246"/>
        <v>0</v>
      </c>
      <c r="AD862" s="7" t="str">
        <f t="shared" si="247"/>
        <v/>
      </c>
      <c r="AE862" s="6">
        <f t="shared" si="248"/>
        <v>0</v>
      </c>
      <c r="AF862" s="69">
        <f t="shared" si="249"/>
        <v>3.0483873120122786</v>
      </c>
      <c r="AG862" s="6">
        <f t="shared" si="250"/>
        <v>0</v>
      </c>
      <c r="AH862" s="6">
        <f t="shared" si="251"/>
        <v>604</v>
      </c>
    </row>
    <row r="863" spans="8:34" x14ac:dyDescent="0.25">
      <c r="H863" s="7">
        <v>870</v>
      </c>
      <c r="I863" s="7" t="s">
        <v>13</v>
      </c>
      <c r="J863" s="8">
        <v>38023</v>
      </c>
      <c r="K863" s="12" t="s">
        <v>18</v>
      </c>
      <c r="L863" s="9">
        <v>29</v>
      </c>
      <c r="M863" s="10">
        <v>88.696716331090727</v>
      </c>
      <c r="N863" s="7" t="s">
        <v>21</v>
      </c>
      <c r="P863" s="29">
        <f t="shared" si="234"/>
        <v>1</v>
      </c>
      <c r="Q863" s="29" t="str">
        <f t="shared" si="235"/>
        <v/>
      </c>
      <c r="R863" s="29" t="str">
        <f t="shared" si="236"/>
        <v/>
      </c>
      <c r="S863" s="29" t="str">
        <f t="shared" si="237"/>
        <v/>
      </c>
      <c r="T863" s="32" t="str">
        <f t="shared" si="238"/>
        <v/>
      </c>
      <c r="U863" s="32" t="str">
        <f t="shared" si="241"/>
        <v/>
      </c>
      <c r="V863" s="32" t="str">
        <f t="shared" si="242"/>
        <v/>
      </c>
      <c r="W863" s="41">
        <f t="shared" si="239"/>
        <v>3.0585074596927835</v>
      </c>
      <c r="X863" s="6">
        <f t="shared" si="240"/>
        <v>0</v>
      </c>
      <c r="Y863" s="7">
        <f t="shared" si="243"/>
        <v>567</v>
      </c>
      <c r="AA863" s="7">
        <f t="shared" si="244"/>
        <v>0</v>
      </c>
      <c r="AB863" s="7" t="str">
        <f t="shared" si="245"/>
        <v/>
      </c>
      <c r="AC863" s="7">
        <f t="shared" si="246"/>
        <v>0</v>
      </c>
      <c r="AD863" s="7" t="str">
        <f t="shared" si="247"/>
        <v/>
      </c>
      <c r="AE863" s="6">
        <f t="shared" si="248"/>
        <v>0</v>
      </c>
      <c r="AF863" s="69">
        <f t="shared" si="249"/>
        <v>3.0585074596927835</v>
      </c>
      <c r="AG863" s="6">
        <f t="shared" si="250"/>
        <v>88.696716331090727</v>
      </c>
      <c r="AH863" s="6">
        <f t="shared" si="251"/>
        <v>407</v>
      </c>
    </row>
    <row r="864" spans="8:34" x14ac:dyDescent="0.25">
      <c r="H864" s="7">
        <v>871</v>
      </c>
      <c r="I864" s="7" t="s">
        <v>15</v>
      </c>
      <c r="J864" s="8">
        <v>38848</v>
      </c>
      <c r="K864" s="12" t="s">
        <v>20</v>
      </c>
      <c r="L864" s="9">
        <v>28</v>
      </c>
      <c r="M864" s="10">
        <v>86.226420950611285</v>
      </c>
      <c r="N864" s="7" t="s">
        <v>21</v>
      </c>
      <c r="P864" s="29" t="str">
        <f t="shared" si="234"/>
        <v/>
      </c>
      <c r="Q864" s="29" t="str">
        <f t="shared" si="235"/>
        <v/>
      </c>
      <c r="R864" s="29" t="str">
        <f t="shared" si="236"/>
        <v/>
      </c>
      <c r="S864" s="29" t="str">
        <f t="shared" si="237"/>
        <v/>
      </c>
      <c r="T864" s="32" t="str">
        <f t="shared" si="238"/>
        <v/>
      </c>
      <c r="U864" s="32" t="str">
        <f t="shared" si="241"/>
        <v/>
      </c>
      <c r="V864" s="32">
        <f t="shared" si="242"/>
        <v>1</v>
      </c>
      <c r="W864" s="41">
        <f t="shared" si="239"/>
        <v>3.0795150339504032</v>
      </c>
      <c r="X864" s="6">
        <f t="shared" si="240"/>
        <v>0</v>
      </c>
      <c r="Y864" s="7">
        <f t="shared" si="243"/>
        <v>567</v>
      </c>
      <c r="AA864" s="7">
        <f t="shared" si="244"/>
        <v>0</v>
      </c>
      <c r="AB864" s="7" t="str">
        <f t="shared" si="245"/>
        <v/>
      </c>
      <c r="AC864" s="7">
        <f t="shared" si="246"/>
        <v>0</v>
      </c>
      <c r="AD864" s="7" t="str">
        <f t="shared" si="247"/>
        <v/>
      </c>
      <c r="AE864" s="6">
        <f t="shared" si="248"/>
        <v>0</v>
      </c>
      <c r="AF864" s="69">
        <f t="shared" si="249"/>
        <v>3.0795150339504032</v>
      </c>
      <c r="AG864" s="6">
        <f t="shared" si="250"/>
        <v>0</v>
      </c>
      <c r="AH864" s="6">
        <f t="shared" si="251"/>
        <v>604</v>
      </c>
    </row>
    <row r="865" spans="8:34" x14ac:dyDescent="0.25">
      <c r="H865" s="7">
        <v>872</v>
      </c>
      <c r="I865" s="7" t="s">
        <v>7</v>
      </c>
      <c r="J865" s="8">
        <v>38980</v>
      </c>
      <c r="K865" s="12" t="s">
        <v>16</v>
      </c>
      <c r="L865" s="9">
        <v>79</v>
      </c>
      <c r="M865" s="10">
        <v>239.05774059830441</v>
      </c>
      <c r="N865" s="7" t="s">
        <v>21</v>
      </c>
      <c r="P865" s="29" t="str">
        <f t="shared" si="234"/>
        <v/>
      </c>
      <c r="Q865" s="29" t="str">
        <f t="shared" si="235"/>
        <v/>
      </c>
      <c r="R865" s="29" t="str">
        <f t="shared" si="236"/>
        <v/>
      </c>
      <c r="S865" s="29" t="str">
        <f t="shared" si="237"/>
        <v/>
      </c>
      <c r="T865" s="32" t="str">
        <f t="shared" si="238"/>
        <v/>
      </c>
      <c r="U865" s="32" t="str">
        <f t="shared" si="241"/>
        <v/>
      </c>
      <c r="V865" s="32">
        <f t="shared" si="242"/>
        <v>1</v>
      </c>
      <c r="W865" s="41">
        <f t="shared" si="239"/>
        <v>3.0260473493456255</v>
      </c>
      <c r="X865" s="6">
        <f t="shared" si="240"/>
        <v>0</v>
      </c>
      <c r="Y865" s="7">
        <f t="shared" si="243"/>
        <v>567</v>
      </c>
      <c r="AA865" s="7">
        <f t="shared" si="244"/>
        <v>0</v>
      </c>
      <c r="AB865" s="7" t="str">
        <f t="shared" si="245"/>
        <v/>
      </c>
      <c r="AC865" s="7">
        <f t="shared" si="246"/>
        <v>0</v>
      </c>
      <c r="AD865" s="7" t="str">
        <f t="shared" si="247"/>
        <v/>
      </c>
      <c r="AE865" s="6">
        <f t="shared" si="248"/>
        <v>0</v>
      </c>
      <c r="AF865" s="69">
        <f t="shared" si="249"/>
        <v>3.0260473493456255</v>
      </c>
      <c r="AG865" s="6">
        <f t="shared" si="250"/>
        <v>0</v>
      </c>
      <c r="AH865" s="6">
        <f t="shared" si="251"/>
        <v>604</v>
      </c>
    </row>
    <row r="866" spans="8:34" x14ac:dyDescent="0.25">
      <c r="H866" s="7">
        <v>873</v>
      </c>
      <c r="I866" s="7" t="s">
        <v>9</v>
      </c>
      <c r="J866" s="8">
        <v>38298</v>
      </c>
      <c r="K866" s="12" t="s">
        <v>16</v>
      </c>
      <c r="L866" s="9">
        <v>41</v>
      </c>
      <c r="M866" s="10">
        <v>124.81786407447923</v>
      </c>
      <c r="N866" s="7" t="s">
        <v>24</v>
      </c>
      <c r="P866" s="29" t="str">
        <f t="shared" si="234"/>
        <v/>
      </c>
      <c r="Q866" s="29" t="str">
        <f t="shared" si="235"/>
        <v/>
      </c>
      <c r="R866" s="29" t="str">
        <f t="shared" si="236"/>
        <v/>
      </c>
      <c r="S866" s="29">
        <f t="shared" si="237"/>
        <v>1</v>
      </c>
      <c r="T866" s="32" t="str">
        <f t="shared" si="238"/>
        <v/>
      </c>
      <c r="U866" s="32" t="str">
        <f t="shared" si="241"/>
        <v/>
      </c>
      <c r="V866" s="32" t="str">
        <f t="shared" si="242"/>
        <v/>
      </c>
      <c r="W866" s="41">
        <f t="shared" si="239"/>
        <v>3.0443381481580301</v>
      </c>
      <c r="X866" s="6">
        <f t="shared" si="240"/>
        <v>0</v>
      </c>
      <c r="Y866" s="7">
        <f t="shared" si="243"/>
        <v>567</v>
      </c>
      <c r="AA866" s="7">
        <f t="shared" si="244"/>
        <v>0</v>
      </c>
      <c r="AB866" s="7" t="str">
        <f t="shared" si="245"/>
        <v/>
      </c>
      <c r="AC866" s="7">
        <f t="shared" si="246"/>
        <v>0</v>
      </c>
      <c r="AD866" s="7" t="str">
        <f t="shared" si="247"/>
        <v/>
      </c>
      <c r="AE866" s="6">
        <f t="shared" si="248"/>
        <v>0</v>
      </c>
      <c r="AF866" s="69">
        <f t="shared" si="249"/>
        <v>3.0443381481580301</v>
      </c>
      <c r="AG866" s="6">
        <f t="shared" si="250"/>
        <v>124.81786407447923</v>
      </c>
      <c r="AH866" s="6">
        <f t="shared" si="251"/>
        <v>324</v>
      </c>
    </row>
    <row r="867" spans="8:34" x14ac:dyDescent="0.25">
      <c r="H867" s="7">
        <v>874</v>
      </c>
      <c r="I867" s="7" t="s">
        <v>13</v>
      </c>
      <c r="J867" s="8">
        <v>38540</v>
      </c>
      <c r="K867" s="12" t="s">
        <v>19</v>
      </c>
      <c r="L867" s="9">
        <v>57</v>
      </c>
      <c r="M867" s="10">
        <v>172.96188521453885</v>
      </c>
      <c r="N867" s="7" t="s">
        <v>22</v>
      </c>
      <c r="P867" s="29" t="str">
        <f t="shared" si="234"/>
        <v/>
      </c>
      <c r="Q867" s="29" t="str">
        <f t="shared" si="235"/>
        <v/>
      </c>
      <c r="R867" s="29" t="str">
        <f t="shared" si="236"/>
        <v/>
      </c>
      <c r="S867" s="29" t="str">
        <f t="shared" si="237"/>
        <v/>
      </c>
      <c r="T867" s="32" t="str">
        <f t="shared" si="238"/>
        <v/>
      </c>
      <c r="U867" s="32">
        <f t="shared" si="241"/>
        <v>1</v>
      </c>
      <c r="V867" s="32" t="str">
        <f t="shared" si="242"/>
        <v/>
      </c>
      <c r="W867" s="41">
        <f t="shared" si="239"/>
        <v>3.0344190388515586</v>
      </c>
      <c r="X867" s="6">
        <f t="shared" si="240"/>
        <v>172.96188521453885</v>
      </c>
      <c r="Y867" s="7">
        <f t="shared" si="243"/>
        <v>222</v>
      </c>
      <c r="AA867" s="7">
        <f t="shared" si="244"/>
        <v>1</v>
      </c>
      <c r="AB867" s="7">
        <f t="shared" si="245"/>
        <v>57</v>
      </c>
      <c r="AC867" s="7">
        <f t="shared" si="246"/>
        <v>0</v>
      </c>
      <c r="AD867" s="7" t="str">
        <f t="shared" si="247"/>
        <v/>
      </c>
      <c r="AE867" s="6">
        <f t="shared" si="248"/>
        <v>0</v>
      </c>
      <c r="AF867" s="69">
        <f t="shared" si="249"/>
        <v>3.0344190388515586</v>
      </c>
      <c r="AG867" s="6">
        <f t="shared" si="250"/>
        <v>0</v>
      </c>
      <c r="AH867" s="6">
        <f t="shared" si="251"/>
        <v>604</v>
      </c>
    </row>
    <row r="868" spans="8:34" x14ac:dyDescent="0.25">
      <c r="H868" s="7">
        <v>875</v>
      </c>
      <c r="I868" s="7" t="s">
        <v>15</v>
      </c>
      <c r="J868" s="8">
        <v>38914</v>
      </c>
      <c r="K868" s="12" t="s">
        <v>17</v>
      </c>
      <c r="L868" s="9">
        <v>45</v>
      </c>
      <c r="M868" s="10">
        <v>137.62002289021942</v>
      </c>
      <c r="N868" s="7" t="s">
        <v>23</v>
      </c>
      <c r="P868" s="29" t="str">
        <f t="shared" si="234"/>
        <v/>
      </c>
      <c r="Q868" s="29" t="str">
        <f t="shared" si="235"/>
        <v/>
      </c>
      <c r="R868" s="29" t="str">
        <f t="shared" si="236"/>
        <v/>
      </c>
      <c r="S868" s="29" t="str">
        <f t="shared" si="237"/>
        <v/>
      </c>
      <c r="T868" s="32" t="str">
        <f t="shared" si="238"/>
        <v/>
      </c>
      <c r="U868" s="32" t="str">
        <f t="shared" si="241"/>
        <v/>
      </c>
      <c r="V868" s="32">
        <f t="shared" si="242"/>
        <v>1</v>
      </c>
      <c r="W868" s="41">
        <f t="shared" si="239"/>
        <v>3.0582227308937648</v>
      </c>
      <c r="X868" s="6">
        <f t="shared" si="240"/>
        <v>0</v>
      </c>
      <c r="Y868" s="7">
        <f t="shared" si="243"/>
        <v>567</v>
      </c>
      <c r="AA868" s="7">
        <f t="shared" si="244"/>
        <v>0</v>
      </c>
      <c r="AB868" s="7" t="str">
        <f t="shared" si="245"/>
        <v/>
      </c>
      <c r="AC868" s="7">
        <f t="shared" si="246"/>
        <v>0</v>
      </c>
      <c r="AD868" s="7" t="str">
        <f t="shared" si="247"/>
        <v/>
      </c>
      <c r="AE868" s="6">
        <f t="shared" si="248"/>
        <v>0</v>
      </c>
      <c r="AF868" s="69">
        <f t="shared" si="249"/>
        <v>3.0582227308937648</v>
      </c>
      <c r="AG868" s="6">
        <f t="shared" si="250"/>
        <v>0</v>
      </c>
      <c r="AH868" s="6">
        <f t="shared" si="251"/>
        <v>604</v>
      </c>
    </row>
    <row r="869" spans="8:34" x14ac:dyDescent="0.25">
      <c r="H869" s="7">
        <v>876</v>
      </c>
      <c r="I869" s="7" t="s">
        <v>14</v>
      </c>
      <c r="J869" s="8">
        <v>38793</v>
      </c>
      <c r="K869" s="12" t="s">
        <v>20</v>
      </c>
      <c r="L869" s="9">
        <v>91</v>
      </c>
      <c r="M869" s="10">
        <v>274.91230216083113</v>
      </c>
      <c r="N869" s="7" t="s">
        <v>23</v>
      </c>
      <c r="P869" s="29" t="str">
        <f t="shared" si="234"/>
        <v/>
      </c>
      <c r="Q869" s="29" t="str">
        <f t="shared" si="235"/>
        <v/>
      </c>
      <c r="R869" s="29" t="str">
        <f t="shared" si="236"/>
        <v/>
      </c>
      <c r="S869" s="29" t="str">
        <f t="shared" si="237"/>
        <v/>
      </c>
      <c r="T869" s="32" t="str">
        <f t="shared" si="238"/>
        <v/>
      </c>
      <c r="U869" s="32" t="str">
        <f t="shared" si="241"/>
        <v/>
      </c>
      <c r="V869" s="32">
        <f t="shared" si="242"/>
        <v>1</v>
      </c>
      <c r="W869" s="41">
        <f t="shared" si="239"/>
        <v>3.0210143094596829</v>
      </c>
      <c r="X869" s="6">
        <f t="shared" si="240"/>
        <v>0</v>
      </c>
      <c r="Y869" s="7">
        <f t="shared" si="243"/>
        <v>567</v>
      </c>
      <c r="AA869" s="7">
        <f t="shared" si="244"/>
        <v>0</v>
      </c>
      <c r="AB869" s="7" t="str">
        <f t="shared" si="245"/>
        <v/>
      </c>
      <c r="AC869" s="7">
        <f t="shared" si="246"/>
        <v>0</v>
      </c>
      <c r="AD869" s="7" t="str">
        <f t="shared" si="247"/>
        <v/>
      </c>
      <c r="AE869" s="6">
        <f t="shared" si="248"/>
        <v>0</v>
      </c>
      <c r="AF869" s="69">
        <f t="shared" si="249"/>
        <v>3.0210143094596829</v>
      </c>
      <c r="AG869" s="6">
        <f t="shared" si="250"/>
        <v>0</v>
      </c>
      <c r="AH869" s="6">
        <f t="shared" si="251"/>
        <v>604</v>
      </c>
    </row>
    <row r="870" spans="8:34" x14ac:dyDescent="0.25">
      <c r="H870" s="7">
        <v>877</v>
      </c>
      <c r="I870" s="7" t="s">
        <v>13</v>
      </c>
      <c r="J870" s="8">
        <v>38375</v>
      </c>
      <c r="K870" s="12" t="s">
        <v>20</v>
      </c>
      <c r="L870" s="9">
        <v>49</v>
      </c>
      <c r="M870" s="10">
        <v>149.04131306617498</v>
      </c>
      <c r="N870" s="7" t="s">
        <v>23</v>
      </c>
      <c r="P870" s="29" t="str">
        <f t="shared" si="234"/>
        <v/>
      </c>
      <c r="Q870" s="29" t="str">
        <f t="shared" si="235"/>
        <v/>
      </c>
      <c r="R870" s="29" t="str">
        <f t="shared" si="236"/>
        <v/>
      </c>
      <c r="S870" s="29" t="str">
        <f t="shared" si="237"/>
        <v/>
      </c>
      <c r="T870" s="32" t="str">
        <f t="shared" si="238"/>
        <v/>
      </c>
      <c r="U870" s="32">
        <f t="shared" si="241"/>
        <v>1</v>
      </c>
      <c r="V870" s="32" t="str">
        <f t="shared" si="242"/>
        <v/>
      </c>
      <c r="W870" s="41">
        <f t="shared" si="239"/>
        <v>3.0416594503301018</v>
      </c>
      <c r="X870" s="6">
        <f t="shared" si="240"/>
        <v>149.04131306617498</v>
      </c>
      <c r="Y870" s="7">
        <f t="shared" si="243"/>
        <v>274</v>
      </c>
      <c r="AA870" s="7">
        <f t="shared" si="244"/>
        <v>1</v>
      </c>
      <c r="AB870" s="7">
        <f t="shared" si="245"/>
        <v>49</v>
      </c>
      <c r="AC870" s="7">
        <f t="shared" si="246"/>
        <v>0</v>
      </c>
      <c r="AD870" s="7" t="str">
        <f t="shared" si="247"/>
        <v/>
      </c>
      <c r="AE870" s="6">
        <f t="shared" si="248"/>
        <v>0</v>
      </c>
      <c r="AF870" s="69">
        <f t="shared" si="249"/>
        <v>3.0416594503301018</v>
      </c>
      <c r="AG870" s="6">
        <f t="shared" si="250"/>
        <v>0</v>
      </c>
      <c r="AH870" s="6">
        <f t="shared" si="251"/>
        <v>604</v>
      </c>
    </row>
    <row r="871" spans="8:34" x14ac:dyDescent="0.25">
      <c r="H871" s="7">
        <v>878</v>
      </c>
      <c r="I871" s="7" t="s">
        <v>7</v>
      </c>
      <c r="J871" s="8">
        <v>38254</v>
      </c>
      <c r="K871" s="12" t="s">
        <v>17</v>
      </c>
      <c r="L871" s="9">
        <v>68</v>
      </c>
      <c r="M871" s="10">
        <v>206.16097800045316</v>
      </c>
      <c r="N871" s="7" t="s">
        <v>23</v>
      </c>
      <c r="P871" s="29" t="str">
        <f t="shared" si="234"/>
        <v/>
      </c>
      <c r="Q871" s="29" t="str">
        <f t="shared" si="235"/>
        <v/>
      </c>
      <c r="R871" s="29">
        <f t="shared" si="236"/>
        <v>1</v>
      </c>
      <c r="S871" s="29" t="str">
        <f t="shared" si="237"/>
        <v/>
      </c>
      <c r="T871" s="32" t="str">
        <f t="shared" si="238"/>
        <v/>
      </c>
      <c r="U871" s="32" t="str">
        <f t="shared" si="241"/>
        <v/>
      </c>
      <c r="V871" s="32" t="str">
        <f t="shared" si="242"/>
        <v/>
      </c>
      <c r="W871" s="41">
        <f t="shared" si="239"/>
        <v>3.031779088241958</v>
      </c>
      <c r="X871" s="6">
        <f t="shared" si="240"/>
        <v>0</v>
      </c>
      <c r="Y871" s="7">
        <f t="shared" si="243"/>
        <v>567</v>
      </c>
      <c r="AA871" s="7">
        <f t="shared" si="244"/>
        <v>0</v>
      </c>
      <c r="AB871" s="7" t="str">
        <f t="shared" si="245"/>
        <v/>
      </c>
      <c r="AC871" s="7">
        <f t="shared" si="246"/>
        <v>0</v>
      </c>
      <c r="AD871" s="7" t="str">
        <f t="shared" si="247"/>
        <v/>
      </c>
      <c r="AE871" s="6">
        <f t="shared" si="248"/>
        <v>0</v>
      </c>
      <c r="AF871" s="69">
        <f t="shared" si="249"/>
        <v>3.031779088241958</v>
      </c>
      <c r="AG871" s="6">
        <f t="shared" si="250"/>
        <v>206.16097800045316</v>
      </c>
      <c r="AH871" s="6">
        <f t="shared" si="251"/>
        <v>163</v>
      </c>
    </row>
    <row r="872" spans="8:34" x14ac:dyDescent="0.25">
      <c r="H872" s="7">
        <v>879</v>
      </c>
      <c r="I872" s="7" t="s">
        <v>11</v>
      </c>
      <c r="J872" s="8">
        <v>38397</v>
      </c>
      <c r="K872" s="12" t="s">
        <v>19</v>
      </c>
      <c r="L872" s="9">
        <v>38</v>
      </c>
      <c r="M872" s="10">
        <v>116.64480895861564</v>
      </c>
      <c r="N872" s="7" t="s">
        <v>23</v>
      </c>
      <c r="P872" s="29" t="str">
        <f t="shared" si="234"/>
        <v/>
      </c>
      <c r="Q872" s="29" t="str">
        <f t="shared" si="235"/>
        <v/>
      </c>
      <c r="R872" s="29" t="str">
        <f t="shared" si="236"/>
        <v/>
      </c>
      <c r="S872" s="29" t="str">
        <f t="shared" si="237"/>
        <v/>
      </c>
      <c r="T872" s="32" t="str">
        <f t="shared" si="238"/>
        <v/>
      </c>
      <c r="U872" s="32">
        <f t="shared" si="241"/>
        <v>1</v>
      </c>
      <c r="V872" s="32" t="str">
        <f t="shared" si="242"/>
        <v/>
      </c>
      <c r="W872" s="41">
        <f t="shared" si="239"/>
        <v>3.0696002357530432</v>
      </c>
      <c r="X872" s="6">
        <f t="shared" si="240"/>
        <v>116.64480895861564</v>
      </c>
      <c r="Y872" s="7">
        <f t="shared" si="243"/>
        <v>322</v>
      </c>
      <c r="AA872" s="7">
        <f t="shared" si="244"/>
        <v>1</v>
      </c>
      <c r="AB872" s="7">
        <f t="shared" si="245"/>
        <v>38</v>
      </c>
      <c r="AC872" s="7">
        <f t="shared" si="246"/>
        <v>0</v>
      </c>
      <c r="AD872" s="7" t="str">
        <f t="shared" si="247"/>
        <v/>
      </c>
      <c r="AE872" s="6">
        <f t="shared" si="248"/>
        <v>0</v>
      </c>
      <c r="AF872" s="69">
        <f t="shared" si="249"/>
        <v>3.0696002357530432</v>
      </c>
      <c r="AG872" s="6">
        <f t="shared" si="250"/>
        <v>0</v>
      </c>
      <c r="AH872" s="6">
        <f t="shared" si="251"/>
        <v>604</v>
      </c>
    </row>
    <row r="873" spans="8:34" x14ac:dyDescent="0.25">
      <c r="H873" s="7">
        <v>880</v>
      </c>
      <c r="I873" s="7" t="s">
        <v>9</v>
      </c>
      <c r="J873" s="8">
        <v>38980</v>
      </c>
      <c r="K873" s="12" t="s">
        <v>18</v>
      </c>
      <c r="L873" s="9">
        <v>4</v>
      </c>
      <c r="M873" s="10">
        <v>15.205643253032669</v>
      </c>
      <c r="N873" s="7" t="s">
        <v>21</v>
      </c>
      <c r="P873" s="29" t="str">
        <f t="shared" si="234"/>
        <v/>
      </c>
      <c r="Q873" s="29" t="str">
        <f t="shared" si="235"/>
        <v/>
      </c>
      <c r="R873" s="29" t="str">
        <f t="shared" si="236"/>
        <v/>
      </c>
      <c r="S873" s="29" t="str">
        <f t="shared" si="237"/>
        <v/>
      </c>
      <c r="T873" s="32" t="str">
        <f t="shared" si="238"/>
        <v/>
      </c>
      <c r="U873" s="32" t="str">
        <f t="shared" si="241"/>
        <v/>
      </c>
      <c r="V873" s="32">
        <f t="shared" si="242"/>
        <v>1</v>
      </c>
      <c r="W873" s="41">
        <f t="shared" si="239"/>
        <v>3.8014108132581672</v>
      </c>
      <c r="X873" s="6">
        <f t="shared" si="240"/>
        <v>0</v>
      </c>
      <c r="Y873" s="7">
        <f t="shared" si="243"/>
        <v>567</v>
      </c>
      <c r="AA873" s="7">
        <f t="shared" si="244"/>
        <v>0</v>
      </c>
      <c r="AB873" s="7" t="str">
        <f t="shared" si="245"/>
        <v/>
      </c>
      <c r="AC873" s="7">
        <f t="shared" si="246"/>
        <v>0</v>
      </c>
      <c r="AD873" s="7" t="str">
        <f t="shared" si="247"/>
        <v/>
      </c>
      <c r="AE873" s="6">
        <f t="shared" si="248"/>
        <v>0</v>
      </c>
      <c r="AF873" s="69">
        <f t="shared" si="249"/>
        <v>3.8014108132581672</v>
      </c>
      <c r="AG873" s="6">
        <f t="shared" si="250"/>
        <v>0</v>
      </c>
      <c r="AH873" s="6">
        <f t="shared" si="251"/>
        <v>604</v>
      </c>
    </row>
    <row r="874" spans="8:34" x14ac:dyDescent="0.25">
      <c r="H874" s="7">
        <v>881</v>
      </c>
      <c r="I874" s="7" t="s">
        <v>13</v>
      </c>
      <c r="J874" s="8">
        <v>38452</v>
      </c>
      <c r="K874" s="12" t="s">
        <v>20</v>
      </c>
      <c r="L874" s="9">
        <v>45</v>
      </c>
      <c r="M874" s="10">
        <v>137.05484034063696</v>
      </c>
      <c r="N874" s="7" t="s">
        <v>24</v>
      </c>
      <c r="P874" s="29" t="str">
        <f t="shared" si="234"/>
        <v/>
      </c>
      <c r="Q874" s="29" t="str">
        <f t="shared" si="235"/>
        <v/>
      </c>
      <c r="R874" s="29" t="str">
        <f t="shared" si="236"/>
        <v/>
      </c>
      <c r="S874" s="29" t="str">
        <f t="shared" si="237"/>
        <v/>
      </c>
      <c r="T874" s="32" t="str">
        <f t="shared" si="238"/>
        <v/>
      </c>
      <c r="U874" s="32">
        <f t="shared" si="241"/>
        <v>1</v>
      </c>
      <c r="V874" s="32" t="str">
        <f t="shared" si="242"/>
        <v/>
      </c>
      <c r="W874" s="41">
        <f t="shared" si="239"/>
        <v>3.0456631186808214</v>
      </c>
      <c r="X874" s="6">
        <f t="shared" si="240"/>
        <v>137.05484034063696</v>
      </c>
      <c r="Y874" s="7">
        <f t="shared" si="243"/>
        <v>294</v>
      </c>
      <c r="AA874" s="7">
        <f t="shared" si="244"/>
        <v>0</v>
      </c>
      <c r="AB874" s="7" t="str">
        <f t="shared" si="245"/>
        <v/>
      </c>
      <c r="AC874" s="7">
        <f t="shared" si="246"/>
        <v>1</v>
      </c>
      <c r="AD874" s="7">
        <f t="shared" si="247"/>
        <v>45</v>
      </c>
      <c r="AE874" s="6">
        <f t="shared" si="248"/>
        <v>0</v>
      </c>
      <c r="AF874" s="69">
        <f t="shared" si="249"/>
        <v>3.0456631186808214</v>
      </c>
      <c r="AG874" s="6">
        <f t="shared" si="250"/>
        <v>0</v>
      </c>
      <c r="AH874" s="6">
        <f t="shared" si="251"/>
        <v>604</v>
      </c>
    </row>
    <row r="875" spans="8:34" x14ac:dyDescent="0.25">
      <c r="H875" s="7">
        <v>882</v>
      </c>
      <c r="I875" s="7" t="s">
        <v>12</v>
      </c>
      <c r="J875" s="8">
        <v>38331</v>
      </c>
      <c r="K875" s="12" t="s">
        <v>20</v>
      </c>
      <c r="L875" s="9">
        <v>85</v>
      </c>
      <c r="M875" s="10">
        <v>256.6581063828105</v>
      </c>
      <c r="N875" s="7" t="s">
        <v>22</v>
      </c>
      <c r="P875" s="29" t="str">
        <f t="shared" si="234"/>
        <v/>
      </c>
      <c r="Q875" s="29" t="str">
        <f t="shared" si="235"/>
        <v/>
      </c>
      <c r="R875" s="29" t="str">
        <f t="shared" si="236"/>
        <v/>
      </c>
      <c r="S875" s="29">
        <f t="shared" si="237"/>
        <v>1</v>
      </c>
      <c r="T875" s="32" t="str">
        <f t="shared" si="238"/>
        <v/>
      </c>
      <c r="U875" s="32" t="str">
        <f t="shared" si="241"/>
        <v/>
      </c>
      <c r="V875" s="32" t="str">
        <f t="shared" si="242"/>
        <v/>
      </c>
      <c r="W875" s="41">
        <f t="shared" si="239"/>
        <v>3.0195071339154178</v>
      </c>
      <c r="X875" s="6">
        <f t="shared" si="240"/>
        <v>0</v>
      </c>
      <c r="Y875" s="7">
        <f t="shared" si="243"/>
        <v>567</v>
      </c>
      <c r="AA875" s="7">
        <f t="shared" si="244"/>
        <v>0</v>
      </c>
      <c r="AB875" s="7" t="str">
        <f t="shared" si="245"/>
        <v/>
      </c>
      <c r="AC875" s="7">
        <f t="shared" si="246"/>
        <v>0</v>
      </c>
      <c r="AD875" s="7" t="str">
        <f t="shared" si="247"/>
        <v/>
      </c>
      <c r="AE875" s="6">
        <f t="shared" si="248"/>
        <v>0</v>
      </c>
      <c r="AF875" s="69">
        <f t="shared" si="249"/>
        <v>3.0195071339154178</v>
      </c>
      <c r="AG875" s="6">
        <f t="shared" si="250"/>
        <v>256.6581063828105</v>
      </c>
      <c r="AH875" s="6">
        <f t="shared" si="251"/>
        <v>58</v>
      </c>
    </row>
    <row r="876" spans="8:34" x14ac:dyDescent="0.25">
      <c r="H876" s="7">
        <v>883</v>
      </c>
      <c r="I876" s="7" t="s">
        <v>13</v>
      </c>
      <c r="J876" s="8">
        <v>38540</v>
      </c>
      <c r="K876" s="12" t="s">
        <v>19</v>
      </c>
      <c r="L876" s="9">
        <v>57</v>
      </c>
      <c r="M876" s="10">
        <v>173.05666995199584</v>
      </c>
      <c r="N876" s="7" t="s">
        <v>22</v>
      </c>
      <c r="P876" s="29" t="str">
        <f t="shared" si="234"/>
        <v/>
      </c>
      <c r="Q876" s="29" t="str">
        <f t="shared" si="235"/>
        <v/>
      </c>
      <c r="R876" s="29" t="str">
        <f t="shared" si="236"/>
        <v/>
      </c>
      <c r="S876" s="29" t="str">
        <f t="shared" si="237"/>
        <v/>
      </c>
      <c r="T876" s="32" t="str">
        <f t="shared" si="238"/>
        <v/>
      </c>
      <c r="U876" s="32">
        <f t="shared" si="241"/>
        <v>1</v>
      </c>
      <c r="V876" s="32" t="str">
        <f t="shared" si="242"/>
        <v/>
      </c>
      <c r="W876" s="41">
        <f t="shared" si="239"/>
        <v>3.0360819289823833</v>
      </c>
      <c r="X876" s="6">
        <f t="shared" si="240"/>
        <v>173.05666995199584</v>
      </c>
      <c r="Y876" s="7">
        <f t="shared" si="243"/>
        <v>221</v>
      </c>
      <c r="AA876" s="7">
        <f t="shared" si="244"/>
        <v>1</v>
      </c>
      <c r="AB876" s="7">
        <f t="shared" si="245"/>
        <v>57</v>
      </c>
      <c r="AC876" s="7">
        <f t="shared" si="246"/>
        <v>0</v>
      </c>
      <c r="AD876" s="7" t="str">
        <f t="shared" si="247"/>
        <v/>
      </c>
      <c r="AE876" s="6">
        <f t="shared" si="248"/>
        <v>0</v>
      </c>
      <c r="AF876" s="69">
        <f t="shared" si="249"/>
        <v>3.0360819289823833</v>
      </c>
      <c r="AG876" s="6">
        <f t="shared" si="250"/>
        <v>0</v>
      </c>
      <c r="AH876" s="6">
        <f t="shared" si="251"/>
        <v>604</v>
      </c>
    </row>
    <row r="877" spans="8:34" x14ac:dyDescent="0.25">
      <c r="H877" s="7">
        <v>884</v>
      </c>
      <c r="I877" s="7" t="s">
        <v>10</v>
      </c>
      <c r="J877" s="8">
        <v>38672</v>
      </c>
      <c r="K877" s="12" t="s">
        <v>20</v>
      </c>
      <c r="L877" s="9">
        <v>-3</v>
      </c>
      <c r="M877" s="10">
        <v>-6.3637861287644046</v>
      </c>
      <c r="N877" s="7" t="s">
        <v>24</v>
      </c>
      <c r="P877" s="29" t="str">
        <f t="shared" si="234"/>
        <v/>
      </c>
      <c r="Q877" s="29" t="str">
        <f t="shared" si="235"/>
        <v/>
      </c>
      <c r="R877" s="29" t="str">
        <f t="shared" si="236"/>
        <v/>
      </c>
      <c r="S877" s="29" t="str">
        <f t="shared" si="237"/>
        <v/>
      </c>
      <c r="T877" s="32">
        <f t="shared" si="238"/>
        <v>1</v>
      </c>
      <c r="U877" s="32">
        <f t="shared" si="241"/>
        <v>1</v>
      </c>
      <c r="V877" s="32" t="str">
        <f t="shared" si="242"/>
        <v/>
      </c>
      <c r="W877" s="41" t="str">
        <f t="shared" si="239"/>
        <v/>
      </c>
      <c r="X877" s="6">
        <f t="shared" si="240"/>
        <v>-6.3637861287644046</v>
      </c>
      <c r="Y877" s="7">
        <f t="shared" si="243"/>
        <v>1852</v>
      </c>
      <c r="AA877" s="7">
        <f t="shared" si="244"/>
        <v>0</v>
      </c>
      <c r="AB877" s="7" t="str">
        <f t="shared" si="245"/>
        <v/>
      </c>
      <c r="AC877" s="7">
        <f t="shared" si="246"/>
        <v>1</v>
      </c>
      <c r="AD877" s="7">
        <f t="shared" si="247"/>
        <v>-3</v>
      </c>
      <c r="AE877" s="6">
        <f t="shared" si="248"/>
        <v>-3</v>
      </c>
      <c r="AF877" s="69" t="str">
        <f t="shared" si="249"/>
        <v/>
      </c>
      <c r="AG877" s="6">
        <f t="shared" si="250"/>
        <v>0</v>
      </c>
      <c r="AH877" s="6">
        <f t="shared" si="251"/>
        <v>604</v>
      </c>
    </row>
    <row r="878" spans="8:34" x14ac:dyDescent="0.25">
      <c r="H878" s="7">
        <v>885</v>
      </c>
      <c r="I878" s="7" t="s">
        <v>15</v>
      </c>
      <c r="J878" s="8">
        <v>38936</v>
      </c>
      <c r="K878" s="12" t="s">
        <v>18</v>
      </c>
      <c r="L878" s="9">
        <v>-9</v>
      </c>
      <c r="M878" s="10">
        <v>-24.858670230760346</v>
      </c>
      <c r="N878" s="7" t="s">
        <v>22</v>
      </c>
      <c r="P878" s="29" t="str">
        <f t="shared" si="234"/>
        <v/>
      </c>
      <c r="Q878" s="29" t="str">
        <f t="shared" si="235"/>
        <v/>
      </c>
      <c r="R878" s="29" t="str">
        <f t="shared" si="236"/>
        <v/>
      </c>
      <c r="S878" s="29" t="str">
        <f t="shared" si="237"/>
        <v/>
      </c>
      <c r="T878" s="32" t="str">
        <f t="shared" si="238"/>
        <v/>
      </c>
      <c r="U878" s="32" t="str">
        <f t="shared" si="241"/>
        <v/>
      </c>
      <c r="V878" s="32">
        <f t="shared" si="242"/>
        <v>1</v>
      </c>
      <c r="W878" s="41" t="str">
        <f t="shared" si="239"/>
        <v/>
      </c>
      <c r="X878" s="6">
        <f t="shared" si="240"/>
        <v>0</v>
      </c>
      <c r="Y878" s="7">
        <f t="shared" si="243"/>
        <v>567</v>
      </c>
      <c r="AA878" s="7">
        <f t="shared" si="244"/>
        <v>0</v>
      </c>
      <c r="AB878" s="7" t="str">
        <f t="shared" si="245"/>
        <v/>
      </c>
      <c r="AC878" s="7">
        <f t="shared" si="246"/>
        <v>0</v>
      </c>
      <c r="AD878" s="7" t="str">
        <f t="shared" si="247"/>
        <v/>
      </c>
      <c r="AE878" s="6">
        <f t="shared" si="248"/>
        <v>-9</v>
      </c>
      <c r="AF878" s="69" t="str">
        <f t="shared" si="249"/>
        <v/>
      </c>
      <c r="AG878" s="6">
        <f t="shared" si="250"/>
        <v>0</v>
      </c>
      <c r="AH878" s="6">
        <f t="shared" si="251"/>
        <v>604</v>
      </c>
    </row>
    <row r="879" spans="8:34" x14ac:dyDescent="0.25">
      <c r="H879" s="7">
        <v>886</v>
      </c>
      <c r="I879" s="7" t="s">
        <v>10</v>
      </c>
      <c r="J879" s="8">
        <v>38100</v>
      </c>
      <c r="K879" s="12" t="s">
        <v>16</v>
      </c>
      <c r="L879" s="9">
        <v>86</v>
      </c>
      <c r="M879" s="10">
        <v>260.29381913398618</v>
      </c>
      <c r="N879" s="7" t="s">
        <v>22</v>
      </c>
      <c r="P879" s="29" t="str">
        <f t="shared" si="234"/>
        <v/>
      </c>
      <c r="Q879" s="29">
        <f t="shared" si="235"/>
        <v>1</v>
      </c>
      <c r="R879" s="29" t="str">
        <f t="shared" si="236"/>
        <v/>
      </c>
      <c r="S879" s="29" t="str">
        <f t="shared" si="237"/>
        <v/>
      </c>
      <c r="T879" s="32" t="str">
        <f t="shared" si="238"/>
        <v/>
      </c>
      <c r="U879" s="32" t="str">
        <f t="shared" si="241"/>
        <v/>
      </c>
      <c r="V879" s="32" t="str">
        <f t="shared" si="242"/>
        <v/>
      </c>
      <c r="W879" s="41">
        <f t="shared" si="239"/>
        <v>3.0266723155114672</v>
      </c>
      <c r="X879" s="6">
        <f t="shared" si="240"/>
        <v>0</v>
      </c>
      <c r="Y879" s="7">
        <f t="shared" si="243"/>
        <v>567</v>
      </c>
      <c r="AA879" s="7">
        <f t="shared" si="244"/>
        <v>0</v>
      </c>
      <c r="AB879" s="7" t="str">
        <f t="shared" si="245"/>
        <v/>
      </c>
      <c r="AC879" s="7">
        <f t="shared" si="246"/>
        <v>0</v>
      </c>
      <c r="AD879" s="7" t="str">
        <f t="shared" si="247"/>
        <v/>
      </c>
      <c r="AE879" s="6">
        <f t="shared" si="248"/>
        <v>0</v>
      </c>
      <c r="AF879" s="69">
        <f t="shared" si="249"/>
        <v>3.0266723155114672</v>
      </c>
      <c r="AG879" s="6">
        <f t="shared" si="250"/>
        <v>260.29381913398618</v>
      </c>
      <c r="AH879" s="6">
        <f t="shared" si="251"/>
        <v>51</v>
      </c>
    </row>
    <row r="880" spans="8:34" x14ac:dyDescent="0.25">
      <c r="H880" s="7">
        <v>887</v>
      </c>
      <c r="I880" s="7" t="s">
        <v>14</v>
      </c>
      <c r="J880" s="8">
        <v>38419</v>
      </c>
      <c r="K880" s="12" t="s">
        <v>18</v>
      </c>
      <c r="L880" s="9">
        <v>11</v>
      </c>
      <c r="M880" s="10">
        <v>35.041684359746164</v>
      </c>
      <c r="N880" s="7" t="s">
        <v>24</v>
      </c>
      <c r="P880" s="29" t="str">
        <f t="shared" si="234"/>
        <v/>
      </c>
      <c r="Q880" s="29" t="str">
        <f t="shared" si="235"/>
        <v/>
      </c>
      <c r="R880" s="29" t="str">
        <f t="shared" si="236"/>
        <v/>
      </c>
      <c r="S880" s="29" t="str">
        <f t="shared" si="237"/>
        <v/>
      </c>
      <c r="T880" s="32" t="str">
        <f t="shared" si="238"/>
        <v/>
      </c>
      <c r="U880" s="32">
        <f t="shared" si="241"/>
        <v>1</v>
      </c>
      <c r="V880" s="32" t="str">
        <f t="shared" si="242"/>
        <v/>
      </c>
      <c r="W880" s="41">
        <f t="shared" si="239"/>
        <v>3.1856076690678332</v>
      </c>
      <c r="X880" s="6">
        <f t="shared" si="240"/>
        <v>35.041684359746164</v>
      </c>
      <c r="Y880" s="7">
        <f t="shared" si="243"/>
        <v>490</v>
      </c>
      <c r="AA880" s="7">
        <f t="shared" si="244"/>
        <v>1</v>
      </c>
      <c r="AB880" s="7">
        <f t="shared" si="245"/>
        <v>11</v>
      </c>
      <c r="AC880" s="7">
        <f t="shared" si="246"/>
        <v>0</v>
      </c>
      <c r="AD880" s="7" t="str">
        <f t="shared" si="247"/>
        <v/>
      </c>
      <c r="AE880" s="6">
        <f t="shared" si="248"/>
        <v>0</v>
      </c>
      <c r="AF880" s="69">
        <f t="shared" si="249"/>
        <v>3.1856076690678332</v>
      </c>
      <c r="AG880" s="6">
        <f t="shared" si="250"/>
        <v>0</v>
      </c>
      <c r="AH880" s="6">
        <f t="shared" si="251"/>
        <v>604</v>
      </c>
    </row>
    <row r="881" spans="8:34" x14ac:dyDescent="0.25">
      <c r="H881" s="7">
        <v>888</v>
      </c>
      <c r="I881" s="7" t="s">
        <v>11</v>
      </c>
      <c r="J881" s="8">
        <v>38001</v>
      </c>
      <c r="K881" s="12" t="s">
        <v>20</v>
      </c>
      <c r="L881" s="9">
        <v>87</v>
      </c>
      <c r="M881" s="10">
        <v>262.7592489136066</v>
      </c>
      <c r="N881" s="7" t="s">
        <v>22</v>
      </c>
      <c r="P881" s="29">
        <f t="shared" si="234"/>
        <v>1</v>
      </c>
      <c r="Q881" s="29" t="str">
        <f t="shared" si="235"/>
        <v/>
      </c>
      <c r="R881" s="29" t="str">
        <f t="shared" si="236"/>
        <v/>
      </c>
      <c r="S881" s="29" t="str">
        <f t="shared" si="237"/>
        <v/>
      </c>
      <c r="T881" s="32" t="str">
        <f t="shared" si="238"/>
        <v/>
      </c>
      <c r="U881" s="32" t="str">
        <f t="shared" si="241"/>
        <v/>
      </c>
      <c r="V881" s="32" t="str">
        <f t="shared" si="242"/>
        <v/>
      </c>
      <c r="W881" s="41">
        <f t="shared" si="239"/>
        <v>3.0202212518805358</v>
      </c>
      <c r="X881" s="6">
        <f t="shared" si="240"/>
        <v>0</v>
      </c>
      <c r="Y881" s="7">
        <f t="shared" si="243"/>
        <v>567</v>
      </c>
      <c r="AA881" s="7">
        <f t="shared" si="244"/>
        <v>0</v>
      </c>
      <c r="AB881" s="7" t="str">
        <f t="shared" si="245"/>
        <v/>
      </c>
      <c r="AC881" s="7">
        <f t="shared" si="246"/>
        <v>0</v>
      </c>
      <c r="AD881" s="7" t="str">
        <f t="shared" si="247"/>
        <v/>
      </c>
      <c r="AE881" s="6">
        <f t="shared" si="248"/>
        <v>0</v>
      </c>
      <c r="AF881" s="69">
        <f t="shared" si="249"/>
        <v>3.0202212518805358</v>
      </c>
      <c r="AG881" s="6">
        <f t="shared" si="250"/>
        <v>262.7592489136066</v>
      </c>
      <c r="AH881" s="6">
        <f t="shared" si="251"/>
        <v>50</v>
      </c>
    </row>
    <row r="882" spans="8:34" x14ac:dyDescent="0.25">
      <c r="H882" s="7">
        <v>889</v>
      </c>
      <c r="I882" s="7" t="s">
        <v>11</v>
      </c>
      <c r="J882" s="8">
        <v>38199</v>
      </c>
      <c r="K882" s="12" t="s">
        <v>16</v>
      </c>
      <c r="L882" s="9">
        <v>86</v>
      </c>
      <c r="M882" s="10">
        <v>260.00914889996403</v>
      </c>
      <c r="N882" s="7" t="s">
        <v>21</v>
      </c>
      <c r="P882" s="29" t="str">
        <f t="shared" si="234"/>
        <v/>
      </c>
      <c r="Q882" s="29" t="str">
        <f t="shared" si="235"/>
        <v/>
      </c>
      <c r="R882" s="29">
        <f t="shared" si="236"/>
        <v>1</v>
      </c>
      <c r="S882" s="29" t="str">
        <f t="shared" si="237"/>
        <v/>
      </c>
      <c r="T882" s="32" t="str">
        <f t="shared" si="238"/>
        <v/>
      </c>
      <c r="U882" s="32" t="str">
        <f t="shared" si="241"/>
        <v/>
      </c>
      <c r="V882" s="32" t="str">
        <f t="shared" si="242"/>
        <v/>
      </c>
      <c r="W882" s="41">
        <f t="shared" si="239"/>
        <v>3.0233621965112096</v>
      </c>
      <c r="X882" s="6">
        <f t="shared" si="240"/>
        <v>0</v>
      </c>
      <c r="Y882" s="7">
        <f t="shared" si="243"/>
        <v>567</v>
      </c>
      <c r="AA882" s="7">
        <f t="shared" si="244"/>
        <v>0</v>
      </c>
      <c r="AB882" s="7" t="str">
        <f t="shared" si="245"/>
        <v/>
      </c>
      <c r="AC882" s="7">
        <f t="shared" si="246"/>
        <v>0</v>
      </c>
      <c r="AD882" s="7" t="str">
        <f t="shared" si="247"/>
        <v/>
      </c>
      <c r="AE882" s="6">
        <f t="shared" si="248"/>
        <v>0</v>
      </c>
      <c r="AF882" s="69">
        <f t="shared" si="249"/>
        <v>3.0233621965112096</v>
      </c>
      <c r="AG882" s="6">
        <f t="shared" si="250"/>
        <v>260.00914889996403</v>
      </c>
      <c r="AH882" s="6">
        <f t="shared" si="251"/>
        <v>53</v>
      </c>
    </row>
    <row r="883" spans="8:34" x14ac:dyDescent="0.25">
      <c r="H883" s="7">
        <v>890</v>
      </c>
      <c r="I883" s="7" t="s">
        <v>7</v>
      </c>
      <c r="J883" s="8">
        <v>38749</v>
      </c>
      <c r="K883" s="12" t="s">
        <v>17</v>
      </c>
      <c r="L883" s="9">
        <v>62</v>
      </c>
      <c r="M883" s="10">
        <v>187.81034616092504</v>
      </c>
      <c r="N883" s="7" t="s">
        <v>23</v>
      </c>
      <c r="P883" s="29" t="str">
        <f t="shared" si="234"/>
        <v/>
      </c>
      <c r="Q883" s="29" t="str">
        <f t="shared" si="235"/>
        <v/>
      </c>
      <c r="R883" s="29" t="str">
        <f t="shared" si="236"/>
        <v/>
      </c>
      <c r="S883" s="29" t="str">
        <f t="shared" si="237"/>
        <v/>
      </c>
      <c r="T883" s="32" t="str">
        <f t="shared" si="238"/>
        <v/>
      </c>
      <c r="U883" s="32" t="str">
        <f t="shared" si="241"/>
        <v/>
      </c>
      <c r="V883" s="32">
        <f t="shared" si="242"/>
        <v>1</v>
      </c>
      <c r="W883" s="41">
        <f t="shared" si="239"/>
        <v>3.0291991316278231</v>
      </c>
      <c r="X883" s="6">
        <f t="shared" si="240"/>
        <v>0</v>
      </c>
      <c r="Y883" s="7">
        <f t="shared" si="243"/>
        <v>567</v>
      </c>
      <c r="AA883" s="7">
        <f t="shared" si="244"/>
        <v>0</v>
      </c>
      <c r="AB883" s="7" t="str">
        <f t="shared" si="245"/>
        <v/>
      </c>
      <c r="AC883" s="7">
        <f t="shared" si="246"/>
        <v>0</v>
      </c>
      <c r="AD883" s="7" t="str">
        <f t="shared" si="247"/>
        <v/>
      </c>
      <c r="AE883" s="6">
        <f t="shared" si="248"/>
        <v>0</v>
      </c>
      <c r="AF883" s="69">
        <f t="shared" si="249"/>
        <v>3.0291991316278231</v>
      </c>
      <c r="AG883" s="6">
        <f t="shared" si="250"/>
        <v>0</v>
      </c>
      <c r="AH883" s="6">
        <f t="shared" si="251"/>
        <v>604</v>
      </c>
    </row>
    <row r="884" spans="8:34" x14ac:dyDescent="0.25">
      <c r="H884" s="7">
        <v>891</v>
      </c>
      <c r="I884" s="7" t="s">
        <v>13</v>
      </c>
      <c r="J884" s="8">
        <v>38914</v>
      </c>
      <c r="K884" s="12" t="s">
        <v>20</v>
      </c>
      <c r="L884" s="9">
        <v>80</v>
      </c>
      <c r="M884" s="10">
        <v>241.85917425037732</v>
      </c>
      <c r="N884" s="7" t="s">
        <v>23</v>
      </c>
      <c r="P884" s="29" t="str">
        <f t="shared" si="234"/>
        <v/>
      </c>
      <c r="Q884" s="29" t="str">
        <f t="shared" si="235"/>
        <v/>
      </c>
      <c r="R884" s="29" t="str">
        <f t="shared" si="236"/>
        <v/>
      </c>
      <c r="S884" s="29" t="str">
        <f t="shared" si="237"/>
        <v/>
      </c>
      <c r="T884" s="32" t="str">
        <f t="shared" si="238"/>
        <v/>
      </c>
      <c r="U884" s="32" t="str">
        <f t="shared" si="241"/>
        <v/>
      </c>
      <c r="V884" s="32">
        <f t="shared" si="242"/>
        <v>1</v>
      </c>
      <c r="W884" s="41">
        <f t="shared" si="239"/>
        <v>3.0232396781297166</v>
      </c>
      <c r="X884" s="6">
        <f t="shared" si="240"/>
        <v>0</v>
      </c>
      <c r="Y884" s="7">
        <f t="shared" si="243"/>
        <v>567</v>
      </c>
      <c r="AA884" s="7">
        <f t="shared" si="244"/>
        <v>0</v>
      </c>
      <c r="AB884" s="7" t="str">
        <f t="shared" si="245"/>
        <v/>
      </c>
      <c r="AC884" s="7">
        <f t="shared" si="246"/>
        <v>0</v>
      </c>
      <c r="AD884" s="7" t="str">
        <f t="shared" si="247"/>
        <v/>
      </c>
      <c r="AE884" s="6">
        <f t="shared" si="248"/>
        <v>0</v>
      </c>
      <c r="AF884" s="69">
        <f t="shared" si="249"/>
        <v>3.0232396781297166</v>
      </c>
      <c r="AG884" s="6">
        <f t="shared" si="250"/>
        <v>0</v>
      </c>
      <c r="AH884" s="6">
        <f t="shared" si="251"/>
        <v>604</v>
      </c>
    </row>
    <row r="885" spans="8:34" x14ac:dyDescent="0.25">
      <c r="H885" s="7">
        <v>892</v>
      </c>
      <c r="I885" s="7" t="s">
        <v>11</v>
      </c>
      <c r="J885" s="8">
        <v>38188</v>
      </c>
      <c r="K885" s="12" t="s">
        <v>19</v>
      </c>
      <c r="L885" s="9">
        <v>11</v>
      </c>
      <c r="M885" s="10">
        <v>34.782314831792192</v>
      </c>
      <c r="N885" s="7" t="s">
        <v>21</v>
      </c>
      <c r="P885" s="29" t="str">
        <f t="shared" si="234"/>
        <v/>
      </c>
      <c r="Q885" s="29" t="str">
        <f t="shared" si="235"/>
        <v/>
      </c>
      <c r="R885" s="29">
        <f t="shared" si="236"/>
        <v>1</v>
      </c>
      <c r="S885" s="29" t="str">
        <f t="shared" si="237"/>
        <v/>
      </c>
      <c r="T885" s="32" t="str">
        <f t="shared" si="238"/>
        <v/>
      </c>
      <c r="U885" s="32" t="str">
        <f t="shared" si="241"/>
        <v/>
      </c>
      <c r="V885" s="32" t="str">
        <f t="shared" si="242"/>
        <v/>
      </c>
      <c r="W885" s="41">
        <f t="shared" si="239"/>
        <v>3.1620286210720177</v>
      </c>
      <c r="X885" s="6">
        <f t="shared" si="240"/>
        <v>0</v>
      </c>
      <c r="Y885" s="7">
        <f t="shared" si="243"/>
        <v>567</v>
      </c>
      <c r="AA885" s="7">
        <f t="shared" si="244"/>
        <v>0</v>
      </c>
      <c r="AB885" s="7" t="str">
        <f t="shared" si="245"/>
        <v/>
      </c>
      <c r="AC885" s="7">
        <f t="shared" si="246"/>
        <v>0</v>
      </c>
      <c r="AD885" s="7" t="str">
        <f t="shared" si="247"/>
        <v/>
      </c>
      <c r="AE885" s="6">
        <f t="shared" si="248"/>
        <v>0</v>
      </c>
      <c r="AF885" s="69">
        <f t="shared" si="249"/>
        <v>3.1620286210720177</v>
      </c>
      <c r="AG885" s="6">
        <f t="shared" si="250"/>
        <v>34.782314831792192</v>
      </c>
      <c r="AH885" s="6">
        <f t="shared" si="251"/>
        <v>521</v>
      </c>
    </row>
    <row r="886" spans="8:34" x14ac:dyDescent="0.25">
      <c r="H886" s="7">
        <v>893</v>
      </c>
      <c r="I886" s="7" t="s">
        <v>11</v>
      </c>
      <c r="J886" s="8">
        <v>38694</v>
      </c>
      <c r="K886" s="12" t="s">
        <v>19</v>
      </c>
      <c r="L886" s="9">
        <v>11</v>
      </c>
      <c r="M886" s="10">
        <v>34.680822827797087</v>
      </c>
      <c r="N886" s="7" t="s">
        <v>22</v>
      </c>
      <c r="P886" s="29" t="str">
        <f t="shared" si="234"/>
        <v/>
      </c>
      <c r="Q886" s="29" t="str">
        <f t="shared" si="235"/>
        <v/>
      </c>
      <c r="R886" s="29" t="str">
        <f t="shared" si="236"/>
        <v/>
      </c>
      <c r="S886" s="29" t="str">
        <f t="shared" si="237"/>
        <v/>
      </c>
      <c r="T886" s="32">
        <f t="shared" si="238"/>
        <v>1</v>
      </c>
      <c r="U886" s="32">
        <f t="shared" si="241"/>
        <v>1</v>
      </c>
      <c r="V886" s="32" t="str">
        <f t="shared" si="242"/>
        <v/>
      </c>
      <c r="W886" s="41">
        <f t="shared" si="239"/>
        <v>3.1528020752542805</v>
      </c>
      <c r="X886" s="6">
        <f t="shared" si="240"/>
        <v>34.680822827797087</v>
      </c>
      <c r="Y886" s="7">
        <f t="shared" si="243"/>
        <v>492</v>
      </c>
      <c r="AA886" s="7">
        <f t="shared" si="244"/>
        <v>0</v>
      </c>
      <c r="AB886" s="7" t="str">
        <f t="shared" si="245"/>
        <v/>
      </c>
      <c r="AC886" s="7">
        <f t="shared" si="246"/>
        <v>1</v>
      </c>
      <c r="AD886" s="7">
        <f t="shared" si="247"/>
        <v>11</v>
      </c>
      <c r="AE886" s="6">
        <f t="shared" si="248"/>
        <v>0</v>
      </c>
      <c r="AF886" s="69">
        <f t="shared" si="249"/>
        <v>3.1528020752542805</v>
      </c>
      <c r="AG886" s="6">
        <f t="shared" si="250"/>
        <v>0</v>
      </c>
      <c r="AH886" s="6">
        <f t="shared" si="251"/>
        <v>604</v>
      </c>
    </row>
    <row r="887" spans="8:34" x14ac:dyDescent="0.25">
      <c r="H887" s="7">
        <v>894</v>
      </c>
      <c r="I887" s="7" t="s">
        <v>15</v>
      </c>
      <c r="J887" s="8">
        <v>38661</v>
      </c>
      <c r="K887" s="12" t="s">
        <v>16</v>
      </c>
      <c r="L887" s="9">
        <v>-4</v>
      </c>
      <c r="M887" s="10">
        <v>-9.7904020756587578</v>
      </c>
      <c r="N887" s="7" t="s">
        <v>21</v>
      </c>
      <c r="P887" s="29" t="str">
        <f t="shared" si="234"/>
        <v/>
      </c>
      <c r="Q887" s="29" t="str">
        <f t="shared" si="235"/>
        <v/>
      </c>
      <c r="R887" s="29" t="str">
        <f t="shared" si="236"/>
        <v/>
      </c>
      <c r="S887" s="29" t="str">
        <f t="shared" si="237"/>
        <v/>
      </c>
      <c r="T887" s="32">
        <f t="shared" si="238"/>
        <v>1</v>
      </c>
      <c r="U887" s="32">
        <f t="shared" si="241"/>
        <v>1</v>
      </c>
      <c r="V887" s="32" t="str">
        <f t="shared" si="242"/>
        <v/>
      </c>
      <c r="W887" s="41" t="str">
        <f t="shared" si="239"/>
        <v/>
      </c>
      <c r="X887" s="6">
        <f t="shared" si="240"/>
        <v>-9.7904020756587578</v>
      </c>
      <c r="Y887" s="7">
        <f t="shared" si="243"/>
        <v>1858</v>
      </c>
      <c r="AA887" s="7">
        <f t="shared" si="244"/>
        <v>0</v>
      </c>
      <c r="AB887" s="7" t="str">
        <f t="shared" si="245"/>
        <v/>
      </c>
      <c r="AC887" s="7">
        <f t="shared" si="246"/>
        <v>1</v>
      </c>
      <c r="AD887" s="7">
        <f t="shared" si="247"/>
        <v>-4</v>
      </c>
      <c r="AE887" s="6">
        <f t="shared" si="248"/>
        <v>-4</v>
      </c>
      <c r="AF887" s="69" t="str">
        <f t="shared" si="249"/>
        <v/>
      </c>
      <c r="AG887" s="6">
        <f t="shared" si="250"/>
        <v>0</v>
      </c>
      <c r="AH887" s="6">
        <f t="shared" si="251"/>
        <v>604</v>
      </c>
    </row>
    <row r="888" spans="8:34" x14ac:dyDescent="0.25">
      <c r="H888" s="7">
        <v>895</v>
      </c>
      <c r="I888" s="7" t="s">
        <v>12</v>
      </c>
      <c r="J888" s="8">
        <v>38331</v>
      </c>
      <c r="K888" s="12" t="s">
        <v>19</v>
      </c>
      <c r="L888" s="9">
        <v>42</v>
      </c>
      <c r="M888" s="10">
        <v>128.02610607664568</v>
      </c>
      <c r="N888" s="7" t="s">
        <v>23</v>
      </c>
      <c r="P888" s="29" t="str">
        <f t="shared" si="234"/>
        <v/>
      </c>
      <c r="Q888" s="29" t="str">
        <f t="shared" si="235"/>
        <v/>
      </c>
      <c r="R888" s="29" t="str">
        <f t="shared" si="236"/>
        <v/>
      </c>
      <c r="S888" s="29">
        <f t="shared" si="237"/>
        <v>1</v>
      </c>
      <c r="T888" s="32" t="str">
        <f t="shared" si="238"/>
        <v/>
      </c>
      <c r="U888" s="32" t="str">
        <f t="shared" si="241"/>
        <v/>
      </c>
      <c r="V888" s="32" t="str">
        <f t="shared" si="242"/>
        <v/>
      </c>
      <c r="W888" s="41">
        <f t="shared" si="239"/>
        <v>3.0482406208725159</v>
      </c>
      <c r="X888" s="6">
        <f t="shared" si="240"/>
        <v>0</v>
      </c>
      <c r="Y888" s="7">
        <f t="shared" si="243"/>
        <v>567</v>
      </c>
      <c r="AA888" s="7">
        <f t="shared" si="244"/>
        <v>0</v>
      </c>
      <c r="AB888" s="7" t="str">
        <f t="shared" si="245"/>
        <v/>
      </c>
      <c r="AC888" s="7">
        <f t="shared" si="246"/>
        <v>0</v>
      </c>
      <c r="AD888" s="7" t="str">
        <f t="shared" si="247"/>
        <v/>
      </c>
      <c r="AE888" s="6">
        <f t="shared" si="248"/>
        <v>0</v>
      </c>
      <c r="AF888" s="69">
        <f t="shared" si="249"/>
        <v>3.0482406208725159</v>
      </c>
      <c r="AG888" s="6">
        <f t="shared" si="250"/>
        <v>128.02610607664568</v>
      </c>
      <c r="AH888" s="6">
        <f t="shared" si="251"/>
        <v>321</v>
      </c>
    </row>
    <row r="889" spans="8:34" x14ac:dyDescent="0.25">
      <c r="H889" s="7">
        <v>896</v>
      </c>
      <c r="I889" s="7" t="s">
        <v>12</v>
      </c>
      <c r="J889" s="8">
        <v>38166</v>
      </c>
      <c r="K889" s="12" t="s">
        <v>17</v>
      </c>
      <c r="L889" s="9">
        <v>51</v>
      </c>
      <c r="M889" s="10">
        <v>154.71800722699501</v>
      </c>
      <c r="N889" s="7" t="s">
        <v>21</v>
      </c>
      <c r="P889" s="29" t="str">
        <f t="shared" si="234"/>
        <v/>
      </c>
      <c r="Q889" s="29">
        <f t="shared" si="235"/>
        <v>1</v>
      </c>
      <c r="R889" s="29" t="str">
        <f t="shared" si="236"/>
        <v/>
      </c>
      <c r="S889" s="29" t="str">
        <f t="shared" si="237"/>
        <v/>
      </c>
      <c r="T889" s="32" t="str">
        <f t="shared" si="238"/>
        <v/>
      </c>
      <c r="U889" s="32" t="str">
        <f t="shared" si="241"/>
        <v/>
      </c>
      <c r="V889" s="32" t="str">
        <f t="shared" si="242"/>
        <v/>
      </c>
      <c r="W889" s="41">
        <f t="shared" si="239"/>
        <v>3.0336864162155885</v>
      </c>
      <c r="X889" s="6">
        <f t="shared" si="240"/>
        <v>0</v>
      </c>
      <c r="Y889" s="7">
        <f t="shared" si="243"/>
        <v>567</v>
      </c>
      <c r="AA889" s="7">
        <f t="shared" si="244"/>
        <v>0</v>
      </c>
      <c r="AB889" s="7" t="str">
        <f t="shared" si="245"/>
        <v/>
      </c>
      <c r="AC889" s="7">
        <f t="shared" si="246"/>
        <v>0</v>
      </c>
      <c r="AD889" s="7" t="str">
        <f t="shared" si="247"/>
        <v/>
      </c>
      <c r="AE889" s="6">
        <f t="shared" si="248"/>
        <v>0</v>
      </c>
      <c r="AF889" s="69">
        <f t="shared" si="249"/>
        <v>3.0336864162155885</v>
      </c>
      <c r="AG889" s="6">
        <f t="shared" si="250"/>
        <v>154.71800722699501</v>
      </c>
      <c r="AH889" s="6">
        <f t="shared" si="251"/>
        <v>269</v>
      </c>
    </row>
    <row r="890" spans="8:34" x14ac:dyDescent="0.25">
      <c r="H890" s="7">
        <v>897</v>
      </c>
      <c r="I890" s="7" t="s">
        <v>11</v>
      </c>
      <c r="J890" s="8">
        <v>38188</v>
      </c>
      <c r="K890" s="12" t="s">
        <v>18</v>
      </c>
      <c r="L890" s="9">
        <v>91</v>
      </c>
      <c r="M890" s="10">
        <v>274.77216405152751</v>
      </c>
      <c r="N890" s="7" t="s">
        <v>21</v>
      </c>
      <c r="P890" s="29" t="str">
        <f t="shared" si="234"/>
        <v/>
      </c>
      <c r="Q890" s="29" t="str">
        <f t="shared" si="235"/>
        <v/>
      </c>
      <c r="R890" s="29">
        <f t="shared" si="236"/>
        <v>1</v>
      </c>
      <c r="S890" s="29" t="str">
        <f t="shared" si="237"/>
        <v/>
      </c>
      <c r="T890" s="32" t="str">
        <f t="shared" si="238"/>
        <v/>
      </c>
      <c r="U890" s="32" t="str">
        <f t="shared" si="241"/>
        <v/>
      </c>
      <c r="V890" s="32" t="str">
        <f t="shared" si="242"/>
        <v/>
      </c>
      <c r="W890" s="41">
        <f t="shared" si="239"/>
        <v>3.0194743302365659</v>
      </c>
      <c r="X890" s="6">
        <f t="shared" si="240"/>
        <v>0</v>
      </c>
      <c r="Y890" s="7">
        <f t="shared" si="243"/>
        <v>567</v>
      </c>
      <c r="AA890" s="7">
        <f t="shared" si="244"/>
        <v>0</v>
      </c>
      <c r="AB890" s="7" t="str">
        <f t="shared" si="245"/>
        <v/>
      </c>
      <c r="AC890" s="7">
        <f t="shared" si="246"/>
        <v>0</v>
      </c>
      <c r="AD890" s="7" t="str">
        <f t="shared" si="247"/>
        <v/>
      </c>
      <c r="AE890" s="6">
        <f t="shared" si="248"/>
        <v>0</v>
      </c>
      <c r="AF890" s="69">
        <f t="shared" si="249"/>
        <v>3.0194743302365659</v>
      </c>
      <c r="AG890" s="6">
        <f t="shared" si="250"/>
        <v>274.77216405152751</v>
      </c>
      <c r="AH890" s="6">
        <f t="shared" si="251"/>
        <v>29</v>
      </c>
    </row>
    <row r="891" spans="8:34" x14ac:dyDescent="0.25">
      <c r="H891" s="7">
        <v>898</v>
      </c>
      <c r="I891" s="7" t="s">
        <v>13</v>
      </c>
      <c r="J891" s="8">
        <v>38947</v>
      </c>
      <c r="K891" s="12" t="s">
        <v>17</v>
      </c>
      <c r="L891" s="9">
        <v>24</v>
      </c>
      <c r="M891" s="10">
        <v>73.406307306618515</v>
      </c>
      <c r="N891" s="7" t="s">
        <v>23</v>
      </c>
      <c r="P891" s="29" t="str">
        <f t="shared" si="234"/>
        <v/>
      </c>
      <c r="Q891" s="29" t="str">
        <f t="shared" si="235"/>
        <v/>
      </c>
      <c r="R891" s="29" t="str">
        <f t="shared" si="236"/>
        <v/>
      </c>
      <c r="S891" s="29" t="str">
        <f t="shared" si="237"/>
        <v/>
      </c>
      <c r="T891" s="32" t="str">
        <f t="shared" si="238"/>
        <v/>
      </c>
      <c r="U891" s="32" t="str">
        <f t="shared" si="241"/>
        <v/>
      </c>
      <c r="V891" s="32">
        <f t="shared" si="242"/>
        <v>1</v>
      </c>
      <c r="W891" s="41">
        <f t="shared" si="239"/>
        <v>3.0585961377757713</v>
      </c>
      <c r="X891" s="6">
        <f t="shared" si="240"/>
        <v>0</v>
      </c>
      <c r="Y891" s="7">
        <f t="shared" si="243"/>
        <v>567</v>
      </c>
      <c r="AA891" s="7">
        <f t="shared" si="244"/>
        <v>0</v>
      </c>
      <c r="AB891" s="7" t="str">
        <f t="shared" si="245"/>
        <v/>
      </c>
      <c r="AC891" s="7">
        <f t="shared" si="246"/>
        <v>0</v>
      </c>
      <c r="AD891" s="7" t="str">
        <f t="shared" si="247"/>
        <v/>
      </c>
      <c r="AE891" s="6">
        <f t="shared" si="248"/>
        <v>0</v>
      </c>
      <c r="AF891" s="69">
        <f t="shared" si="249"/>
        <v>3.0585961377757713</v>
      </c>
      <c r="AG891" s="6">
        <f t="shared" si="250"/>
        <v>0</v>
      </c>
      <c r="AH891" s="6">
        <f t="shared" si="251"/>
        <v>604</v>
      </c>
    </row>
    <row r="892" spans="8:34" x14ac:dyDescent="0.25">
      <c r="H892" s="7">
        <v>899</v>
      </c>
      <c r="I892" s="7" t="s">
        <v>13</v>
      </c>
      <c r="J892" s="8">
        <v>38012</v>
      </c>
      <c r="K892" s="12" t="s">
        <v>16</v>
      </c>
      <c r="L892" s="9">
        <v>19</v>
      </c>
      <c r="M892" s="10">
        <v>59.122730804832166</v>
      </c>
      <c r="N892" s="7" t="s">
        <v>22</v>
      </c>
      <c r="P892" s="29">
        <f t="shared" si="234"/>
        <v>1</v>
      </c>
      <c r="Q892" s="29" t="str">
        <f t="shared" si="235"/>
        <v/>
      </c>
      <c r="R892" s="29" t="str">
        <f t="shared" si="236"/>
        <v/>
      </c>
      <c r="S892" s="29" t="str">
        <f t="shared" si="237"/>
        <v/>
      </c>
      <c r="T892" s="32" t="str">
        <f t="shared" si="238"/>
        <v/>
      </c>
      <c r="U892" s="32" t="str">
        <f t="shared" si="241"/>
        <v/>
      </c>
      <c r="V892" s="32" t="str">
        <f t="shared" si="242"/>
        <v/>
      </c>
      <c r="W892" s="41">
        <f t="shared" si="239"/>
        <v>3.1117226739385351</v>
      </c>
      <c r="X892" s="6">
        <f t="shared" si="240"/>
        <v>0</v>
      </c>
      <c r="Y892" s="7">
        <f t="shared" si="243"/>
        <v>567</v>
      </c>
      <c r="AA892" s="7">
        <f t="shared" si="244"/>
        <v>0</v>
      </c>
      <c r="AB892" s="7" t="str">
        <f t="shared" si="245"/>
        <v/>
      </c>
      <c r="AC892" s="7">
        <f t="shared" si="246"/>
        <v>0</v>
      </c>
      <c r="AD892" s="7" t="str">
        <f t="shared" si="247"/>
        <v/>
      </c>
      <c r="AE892" s="6">
        <f t="shared" si="248"/>
        <v>0</v>
      </c>
      <c r="AF892" s="69">
        <f t="shared" si="249"/>
        <v>3.1117226739385351</v>
      </c>
      <c r="AG892" s="6">
        <f t="shared" si="250"/>
        <v>59.122730804832166</v>
      </c>
      <c r="AH892" s="6">
        <f t="shared" si="251"/>
        <v>467</v>
      </c>
    </row>
    <row r="893" spans="8:34" x14ac:dyDescent="0.25">
      <c r="H893" s="7">
        <v>900</v>
      </c>
      <c r="I893" s="7" t="s">
        <v>11</v>
      </c>
      <c r="J893" s="8">
        <v>38067</v>
      </c>
      <c r="K893" s="12" t="s">
        <v>17</v>
      </c>
      <c r="L893" s="9">
        <v>80</v>
      </c>
      <c r="M893" s="10">
        <v>241.74723336571216</v>
      </c>
      <c r="N893" s="7" t="s">
        <v>22</v>
      </c>
      <c r="P893" s="29">
        <f t="shared" si="234"/>
        <v>1</v>
      </c>
      <c r="Q893" s="29" t="str">
        <f t="shared" si="235"/>
        <v/>
      </c>
      <c r="R893" s="29" t="str">
        <f t="shared" si="236"/>
        <v/>
      </c>
      <c r="S893" s="29" t="str">
        <f t="shared" si="237"/>
        <v/>
      </c>
      <c r="T893" s="32" t="str">
        <f t="shared" si="238"/>
        <v/>
      </c>
      <c r="U893" s="32" t="str">
        <f t="shared" si="241"/>
        <v/>
      </c>
      <c r="V893" s="32" t="str">
        <f t="shared" si="242"/>
        <v/>
      </c>
      <c r="W893" s="41">
        <f t="shared" si="239"/>
        <v>3.0218404170714019</v>
      </c>
      <c r="X893" s="6">
        <f t="shared" si="240"/>
        <v>0</v>
      </c>
      <c r="Y893" s="7">
        <f t="shared" si="243"/>
        <v>567</v>
      </c>
      <c r="AA893" s="7">
        <f t="shared" si="244"/>
        <v>0</v>
      </c>
      <c r="AB893" s="7" t="str">
        <f t="shared" si="245"/>
        <v/>
      </c>
      <c r="AC893" s="7">
        <f t="shared" si="246"/>
        <v>0</v>
      </c>
      <c r="AD893" s="7" t="str">
        <f t="shared" si="247"/>
        <v/>
      </c>
      <c r="AE893" s="6">
        <f t="shared" si="248"/>
        <v>0</v>
      </c>
      <c r="AF893" s="69">
        <f t="shared" si="249"/>
        <v>3.0218404170714019</v>
      </c>
      <c r="AG893" s="6">
        <f t="shared" si="250"/>
        <v>241.74723336571216</v>
      </c>
      <c r="AH893" s="6">
        <f t="shared" si="251"/>
        <v>86</v>
      </c>
    </row>
    <row r="894" spans="8:34" x14ac:dyDescent="0.25">
      <c r="H894" s="7">
        <v>901</v>
      </c>
      <c r="I894" s="7" t="s">
        <v>7</v>
      </c>
      <c r="J894" s="8">
        <v>39057</v>
      </c>
      <c r="K894" s="12" t="s">
        <v>18</v>
      </c>
      <c r="L894" s="9">
        <v>0</v>
      </c>
      <c r="M894" s="10">
        <v>1.6796900586638657</v>
      </c>
      <c r="N894" s="7" t="s">
        <v>24</v>
      </c>
      <c r="P894" s="29" t="str">
        <f t="shared" si="234"/>
        <v/>
      </c>
      <c r="Q894" s="29" t="str">
        <f t="shared" si="235"/>
        <v/>
      </c>
      <c r="R894" s="29" t="str">
        <f t="shared" si="236"/>
        <v/>
      </c>
      <c r="S894" s="29" t="str">
        <f t="shared" si="237"/>
        <v/>
      </c>
      <c r="T894" s="32" t="str">
        <f t="shared" si="238"/>
        <v/>
      </c>
      <c r="U894" s="32" t="str">
        <f t="shared" si="241"/>
        <v/>
      </c>
      <c r="V894" s="32">
        <f t="shared" si="242"/>
        <v>1</v>
      </c>
      <c r="W894" s="41" t="str">
        <f t="shared" si="239"/>
        <v/>
      </c>
      <c r="X894" s="6">
        <f t="shared" si="240"/>
        <v>0</v>
      </c>
      <c r="Y894" s="7">
        <f t="shared" si="243"/>
        <v>567</v>
      </c>
      <c r="AA894" s="7">
        <f t="shared" si="244"/>
        <v>0</v>
      </c>
      <c r="AB894" s="7" t="str">
        <f t="shared" si="245"/>
        <v/>
      </c>
      <c r="AC894" s="7">
        <f t="shared" si="246"/>
        <v>0</v>
      </c>
      <c r="AD894" s="7" t="str">
        <f t="shared" si="247"/>
        <v/>
      </c>
      <c r="AE894" s="6">
        <f t="shared" si="248"/>
        <v>0</v>
      </c>
      <c r="AF894" s="69" t="str">
        <f t="shared" si="249"/>
        <v/>
      </c>
      <c r="AG894" s="6">
        <f t="shared" si="250"/>
        <v>0</v>
      </c>
      <c r="AH894" s="6">
        <f t="shared" si="251"/>
        <v>604</v>
      </c>
    </row>
    <row r="895" spans="8:34" x14ac:dyDescent="0.25">
      <c r="H895" s="7">
        <v>902</v>
      </c>
      <c r="I895" s="7" t="s">
        <v>14</v>
      </c>
      <c r="J895" s="8">
        <v>38991</v>
      </c>
      <c r="K895" s="12" t="s">
        <v>18</v>
      </c>
      <c r="L895" s="9">
        <v>69</v>
      </c>
      <c r="M895" s="10">
        <v>209.14203916980014</v>
      </c>
      <c r="N895" s="7" t="s">
        <v>24</v>
      </c>
      <c r="P895" s="29" t="str">
        <f t="shared" si="234"/>
        <v/>
      </c>
      <c r="Q895" s="29" t="str">
        <f t="shared" si="235"/>
        <v/>
      </c>
      <c r="R895" s="29" t="str">
        <f t="shared" si="236"/>
        <v/>
      </c>
      <c r="S895" s="29" t="str">
        <f t="shared" si="237"/>
        <v/>
      </c>
      <c r="T895" s="32" t="str">
        <f t="shared" si="238"/>
        <v/>
      </c>
      <c r="U895" s="32" t="str">
        <f t="shared" si="241"/>
        <v/>
      </c>
      <c r="V895" s="32">
        <f t="shared" si="242"/>
        <v>1</v>
      </c>
      <c r="W895" s="41">
        <f t="shared" si="239"/>
        <v>3.0310440459391326</v>
      </c>
      <c r="X895" s="6">
        <f t="shared" si="240"/>
        <v>0</v>
      </c>
      <c r="Y895" s="7">
        <f t="shared" si="243"/>
        <v>567</v>
      </c>
      <c r="AA895" s="7">
        <f t="shared" si="244"/>
        <v>0</v>
      </c>
      <c r="AB895" s="7" t="str">
        <f t="shared" si="245"/>
        <v/>
      </c>
      <c r="AC895" s="7">
        <f t="shared" si="246"/>
        <v>0</v>
      </c>
      <c r="AD895" s="7" t="str">
        <f t="shared" si="247"/>
        <v/>
      </c>
      <c r="AE895" s="6">
        <f t="shared" si="248"/>
        <v>0</v>
      </c>
      <c r="AF895" s="69">
        <f t="shared" si="249"/>
        <v>3.0310440459391326</v>
      </c>
      <c r="AG895" s="6">
        <f t="shared" si="250"/>
        <v>0</v>
      </c>
      <c r="AH895" s="6">
        <f t="shared" si="251"/>
        <v>604</v>
      </c>
    </row>
    <row r="896" spans="8:34" x14ac:dyDescent="0.25">
      <c r="H896" s="7">
        <v>903</v>
      </c>
      <c r="I896" s="7" t="s">
        <v>13</v>
      </c>
      <c r="J896" s="8">
        <v>38914</v>
      </c>
      <c r="K896" s="12" t="s">
        <v>20</v>
      </c>
      <c r="L896" s="9">
        <v>84</v>
      </c>
      <c r="M896" s="10">
        <v>253.78421313059829</v>
      </c>
      <c r="N896" s="7" t="s">
        <v>22</v>
      </c>
      <c r="P896" s="29" t="str">
        <f t="shared" si="234"/>
        <v/>
      </c>
      <c r="Q896" s="29" t="str">
        <f t="shared" si="235"/>
        <v/>
      </c>
      <c r="R896" s="29" t="str">
        <f t="shared" si="236"/>
        <v/>
      </c>
      <c r="S896" s="29" t="str">
        <f t="shared" si="237"/>
        <v/>
      </c>
      <c r="T896" s="32" t="str">
        <f t="shared" si="238"/>
        <v/>
      </c>
      <c r="U896" s="32" t="str">
        <f t="shared" si="241"/>
        <v/>
      </c>
      <c r="V896" s="32">
        <f t="shared" si="242"/>
        <v>1</v>
      </c>
      <c r="W896" s="41">
        <f t="shared" si="239"/>
        <v>3.0212406325071224</v>
      </c>
      <c r="X896" s="6">
        <f t="shared" si="240"/>
        <v>0</v>
      </c>
      <c r="Y896" s="7">
        <f t="shared" si="243"/>
        <v>567</v>
      </c>
      <c r="AA896" s="7">
        <f t="shared" si="244"/>
        <v>0</v>
      </c>
      <c r="AB896" s="7" t="str">
        <f t="shared" si="245"/>
        <v/>
      </c>
      <c r="AC896" s="7">
        <f t="shared" si="246"/>
        <v>0</v>
      </c>
      <c r="AD896" s="7" t="str">
        <f t="shared" si="247"/>
        <v/>
      </c>
      <c r="AE896" s="6">
        <f t="shared" si="248"/>
        <v>0</v>
      </c>
      <c r="AF896" s="69">
        <f t="shared" si="249"/>
        <v>3.0212406325071224</v>
      </c>
      <c r="AG896" s="6">
        <f t="shared" si="250"/>
        <v>0</v>
      </c>
      <c r="AH896" s="6">
        <f t="shared" si="251"/>
        <v>604</v>
      </c>
    </row>
    <row r="897" spans="8:34" x14ac:dyDescent="0.25">
      <c r="H897" s="7">
        <v>904</v>
      </c>
      <c r="I897" s="7" t="s">
        <v>8</v>
      </c>
      <c r="J897" s="8">
        <v>38584</v>
      </c>
      <c r="K897" s="12" t="s">
        <v>19</v>
      </c>
      <c r="L897" s="9">
        <v>31</v>
      </c>
      <c r="M897" s="10">
        <v>94.752143463742286</v>
      </c>
      <c r="N897" s="7" t="s">
        <v>23</v>
      </c>
      <c r="P897" s="29" t="str">
        <f t="shared" si="234"/>
        <v/>
      </c>
      <c r="Q897" s="29" t="str">
        <f t="shared" si="235"/>
        <v/>
      </c>
      <c r="R897" s="29" t="str">
        <f t="shared" si="236"/>
        <v/>
      </c>
      <c r="S897" s="29" t="str">
        <f t="shared" si="237"/>
        <v/>
      </c>
      <c r="T897" s="32" t="str">
        <f t="shared" si="238"/>
        <v/>
      </c>
      <c r="U897" s="32">
        <f t="shared" si="241"/>
        <v>1</v>
      </c>
      <c r="V897" s="32" t="str">
        <f t="shared" si="242"/>
        <v/>
      </c>
      <c r="W897" s="41">
        <f t="shared" si="239"/>
        <v>3.0565207568949124</v>
      </c>
      <c r="X897" s="6">
        <f t="shared" si="240"/>
        <v>94.752143463742286</v>
      </c>
      <c r="Y897" s="7">
        <f t="shared" si="243"/>
        <v>368</v>
      </c>
      <c r="AA897" s="7">
        <f t="shared" si="244"/>
        <v>1</v>
      </c>
      <c r="AB897" s="7">
        <f t="shared" si="245"/>
        <v>31</v>
      </c>
      <c r="AC897" s="7">
        <f t="shared" si="246"/>
        <v>0</v>
      </c>
      <c r="AD897" s="7" t="str">
        <f t="shared" si="247"/>
        <v/>
      </c>
      <c r="AE897" s="6">
        <f t="shared" si="248"/>
        <v>0</v>
      </c>
      <c r="AF897" s="69">
        <f t="shared" si="249"/>
        <v>3.0565207568949124</v>
      </c>
      <c r="AG897" s="6">
        <f t="shared" si="250"/>
        <v>0</v>
      </c>
      <c r="AH897" s="6">
        <f t="shared" si="251"/>
        <v>604</v>
      </c>
    </row>
    <row r="898" spans="8:34" x14ac:dyDescent="0.25">
      <c r="H898" s="7">
        <v>905</v>
      </c>
      <c r="I898" s="7" t="s">
        <v>10</v>
      </c>
      <c r="J898" s="8">
        <v>38595</v>
      </c>
      <c r="K898" s="12" t="s">
        <v>16</v>
      </c>
      <c r="L898" s="9">
        <v>11</v>
      </c>
      <c r="M898" s="10">
        <v>35.274537093655269</v>
      </c>
      <c r="N898" s="7" t="s">
        <v>21</v>
      </c>
      <c r="P898" s="29" t="str">
        <f t="shared" si="234"/>
        <v/>
      </c>
      <c r="Q898" s="29" t="str">
        <f t="shared" si="235"/>
        <v/>
      </c>
      <c r="R898" s="29" t="str">
        <f t="shared" si="236"/>
        <v/>
      </c>
      <c r="S898" s="29" t="str">
        <f t="shared" si="237"/>
        <v/>
      </c>
      <c r="T898" s="32" t="str">
        <f t="shared" si="238"/>
        <v/>
      </c>
      <c r="U898" s="32">
        <f t="shared" si="241"/>
        <v>1</v>
      </c>
      <c r="V898" s="32" t="str">
        <f t="shared" si="242"/>
        <v/>
      </c>
      <c r="W898" s="41">
        <f t="shared" si="239"/>
        <v>3.2067760994232062</v>
      </c>
      <c r="X898" s="6">
        <f t="shared" si="240"/>
        <v>35.274537093655269</v>
      </c>
      <c r="Y898" s="7">
        <f t="shared" si="243"/>
        <v>488</v>
      </c>
      <c r="AA898" s="7">
        <f t="shared" si="244"/>
        <v>1</v>
      </c>
      <c r="AB898" s="7">
        <f t="shared" si="245"/>
        <v>11</v>
      </c>
      <c r="AC898" s="7">
        <f t="shared" si="246"/>
        <v>0</v>
      </c>
      <c r="AD898" s="7" t="str">
        <f t="shared" si="247"/>
        <v/>
      </c>
      <c r="AE898" s="6">
        <f t="shared" si="248"/>
        <v>0</v>
      </c>
      <c r="AF898" s="69">
        <f t="shared" si="249"/>
        <v>3.2067760994232062</v>
      </c>
      <c r="AG898" s="6">
        <f t="shared" si="250"/>
        <v>0</v>
      </c>
      <c r="AH898" s="6">
        <f t="shared" si="251"/>
        <v>604</v>
      </c>
    </row>
    <row r="899" spans="8:34" x14ac:dyDescent="0.25">
      <c r="H899" s="7">
        <v>906</v>
      </c>
      <c r="I899" s="7" t="s">
        <v>9</v>
      </c>
      <c r="J899" s="8">
        <v>38441</v>
      </c>
      <c r="K899" s="12" t="s">
        <v>17</v>
      </c>
      <c r="L899" s="9">
        <v>79</v>
      </c>
      <c r="M899" s="10">
        <v>239.3445563093955</v>
      </c>
      <c r="N899" s="7" t="s">
        <v>22</v>
      </c>
      <c r="P899" s="29" t="str">
        <f t="shared" ref="P899:P962" si="252">IF(AND((MONTH(J899))&lt;4,YEAR(J899)=2004),1,"")</f>
        <v/>
      </c>
      <c r="Q899" s="29" t="str">
        <f t="shared" ref="Q899:Q962" si="253">IF(AND(3&lt;(MONTH(J899)),(MONTH(J899)&lt;7),YEAR(J899)=2004),1,"")</f>
        <v/>
      </c>
      <c r="R899" s="29" t="str">
        <f t="shared" ref="R899:R962" si="254">IF(AND(6&lt;(MONTH(J899)),(MONTH(J899)&lt;10),YEAR(J899)=2004),1,"")</f>
        <v/>
      </c>
      <c r="S899" s="29" t="str">
        <f t="shared" ref="S899:S962" si="255">IF(AND(9&lt;(MONTH(J899)),(MONTH(J899)&lt;13),YEAR(J899)=2004),1,"")</f>
        <v/>
      </c>
      <c r="T899" s="32" t="str">
        <f t="shared" ref="T899:T962" si="256">IF(AND((9&lt;MONTH(J899)),YEAR(J899)=2005),1,"")</f>
        <v/>
      </c>
      <c r="U899" s="32">
        <f t="shared" si="241"/>
        <v>1</v>
      </c>
      <c r="V899" s="32" t="str">
        <f t="shared" si="242"/>
        <v/>
      </c>
      <c r="W899" s="41">
        <f t="shared" ref="W899:W962" si="257">IF(L899&gt;0,M899/L899,"")</f>
        <v>3.0296779279670316</v>
      </c>
      <c r="X899" s="6">
        <f t="shared" ref="X899:X962" si="258">IF(U899=1,M899,0)</f>
        <v>239.3445563093955</v>
      </c>
      <c r="Y899" s="7">
        <f t="shared" si="243"/>
        <v>103</v>
      </c>
      <c r="AA899" s="7">
        <f t="shared" si="244"/>
        <v>1</v>
      </c>
      <c r="AB899" s="7">
        <f t="shared" si="245"/>
        <v>79</v>
      </c>
      <c r="AC899" s="7">
        <f t="shared" si="246"/>
        <v>0</v>
      </c>
      <c r="AD899" s="7" t="str">
        <f t="shared" si="247"/>
        <v/>
      </c>
      <c r="AE899" s="6">
        <f t="shared" si="248"/>
        <v>0</v>
      </c>
      <c r="AF899" s="69">
        <f t="shared" si="249"/>
        <v>3.0296779279670316</v>
      </c>
      <c r="AG899" s="6">
        <f t="shared" si="250"/>
        <v>0</v>
      </c>
      <c r="AH899" s="6">
        <f t="shared" si="251"/>
        <v>604</v>
      </c>
    </row>
    <row r="900" spans="8:34" x14ac:dyDescent="0.25">
      <c r="H900" s="7">
        <v>907</v>
      </c>
      <c r="I900" s="7" t="s">
        <v>14</v>
      </c>
      <c r="J900" s="8">
        <v>38892</v>
      </c>
      <c r="K900" s="12" t="s">
        <v>16</v>
      </c>
      <c r="L900" s="9">
        <v>22</v>
      </c>
      <c r="M900" s="10">
        <v>68.549031242200385</v>
      </c>
      <c r="N900" s="7" t="s">
        <v>22</v>
      </c>
      <c r="P900" s="29" t="str">
        <f t="shared" si="252"/>
        <v/>
      </c>
      <c r="Q900" s="29" t="str">
        <f t="shared" si="253"/>
        <v/>
      </c>
      <c r="R900" s="29" t="str">
        <f t="shared" si="254"/>
        <v/>
      </c>
      <c r="S900" s="29" t="str">
        <f t="shared" si="255"/>
        <v/>
      </c>
      <c r="T900" s="32" t="str">
        <f t="shared" si="256"/>
        <v/>
      </c>
      <c r="U900" s="32" t="str">
        <f t="shared" ref="U900:U963" si="259">IF(YEAR(J900)=2005,1,"")</f>
        <v/>
      </c>
      <c r="V900" s="32">
        <f t="shared" ref="V900:V963" si="260">IF(YEAR(J900)=2006,1,"")</f>
        <v>1</v>
      </c>
      <c r="W900" s="41">
        <f t="shared" si="257"/>
        <v>3.1158650564636541</v>
      </c>
      <c r="X900" s="6">
        <f t="shared" si="258"/>
        <v>0</v>
      </c>
      <c r="Y900" s="7">
        <f t="shared" ref="Y900:Y963" si="261">RANK(X900,$X$3:$X$1893)</f>
        <v>567</v>
      </c>
      <c r="AA900" s="7">
        <f t="shared" ref="AA900:AA963" si="262">IF(AND(OR((MONTH(J900))=1,(MONTH(J900))=2,(MONTH(J900))=3,(MONTH(J900))=7,(MONTH(J900))=8,(MONTH(J900))=9),YEAR(J900)=2005),1,0)</f>
        <v>0</v>
      </c>
      <c r="AB900" s="7" t="str">
        <f t="shared" ref="AB900:AB963" si="263">IF(AA900=1,L900,"")</f>
        <v/>
      </c>
      <c r="AC900" s="7">
        <f t="shared" ref="AC900:AC963" si="264">IF(AND(OR((MONTH(J900))=4,(MONTH(J900))=5,(MONTH(J900))=6,(MONTH(J900))=10,(MONTH(J900))=11,(MONTH(J900))=12),YEAR(J900)=2005),1,0)</f>
        <v>0</v>
      </c>
      <c r="AD900" s="7" t="str">
        <f t="shared" ref="AD900:AD963" si="265">IF(AC900=1,L900,"")</f>
        <v/>
      </c>
      <c r="AE900" s="6">
        <f t="shared" ref="AE900:AE963" si="266">IF(L900&lt;0,L900,0)</f>
        <v>0</v>
      </c>
      <c r="AF900" s="69">
        <f t="shared" ref="AF900:AF963" si="267">IF(L900&gt;0,W900,"")</f>
        <v>3.1158650564636541</v>
      </c>
      <c r="AG900" s="6">
        <f t="shared" ref="AG900:AG963" si="268">IF(AND((M900&gt;0),(YEAR(J900)=2004)),M900,0)</f>
        <v>0</v>
      </c>
      <c r="AH900" s="6">
        <f t="shared" ref="AH900:AH963" si="269">RANK(AG900,$AG$3:$AG$1893)</f>
        <v>604</v>
      </c>
    </row>
    <row r="901" spans="8:34" x14ac:dyDescent="0.25">
      <c r="H901" s="7">
        <v>908</v>
      </c>
      <c r="I901" s="7" t="s">
        <v>7</v>
      </c>
      <c r="J901" s="8">
        <v>38386</v>
      </c>
      <c r="K901" s="12" t="s">
        <v>18</v>
      </c>
      <c r="L901" s="9">
        <v>76</v>
      </c>
      <c r="M901" s="10">
        <v>231.1298624050425</v>
      </c>
      <c r="N901" s="7" t="s">
        <v>24</v>
      </c>
      <c r="P901" s="29" t="str">
        <f t="shared" si="252"/>
        <v/>
      </c>
      <c r="Q901" s="29" t="str">
        <f t="shared" si="253"/>
        <v/>
      </c>
      <c r="R901" s="29" t="str">
        <f t="shared" si="254"/>
        <v/>
      </c>
      <c r="S901" s="29" t="str">
        <f t="shared" si="255"/>
        <v/>
      </c>
      <c r="T901" s="32" t="str">
        <f t="shared" si="256"/>
        <v/>
      </c>
      <c r="U901" s="32">
        <f t="shared" si="259"/>
        <v>1</v>
      </c>
      <c r="V901" s="32" t="str">
        <f t="shared" si="260"/>
        <v/>
      </c>
      <c r="W901" s="41">
        <f t="shared" si="257"/>
        <v>3.0411824000663485</v>
      </c>
      <c r="X901" s="6">
        <f t="shared" si="258"/>
        <v>231.1298624050425</v>
      </c>
      <c r="Y901" s="7">
        <f t="shared" si="261"/>
        <v>122</v>
      </c>
      <c r="AA901" s="7">
        <f t="shared" si="262"/>
        <v>1</v>
      </c>
      <c r="AB901" s="7">
        <f t="shared" si="263"/>
        <v>76</v>
      </c>
      <c r="AC901" s="7">
        <f t="shared" si="264"/>
        <v>0</v>
      </c>
      <c r="AD901" s="7" t="str">
        <f t="shared" si="265"/>
        <v/>
      </c>
      <c r="AE901" s="6">
        <f t="shared" si="266"/>
        <v>0</v>
      </c>
      <c r="AF901" s="69">
        <f t="shared" si="267"/>
        <v>3.0411824000663485</v>
      </c>
      <c r="AG901" s="6">
        <f t="shared" si="268"/>
        <v>0</v>
      </c>
      <c r="AH901" s="6">
        <f t="shared" si="269"/>
        <v>604</v>
      </c>
    </row>
    <row r="902" spans="8:34" x14ac:dyDescent="0.25">
      <c r="H902" s="7">
        <v>909</v>
      </c>
      <c r="I902" s="7" t="s">
        <v>9</v>
      </c>
      <c r="J902" s="8">
        <v>38265</v>
      </c>
      <c r="K902" s="12" t="s">
        <v>16</v>
      </c>
      <c r="L902" s="9">
        <v>0</v>
      </c>
      <c r="M902" s="10">
        <v>2.7444174420335523</v>
      </c>
      <c r="N902" s="7" t="s">
        <v>22</v>
      </c>
      <c r="P902" s="29" t="str">
        <f t="shared" si="252"/>
        <v/>
      </c>
      <c r="Q902" s="29" t="str">
        <f t="shared" si="253"/>
        <v/>
      </c>
      <c r="R902" s="29" t="str">
        <f t="shared" si="254"/>
        <v/>
      </c>
      <c r="S902" s="29">
        <f t="shared" si="255"/>
        <v>1</v>
      </c>
      <c r="T902" s="32" t="str">
        <f t="shared" si="256"/>
        <v/>
      </c>
      <c r="U902" s="32" t="str">
        <f t="shared" si="259"/>
        <v/>
      </c>
      <c r="V902" s="32" t="str">
        <f t="shared" si="260"/>
        <v/>
      </c>
      <c r="W902" s="41" t="str">
        <f t="shared" si="257"/>
        <v/>
      </c>
      <c r="X902" s="6">
        <f t="shared" si="258"/>
        <v>0</v>
      </c>
      <c r="Y902" s="7">
        <f t="shared" si="261"/>
        <v>567</v>
      </c>
      <c r="AA902" s="7">
        <f t="shared" si="262"/>
        <v>0</v>
      </c>
      <c r="AB902" s="7" t="str">
        <f t="shared" si="263"/>
        <v/>
      </c>
      <c r="AC902" s="7">
        <f t="shared" si="264"/>
        <v>0</v>
      </c>
      <c r="AD902" s="7" t="str">
        <f t="shared" si="265"/>
        <v/>
      </c>
      <c r="AE902" s="6">
        <f t="shared" si="266"/>
        <v>0</v>
      </c>
      <c r="AF902" s="69" t="str">
        <f t="shared" si="267"/>
        <v/>
      </c>
      <c r="AG902" s="6">
        <f t="shared" si="268"/>
        <v>2.7444174420335523</v>
      </c>
      <c r="AH902" s="6">
        <f t="shared" si="269"/>
        <v>596</v>
      </c>
    </row>
    <row r="903" spans="8:34" x14ac:dyDescent="0.25">
      <c r="H903" s="7">
        <v>910</v>
      </c>
      <c r="I903" s="7" t="s">
        <v>13</v>
      </c>
      <c r="J903" s="8">
        <v>38430</v>
      </c>
      <c r="K903" s="12" t="s">
        <v>17</v>
      </c>
      <c r="L903" s="9">
        <v>94</v>
      </c>
      <c r="M903" s="10">
        <v>283.56226306241973</v>
      </c>
      <c r="N903" s="7" t="s">
        <v>23</v>
      </c>
      <c r="P903" s="29" t="str">
        <f t="shared" si="252"/>
        <v/>
      </c>
      <c r="Q903" s="29" t="str">
        <f t="shared" si="253"/>
        <v/>
      </c>
      <c r="R903" s="29" t="str">
        <f t="shared" si="254"/>
        <v/>
      </c>
      <c r="S903" s="29" t="str">
        <f t="shared" si="255"/>
        <v/>
      </c>
      <c r="T903" s="32" t="str">
        <f t="shared" si="256"/>
        <v/>
      </c>
      <c r="U903" s="32">
        <f t="shared" si="259"/>
        <v>1</v>
      </c>
      <c r="V903" s="32" t="str">
        <f t="shared" si="260"/>
        <v/>
      </c>
      <c r="W903" s="41">
        <f t="shared" si="257"/>
        <v>3.0166198198129757</v>
      </c>
      <c r="X903" s="6">
        <f t="shared" si="258"/>
        <v>283.56226306241973</v>
      </c>
      <c r="Y903" s="7">
        <f t="shared" si="261"/>
        <v>14</v>
      </c>
      <c r="AA903" s="7">
        <f t="shared" si="262"/>
        <v>1</v>
      </c>
      <c r="AB903" s="7">
        <f t="shared" si="263"/>
        <v>94</v>
      </c>
      <c r="AC903" s="7">
        <f t="shared" si="264"/>
        <v>0</v>
      </c>
      <c r="AD903" s="7" t="str">
        <f t="shared" si="265"/>
        <v/>
      </c>
      <c r="AE903" s="6">
        <f t="shared" si="266"/>
        <v>0</v>
      </c>
      <c r="AF903" s="69">
        <f t="shared" si="267"/>
        <v>3.0166198198129757</v>
      </c>
      <c r="AG903" s="6">
        <f t="shared" si="268"/>
        <v>0</v>
      </c>
      <c r="AH903" s="6">
        <f t="shared" si="269"/>
        <v>604</v>
      </c>
    </row>
    <row r="904" spans="8:34" x14ac:dyDescent="0.25">
      <c r="H904" s="7">
        <v>911</v>
      </c>
      <c r="I904" s="7" t="s">
        <v>10</v>
      </c>
      <c r="J904" s="8">
        <v>38298</v>
      </c>
      <c r="K904" s="12" t="s">
        <v>18</v>
      </c>
      <c r="L904" s="9">
        <v>14</v>
      </c>
      <c r="M904" s="10">
        <v>44.2457022640235</v>
      </c>
      <c r="N904" s="7" t="s">
        <v>21</v>
      </c>
      <c r="P904" s="29" t="str">
        <f t="shared" si="252"/>
        <v/>
      </c>
      <c r="Q904" s="29" t="str">
        <f t="shared" si="253"/>
        <v/>
      </c>
      <c r="R904" s="29" t="str">
        <f t="shared" si="254"/>
        <v/>
      </c>
      <c r="S904" s="29">
        <f t="shared" si="255"/>
        <v>1</v>
      </c>
      <c r="T904" s="32" t="str">
        <f t="shared" si="256"/>
        <v/>
      </c>
      <c r="U904" s="32" t="str">
        <f t="shared" si="259"/>
        <v/>
      </c>
      <c r="V904" s="32" t="str">
        <f t="shared" si="260"/>
        <v/>
      </c>
      <c r="W904" s="41">
        <f t="shared" si="257"/>
        <v>3.1604073045731069</v>
      </c>
      <c r="X904" s="6">
        <f t="shared" si="258"/>
        <v>0</v>
      </c>
      <c r="Y904" s="7">
        <f t="shared" si="261"/>
        <v>567</v>
      </c>
      <c r="AA904" s="7">
        <f t="shared" si="262"/>
        <v>0</v>
      </c>
      <c r="AB904" s="7" t="str">
        <f t="shared" si="263"/>
        <v/>
      </c>
      <c r="AC904" s="7">
        <f t="shared" si="264"/>
        <v>0</v>
      </c>
      <c r="AD904" s="7" t="str">
        <f t="shared" si="265"/>
        <v/>
      </c>
      <c r="AE904" s="6">
        <f t="shared" si="266"/>
        <v>0</v>
      </c>
      <c r="AF904" s="69">
        <f t="shared" si="267"/>
        <v>3.1604073045731069</v>
      </c>
      <c r="AG904" s="6">
        <f t="shared" si="268"/>
        <v>44.2457022640235</v>
      </c>
      <c r="AH904" s="6">
        <f t="shared" si="269"/>
        <v>491</v>
      </c>
    </row>
    <row r="905" spans="8:34" x14ac:dyDescent="0.25">
      <c r="H905" s="7">
        <v>912</v>
      </c>
      <c r="I905" s="7" t="s">
        <v>13</v>
      </c>
      <c r="J905" s="8">
        <v>38903</v>
      </c>
      <c r="K905" s="12" t="s">
        <v>20</v>
      </c>
      <c r="L905" s="9">
        <v>57</v>
      </c>
      <c r="M905" s="10">
        <v>172.69724242963656</v>
      </c>
      <c r="N905" s="7" t="s">
        <v>23</v>
      </c>
      <c r="P905" s="29" t="str">
        <f t="shared" si="252"/>
        <v/>
      </c>
      <c r="Q905" s="29" t="str">
        <f t="shared" si="253"/>
        <v/>
      </c>
      <c r="R905" s="29" t="str">
        <f t="shared" si="254"/>
        <v/>
      </c>
      <c r="S905" s="29" t="str">
        <f t="shared" si="255"/>
        <v/>
      </c>
      <c r="T905" s="32" t="str">
        <f t="shared" si="256"/>
        <v/>
      </c>
      <c r="U905" s="32" t="str">
        <f t="shared" si="259"/>
        <v/>
      </c>
      <c r="V905" s="32">
        <f t="shared" si="260"/>
        <v>1</v>
      </c>
      <c r="W905" s="41">
        <f t="shared" si="257"/>
        <v>3.0297761829760801</v>
      </c>
      <c r="X905" s="6">
        <f t="shared" si="258"/>
        <v>0</v>
      </c>
      <c r="Y905" s="7">
        <f t="shared" si="261"/>
        <v>567</v>
      </c>
      <c r="AA905" s="7">
        <f t="shared" si="262"/>
        <v>0</v>
      </c>
      <c r="AB905" s="7" t="str">
        <f t="shared" si="263"/>
        <v/>
      </c>
      <c r="AC905" s="7">
        <f t="shared" si="264"/>
        <v>0</v>
      </c>
      <c r="AD905" s="7" t="str">
        <f t="shared" si="265"/>
        <v/>
      </c>
      <c r="AE905" s="6">
        <f t="shared" si="266"/>
        <v>0</v>
      </c>
      <c r="AF905" s="69">
        <f t="shared" si="267"/>
        <v>3.0297761829760801</v>
      </c>
      <c r="AG905" s="6">
        <f t="shared" si="268"/>
        <v>0</v>
      </c>
      <c r="AH905" s="6">
        <f t="shared" si="269"/>
        <v>604</v>
      </c>
    </row>
    <row r="906" spans="8:34" x14ac:dyDescent="0.25">
      <c r="H906" s="7">
        <v>913</v>
      </c>
      <c r="I906" s="7" t="s">
        <v>14</v>
      </c>
      <c r="J906" s="8">
        <v>38463</v>
      </c>
      <c r="K906" s="12" t="s">
        <v>17</v>
      </c>
      <c r="L906" s="9">
        <v>3</v>
      </c>
      <c r="M906" s="10">
        <v>11.082849552887902</v>
      </c>
      <c r="N906" s="7" t="s">
        <v>24</v>
      </c>
      <c r="P906" s="29" t="str">
        <f t="shared" si="252"/>
        <v/>
      </c>
      <c r="Q906" s="29" t="str">
        <f t="shared" si="253"/>
        <v/>
      </c>
      <c r="R906" s="29" t="str">
        <f t="shared" si="254"/>
        <v/>
      </c>
      <c r="S906" s="29" t="str">
        <f t="shared" si="255"/>
        <v/>
      </c>
      <c r="T906" s="32" t="str">
        <f t="shared" si="256"/>
        <v/>
      </c>
      <c r="U906" s="32">
        <f t="shared" si="259"/>
        <v>1</v>
      </c>
      <c r="V906" s="32" t="str">
        <f t="shared" si="260"/>
        <v/>
      </c>
      <c r="W906" s="41">
        <f t="shared" si="257"/>
        <v>3.6942831842959674</v>
      </c>
      <c r="X906" s="6">
        <f t="shared" si="258"/>
        <v>11.082849552887902</v>
      </c>
      <c r="Y906" s="7">
        <f t="shared" si="261"/>
        <v>539</v>
      </c>
      <c r="AA906" s="7">
        <f t="shared" si="262"/>
        <v>0</v>
      </c>
      <c r="AB906" s="7" t="str">
        <f t="shared" si="263"/>
        <v/>
      </c>
      <c r="AC906" s="7">
        <f t="shared" si="264"/>
        <v>1</v>
      </c>
      <c r="AD906" s="7">
        <f t="shared" si="265"/>
        <v>3</v>
      </c>
      <c r="AE906" s="6">
        <f t="shared" si="266"/>
        <v>0</v>
      </c>
      <c r="AF906" s="69">
        <f t="shared" si="267"/>
        <v>3.6942831842959674</v>
      </c>
      <c r="AG906" s="6">
        <f t="shared" si="268"/>
        <v>0</v>
      </c>
      <c r="AH906" s="6">
        <f t="shared" si="269"/>
        <v>604</v>
      </c>
    </row>
    <row r="907" spans="8:34" x14ac:dyDescent="0.25">
      <c r="H907" s="7">
        <v>914</v>
      </c>
      <c r="I907" s="7" t="s">
        <v>15</v>
      </c>
      <c r="J907" s="8">
        <v>38903</v>
      </c>
      <c r="K907" s="12" t="s">
        <v>17</v>
      </c>
      <c r="L907" s="9">
        <v>50</v>
      </c>
      <c r="M907" s="10">
        <v>151.95954978745411</v>
      </c>
      <c r="N907" s="7" t="s">
        <v>23</v>
      </c>
      <c r="P907" s="29" t="str">
        <f t="shared" si="252"/>
        <v/>
      </c>
      <c r="Q907" s="29" t="str">
        <f t="shared" si="253"/>
        <v/>
      </c>
      <c r="R907" s="29" t="str">
        <f t="shared" si="254"/>
        <v/>
      </c>
      <c r="S907" s="29" t="str">
        <f t="shared" si="255"/>
        <v/>
      </c>
      <c r="T907" s="32" t="str">
        <f t="shared" si="256"/>
        <v/>
      </c>
      <c r="U907" s="32" t="str">
        <f t="shared" si="259"/>
        <v/>
      </c>
      <c r="V907" s="32">
        <f t="shared" si="260"/>
        <v>1</v>
      </c>
      <c r="W907" s="41">
        <f t="shared" si="257"/>
        <v>3.0391909957490824</v>
      </c>
      <c r="X907" s="6">
        <f t="shared" si="258"/>
        <v>0</v>
      </c>
      <c r="Y907" s="7">
        <f t="shared" si="261"/>
        <v>567</v>
      </c>
      <c r="AA907" s="7">
        <f t="shared" si="262"/>
        <v>0</v>
      </c>
      <c r="AB907" s="7" t="str">
        <f t="shared" si="263"/>
        <v/>
      </c>
      <c r="AC907" s="7">
        <f t="shared" si="264"/>
        <v>0</v>
      </c>
      <c r="AD907" s="7" t="str">
        <f t="shared" si="265"/>
        <v/>
      </c>
      <c r="AE907" s="6">
        <f t="shared" si="266"/>
        <v>0</v>
      </c>
      <c r="AF907" s="69">
        <f t="shared" si="267"/>
        <v>3.0391909957490824</v>
      </c>
      <c r="AG907" s="6">
        <f t="shared" si="268"/>
        <v>0</v>
      </c>
      <c r="AH907" s="6">
        <f t="shared" si="269"/>
        <v>604</v>
      </c>
    </row>
    <row r="908" spans="8:34" x14ac:dyDescent="0.25">
      <c r="H908" s="7">
        <v>915</v>
      </c>
      <c r="I908" s="7" t="s">
        <v>9</v>
      </c>
      <c r="J908" s="8">
        <v>38881</v>
      </c>
      <c r="K908" s="12" t="s">
        <v>16</v>
      </c>
      <c r="L908" s="9">
        <v>25</v>
      </c>
      <c r="M908" s="10">
        <v>76.624560231864265</v>
      </c>
      <c r="N908" s="7" t="s">
        <v>24</v>
      </c>
      <c r="P908" s="29" t="str">
        <f t="shared" si="252"/>
        <v/>
      </c>
      <c r="Q908" s="29" t="str">
        <f t="shared" si="253"/>
        <v/>
      </c>
      <c r="R908" s="29" t="str">
        <f t="shared" si="254"/>
        <v/>
      </c>
      <c r="S908" s="29" t="str">
        <f t="shared" si="255"/>
        <v/>
      </c>
      <c r="T908" s="32" t="str">
        <f t="shared" si="256"/>
        <v/>
      </c>
      <c r="U908" s="32" t="str">
        <f t="shared" si="259"/>
        <v/>
      </c>
      <c r="V908" s="32">
        <f t="shared" si="260"/>
        <v>1</v>
      </c>
      <c r="W908" s="41">
        <f t="shared" si="257"/>
        <v>3.0649824092745708</v>
      </c>
      <c r="X908" s="6">
        <f t="shared" si="258"/>
        <v>0</v>
      </c>
      <c r="Y908" s="7">
        <f t="shared" si="261"/>
        <v>567</v>
      </c>
      <c r="AA908" s="7">
        <f t="shared" si="262"/>
        <v>0</v>
      </c>
      <c r="AB908" s="7" t="str">
        <f t="shared" si="263"/>
        <v/>
      </c>
      <c r="AC908" s="7">
        <f t="shared" si="264"/>
        <v>0</v>
      </c>
      <c r="AD908" s="7" t="str">
        <f t="shared" si="265"/>
        <v/>
      </c>
      <c r="AE908" s="6">
        <f t="shared" si="266"/>
        <v>0</v>
      </c>
      <c r="AF908" s="69">
        <f t="shared" si="267"/>
        <v>3.0649824092745708</v>
      </c>
      <c r="AG908" s="6">
        <f t="shared" si="268"/>
        <v>0</v>
      </c>
      <c r="AH908" s="6">
        <f t="shared" si="269"/>
        <v>604</v>
      </c>
    </row>
    <row r="909" spans="8:34" x14ac:dyDescent="0.25">
      <c r="H909" s="7">
        <v>916</v>
      </c>
      <c r="I909" s="7" t="s">
        <v>12</v>
      </c>
      <c r="J909" s="8">
        <v>38595</v>
      </c>
      <c r="K909" s="12" t="s">
        <v>18</v>
      </c>
      <c r="L909" s="9">
        <v>46</v>
      </c>
      <c r="M909" s="10">
        <v>140.2736912488281</v>
      </c>
      <c r="N909" s="7" t="s">
        <v>21</v>
      </c>
      <c r="P909" s="29" t="str">
        <f t="shared" si="252"/>
        <v/>
      </c>
      <c r="Q909" s="29" t="str">
        <f t="shared" si="253"/>
        <v/>
      </c>
      <c r="R909" s="29" t="str">
        <f t="shared" si="254"/>
        <v/>
      </c>
      <c r="S909" s="29" t="str">
        <f t="shared" si="255"/>
        <v/>
      </c>
      <c r="T909" s="32" t="str">
        <f t="shared" si="256"/>
        <v/>
      </c>
      <c r="U909" s="32">
        <f t="shared" si="259"/>
        <v>1</v>
      </c>
      <c r="V909" s="32" t="str">
        <f t="shared" si="260"/>
        <v/>
      </c>
      <c r="W909" s="41">
        <f t="shared" si="257"/>
        <v>3.0494280706266976</v>
      </c>
      <c r="X909" s="6">
        <f t="shared" si="258"/>
        <v>140.2736912488281</v>
      </c>
      <c r="Y909" s="7">
        <f t="shared" si="261"/>
        <v>287</v>
      </c>
      <c r="AA909" s="7">
        <f t="shared" si="262"/>
        <v>1</v>
      </c>
      <c r="AB909" s="7">
        <f t="shared" si="263"/>
        <v>46</v>
      </c>
      <c r="AC909" s="7">
        <f t="shared" si="264"/>
        <v>0</v>
      </c>
      <c r="AD909" s="7" t="str">
        <f t="shared" si="265"/>
        <v/>
      </c>
      <c r="AE909" s="6">
        <f t="shared" si="266"/>
        <v>0</v>
      </c>
      <c r="AF909" s="69">
        <f t="shared" si="267"/>
        <v>3.0494280706266976</v>
      </c>
      <c r="AG909" s="6">
        <f t="shared" si="268"/>
        <v>0</v>
      </c>
      <c r="AH909" s="6">
        <f t="shared" si="269"/>
        <v>604</v>
      </c>
    </row>
    <row r="910" spans="8:34" x14ac:dyDescent="0.25">
      <c r="H910" s="7">
        <v>917</v>
      </c>
      <c r="I910" s="7" t="s">
        <v>10</v>
      </c>
      <c r="J910" s="8">
        <v>38914</v>
      </c>
      <c r="K910" s="12" t="s">
        <v>17</v>
      </c>
      <c r="L910" s="9">
        <v>19</v>
      </c>
      <c r="M910" s="10">
        <v>58.735580557472737</v>
      </c>
      <c r="N910" s="7" t="s">
        <v>24</v>
      </c>
      <c r="P910" s="29" t="str">
        <f t="shared" si="252"/>
        <v/>
      </c>
      <c r="Q910" s="29" t="str">
        <f t="shared" si="253"/>
        <v/>
      </c>
      <c r="R910" s="29" t="str">
        <f t="shared" si="254"/>
        <v/>
      </c>
      <c r="S910" s="29" t="str">
        <f t="shared" si="255"/>
        <v/>
      </c>
      <c r="T910" s="32" t="str">
        <f t="shared" si="256"/>
        <v/>
      </c>
      <c r="U910" s="32" t="str">
        <f t="shared" si="259"/>
        <v/>
      </c>
      <c r="V910" s="32">
        <f t="shared" si="260"/>
        <v>1</v>
      </c>
      <c r="W910" s="41">
        <f t="shared" si="257"/>
        <v>3.0913463451301442</v>
      </c>
      <c r="X910" s="6">
        <f t="shared" si="258"/>
        <v>0</v>
      </c>
      <c r="Y910" s="7">
        <f t="shared" si="261"/>
        <v>567</v>
      </c>
      <c r="AA910" s="7">
        <f t="shared" si="262"/>
        <v>0</v>
      </c>
      <c r="AB910" s="7" t="str">
        <f t="shared" si="263"/>
        <v/>
      </c>
      <c r="AC910" s="7">
        <f t="shared" si="264"/>
        <v>0</v>
      </c>
      <c r="AD910" s="7" t="str">
        <f t="shared" si="265"/>
        <v/>
      </c>
      <c r="AE910" s="6">
        <f t="shared" si="266"/>
        <v>0</v>
      </c>
      <c r="AF910" s="69">
        <f t="shared" si="267"/>
        <v>3.0913463451301442</v>
      </c>
      <c r="AG910" s="6">
        <f t="shared" si="268"/>
        <v>0</v>
      </c>
      <c r="AH910" s="6">
        <f t="shared" si="269"/>
        <v>604</v>
      </c>
    </row>
    <row r="911" spans="8:34" x14ac:dyDescent="0.25">
      <c r="H911" s="7">
        <v>918</v>
      </c>
      <c r="I911" s="7" t="s">
        <v>13</v>
      </c>
      <c r="J911" s="8">
        <v>38859</v>
      </c>
      <c r="K911" s="12" t="s">
        <v>16</v>
      </c>
      <c r="L911" s="9">
        <v>6</v>
      </c>
      <c r="M911" s="10">
        <v>20.099629096975125</v>
      </c>
      <c r="N911" s="7" t="s">
        <v>23</v>
      </c>
      <c r="P911" s="29" t="str">
        <f t="shared" si="252"/>
        <v/>
      </c>
      <c r="Q911" s="29" t="str">
        <f t="shared" si="253"/>
        <v/>
      </c>
      <c r="R911" s="29" t="str">
        <f t="shared" si="254"/>
        <v/>
      </c>
      <c r="S911" s="29" t="str">
        <f t="shared" si="255"/>
        <v/>
      </c>
      <c r="T911" s="32" t="str">
        <f t="shared" si="256"/>
        <v/>
      </c>
      <c r="U911" s="32" t="str">
        <f t="shared" si="259"/>
        <v/>
      </c>
      <c r="V911" s="32">
        <f t="shared" si="260"/>
        <v>1</v>
      </c>
      <c r="W911" s="41">
        <f t="shared" si="257"/>
        <v>3.3499381828291876</v>
      </c>
      <c r="X911" s="6">
        <f t="shared" si="258"/>
        <v>0</v>
      </c>
      <c r="Y911" s="7">
        <f t="shared" si="261"/>
        <v>567</v>
      </c>
      <c r="AA911" s="7">
        <f t="shared" si="262"/>
        <v>0</v>
      </c>
      <c r="AB911" s="7" t="str">
        <f t="shared" si="263"/>
        <v/>
      </c>
      <c r="AC911" s="7">
        <f t="shared" si="264"/>
        <v>0</v>
      </c>
      <c r="AD911" s="7" t="str">
        <f t="shared" si="265"/>
        <v/>
      </c>
      <c r="AE911" s="6">
        <f t="shared" si="266"/>
        <v>0</v>
      </c>
      <c r="AF911" s="69">
        <f t="shared" si="267"/>
        <v>3.3499381828291876</v>
      </c>
      <c r="AG911" s="6">
        <f t="shared" si="268"/>
        <v>0</v>
      </c>
      <c r="AH911" s="6">
        <f t="shared" si="269"/>
        <v>604</v>
      </c>
    </row>
    <row r="912" spans="8:34" x14ac:dyDescent="0.25">
      <c r="H912" s="7">
        <v>919</v>
      </c>
      <c r="I912" s="7" t="s">
        <v>14</v>
      </c>
      <c r="J912" s="8">
        <v>38903</v>
      </c>
      <c r="K912" s="12" t="s">
        <v>19</v>
      </c>
      <c r="L912" s="9">
        <v>8</v>
      </c>
      <c r="M912" s="10">
        <v>26.084862644671222</v>
      </c>
      <c r="N912" s="7" t="s">
        <v>22</v>
      </c>
      <c r="P912" s="29" t="str">
        <f t="shared" si="252"/>
        <v/>
      </c>
      <c r="Q912" s="29" t="str">
        <f t="shared" si="253"/>
        <v/>
      </c>
      <c r="R912" s="29" t="str">
        <f t="shared" si="254"/>
        <v/>
      </c>
      <c r="S912" s="29" t="str">
        <f t="shared" si="255"/>
        <v/>
      </c>
      <c r="T912" s="32" t="str">
        <f t="shared" si="256"/>
        <v/>
      </c>
      <c r="U912" s="32" t="str">
        <f t="shared" si="259"/>
        <v/>
      </c>
      <c r="V912" s="32">
        <f t="shared" si="260"/>
        <v>1</v>
      </c>
      <c r="W912" s="41">
        <f t="shared" si="257"/>
        <v>3.2606078305839028</v>
      </c>
      <c r="X912" s="6">
        <f t="shared" si="258"/>
        <v>0</v>
      </c>
      <c r="Y912" s="7">
        <f t="shared" si="261"/>
        <v>567</v>
      </c>
      <c r="AA912" s="7">
        <f t="shared" si="262"/>
        <v>0</v>
      </c>
      <c r="AB912" s="7" t="str">
        <f t="shared" si="263"/>
        <v/>
      </c>
      <c r="AC912" s="7">
        <f t="shared" si="264"/>
        <v>0</v>
      </c>
      <c r="AD912" s="7" t="str">
        <f t="shared" si="265"/>
        <v/>
      </c>
      <c r="AE912" s="6">
        <f t="shared" si="266"/>
        <v>0</v>
      </c>
      <c r="AF912" s="69">
        <f t="shared" si="267"/>
        <v>3.2606078305839028</v>
      </c>
      <c r="AG912" s="6">
        <f t="shared" si="268"/>
        <v>0</v>
      </c>
      <c r="AH912" s="6">
        <f t="shared" si="269"/>
        <v>604</v>
      </c>
    </row>
    <row r="913" spans="8:34" x14ac:dyDescent="0.25">
      <c r="H913" s="7">
        <v>920</v>
      </c>
      <c r="I913" s="7" t="s">
        <v>13</v>
      </c>
      <c r="J913" s="8">
        <v>38727</v>
      </c>
      <c r="K913" s="12" t="s">
        <v>20</v>
      </c>
      <c r="L913" s="9">
        <v>-2</v>
      </c>
      <c r="M913" s="10">
        <v>-3.7309676865630421</v>
      </c>
      <c r="N913" s="7" t="s">
        <v>22</v>
      </c>
      <c r="P913" s="29" t="str">
        <f t="shared" si="252"/>
        <v/>
      </c>
      <c r="Q913" s="29" t="str">
        <f t="shared" si="253"/>
        <v/>
      </c>
      <c r="R913" s="29" t="str">
        <f t="shared" si="254"/>
        <v/>
      </c>
      <c r="S913" s="29" t="str">
        <f t="shared" si="255"/>
        <v/>
      </c>
      <c r="T913" s="32" t="str">
        <f t="shared" si="256"/>
        <v/>
      </c>
      <c r="U913" s="32" t="str">
        <f t="shared" si="259"/>
        <v/>
      </c>
      <c r="V913" s="32">
        <f t="shared" si="260"/>
        <v>1</v>
      </c>
      <c r="W913" s="41" t="str">
        <f t="shared" si="257"/>
        <v/>
      </c>
      <c r="X913" s="6">
        <f t="shared" si="258"/>
        <v>0</v>
      </c>
      <c r="Y913" s="7">
        <f t="shared" si="261"/>
        <v>567</v>
      </c>
      <c r="AA913" s="7">
        <f t="shared" si="262"/>
        <v>0</v>
      </c>
      <c r="AB913" s="7" t="str">
        <f t="shared" si="263"/>
        <v/>
      </c>
      <c r="AC913" s="7">
        <f t="shared" si="264"/>
        <v>0</v>
      </c>
      <c r="AD913" s="7" t="str">
        <f t="shared" si="265"/>
        <v/>
      </c>
      <c r="AE913" s="6">
        <f t="shared" si="266"/>
        <v>-2</v>
      </c>
      <c r="AF913" s="69" t="str">
        <f t="shared" si="267"/>
        <v/>
      </c>
      <c r="AG913" s="6">
        <f t="shared" si="268"/>
        <v>0</v>
      </c>
      <c r="AH913" s="6">
        <f t="shared" si="269"/>
        <v>604</v>
      </c>
    </row>
    <row r="914" spans="8:34" x14ac:dyDescent="0.25">
      <c r="H914" s="7">
        <v>921</v>
      </c>
      <c r="I914" s="7" t="s">
        <v>10</v>
      </c>
      <c r="J914" s="8">
        <v>38452</v>
      </c>
      <c r="K914" s="12" t="s">
        <v>17</v>
      </c>
      <c r="L914" s="9">
        <v>80</v>
      </c>
      <c r="M914" s="10">
        <v>240.69010526776344</v>
      </c>
      <c r="N914" s="7" t="s">
        <v>24</v>
      </c>
      <c r="P914" s="29" t="str">
        <f t="shared" si="252"/>
        <v/>
      </c>
      <c r="Q914" s="29" t="str">
        <f t="shared" si="253"/>
        <v/>
      </c>
      <c r="R914" s="29" t="str">
        <f t="shared" si="254"/>
        <v/>
      </c>
      <c r="S914" s="29" t="str">
        <f t="shared" si="255"/>
        <v/>
      </c>
      <c r="T914" s="32" t="str">
        <f t="shared" si="256"/>
        <v/>
      </c>
      <c r="U914" s="32">
        <f t="shared" si="259"/>
        <v>1</v>
      </c>
      <c r="V914" s="32" t="str">
        <f t="shared" si="260"/>
        <v/>
      </c>
      <c r="W914" s="41">
        <f t="shared" si="257"/>
        <v>3.0086263158470432</v>
      </c>
      <c r="X914" s="6">
        <f t="shared" si="258"/>
        <v>240.69010526776344</v>
      </c>
      <c r="Y914" s="7">
        <f t="shared" si="261"/>
        <v>100</v>
      </c>
      <c r="AA914" s="7">
        <f t="shared" si="262"/>
        <v>0</v>
      </c>
      <c r="AB914" s="7" t="str">
        <f t="shared" si="263"/>
        <v/>
      </c>
      <c r="AC914" s="7">
        <f t="shared" si="264"/>
        <v>1</v>
      </c>
      <c r="AD914" s="7">
        <f t="shared" si="265"/>
        <v>80</v>
      </c>
      <c r="AE914" s="6">
        <f t="shared" si="266"/>
        <v>0</v>
      </c>
      <c r="AF914" s="69">
        <f t="shared" si="267"/>
        <v>3.0086263158470432</v>
      </c>
      <c r="AG914" s="6">
        <f t="shared" si="268"/>
        <v>0</v>
      </c>
      <c r="AH914" s="6">
        <f t="shared" si="269"/>
        <v>604</v>
      </c>
    </row>
    <row r="915" spans="8:34" x14ac:dyDescent="0.25">
      <c r="H915" s="7">
        <v>922</v>
      </c>
      <c r="I915" s="7" t="s">
        <v>14</v>
      </c>
      <c r="J915" s="8">
        <v>38474</v>
      </c>
      <c r="K915" s="12" t="s">
        <v>18</v>
      </c>
      <c r="L915" s="9">
        <v>19</v>
      </c>
      <c r="M915" s="10">
        <v>58.904121420487954</v>
      </c>
      <c r="N915" s="7" t="s">
        <v>21</v>
      </c>
      <c r="P915" s="29" t="str">
        <f t="shared" si="252"/>
        <v/>
      </c>
      <c r="Q915" s="29" t="str">
        <f t="shared" si="253"/>
        <v/>
      </c>
      <c r="R915" s="29" t="str">
        <f t="shared" si="254"/>
        <v/>
      </c>
      <c r="S915" s="29" t="str">
        <f t="shared" si="255"/>
        <v/>
      </c>
      <c r="T915" s="32" t="str">
        <f t="shared" si="256"/>
        <v/>
      </c>
      <c r="U915" s="32">
        <f t="shared" si="259"/>
        <v>1</v>
      </c>
      <c r="V915" s="32" t="str">
        <f t="shared" si="260"/>
        <v/>
      </c>
      <c r="W915" s="41">
        <f t="shared" si="257"/>
        <v>3.1002169168677871</v>
      </c>
      <c r="X915" s="6">
        <f t="shared" si="258"/>
        <v>58.904121420487954</v>
      </c>
      <c r="Y915" s="7">
        <f t="shared" si="261"/>
        <v>446</v>
      </c>
      <c r="AA915" s="7">
        <f t="shared" si="262"/>
        <v>0</v>
      </c>
      <c r="AB915" s="7" t="str">
        <f t="shared" si="263"/>
        <v/>
      </c>
      <c r="AC915" s="7">
        <f t="shared" si="264"/>
        <v>1</v>
      </c>
      <c r="AD915" s="7">
        <f t="shared" si="265"/>
        <v>19</v>
      </c>
      <c r="AE915" s="6">
        <f t="shared" si="266"/>
        <v>0</v>
      </c>
      <c r="AF915" s="69">
        <f t="shared" si="267"/>
        <v>3.1002169168677871</v>
      </c>
      <c r="AG915" s="6">
        <f t="shared" si="268"/>
        <v>0</v>
      </c>
      <c r="AH915" s="6">
        <f t="shared" si="269"/>
        <v>604</v>
      </c>
    </row>
    <row r="916" spans="8:34" x14ac:dyDescent="0.25">
      <c r="H916" s="7">
        <v>923</v>
      </c>
      <c r="I916" s="7" t="s">
        <v>7</v>
      </c>
      <c r="J916" s="8">
        <v>38452</v>
      </c>
      <c r="K916" s="12" t="s">
        <v>19</v>
      </c>
      <c r="L916" s="9">
        <v>27</v>
      </c>
      <c r="M916" s="10">
        <v>82.994094545634482</v>
      </c>
      <c r="N916" s="7" t="s">
        <v>21</v>
      </c>
      <c r="P916" s="29" t="str">
        <f t="shared" si="252"/>
        <v/>
      </c>
      <c r="Q916" s="29" t="str">
        <f t="shared" si="253"/>
        <v/>
      </c>
      <c r="R916" s="29" t="str">
        <f t="shared" si="254"/>
        <v/>
      </c>
      <c r="S916" s="29" t="str">
        <f t="shared" si="255"/>
        <v/>
      </c>
      <c r="T916" s="32" t="str">
        <f t="shared" si="256"/>
        <v/>
      </c>
      <c r="U916" s="32">
        <f t="shared" si="259"/>
        <v>1</v>
      </c>
      <c r="V916" s="32" t="str">
        <f t="shared" si="260"/>
        <v/>
      </c>
      <c r="W916" s="41">
        <f t="shared" si="257"/>
        <v>3.0738553535420179</v>
      </c>
      <c r="X916" s="6">
        <f t="shared" si="258"/>
        <v>82.994094545634482</v>
      </c>
      <c r="Y916" s="7">
        <f t="shared" si="261"/>
        <v>397</v>
      </c>
      <c r="AA916" s="7">
        <f t="shared" si="262"/>
        <v>0</v>
      </c>
      <c r="AB916" s="7" t="str">
        <f t="shared" si="263"/>
        <v/>
      </c>
      <c r="AC916" s="7">
        <f t="shared" si="264"/>
        <v>1</v>
      </c>
      <c r="AD916" s="7">
        <f t="shared" si="265"/>
        <v>27</v>
      </c>
      <c r="AE916" s="6">
        <f t="shared" si="266"/>
        <v>0</v>
      </c>
      <c r="AF916" s="69">
        <f t="shared" si="267"/>
        <v>3.0738553535420179</v>
      </c>
      <c r="AG916" s="6">
        <f t="shared" si="268"/>
        <v>0</v>
      </c>
      <c r="AH916" s="6">
        <f t="shared" si="269"/>
        <v>604</v>
      </c>
    </row>
    <row r="917" spans="8:34" x14ac:dyDescent="0.25">
      <c r="H917" s="7">
        <v>924</v>
      </c>
      <c r="I917" s="7" t="s">
        <v>9</v>
      </c>
      <c r="J917" s="8">
        <v>38023</v>
      </c>
      <c r="K917" s="12" t="s">
        <v>20</v>
      </c>
      <c r="L917" s="9">
        <v>79</v>
      </c>
      <c r="M917" s="10">
        <v>239.44869651132598</v>
      </c>
      <c r="N917" s="7" t="s">
        <v>23</v>
      </c>
      <c r="P917" s="29">
        <f t="shared" si="252"/>
        <v>1</v>
      </c>
      <c r="Q917" s="29" t="str">
        <f t="shared" si="253"/>
        <v/>
      </c>
      <c r="R917" s="29" t="str">
        <f t="shared" si="254"/>
        <v/>
      </c>
      <c r="S917" s="29" t="str">
        <f t="shared" si="255"/>
        <v/>
      </c>
      <c r="T917" s="32" t="str">
        <f t="shared" si="256"/>
        <v/>
      </c>
      <c r="U917" s="32" t="str">
        <f t="shared" si="259"/>
        <v/>
      </c>
      <c r="V917" s="32" t="str">
        <f t="shared" si="260"/>
        <v/>
      </c>
      <c r="W917" s="41">
        <f t="shared" si="257"/>
        <v>3.0309961583712148</v>
      </c>
      <c r="X917" s="6">
        <f t="shared" si="258"/>
        <v>0</v>
      </c>
      <c r="Y917" s="7">
        <f t="shared" si="261"/>
        <v>567</v>
      </c>
      <c r="AA917" s="7">
        <f t="shared" si="262"/>
        <v>0</v>
      </c>
      <c r="AB917" s="7" t="str">
        <f t="shared" si="263"/>
        <v/>
      </c>
      <c r="AC917" s="7">
        <f t="shared" si="264"/>
        <v>0</v>
      </c>
      <c r="AD917" s="7" t="str">
        <f t="shared" si="265"/>
        <v/>
      </c>
      <c r="AE917" s="6">
        <f t="shared" si="266"/>
        <v>0</v>
      </c>
      <c r="AF917" s="69">
        <f t="shared" si="267"/>
        <v>3.0309961583712148</v>
      </c>
      <c r="AG917" s="6">
        <f t="shared" si="268"/>
        <v>239.44869651132598</v>
      </c>
      <c r="AH917" s="6">
        <f t="shared" si="269"/>
        <v>90</v>
      </c>
    </row>
    <row r="918" spans="8:34" x14ac:dyDescent="0.25">
      <c r="H918" s="7">
        <v>925</v>
      </c>
      <c r="I918" s="7" t="s">
        <v>14</v>
      </c>
      <c r="J918" s="8">
        <v>38727</v>
      </c>
      <c r="K918" s="12" t="s">
        <v>18</v>
      </c>
      <c r="L918" s="9">
        <v>57</v>
      </c>
      <c r="M918" s="10">
        <v>173.32970466821706</v>
      </c>
      <c r="N918" s="7" t="s">
        <v>21</v>
      </c>
      <c r="P918" s="29" t="str">
        <f t="shared" si="252"/>
        <v/>
      </c>
      <c r="Q918" s="29" t="str">
        <f t="shared" si="253"/>
        <v/>
      </c>
      <c r="R918" s="29" t="str">
        <f t="shared" si="254"/>
        <v/>
      </c>
      <c r="S918" s="29" t="str">
        <f t="shared" si="255"/>
        <v/>
      </c>
      <c r="T918" s="32" t="str">
        <f t="shared" si="256"/>
        <v/>
      </c>
      <c r="U918" s="32" t="str">
        <f t="shared" si="259"/>
        <v/>
      </c>
      <c r="V918" s="32">
        <f t="shared" si="260"/>
        <v>1</v>
      </c>
      <c r="W918" s="41">
        <f t="shared" si="257"/>
        <v>3.0408720117231063</v>
      </c>
      <c r="X918" s="6">
        <f t="shared" si="258"/>
        <v>0</v>
      </c>
      <c r="Y918" s="7">
        <f t="shared" si="261"/>
        <v>567</v>
      </c>
      <c r="AA918" s="7">
        <f t="shared" si="262"/>
        <v>0</v>
      </c>
      <c r="AB918" s="7" t="str">
        <f t="shared" si="263"/>
        <v/>
      </c>
      <c r="AC918" s="7">
        <f t="shared" si="264"/>
        <v>0</v>
      </c>
      <c r="AD918" s="7" t="str">
        <f t="shared" si="265"/>
        <v/>
      </c>
      <c r="AE918" s="6">
        <f t="shared" si="266"/>
        <v>0</v>
      </c>
      <c r="AF918" s="69">
        <f t="shared" si="267"/>
        <v>3.0408720117231063</v>
      </c>
      <c r="AG918" s="6">
        <f t="shared" si="268"/>
        <v>0</v>
      </c>
      <c r="AH918" s="6">
        <f t="shared" si="269"/>
        <v>604</v>
      </c>
    </row>
    <row r="919" spans="8:34" x14ac:dyDescent="0.25">
      <c r="H919" s="7">
        <v>926</v>
      </c>
      <c r="I919" s="7" t="s">
        <v>15</v>
      </c>
      <c r="J919" s="8">
        <v>38705</v>
      </c>
      <c r="K919" s="12" t="s">
        <v>17</v>
      </c>
      <c r="L919" s="9">
        <v>47</v>
      </c>
      <c r="M919" s="10">
        <v>143.60165141540284</v>
      </c>
      <c r="N919" s="7" t="s">
        <v>24</v>
      </c>
      <c r="P919" s="29" t="str">
        <f t="shared" si="252"/>
        <v/>
      </c>
      <c r="Q919" s="29" t="str">
        <f t="shared" si="253"/>
        <v/>
      </c>
      <c r="R919" s="29" t="str">
        <f t="shared" si="254"/>
        <v/>
      </c>
      <c r="S919" s="29" t="str">
        <f t="shared" si="255"/>
        <v/>
      </c>
      <c r="T919" s="32">
        <f t="shared" si="256"/>
        <v>1</v>
      </c>
      <c r="U919" s="32">
        <f t="shared" si="259"/>
        <v>1</v>
      </c>
      <c r="V919" s="32" t="str">
        <f t="shared" si="260"/>
        <v/>
      </c>
      <c r="W919" s="41">
        <f t="shared" si="257"/>
        <v>3.0553542854341029</v>
      </c>
      <c r="X919" s="6">
        <f t="shared" si="258"/>
        <v>143.60165141540284</v>
      </c>
      <c r="Y919" s="7">
        <f t="shared" si="261"/>
        <v>282</v>
      </c>
      <c r="AA919" s="7">
        <f t="shared" si="262"/>
        <v>0</v>
      </c>
      <c r="AB919" s="7" t="str">
        <f t="shared" si="263"/>
        <v/>
      </c>
      <c r="AC919" s="7">
        <f t="shared" si="264"/>
        <v>1</v>
      </c>
      <c r="AD919" s="7">
        <f t="shared" si="265"/>
        <v>47</v>
      </c>
      <c r="AE919" s="6">
        <f t="shared" si="266"/>
        <v>0</v>
      </c>
      <c r="AF919" s="69">
        <f t="shared" si="267"/>
        <v>3.0553542854341029</v>
      </c>
      <c r="AG919" s="6">
        <f t="shared" si="268"/>
        <v>0</v>
      </c>
      <c r="AH919" s="6">
        <f t="shared" si="269"/>
        <v>604</v>
      </c>
    </row>
    <row r="920" spans="8:34" x14ac:dyDescent="0.25">
      <c r="H920" s="7">
        <v>927</v>
      </c>
      <c r="I920" s="7" t="s">
        <v>15</v>
      </c>
      <c r="J920" s="8">
        <v>38298</v>
      </c>
      <c r="K920" s="12" t="s">
        <v>17</v>
      </c>
      <c r="L920" s="9">
        <v>9</v>
      </c>
      <c r="M920" s="10">
        <v>28.827091013525987</v>
      </c>
      <c r="N920" s="7" t="s">
        <v>21</v>
      </c>
      <c r="P920" s="29" t="str">
        <f t="shared" si="252"/>
        <v/>
      </c>
      <c r="Q920" s="29" t="str">
        <f t="shared" si="253"/>
        <v/>
      </c>
      <c r="R920" s="29" t="str">
        <f t="shared" si="254"/>
        <v/>
      </c>
      <c r="S920" s="29">
        <f t="shared" si="255"/>
        <v>1</v>
      </c>
      <c r="T920" s="32" t="str">
        <f t="shared" si="256"/>
        <v/>
      </c>
      <c r="U920" s="32" t="str">
        <f t="shared" si="259"/>
        <v/>
      </c>
      <c r="V920" s="32" t="str">
        <f t="shared" si="260"/>
        <v/>
      </c>
      <c r="W920" s="41">
        <f t="shared" si="257"/>
        <v>3.2030101126139985</v>
      </c>
      <c r="X920" s="6">
        <f t="shared" si="258"/>
        <v>0</v>
      </c>
      <c r="Y920" s="7">
        <f t="shared" si="261"/>
        <v>567</v>
      </c>
      <c r="AA920" s="7">
        <f t="shared" si="262"/>
        <v>0</v>
      </c>
      <c r="AB920" s="7" t="str">
        <f t="shared" si="263"/>
        <v/>
      </c>
      <c r="AC920" s="7">
        <f t="shared" si="264"/>
        <v>0</v>
      </c>
      <c r="AD920" s="7" t="str">
        <f t="shared" si="265"/>
        <v/>
      </c>
      <c r="AE920" s="6">
        <f t="shared" si="266"/>
        <v>0</v>
      </c>
      <c r="AF920" s="69">
        <f t="shared" si="267"/>
        <v>3.2030101126139985</v>
      </c>
      <c r="AG920" s="6">
        <f t="shared" si="268"/>
        <v>28.827091013525987</v>
      </c>
      <c r="AH920" s="6">
        <f t="shared" si="269"/>
        <v>537</v>
      </c>
    </row>
    <row r="921" spans="8:34" x14ac:dyDescent="0.25">
      <c r="H921" s="7">
        <v>928</v>
      </c>
      <c r="I921" s="7" t="s">
        <v>14</v>
      </c>
      <c r="J921" s="8">
        <v>38683</v>
      </c>
      <c r="K921" s="12" t="s">
        <v>17</v>
      </c>
      <c r="L921" s="9">
        <v>65</v>
      </c>
      <c r="M921" s="10">
        <v>196.85925384860963</v>
      </c>
      <c r="N921" s="7" t="s">
        <v>22</v>
      </c>
      <c r="P921" s="29" t="str">
        <f t="shared" si="252"/>
        <v/>
      </c>
      <c r="Q921" s="29" t="str">
        <f t="shared" si="253"/>
        <v/>
      </c>
      <c r="R921" s="29" t="str">
        <f t="shared" si="254"/>
        <v/>
      </c>
      <c r="S921" s="29" t="str">
        <f t="shared" si="255"/>
        <v/>
      </c>
      <c r="T921" s="32">
        <f t="shared" si="256"/>
        <v>1</v>
      </c>
      <c r="U921" s="32">
        <f t="shared" si="259"/>
        <v>1</v>
      </c>
      <c r="V921" s="32" t="str">
        <f t="shared" si="260"/>
        <v/>
      </c>
      <c r="W921" s="41">
        <f t="shared" si="257"/>
        <v>3.0286039053632252</v>
      </c>
      <c r="X921" s="6">
        <f t="shared" si="258"/>
        <v>196.85925384860963</v>
      </c>
      <c r="Y921" s="7">
        <f t="shared" si="261"/>
        <v>182</v>
      </c>
      <c r="AA921" s="7">
        <f t="shared" si="262"/>
        <v>0</v>
      </c>
      <c r="AB921" s="7" t="str">
        <f t="shared" si="263"/>
        <v/>
      </c>
      <c r="AC921" s="7">
        <f t="shared" si="264"/>
        <v>1</v>
      </c>
      <c r="AD921" s="7">
        <f t="shared" si="265"/>
        <v>65</v>
      </c>
      <c r="AE921" s="6">
        <f t="shared" si="266"/>
        <v>0</v>
      </c>
      <c r="AF921" s="69">
        <f t="shared" si="267"/>
        <v>3.0286039053632252</v>
      </c>
      <c r="AG921" s="6">
        <f t="shared" si="268"/>
        <v>0</v>
      </c>
      <c r="AH921" s="6">
        <f t="shared" si="269"/>
        <v>604</v>
      </c>
    </row>
    <row r="922" spans="8:34" x14ac:dyDescent="0.25">
      <c r="H922" s="7">
        <v>929</v>
      </c>
      <c r="I922" s="7" t="s">
        <v>10</v>
      </c>
      <c r="J922" s="8">
        <v>38056</v>
      </c>
      <c r="K922" s="12" t="s">
        <v>18</v>
      </c>
      <c r="L922" s="9">
        <v>58</v>
      </c>
      <c r="M922" s="10">
        <v>175.22266670553387</v>
      </c>
      <c r="N922" s="7" t="s">
        <v>23</v>
      </c>
      <c r="P922" s="29">
        <f t="shared" si="252"/>
        <v>1</v>
      </c>
      <c r="Q922" s="29" t="str">
        <f t="shared" si="253"/>
        <v/>
      </c>
      <c r="R922" s="29" t="str">
        <f t="shared" si="254"/>
        <v/>
      </c>
      <c r="S922" s="29" t="str">
        <f t="shared" si="255"/>
        <v/>
      </c>
      <c r="T922" s="32" t="str">
        <f t="shared" si="256"/>
        <v/>
      </c>
      <c r="U922" s="32" t="str">
        <f t="shared" si="259"/>
        <v/>
      </c>
      <c r="V922" s="32" t="str">
        <f t="shared" si="260"/>
        <v/>
      </c>
      <c r="W922" s="41">
        <f t="shared" si="257"/>
        <v>3.0210804604402393</v>
      </c>
      <c r="X922" s="6">
        <f t="shared" si="258"/>
        <v>0</v>
      </c>
      <c r="Y922" s="7">
        <f t="shared" si="261"/>
        <v>567</v>
      </c>
      <c r="AA922" s="7">
        <f t="shared" si="262"/>
        <v>0</v>
      </c>
      <c r="AB922" s="7" t="str">
        <f t="shared" si="263"/>
        <v/>
      </c>
      <c r="AC922" s="7">
        <f t="shared" si="264"/>
        <v>0</v>
      </c>
      <c r="AD922" s="7" t="str">
        <f t="shared" si="265"/>
        <v/>
      </c>
      <c r="AE922" s="6">
        <f t="shared" si="266"/>
        <v>0</v>
      </c>
      <c r="AF922" s="69">
        <f t="shared" si="267"/>
        <v>3.0210804604402393</v>
      </c>
      <c r="AG922" s="6">
        <f t="shared" si="268"/>
        <v>175.22266670553387</v>
      </c>
      <c r="AH922" s="6">
        <f t="shared" si="269"/>
        <v>228</v>
      </c>
    </row>
    <row r="923" spans="8:34" x14ac:dyDescent="0.25">
      <c r="H923" s="7">
        <v>930</v>
      </c>
      <c r="I923" s="7" t="s">
        <v>15</v>
      </c>
      <c r="J923" s="8">
        <v>38243</v>
      </c>
      <c r="K923" s="12" t="s">
        <v>20</v>
      </c>
      <c r="L923" s="9">
        <v>48</v>
      </c>
      <c r="M923" s="10">
        <v>145.9379301268051</v>
      </c>
      <c r="N923" s="7" t="s">
        <v>21</v>
      </c>
      <c r="P923" s="29" t="str">
        <f t="shared" si="252"/>
        <v/>
      </c>
      <c r="Q923" s="29" t="str">
        <f t="shared" si="253"/>
        <v/>
      </c>
      <c r="R923" s="29">
        <f t="shared" si="254"/>
        <v>1</v>
      </c>
      <c r="S923" s="29" t="str">
        <f t="shared" si="255"/>
        <v/>
      </c>
      <c r="T923" s="32" t="str">
        <f t="shared" si="256"/>
        <v/>
      </c>
      <c r="U923" s="32" t="str">
        <f t="shared" si="259"/>
        <v/>
      </c>
      <c r="V923" s="32" t="str">
        <f t="shared" si="260"/>
        <v/>
      </c>
      <c r="W923" s="41">
        <f t="shared" si="257"/>
        <v>3.0403735443084394</v>
      </c>
      <c r="X923" s="6">
        <f t="shared" si="258"/>
        <v>0</v>
      </c>
      <c r="Y923" s="7">
        <f t="shared" si="261"/>
        <v>567</v>
      </c>
      <c r="AA923" s="7">
        <f t="shared" si="262"/>
        <v>0</v>
      </c>
      <c r="AB923" s="7" t="str">
        <f t="shared" si="263"/>
        <v/>
      </c>
      <c r="AC923" s="7">
        <f t="shared" si="264"/>
        <v>0</v>
      </c>
      <c r="AD923" s="7" t="str">
        <f t="shared" si="265"/>
        <v/>
      </c>
      <c r="AE923" s="6">
        <f t="shared" si="266"/>
        <v>0</v>
      </c>
      <c r="AF923" s="69">
        <f t="shared" si="267"/>
        <v>3.0403735443084394</v>
      </c>
      <c r="AG923" s="6">
        <f t="shared" si="268"/>
        <v>145.9379301268051</v>
      </c>
      <c r="AH923" s="6">
        <f t="shared" si="269"/>
        <v>278</v>
      </c>
    </row>
    <row r="924" spans="8:34" x14ac:dyDescent="0.25">
      <c r="H924" s="7">
        <v>931</v>
      </c>
      <c r="I924" s="7" t="s">
        <v>10</v>
      </c>
      <c r="J924" s="8">
        <v>38639</v>
      </c>
      <c r="K924" s="12" t="s">
        <v>18</v>
      </c>
      <c r="L924" s="9">
        <v>75</v>
      </c>
      <c r="M924" s="10">
        <v>226.61201635446793</v>
      </c>
      <c r="N924" s="7" t="s">
        <v>24</v>
      </c>
      <c r="P924" s="29" t="str">
        <f t="shared" si="252"/>
        <v/>
      </c>
      <c r="Q924" s="29" t="str">
        <f t="shared" si="253"/>
        <v/>
      </c>
      <c r="R924" s="29" t="str">
        <f t="shared" si="254"/>
        <v/>
      </c>
      <c r="S924" s="29" t="str">
        <f t="shared" si="255"/>
        <v/>
      </c>
      <c r="T924" s="32">
        <f t="shared" si="256"/>
        <v>1</v>
      </c>
      <c r="U924" s="32">
        <f t="shared" si="259"/>
        <v>1</v>
      </c>
      <c r="V924" s="32" t="str">
        <f t="shared" si="260"/>
        <v/>
      </c>
      <c r="W924" s="41">
        <f t="shared" si="257"/>
        <v>3.0214935513929055</v>
      </c>
      <c r="X924" s="6">
        <f t="shared" si="258"/>
        <v>226.61201635446793</v>
      </c>
      <c r="Y924" s="7">
        <f t="shared" si="261"/>
        <v>129</v>
      </c>
      <c r="AA924" s="7">
        <f t="shared" si="262"/>
        <v>0</v>
      </c>
      <c r="AB924" s="7" t="str">
        <f t="shared" si="263"/>
        <v/>
      </c>
      <c r="AC924" s="7">
        <f t="shared" si="264"/>
        <v>1</v>
      </c>
      <c r="AD924" s="7">
        <f t="shared" si="265"/>
        <v>75</v>
      </c>
      <c r="AE924" s="6">
        <f t="shared" si="266"/>
        <v>0</v>
      </c>
      <c r="AF924" s="69">
        <f t="shared" si="267"/>
        <v>3.0214935513929055</v>
      </c>
      <c r="AG924" s="6">
        <f t="shared" si="268"/>
        <v>0</v>
      </c>
      <c r="AH924" s="6">
        <f t="shared" si="269"/>
        <v>604</v>
      </c>
    </row>
    <row r="925" spans="8:34" x14ac:dyDescent="0.25">
      <c r="H925" s="7">
        <v>932</v>
      </c>
      <c r="I925" s="7" t="s">
        <v>15</v>
      </c>
      <c r="J925" s="8">
        <v>38738</v>
      </c>
      <c r="K925" s="12" t="s">
        <v>18</v>
      </c>
      <c r="L925" s="9">
        <v>59</v>
      </c>
      <c r="M925" s="10">
        <v>179.37483712712185</v>
      </c>
      <c r="N925" s="7" t="s">
        <v>23</v>
      </c>
      <c r="P925" s="29" t="str">
        <f t="shared" si="252"/>
        <v/>
      </c>
      <c r="Q925" s="29" t="str">
        <f t="shared" si="253"/>
        <v/>
      </c>
      <c r="R925" s="29" t="str">
        <f t="shared" si="254"/>
        <v/>
      </c>
      <c r="S925" s="29" t="str">
        <f t="shared" si="255"/>
        <v/>
      </c>
      <c r="T925" s="32" t="str">
        <f t="shared" si="256"/>
        <v/>
      </c>
      <c r="U925" s="32" t="str">
        <f t="shared" si="259"/>
        <v/>
      </c>
      <c r="V925" s="32">
        <f t="shared" si="260"/>
        <v>1</v>
      </c>
      <c r="W925" s="41">
        <f t="shared" si="257"/>
        <v>3.0402514767308788</v>
      </c>
      <c r="X925" s="6">
        <f t="shared" si="258"/>
        <v>0</v>
      </c>
      <c r="Y925" s="7">
        <f t="shared" si="261"/>
        <v>567</v>
      </c>
      <c r="AA925" s="7">
        <f t="shared" si="262"/>
        <v>0</v>
      </c>
      <c r="AB925" s="7" t="str">
        <f t="shared" si="263"/>
        <v/>
      </c>
      <c r="AC925" s="7">
        <f t="shared" si="264"/>
        <v>0</v>
      </c>
      <c r="AD925" s="7" t="str">
        <f t="shared" si="265"/>
        <v/>
      </c>
      <c r="AE925" s="6">
        <f t="shared" si="266"/>
        <v>0</v>
      </c>
      <c r="AF925" s="69">
        <f t="shared" si="267"/>
        <v>3.0402514767308788</v>
      </c>
      <c r="AG925" s="6">
        <f t="shared" si="268"/>
        <v>0</v>
      </c>
      <c r="AH925" s="6">
        <f t="shared" si="269"/>
        <v>604</v>
      </c>
    </row>
    <row r="926" spans="8:34" x14ac:dyDescent="0.25">
      <c r="H926" s="7">
        <v>933</v>
      </c>
      <c r="I926" s="7" t="s">
        <v>14</v>
      </c>
      <c r="J926" s="8">
        <v>38375</v>
      </c>
      <c r="K926" s="12" t="s">
        <v>20</v>
      </c>
      <c r="L926" s="9">
        <v>34</v>
      </c>
      <c r="M926" s="10">
        <v>104.445032643001</v>
      </c>
      <c r="N926" s="7" t="s">
        <v>22</v>
      </c>
      <c r="P926" s="29" t="str">
        <f t="shared" si="252"/>
        <v/>
      </c>
      <c r="Q926" s="29" t="str">
        <f t="shared" si="253"/>
        <v/>
      </c>
      <c r="R926" s="29" t="str">
        <f t="shared" si="254"/>
        <v/>
      </c>
      <c r="S926" s="29" t="str">
        <f t="shared" si="255"/>
        <v/>
      </c>
      <c r="T926" s="32" t="str">
        <f t="shared" si="256"/>
        <v/>
      </c>
      <c r="U926" s="32">
        <f t="shared" si="259"/>
        <v>1</v>
      </c>
      <c r="V926" s="32" t="str">
        <f t="shared" si="260"/>
        <v/>
      </c>
      <c r="W926" s="41">
        <f t="shared" si="257"/>
        <v>3.0719127247941471</v>
      </c>
      <c r="X926" s="6">
        <f t="shared" si="258"/>
        <v>104.445032643001</v>
      </c>
      <c r="Y926" s="7">
        <f t="shared" si="261"/>
        <v>352</v>
      </c>
      <c r="AA926" s="7">
        <f t="shared" si="262"/>
        <v>1</v>
      </c>
      <c r="AB926" s="7">
        <f t="shared" si="263"/>
        <v>34</v>
      </c>
      <c r="AC926" s="7">
        <f t="shared" si="264"/>
        <v>0</v>
      </c>
      <c r="AD926" s="7" t="str">
        <f t="shared" si="265"/>
        <v/>
      </c>
      <c r="AE926" s="6">
        <f t="shared" si="266"/>
        <v>0</v>
      </c>
      <c r="AF926" s="69">
        <f t="shared" si="267"/>
        <v>3.0719127247941471</v>
      </c>
      <c r="AG926" s="6">
        <f t="shared" si="268"/>
        <v>0</v>
      </c>
      <c r="AH926" s="6">
        <f t="shared" si="269"/>
        <v>604</v>
      </c>
    </row>
    <row r="927" spans="8:34" x14ac:dyDescent="0.25">
      <c r="H927" s="7">
        <v>934</v>
      </c>
      <c r="I927" s="7" t="s">
        <v>10</v>
      </c>
      <c r="J927" s="8">
        <v>38078</v>
      </c>
      <c r="K927" s="12" t="s">
        <v>19</v>
      </c>
      <c r="L927" s="9">
        <v>57</v>
      </c>
      <c r="M927" s="10">
        <v>173.06756590039018</v>
      </c>
      <c r="N927" s="7" t="s">
        <v>24</v>
      </c>
      <c r="P927" s="29" t="str">
        <f t="shared" si="252"/>
        <v/>
      </c>
      <c r="Q927" s="29">
        <f t="shared" si="253"/>
        <v>1</v>
      </c>
      <c r="R927" s="29" t="str">
        <f t="shared" si="254"/>
        <v/>
      </c>
      <c r="S927" s="29" t="str">
        <f t="shared" si="255"/>
        <v/>
      </c>
      <c r="T927" s="32" t="str">
        <f t="shared" si="256"/>
        <v/>
      </c>
      <c r="U927" s="32" t="str">
        <f t="shared" si="259"/>
        <v/>
      </c>
      <c r="V927" s="32" t="str">
        <f t="shared" si="260"/>
        <v/>
      </c>
      <c r="W927" s="41">
        <f t="shared" si="257"/>
        <v>3.0362730859717577</v>
      </c>
      <c r="X927" s="6">
        <f t="shared" si="258"/>
        <v>0</v>
      </c>
      <c r="Y927" s="7">
        <f t="shared" si="261"/>
        <v>567</v>
      </c>
      <c r="AA927" s="7">
        <f t="shared" si="262"/>
        <v>0</v>
      </c>
      <c r="AB927" s="7" t="str">
        <f t="shared" si="263"/>
        <v/>
      </c>
      <c r="AC927" s="7">
        <f t="shared" si="264"/>
        <v>0</v>
      </c>
      <c r="AD927" s="7" t="str">
        <f t="shared" si="265"/>
        <v/>
      </c>
      <c r="AE927" s="6">
        <f t="shared" si="266"/>
        <v>0</v>
      </c>
      <c r="AF927" s="69">
        <f t="shared" si="267"/>
        <v>3.0362730859717577</v>
      </c>
      <c r="AG927" s="6">
        <f t="shared" si="268"/>
        <v>173.06756590039018</v>
      </c>
      <c r="AH927" s="6">
        <f t="shared" si="269"/>
        <v>232</v>
      </c>
    </row>
    <row r="928" spans="8:34" x14ac:dyDescent="0.25">
      <c r="H928" s="7">
        <v>935</v>
      </c>
      <c r="I928" s="7" t="s">
        <v>13</v>
      </c>
      <c r="J928" s="8">
        <v>38804</v>
      </c>
      <c r="K928" s="12" t="s">
        <v>17</v>
      </c>
      <c r="L928" s="9">
        <v>62</v>
      </c>
      <c r="M928" s="10">
        <v>187.88584432496489</v>
      </c>
      <c r="N928" s="7" t="s">
        <v>21</v>
      </c>
      <c r="P928" s="29" t="str">
        <f t="shared" si="252"/>
        <v/>
      </c>
      <c r="Q928" s="29" t="str">
        <f t="shared" si="253"/>
        <v/>
      </c>
      <c r="R928" s="29" t="str">
        <f t="shared" si="254"/>
        <v/>
      </c>
      <c r="S928" s="29" t="str">
        <f t="shared" si="255"/>
        <v/>
      </c>
      <c r="T928" s="32" t="str">
        <f t="shared" si="256"/>
        <v/>
      </c>
      <c r="U928" s="32" t="str">
        <f t="shared" si="259"/>
        <v/>
      </c>
      <c r="V928" s="32">
        <f t="shared" si="260"/>
        <v>1</v>
      </c>
      <c r="W928" s="41">
        <f t="shared" si="257"/>
        <v>3.0304168439510466</v>
      </c>
      <c r="X928" s="6">
        <f t="shared" si="258"/>
        <v>0</v>
      </c>
      <c r="Y928" s="7">
        <f t="shared" si="261"/>
        <v>567</v>
      </c>
      <c r="AA928" s="7">
        <f t="shared" si="262"/>
        <v>0</v>
      </c>
      <c r="AB928" s="7" t="str">
        <f t="shared" si="263"/>
        <v/>
      </c>
      <c r="AC928" s="7">
        <f t="shared" si="264"/>
        <v>0</v>
      </c>
      <c r="AD928" s="7" t="str">
        <f t="shared" si="265"/>
        <v/>
      </c>
      <c r="AE928" s="6">
        <f t="shared" si="266"/>
        <v>0</v>
      </c>
      <c r="AF928" s="69">
        <f t="shared" si="267"/>
        <v>3.0304168439510466</v>
      </c>
      <c r="AG928" s="6">
        <f t="shared" si="268"/>
        <v>0</v>
      </c>
      <c r="AH928" s="6">
        <f t="shared" si="269"/>
        <v>604</v>
      </c>
    </row>
    <row r="929" spans="8:34" x14ac:dyDescent="0.25">
      <c r="H929" s="7">
        <v>936</v>
      </c>
      <c r="I929" s="7" t="s">
        <v>12</v>
      </c>
      <c r="J929" s="8">
        <v>38903</v>
      </c>
      <c r="K929" s="12" t="s">
        <v>19</v>
      </c>
      <c r="L929" s="9">
        <v>17</v>
      </c>
      <c r="M929" s="10">
        <v>53.048677008733435</v>
      </c>
      <c r="N929" s="7" t="s">
        <v>21</v>
      </c>
      <c r="P929" s="29" t="str">
        <f t="shared" si="252"/>
        <v/>
      </c>
      <c r="Q929" s="29" t="str">
        <f t="shared" si="253"/>
        <v/>
      </c>
      <c r="R929" s="29" t="str">
        <f t="shared" si="254"/>
        <v/>
      </c>
      <c r="S929" s="29" t="str">
        <f t="shared" si="255"/>
        <v/>
      </c>
      <c r="T929" s="32" t="str">
        <f t="shared" si="256"/>
        <v/>
      </c>
      <c r="U929" s="32" t="str">
        <f t="shared" si="259"/>
        <v/>
      </c>
      <c r="V929" s="32">
        <f t="shared" si="260"/>
        <v>1</v>
      </c>
      <c r="W929" s="41">
        <f t="shared" si="257"/>
        <v>3.1205104122784375</v>
      </c>
      <c r="X929" s="6">
        <f t="shared" si="258"/>
        <v>0</v>
      </c>
      <c r="Y929" s="7">
        <f t="shared" si="261"/>
        <v>567</v>
      </c>
      <c r="AA929" s="7">
        <f t="shared" si="262"/>
        <v>0</v>
      </c>
      <c r="AB929" s="7" t="str">
        <f t="shared" si="263"/>
        <v/>
      </c>
      <c r="AC929" s="7">
        <f t="shared" si="264"/>
        <v>0</v>
      </c>
      <c r="AD929" s="7" t="str">
        <f t="shared" si="265"/>
        <v/>
      </c>
      <c r="AE929" s="6">
        <f t="shared" si="266"/>
        <v>0</v>
      </c>
      <c r="AF929" s="69">
        <f t="shared" si="267"/>
        <v>3.1205104122784375</v>
      </c>
      <c r="AG929" s="6">
        <f t="shared" si="268"/>
        <v>0</v>
      </c>
      <c r="AH929" s="6">
        <f t="shared" si="269"/>
        <v>604</v>
      </c>
    </row>
    <row r="930" spans="8:34" x14ac:dyDescent="0.25">
      <c r="H930" s="7">
        <v>937</v>
      </c>
      <c r="I930" s="7" t="s">
        <v>9</v>
      </c>
      <c r="J930" s="8">
        <v>38562</v>
      </c>
      <c r="K930" s="12" t="s">
        <v>18</v>
      </c>
      <c r="L930" s="9">
        <v>83</v>
      </c>
      <c r="M930" s="10">
        <v>250.82439492521385</v>
      </c>
      <c r="N930" s="7" t="s">
        <v>23</v>
      </c>
      <c r="P930" s="29" t="str">
        <f t="shared" si="252"/>
        <v/>
      </c>
      <c r="Q930" s="29" t="str">
        <f t="shared" si="253"/>
        <v/>
      </c>
      <c r="R930" s="29" t="str">
        <f t="shared" si="254"/>
        <v/>
      </c>
      <c r="S930" s="29" t="str">
        <f t="shared" si="255"/>
        <v/>
      </c>
      <c r="T930" s="32" t="str">
        <f t="shared" si="256"/>
        <v/>
      </c>
      <c r="U930" s="32">
        <f t="shared" si="259"/>
        <v>1</v>
      </c>
      <c r="V930" s="32" t="str">
        <f t="shared" si="260"/>
        <v/>
      </c>
      <c r="W930" s="41">
        <f t="shared" si="257"/>
        <v>3.0219806617495646</v>
      </c>
      <c r="X930" s="6">
        <f t="shared" si="258"/>
        <v>250.82439492521385</v>
      </c>
      <c r="Y930" s="7">
        <f t="shared" si="261"/>
        <v>81</v>
      </c>
      <c r="AA930" s="7">
        <f t="shared" si="262"/>
        <v>1</v>
      </c>
      <c r="AB930" s="7">
        <f t="shared" si="263"/>
        <v>83</v>
      </c>
      <c r="AC930" s="7">
        <f t="shared" si="264"/>
        <v>0</v>
      </c>
      <c r="AD930" s="7" t="str">
        <f t="shared" si="265"/>
        <v/>
      </c>
      <c r="AE930" s="6">
        <f t="shared" si="266"/>
        <v>0</v>
      </c>
      <c r="AF930" s="69">
        <f t="shared" si="267"/>
        <v>3.0219806617495646</v>
      </c>
      <c r="AG930" s="6">
        <f t="shared" si="268"/>
        <v>0</v>
      </c>
      <c r="AH930" s="6">
        <f t="shared" si="269"/>
        <v>604</v>
      </c>
    </row>
    <row r="931" spans="8:34" x14ac:dyDescent="0.25">
      <c r="H931" s="7">
        <v>938</v>
      </c>
      <c r="I931" s="7" t="s">
        <v>9</v>
      </c>
      <c r="J931" s="8">
        <v>38188</v>
      </c>
      <c r="K931" s="12" t="s">
        <v>17</v>
      </c>
      <c r="L931" s="9">
        <v>56</v>
      </c>
      <c r="M931" s="10">
        <v>169.84037281505195</v>
      </c>
      <c r="N931" s="7" t="s">
        <v>24</v>
      </c>
      <c r="P931" s="29" t="str">
        <f t="shared" si="252"/>
        <v/>
      </c>
      <c r="Q931" s="29" t="str">
        <f t="shared" si="253"/>
        <v/>
      </c>
      <c r="R931" s="29">
        <f t="shared" si="254"/>
        <v>1</v>
      </c>
      <c r="S931" s="29" t="str">
        <f t="shared" si="255"/>
        <v/>
      </c>
      <c r="T931" s="32" t="str">
        <f t="shared" si="256"/>
        <v/>
      </c>
      <c r="U931" s="32" t="str">
        <f t="shared" si="259"/>
        <v/>
      </c>
      <c r="V931" s="32" t="str">
        <f t="shared" si="260"/>
        <v/>
      </c>
      <c r="W931" s="41">
        <f t="shared" si="257"/>
        <v>3.0328638002687849</v>
      </c>
      <c r="X931" s="6">
        <f t="shared" si="258"/>
        <v>0</v>
      </c>
      <c r="Y931" s="7">
        <f t="shared" si="261"/>
        <v>567</v>
      </c>
      <c r="AA931" s="7">
        <f t="shared" si="262"/>
        <v>0</v>
      </c>
      <c r="AB931" s="7" t="str">
        <f t="shared" si="263"/>
        <v/>
      </c>
      <c r="AC931" s="7">
        <f t="shared" si="264"/>
        <v>0</v>
      </c>
      <c r="AD931" s="7" t="str">
        <f t="shared" si="265"/>
        <v/>
      </c>
      <c r="AE931" s="6">
        <f t="shared" si="266"/>
        <v>0</v>
      </c>
      <c r="AF931" s="69">
        <f t="shared" si="267"/>
        <v>3.0328638002687849</v>
      </c>
      <c r="AG931" s="6">
        <f t="shared" si="268"/>
        <v>169.84037281505195</v>
      </c>
      <c r="AH931" s="6">
        <f t="shared" si="269"/>
        <v>238</v>
      </c>
    </row>
    <row r="932" spans="8:34" x14ac:dyDescent="0.25">
      <c r="H932" s="7">
        <v>939</v>
      </c>
      <c r="I932" s="7" t="s">
        <v>8</v>
      </c>
      <c r="J932" s="8">
        <v>38045</v>
      </c>
      <c r="K932" s="12" t="s">
        <v>17</v>
      </c>
      <c r="L932" s="9">
        <v>14</v>
      </c>
      <c r="M932" s="10">
        <v>44.194328055358937</v>
      </c>
      <c r="N932" s="7" t="s">
        <v>23</v>
      </c>
      <c r="P932" s="29">
        <f t="shared" si="252"/>
        <v>1</v>
      </c>
      <c r="Q932" s="29" t="str">
        <f t="shared" si="253"/>
        <v/>
      </c>
      <c r="R932" s="29" t="str">
        <f t="shared" si="254"/>
        <v/>
      </c>
      <c r="S932" s="29" t="str">
        <f t="shared" si="255"/>
        <v/>
      </c>
      <c r="T932" s="32" t="str">
        <f t="shared" si="256"/>
        <v/>
      </c>
      <c r="U932" s="32" t="str">
        <f t="shared" si="259"/>
        <v/>
      </c>
      <c r="V932" s="32" t="str">
        <f t="shared" si="260"/>
        <v/>
      </c>
      <c r="W932" s="41">
        <f t="shared" si="257"/>
        <v>3.1567377182399241</v>
      </c>
      <c r="X932" s="6">
        <f t="shared" si="258"/>
        <v>0</v>
      </c>
      <c r="Y932" s="7">
        <f t="shared" si="261"/>
        <v>567</v>
      </c>
      <c r="AA932" s="7">
        <f t="shared" si="262"/>
        <v>0</v>
      </c>
      <c r="AB932" s="7" t="str">
        <f t="shared" si="263"/>
        <v/>
      </c>
      <c r="AC932" s="7">
        <f t="shared" si="264"/>
        <v>0</v>
      </c>
      <c r="AD932" s="7" t="str">
        <f t="shared" si="265"/>
        <v/>
      </c>
      <c r="AE932" s="6">
        <f t="shared" si="266"/>
        <v>0</v>
      </c>
      <c r="AF932" s="69">
        <f t="shared" si="267"/>
        <v>3.1567377182399241</v>
      </c>
      <c r="AG932" s="6">
        <f t="shared" si="268"/>
        <v>44.194328055358937</v>
      </c>
      <c r="AH932" s="6">
        <f t="shared" si="269"/>
        <v>493</v>
      </c>
    </row>
    <row r="933" spans="8:34" x14ac:dyDescent="0.25">
      <c r="H933" s="7">
        <v>940</v>
      </c>
      <c r="I933" s="7" t="s">
        <v>11</v>
      </c>
      <c r="J933" s="8">
        <v>38353</v>
      </c>
      <c r="K933" s="12" t="s">
        <v>19</v>
      </c>
      <c r="L933" s="9">
        <v>-9</v>
      </c>
      <c r="M933" s="10">
        <v>-24.562782237120555</v>
      </c>
      <c r="N933" s="7" t="s">
        <v>23</v>
      </c>
      <c r="P933" s="29" t="str">
        <f t="shared" si="252"/>
        <v/>
      </c>
      <c r="Q933" s="29" t="str">
        <f t="shared" si="253"/>
        <v/>
      </c>
      <c r="R933" s="29" t="str">
        <f t="shared" si="254"/>
        <v/>
      </c>
      <c r="S933" s="29" t="str">
        <f t="shared" si="255"/>
        <v/>
      </c>
      <c r="T933" s="32" t="str">
        <f t="shared" si="256"/>
        <v/>
      </c>
      <c r="U933" s="32">
        <f t="shared" si="259"/>
        <v>1</v>
      </c>
      <c r="V933" s="32" t="str">
        <f t="shared" si="260"/>
        <v/>
      </c>
      <c r="W933" s="41" t="str">
        <f t="shared" si="257"/>
        <v/>
      </c>
      <c r="X933" s="6">
        <f t="shared" si="258"/>
        <v>-24.562782237120555</v>
      </c>
      <c r="Y933" s="7">
        <f t="shared" si="261"/>
        <v>1884</v>
      </c>
      <c r="AA933" s="7">
        <f t="shared" si="262"/>
        <v>1</v>
      </c>
      <c r="AB933" s="7">
        <f t="shared" si="263"/>
        <v>-9</v>
      </c>
      <c r="AC933" s="7">
        <f t="shared" si="264"/>
        <v>0</v>
      </c>
      <c r="AD933" s="7" t="str">
        <f t="shared" si="265"/>
        <v/>
      </c>
      <c r="AE933" s="6">
        <f t="shared" si="266"/>
        <v>-9</v>
      </c>
      <c r="AF933" s="69" t="str">
        <f t="shared" si="267"/>
        <v/>
      </c>
      <c r="AG933" s="6">
        <f t="shared" si="268"/>
        <v>0</v>
      </c>
      <c r="AH933" s="6">
        <f t="shared" si="269"/>
        <v>604</v>
      </c>
    </row>
    <row r="934" spans="8:34" x14ac:dyDescent="0.25">
      <c r="H934" s="7">
        <v>941</v>
      </c>
      <c r="I934" s="7" t="s">
        <v>7</v>
      </c>
      <c r="J934" s="8">
        <v>38551</v>
      </c>
      <c r="K934" s="12" t="s">
        <v>18</v>
      </c>
      <c r="L934" s="9">
        <v>44</v>
      </c>
      <c r="M934" s="10">
        <v>134.50349016705422</v>
      </c>
      <c r="N934" s="7" t="s">
        <v>21</v>
      </c>
      <c r="P934" s="29" t="str">
        <f t="shared" si="252"/>
        <v/>
      </c>
      <c r="Q934" s="29" t="str">
        <f t="shared" si="253"/>
        <v/>
      </c>
      <c r="R934" s="29" t="str">
        <f t="shared" si="254"/>
        <v/>
      </c>
      <c r="S934" s="29" t="str">
        <f t="shared" si="255"/>
        <v/>
      </c>
      <c r="T934" s="32" t="str">
        <f t="shared" si="256"/>
        <v/>
      </c>
      <c r="U934" s="32">
        <f t="shared" si="259"/>
        <v>1</v>
      </c>
      <c r="V934" s="32" t="str">
        <f t="shared" si="260"/>
        <v/>
      </c>
      <c r="W934" s="41">
        <f t="shared" si="257"/>
        <v>3.0568975037966868</v>
      </c>
      <c r="X934" s="6">
        <f t="shared" si="258"/>
        <v>134.50349016705422</v>
      </c>
      <c r="Y934" s="7">
        <f t="shared" si="261"/>
        <v>299</v>
      </c>
      <c r="AA934" s="7">
        <f t="shared" si="262"/>
        <v>1</v>
      </c>
      <c r="AB934" s="7">
        <f t="shared" si="263"/>
        <v>44</v>
      </c>
      <c r="AC934" s="7">
        <f t="shared" si="264"/>
        <v>0</v>
      </c>
      <c r="AD934" s="7" t="str">
        <f t="shared" si="265"/>
        <v/>
      </c>
      <c r="AE934" s="6">
        <f t="shared" si="266"/>
        <v>0</v>
      </c>
      <c r="AF934" s="69">
        <f t="shared" si="267"/>
        <v>3.0568975037966868</v>
      </c>
      <c r="AG934" s="6">
        <f t="shared" si="268"/>
        <v>0</v>
      </c>
      <c r="AH934" s="6">
        <f t="shared" si="269"/>
        <v>604</v>
      </c>
    </row>
    <row r="935" spans="8:34" x14ac:dyDescent="0.25">
      <c r="H935" s="7">
        <v>942</v>
      </c>
      <c r="I935" s="7" t="s">
        <v>10</v>
      </c>
      <c r="J935" s="8">
        <v>38023</v>
      </c>
      <c r="K935" s="12" t="s">
        <v>16</v>
      </c>
      <c r="L935" s="9">
        <v>32</v>
      </c>
      <c r="M935" s="10">
        <v>97.6497815079464</v>
      </c>
      <c r="N935" s="7" t="s">
        <v>24</v>
      </c>
      <c r="P935" s="29">
        <f t="shared" si="252"/>
        <v>1</v>
      </c>
      <c r="Q935" s="29" t="str">
        <f t="shared" si="253"/>
        <v/>
      </c>
      <c r="R935" s="29" t="str">
        <f t="shared" si="254"/>
        <v/>
      </c>
      <c r="S935" s="29" t="str">
        <f t="shared" si="255"/>
        <v/>
      </c>
      <c r="T935" s="32" t="str">
        <f t="shared" si="256"/>
        <v/>
      </c>
      <c r="U935" s="32" t="str">
        <f t="shared" si="259"/>
        <v/>
      </c>
      <c r="V935" s="32" t="str">
        <f t="shared" si="260"/>
        <v/>
      </c>
      <c r="W935" s="41">
        <f t="shared" si="257"/>
        <v>3.051555672123325</v>
      </c>
      <c r="X935" s="6">
        <f t="shared" si="258"/>
        <v>0</v>
      </c>
      <c r="Y935" s="7">
        <f t="shared" si="261"/>
        <v>567</v>
      </c>
      <c r="AA935" s="7">
        <f t="shared" si="262"/>
        <v>0</v>
      </c>
      <c r="AB935" s="7" t="str">
        <f t="shared" si="263"/>
        <v/>
      </c>
      <c r="AC935" s="7">
        <f t="shared" si="264"/>
        <v>0</v>
      </c>
      <c r="AD935" s="7" t="str">
        <f t="shared" si="265"/>
        <v/>
      </c>
      <c r="AE935" s="6">
        <f t="shared" si="266"/>
        <v>0</v>
      </c>
      <c r="AF935" s="69">
        <f t="shared" si="267"/>
        <v>3.051555672123325</v>
      </c>
      <c r="AG935" s="6">
        <f t="shared" si="268"/>
        <v>97.6497815079464</v>
      </c>
      <c r="AH935" s="6">
        <f t="shared" si="269"/>
        <v>382</v>
      </c>
    </row>
    <row r="936" spans="8:34" x14ac:dyDescent="0.25">
      <c r="H936" s="7">
        <v>943</v>
      </c>
      <c r="I936" s="7" t="s">
        <v>14</v>
      </c>
      <c r="J936" s="8">
        <v>38364</v>
      </c>
      <c r="K936" s="12" t="s">
        <v>16</v>
      </c>
      <c r="L936" s="9">
        <v>85</v>
      </c>
      <c r="M936" s="10">
        <v>256.97037064610868</v>
      </c>
      <c r="N936" s="7" t="s">
        <v>24</v>
      </c>
      <c r="P936" s="29" t="str">
        <f t="shared" si="252"/>
        <v/>
      </c>
      <c r="Q936" s="29" t="str">
        <f t="shared" si="253"/>
        <v/>
      </c>
      <c r="R936" s="29" t="str">
        <f t="shared" si="254"/>
        <v/>
      </c>
      <c r="S936" s="29" t="str">
        <f t="shared" si="255"/>
        <v/>
      </c>
      <c r="T936" s="32" t="str">
        <f t="shared" si="256"/>
        <v/>
      </c>
      <c r="U936" s="32">
        <f t="shared" si="259"/>
        <v>1</v>
      </c>
      <c r="V936" s="32" t="str">
        <f t="shared" si="260"/>
        <v/>
      </c>
      <c r="W936" s="41">
        <f t="shared" si="257"/>
        <v>3.0231808311306905</v>
      </c>
      <c r="X936" s="6">
        <f t="shared" si="258"/>
        <v>256.97037064610868</v>
      </c>
      <c r="Y936" s="7">
        <f t="shared" si="261"/>
        <v>66</v>
      </c>
      <c r="AA936" s="7">
        <f t="shared" si="262"/>
        <v>1</v>
      </c>
      <c r="AB936" s="7">
        <f t="shared" si="263"/>
        <v>85</v>
      </c>
      <c r="AC936" s="7">
        <f t="shared" si="264"/>
        <v>0</v>
      </c>
      <c r="AD936" s="7" t="str">
        <f t="shared" si="265"/>
        <v/>
      </c>
      <c r="AE936" s="6">
        <f t="shared" si="266"/>
        <v>0</v>
      </c>
      <c r="AF936" s="69">
        <f t="shared" si="267"/>
        <v>3.0231808311306905</v>
      </c>
      <c r="AG936" s="6">
        <f t="shared" si="268"/>
        <v>0</v>
      </c>
      <c r="AH936" s="6">
        <f t="shared" si="269"/>
        <v>604</v>
      </c>
    </row>
    <row r="937" spans="8:34" x14ac:dyDescent="0.25">
      <c r="H937" s="7">
        <v>944</v>
      </c>
      <c r="I937" s="7" t="s">
        <v>7</v>
      </c>
      <c r="J937" s="8">
        <v>38254</v>
      </c>
      <c r="K937" s="12" t="s">
        <v>17</v>
      </c>
      <c r="L937" s="9">
        <v>-2</v>
      </c>
      <c r="M937" s="10">
        <v>-3.7233562380367276</v>
      </c>
      <c r="N937" s="7" t="s">
        <v>23</v>
      </c>
      <c r="P937" s="29" t="str">
        <f t="shared" si="252"/>
        <v/>
      </c>
      <c r="Q937" s="29" t="str">
        <f t="shared" si="253"/>
        <v/>
      </c>
      <c r="R937" s="29">
        <f t="shared" si="254"/>
        <v>1</v>
      </c>
      <c r="S937" s="29" t="str">
        <f t="shared" si="255"/>
        <v/>
      </c>
      <c r="T937" s="32" t="str">
        <f t="shared" si="256"/>
        <v/>
      </c>
      <c r="U937" s="32" t="str">
        <f t="shared" si="259"/>
        <v/>
      </c>
      <c r="V937" s="32" t="str">
        <f t="shared" si="260"/>
        <v/>
      </c>
      <c r="W937" s="41" t="str">
        <f t="shared" si="257"/>
        <v/>
      </c>
      <c r="X937" s="6">
        <f t="shared" si="258"/>
        <v>0</v>
      </c>
      <c r="Y937" s="7">
        <f t="shared" si="261"/>
        <v>567</v>
      </c>
      <c r="AA937" s="7">
        <f t="shared" si="262"/>
        <v>0</v>
      </c>
      <c r="AB937" s="7" t="str">
        <f t="shared" si="263"/>
        <v/>
      </c>
      <c r="AC937" s="7">
        <f t="shared" si="264"/>
        <v>0</v>
      </c>
      <c r="AD937" s="7" t="str">
        <f t="shared" si="265"/>
        <v/>
      </c>
      <c r="AE937" s="6">
        <f t="shared" si="266"/>
        <v>-2</v>
      </c>
      <c r="AF937" s="69" t="str">
        <f t="shared" si="267"/>
        <v/>
      </c>
      <c r="AG937" s="6">
        <f t="shared" si="268"/>
        <v>0</v>
      </c>
      <c r="AH937" s="6">
        <f t="shared" si="269"/>
        <v>604</v>
      </c>
    </row>
    <row r="938" spans="8:34" x14ac:dyDescent="0.25">
      <c r="H938" s="7">
        <v>945</v>
      </c>
      <c r="I938" s="7" t="s">
        <v>13</v>
      </c>
      <c r="J938" s="8">
        <v>38386</v>
      </c>
      <c r="K938" s="12" t="s">
        <v>19</v>
      </c>
      <c r="L938" s="9">
        <v>31</v>
      </c>
      <c r="M938" s="10">
        <v>94.439645321373334</v>
      </c>
      <c r="N938" s="7" t="s">
        <v>21</v>
      </c>
      <c r="P938" s="29" t="str">
        <f t="shared" si="252"/>
        <v/>
      </c>
      <c r="Q938" s="29" t="str">
        <f t="shared" si="253"/>
        <v/>
      </c>
      <c r="R938" s="29" t="str">
        <f t="shared" si="254"/>
        <v/>
      </c>
      <c r="S938" s="29" t="str">
        <f t="shared" si="255"/>
        <v/>
      </c>
      <c r="T938" s="32" t="str">
        <f t="shared" si="256"/>
        <v/>
      </c>
      <c r="U938" s="32">
        <f t="shared" si="259"/>
        <v>1</v>
      </c>
      <c r="V938" s="32" t="str">
        <f t="shared" si="260"/>
        <v/>
      </c>
      <c r="W938" s="41">
        <f t="shared" si="257"/>
        <v>3.0464401716572045</v>
      </c>
      <c r="X938" s="6">
        <f t="shared" si="258"/>
        <v>94.439645321373334</v>
      </c>
      <c r="Y938" s="7">
        <f t="shared" si="261"/>
        <v>369</v>
      </c>
      <c r="AA938" s="7">
        <f t="shared" si="262"/>
        <v>1</v>
      </c>
      <c r="AB938" s="7">
        <f t="shared" si="263"/>
        <v>31</v>
      </c>
      <c r="AC938" s="7">
        <f t="shared" si="264"/>
        <v>0</v>
      </c>
      <c r="AD938" s="7" t="str">
        <f t="shared" si="265"/>
        <v/>
      </c>
      <c r="AE938" s="6">
        <f t="shared" si="266"/>
        <v>0</v>
      </c>
      <c r="AF938" s="69">
        <f t="shared" si="267"/>
        <v>3.0464401716572045</v>
      </c>
      <c r="AG938" s="6">
        <f t="shared" si="268"/>
        <v>0</v>
      </c>
      <c r="AH938" s="6">
        <f t="shared" si="269"/>
        <v>604</v>
      </c>
    </row>
    <row r="939" spans="8:34" x14ac:dyDescent="0.25">
      <c r="H939" s="7">
        <v>946</v>
      </c>
      <c r="I939" s="7" t="s">
        <v>15</v>
      </c>
      <c r="J939" s="8">
        <v>38221</v>
      </c>
      <c r="K939" s="12" t="s">
        <v>16</v>
      </c>
      <c r="L939" s="9">
        <v>-7</v>
      </c>
      <c r="M939" s="10">
        <v>-19.822062355825821</v>
      </c>
      <c r="N939" s="7" t="s">
        <v>21</v>
      </c>
      <c r="P939" s="29" t="str">
        <f t="shared" si="252"/>
        <v/>
      </c>
      <c r="Q939" s="29" t="str">
        <f t="shared" si="253"/>
        <v/>
      </c>
      <c r="R939" s="29">
        <f t="shared" si="254"/>
        <v>1</v>
      </c>
      <c r="S939" s="29" t="str">
        <f t="shared" si="255"/>
        <v/>
      </c>
      <c r="T939" s="32" t="str">
        <f t="shared" si="256"/>
        <v/>
      </c>
      <c r="U939" s="32" t="str">
        <f t="shared" si="259"/>
        <v/>
      </c>
      <c r="V939" s="32" t="str">
        <f t="shared" si="260"/>
        <v/>
      </c>
      <c r="W939" s="41" t="str">
        <f t="shared" si="257"/>
        <v/>
      </c>
      <c r="X939" s="6">
        <f t="shared" si="258"/>
        <v>0</v>
      </c>
      <c r="Y939" s="7">
        <f t="shared" si="261"/>
        <v>567</v>
      </c>
      <c r="AA939" s="7">
        <f t="shared" si="262"/>
        <v>0</v>
      </c>
      <c r="AB939" s="7" t="str">
        <f t="shared" si="263"/>
        <v/>
      </c>
      <c r="AC939" s="7">
        <f t="shared" si="264"/>
        <v>0</v>
      </c>
      <c r="AD939" s="7" t="str">
        <f t="shared" si="265"/>
        <v/>
      </c>
      <c r="AE939" s="6">
        <f t="shared" si="266"/>
        <v>-7</v>
      </c>
      <c r="AF939" s="69" t="str">
        <f t="shared" si="267"/>
        <v/>
      </c>
      <c r="AG939" s="6">
        <f t="shared" si="268"/>
        <v>0</v>
      </c>
      <c r="AH939" s="6">
        <f t="shared" si="269"/>
        <v>604</v>
      </c>
    </row>
    <row r="940" spans="8:34" x14ac:dyDescent="0.25">
      <c r="H940" s="7">
        <v>947</v>
      </c>
      <c r="I940" s="7" t="s">
        <v>11</v>
      </c>
      <c r="J940" s="8">
        <v>38012</v>
      </c>
      <c r="K940" s="12" t="s">
        <v>19</v>
      </c>
      <c r="L940" s="9">
        <v>-1</v>
      </c>
      <c r="M940" s="10">
        <v>-0.28735784707427747</v>
      </c>
      <c r="N940" s="7" t="s">
        <v>22</v>
      </c>
      <c r="P940" s="29">
        <f t="shared" si="252"/>
        <v>1</v>
      </c>
      <c r="Q940" s="29" t="str">
        <f t="shared" si="253"/>
        <v/>
      </c>
      <c r="R940" s="29" t="str">
        <f t="shared" si="254"/>
        <v/>
      </c>
      <c r="S940" s="29" t="str">
        <f t="shared" si="255"/>
        <v/>
      </c>
      <c r="T940" s="32" t="str">
        <f t="shared" si="256"/>
        <v/>
      </c>
      <c r="U940" s="32" t="str">
        <f t="shared" si="259"/>
        <v/>
      </c>
      <c r="V940" s="32" t="str">
        <f t="shared" si="260"/>
        <v/>
      </c>
      <c r="W940" s="41" t="str">
        <f t="shared" si="257"/>
        <v/>
      </c>
      <c r="X940" s="6">
        <f t="shared" si="258"/>
        <v>0</v>
      </c>
      <c r="Y940" s="7">
        <f t="shared" si="261"/>
        <v>567</v>
      </c>
      <c r="AA940" s="7">
        <f t="shared" si="262"/>
        <v>0</v>
      </c>
      <c r="AB940" s="7" t="str">
        <f t="shared" si="263"/>
        <v/>
      </c>
      <c r="AC940" s="7">
        <f t="shared" si="264"/>
        <v>0</v>
      </c>
      <c r="AD940" s="7" t="str">
        <f t="shared" si="265"/>
        <v/>
      </c>
      <c r="AE940" s="6">
        <f t="shared" si="266"/>
        <v>-1</v>
      </c>
      <c r="AF940" s="69" t="str">
        <f t="shared" si="267"/>
        <v/>
      </c>
      <c r="AG940" s="6">
        <f t="shared" si="268"/>
        <v>0</v>
      </c>
      <c r="AH940" s="6">
        <f t="shared" si="269"/>
        <v>604</v>
      </c>
    </row>
    <row r="941" spans="8:34" x14ac:dyDescent="0.25">
      <c r="H941" s="7">
        <v>948</v>
      </c>
      <c r="I941" s="7" t="s">
        <v>9</v>
      </c>
      <c r="J941" s="8">
        <v>39046</v>
      </c>
      <c r="K941" s="12" t="s">
        <v>17</v>
      </c>
      <c r="L941" s="9">
        <v>6</v>
      </c>
      <c r="M941" s="10">
        <v>20.397135812092845</v>
      </c>
      <c r="N941" s="7" t="s">
        <v>24</v>
      </c>
      <c r="P941" s="29" t="str">
        <f t="shared" si="252"/>
        <v/>
      </c>
      <c r="Q941" s="29" t="str">
        <f t="shared" si="253"/>
        <v/>
      </c>
      <c r="R941" s="29" t="str">
        <f t="shared" si="254"/>
        <v/>
      </c>
      <c r="S941" s="29" t="str">
        <f t="shared" si="255"/>
        <v/>
      </c>
      <c r="T941" s="32" t="str">
        <f t="shared" si="256"/>
        <v/>
      </c>
      <c r="U941" s="32" t="str">
        <f t="shared" si="259"/>
        <v/>
      </c>
      <c r="V941" s="32">
        <f t="shared" si="260"/>
        <v>1</v>
      </c>
      <c r="W941" s="41">
        <f t="shared" si="257"/>
        <v>3.3995226353488075</v>
      </c>
      <c r="X941" s="6">
        <f t="shared" si="258"/>
        <v>0</v>
      </c>
      <c r="Y941" s="7">
        <f t="shared" si="261"/>
        <v>567</v>
      </c>
      <c r="AA941" s="7">
        <f t="shared" si="262"/>
        <v>0</v>
      </c>
      <c r="AB941" s="7" t="str">
        <f t="shared" si="263"/>
        <v/>
      </c>
      <c r="AC941" s="7">
        <f t="shared" si="264"/>
        <v>0</v>
      </c>
      <c r="AD941" s="7" t="str">
        <f t="shared" si="265"/>
        <v/>
      </c>
      <c r="AE941" s="6">
        <f t="shared" si="266"/>
        <v>0</v>
      </c>
      <c r="AF941" s="69">
        <f t="shared" si="267"/>
        <v>3.3995226353488075</v>
      </c>
      <c r="AG941" s="6">
        <f t="shared" si="268"/>
        <v>0</v>
      </c>
      <c r="AH941" s="6">
        <f t="shared" si="269"/>
        <v>604</v>
      </c>
    </row>
    <row r="942" spans="8:34" x14ac:dyDescent="0.25">
      <c r="H942" s="7">
        <v>949</v>
      </c>
      <c r="I942" s="7" t="s">
        <v>12</v>
      </c>
      <c r="J942" s="8">
        <v>38144</v>
      </c>
      <c r="K942" s="12" t="s">
        <v>18</v>
      </c>
      <c r="L942" s="9">
        <v>13</v>
      </c>
      <c r="M942" s="10">
        <v>41.830169969209855</v>
      </c>
      <c r="N942" s="7" t="s">
        <v>23</v>
      </c>
      <c r="P942" s="29" t="str">
        <f t="shared" si="252"/>
        <v/>
      </c>
      <c r="Q942" s="29">
        <f t="shared" si="253"/>
        <v>1</v>
      </c>
      <c r="R942" s="29" t="str">
        <f t="shared" si="254"/>
        <v/>
      </c>
      <c r="S942" s="29" t="str">
        <f t="shared" si="255"/>
        <v/>
      </c>
      <c r="T942" s="32" t="str">
        <f t="shared" si="256"/>
        <v/>
      </c>
      <c r="U942" s="32" t="str">
        <f t="shared" si="259"/>
        <v/>
      </c>
      <c r="V942" s="32" t="str">
        <f t="shared" si="260"/>
        <v/>
      </c>
      <c r="W942" s="41">
        <f t="shared" si="257"/>
        <v>3.2177053822469119</v>
      </c>
      <c r="X942" s="6">
        <f t="shared" si="258"/>
        <v>0</v>
      </c>
      <c r="Y942" s="7">
        <f t="shared" si="261"/>
        <v>567</v>
      </c>
      <c r="AA942" s="7">
        <f t="shared" si="262"/>
        <v>0</v>
      </c>
      <c r="AB942" s="7" t="str">
        <f t="shared" si="263"/>
        <v/>
      </c>
      <c r="AC942" s="7">
        <f t="shared" si="264"/>
        <v>0</v>
      </c>
      <c r="AD942" s="7" t="str">
        <f t="shared" si="265"/>
        <v/>
      </c>
      <c r="AE942" s="6">
        <f t="shared" si="266"/>
        <v>0</v>
      </c>
      <c r="AF942" s="69">
        <f t="shared" si="267"/>
        <v>3.2177053822469119</v>
      </c>
      <c r="AG942" s="6">
        <f t="shared" si="268"/>
        <v>41.830169969209855</v>
      </c>
      <c r="AH942" s="6">
        <f t="shared" si="269"/>
        <v>496</v>
      </c>
    </row>
    <row r="943" spans="8:34" x14ac:dyDescent="0.25">
      <c r="H943" s="7">
        <v>950</v>
      </c>
      <c r="I943" s="7" t="s">
        <v>9</v>
      </c>
      <c r="J943" s="8">
        <v>38287</v>
      </c>
      <c r="K943" s="12" t="s">
        <v>17</v>
      </c>
      <c r="L943" s="9">
        <v>70</v>
      </c>
      <c r="M943" s="10">
        <v>212.45510789670757</v>
      </c>
      <c r="N943" s="7" t="s">
        <v>21</v>
      </c>
      <c r="P943" s="29" t="str">
        <f t="shared" si="252"/>
        <v/>
      </c>
      <c r="Q943" s="29" t="str">
        <f t="shared" si="253"/>
        <v/>
      </c>
      <c r="R943" s="29" t="str">
        <f t="shared" si="254"/>
        <v/>
      </c>
      <c r="S943" s="29">
        <f t="shared" si="255"/>
        <v>1</v>
      </c>
      <c r="T943" s="32" t="str">
        <f t="shared" si="256"/>
        <v/>
      </c>
      <c r="U943" s="32" t="str">
        <f t="shared" si="259"/>
        <v/>
      </c>
      <c r="V943" s="32" t="str">
        <f t="shared" si="260"/>
        <v/>
      </c>
      <c r="W943" s="41">
        <f t="shared" si="257"/>
        <v>3.0350729699529655</v>
      </c>
      <c r="X943" s="6">
        <f t="shared" si="258"/>
        <v>0</v>
      </c>
      <c r="Y943" s="7">
        <f t="shared" si="261"/>
        <v>567</v>
      </c>
      <c r="AA943" s="7">
        <f t="shared" si="262"/>
        <v>0</v>
      </c>
      <c r="AB943" s="7" t="str">
        <f t="shared" si="263"/>
        <v/>
      </c>
      <c r="AC943" s="7">
        <f t="shared" si="264"/>
        <v>0</v>
      </c>
      <c r="AD943" s="7" t="str">
        <f t="shared" si="265"/>
        <v/>
      </c>
      <c r="AE943" s="6">
        <f t="shared" si="266"/>
        <v>0</v>
      </c>
      <c r="AF943" s="69">
        <f t="shared" si="267"/>
        <v>3.0350729699529655</v>
      </c>
      <c r="AG943" s="6">
        <f t="shared" si="268"/>
        <v>212.45510789670757</v>
      </c>
      <c r="AH943" s="6">
        <f t="shared" si="269"/>
        <v>151</v>
      </c>
    </row>
    <row r="944" spans="8:34" x14ac:dyDescent="0.25">
      <c r="H944" s="7">
        <v>951</v>
      </c>
      <c r="I944" s="7" t="s">
        <v>11</v>
      </c>
      <c r="J944" s="8">
        <v>38155</v>
      </c>
      <c r="K944" s="12" t="s">
        <v>18</v>
      </c>
      <c r="L944" s="9">
        <v>15</v>
      </c>
      <c r="M944" s="10">
        <v>47.749438891041251</v>
      </c>
      <c r="N944" s="7" t="s">
        <v>23</v>
      </c>
      <c r="P944" s="29" t="str">
        <f t="shared" si="252"/>
        <v/>
      </c>
      <c r="Q944" s="29">
        <f t="shared" si="253"/>
        <v>1</v>
      </c>
      <c r="R944" s="29" t="str">
        <f t="shared" si="254"/>
        <v/>
      </c>
      <c r="S944" s="29" t="str">
        <f t="shared" si="255"/>
        <v/>
      </c>
      <c r="T944" s="32" t="str">
        <f t="shared" si="256"/>
        <v/>
      </c>
      <c r="U944" s="32" t="str">
        <f t="shared" si="259"/>
        <v/>
      </c>
      <c r="V944" s="32" t="str">
        <f t="shared" si="260"/>
        <v/>
      </c>
      <c r="W944" s="41">
        <f t="shared" si="257"/>
        <v>3.1832959260694169</v>
      </c>
      <c r="X944" s="6">
        <f t="shared" si="258"/>
        <v>0</v>
      </c>
      <c r="Y944" s="7">
        <f t="shared" si="261"/>
        <v>567</v>
      </c>
      <c r="AA944" s="7">
        <f t="shared" si="262"/>
        <v>0</v>
      </c>
      <c r="AB944" s="7" t="str">
        <f t="shared" si="263"/>
        <v/>
      </c>
      <c r="AC944" s="7">
        <f t="shared" si="264"/>
        <v>0</v>
      </c>
      <c r="AD944" s="7" t="str">
        <f t="shared" si="265"/>
        <v/>
      </c>
      <c r="AE944" s="6">
        <f t="shared" si="266"/>
        <v>0</v>
      </c>
      <c r="AF944" s="69">
        <f t="shared" si="267"/>
        <v>3.1832959260694169</v>
      </c>
      <c r="AG944" s="6">
        <f t="shared" si="268"/>
        <v>47.749438891041251</v>
      </c>
      <c r="AH944" s="6">
        <f t="shared" si="269"/>
        <v>484</v>
      </c>
    </row>
    <row r="945" spans="8:34" x14ac:dyDescent="0.25">
      <c r="H945" s="7">
        <v>952</v>
      </c>
      <c r="I945" s="7" t="s">
        <v>12</v>
      </c>
      <c r="J945" s="8">
        <v>38826</v>
      </c>
      <c r="K945" s="12" t="s">
        <v>20</v>
      </c>
      <c r="L945" s="9">
        <v>18</v>
      </c>
      <c r="M945" s="10">
        <v>56.257832632332345</v>
      </c>
      <c r="N945" s="7" t="s">
        <v>21</v>
      </c>
      <c r="P945" s="29" t="str">
        <f t="shared" si="252"/>
        <v/>
      </c>
      <c r="Q945" s="29" t="str">
        <f t="shared" si="253"/>
        <v/>
      </c>
      <c r="R945" s="29" t="str">
        <f t="shared" si="254"/>
        <v/>
      </c>
      <c r="S945" s="29" t="str">
        <f t="shared" si="255"/>
        <v/>
      </c>
      <c r="T945" s="32" t="str">
        <f t="shared" si="256"/>
        <v/>
      </c>
      <c r="U945" s="32" t="str">
        <f t="shared" si="259"/>
        <v/>
      </c>
      <c r="V945" s="32">
        <f t="shared" si="260"/>
        <v>1</v>
      </c>
      <c r="W945" s="41">
        <f t="shared" si="257"/>
        <v>3.1254351462406857</v>
      </c>
      <c r="X945" s="6">
        <f t="shared" si="258"/>
        <v>0</v>
      </c>
      <c r="Y945" s="7">
        <f t="shared" si="261"/>
        <v>567</v>
      </c>
      <c r="AA945" s="7">
        <f t="shared" si="262"/>
        <v>0</v>
      </c>
      <c r="AB945" s="7" t="str">
        <f t="shared" si="263"/>
        <v/>
      </c>
      <c r="AC945" s="7">
        <f t="shared" si="264"/>
        <v>0</v>
      </c>
      <c r="AD945" s="7" t="str">
        <f t="shared" si="265"/>
        <v/>
      </c>
      <c r="AE945" s="6">
        <f t="shared" si="266"/>
        <v>0</v>
      </c>
      <c r="AF945" s="69">
        <f t="shared" si="267"/>
        <v>3.1254351462406857</v>
      </c>
      <c r="AG945" s="6">
        <f t="shared" si="268"/>
        <v>0</v>
      </c>
      <c r="AH945" s="6">
        <f t="shared" si="269"/>
        <v>604</v>
      </c>
    </row>
    <row r="946" spans="8:34" x14ac:dyDescent="0.25">
      <c r="H946" s="7">
        <v>953</v>
      </c>
      <c r="I946" s="7" t="s">
        <v>12</v>
      </c>
      <c r="J946" s="8">
        <v>38771</v>
      </c>
      <c r="K946" s="12" t="s">
        <v>16</v>
      </c>
      <c r="L946" s="9">
        <v>30</v>
      </c>
      <c r="M946" s="10">
        <v>92.196479665554932</v>
      </c>
      <c r="N946" s="7" t="s">
        <v>21</v>
      </c>
      <c r="P946" s="29" t="str">
        <f t="shared" si="252"/>
        <v/>
      </c>
      <c r="Q946" s="29" t="str">
        <f t="shared" si="253"/>
        <v/>
      </c>
      <c r="R946" s="29" t="str">
        <f t="shared" si="254"/>
        <v/>
      </c>
      <c r="S946" s="29" t="str">
        <f t="shared" si="255"/>
        <v/>
      </c>
      <c r="T946" s="32" t="str">
        <f t="shared" si="256"/>
        <v/>
      </c>
      <c r="U946" s="32" t="str">
        <f t="shared" si="259"/>
        <v/>
      </c>
      <c r="V946" s="32">
        <f t="shared" si="260"/>
        <v>1</v>
      </c>
      <c r="W946" s="41">
        <f t="shared" si="257"/>
        <v>3.0732159888518309</v>
      </c>
      <c r="X946" s="6">
        <f t="shared" si="258"/>
        <v>0</v>
      </c>
      <c r="Y946" s="7">
        <f t="shared" si="261"/>
        <v>567</v>
      </c>
      <c r="AA946" s="7">
        <f t="shared" si="262"/>
        <v>0</v>
      </c>
      <c r="AB946" s="7" t="str">
        <f t="shared" si="263"/>
        <v/>
      </c>
      <c r="AC946" s="7">
        <f t="shared" si="264"/>
        <v>0</v>
      </c>
      <c r="AD946" s="7" t="str">
        <f t="shared" si="265"/>
        <v/>
      </c>
      <c r="AE946" s="6">
        <f t="shared" si="266"/>
        <v>0</v>
      </c>
      <c r="AF946" s="69">
        <f t="shared" si="267"/>
        <v>3.0732159888518309</v>
      </c>
      <c r="AG946" s="6">
        <f t="shared" si="268"/>
        <v>0</v>
      </c>
      <c r="AH946" s="6">
        <f t="shared" si="269"/>
        <v>604</v>
      </c>
    </row>
    <row r="947" spans="8:34" x14ac:dyDescent="0.25">
      <c r="H947" s="7">
        <v>954</v>
      </c>
      <c r="I947" s="7" t="s">
        <v>10</v>
      </c>
      <c r="J947" s="8">
        <v>39024</v>
      </c>
      <c r="K947" s="12" t="s">
        <v>20</v>
      </c>
      <c r="L947" s="9">
        <v>17</v>
      </c>
      <c r="M947" s="10">
        <v>53.067953295003726</v>
      </c>
      <c r="N947" s="7" t="s">
        <v>24</v>
      </c>
      <c r="P947" s="29" t="str">
        <f t="shared" si="252"/>
        <v/>
      </c>
      <c r="Q947" s="29" t="str">
        <f t="shared" si="253"/>
        <v/>
      </c>
      <c r="R947" s="29" t="str">
        <f t="shared" si="254"/>
        <v/>
      </c>
      <c r="S947" s="29" t="str">
        <f t="shared" si="255"/>
        <v/>
      </c>
      <c r="T947" s="32" t="str">
        <f t="shared" si="256"/>
        <v/>
      </c>
      <c r="U947" s="32" t="str">
        <f t="shared" si="259"/>
        <v/>
      </c>
      <c r="V947" s="32">
        <f t="shared" si="260"/>
        <v>1</v>
      </c>
      <c r="W947" s="41">
        <f t="shared" si="257"/>
        <v>3.1216443114708072</v>
      </c>
      <c r="X947" s="6">
        <f t="shared" si="258"/>
        <v>0</v>
      </c>
      <c r="Y947" s="7">
        <f t="shared" si="261"/>
        <v>567</v>
      </c>
      <c r="AA947" s="7">
        <f t="shared" si="262"/>
        <v>0</v>
      </c>
      <c r="AB947" s="7" t="str">
        <f t="shared" si="263"/>
        <v/>
      </c>
      <c r="AC947" s="7">
        <f t="shared" si="264"/>
        <v>0</v>
      </c>
      <c r="AD947" s="7" t="str">
        <f t="shared" si="265"/>
        <v/>
      </c>
      <c r="AE947" s="6">
        <f t="shared" si="266"/>
        <v>0</v>
      </c>
      <c r="AF947" s="69">
        <f t="shared" si="267"/>
        <v>3.1216443114708072</v>
      </c>
      <c r="AG947" s="6">
        <f t="shared" si="268"/>
        <v>0</v>
      </c>
      <c r="AH947" s="6">
        <f t="shared" si="269"/>
        <v>604</v>
      </c>
    </row>
    <row r="948" spans="8:34" x14ac:dyDescent="0.25">
      <c r="H948" s="7">
        <v>955</v>
      </c>
      <c r="I948" s="7" t="s">
        <v>10</v>
      </c>
      <c r="J948" s="8">
        <v>38364</v>
      </c>
      <c r="K948" s="12" t="s">
        <v>16</v>
      </c>
      <c r="L948" s="9">
        <v>-1</v>
      </c>
      <c r="M948" s="10">
        <v>-1.4540693559294799</v>
      </c>
      <c r="N948" s="7" t="s">
        <v>22</v>
      </c>
      <c r="P948" s="29" t="str">
        <f t="shared" si="252"/>
        <v/>
      </c>
      <c r="Q948" s="29" t="str">
        <f t="shared" si="253"/>
        <v/>
      </c>
      <c r="R948" s="29" t="str">
        <f t="shared" si="254"/>
        <v/>
      </c>
      <c r="S948" s="29" t="str">
        <f t="shared" si="255"/>
        <v/>
      </c>
      <c r="T948" s="32" t="str">
        <f t="shared" si="256"/>
        <v/>
      </c>
      <c r="U948" s="32">
        <f t="shared" si="259"/>
        <v>1</v>
      </c>
      <c r="V948" s="32" t="str">
        <f t="shared" si="260"/>
        <v/>
      </c>
      <c r="W948" s="41" t="str">
        <f t="shared" si="257"/>
        <v/>
      </c>
      <c r="X948" s="6">
        <f t="shared" si="258"/>
        <v>-1.4540693559294799</v>
      </c>
      <c r="Y948" s="7">
        <f t="shared" si="261"/>
        <v>1845</v>
      </c>
      <c r="AA948" s="7">
        <f t="shared" si="262"/>
        <v>1</v>
      </c>
      <c r="AB948" s="7">
        <f t="shared" si="263"/>
        <v>-1</v>
      </c>
      <c r="AC948" s="7">
        <f t="shared" si="264"/>
        <v>0</v>
      </c>
      <c r="AD948" s="7" t="str">
        <f t="shared" si="265"/>
        <v/>
      </c>
      <c r="AE948" s="6">
        <f t="shared" si="266"/>
        <v>-1</v>
      </c>
      <c r="AF948" s="69" t="str">
        <f t="shared" si="267"/>
        <v/>
      </c>
      <c r="AG948" s="6">
        <f t="shared" si="268"/>
        <v>0</v>
      </c>
      <c r="AH948" s="6">
        <f t="shared" si="269"/>
        <v>604</v>
      </c>
    </row>
    <row r="949" spans="8:34" x14ac:dyDescent="0.25">
      <c r="H949" s="7">
        <v>956</v>
      </c>
      <c r="I949" s="7" t="s">
        <v>14</v>
      </c>
      <c r="J949" s="8">
        <v>38430</v>
      </c>
      <c r="K949" s="12" t="s">
        <v>18</v>
      </c>
      <c r="L949" s="9">
        <v>50</v>
      </c>
      <c r="M949" s="10">
        <v>152.31719787311525</v>
      </c>
      <c r="N949" s="7" t="s">
        <v>21</v>
      </c>
      <c r="P949" s="29" t="str">
        <f t="shared" si="252"/>
        <v/>
      </c>
      <c r="Q949" s="29" t="str">
        <f t="shared" si="253"/>
        <v/>
      </c>
      <c r="R949" s="29" t="str">
        <f t="shared" si="254"/>
        <v/>
      </c>
      <c r="S949" s="29" t="str">
        <f t="shared" si="255"/>
        <v/>
      </c>
      <c r="T949" s="32" t="str">
        <f t="shared" si="256"/>
        <v/>
      </c>
      <c r="U949" s="32">
        <f t="shared" si="259"/>
        <v>1</v>
      </c>
      <c r="V949" s="32" t="str">
        <f t="shared" si="260"/>
        <v/>
      </c>
      <c r="W949" s="41">
        <f t="shared" si="257"/>
        <v>3.0463439574623048</v>
      </c>
      <c r="X949" s="6">
        <f t="shared" si="258"/>
        <v>152.31719787311525</v>
      </c>
      <c r="Y949" s="7">
        <f t="shared" si="261"/>
        <v>266</v>
      </c>
      <c r="AA949" s="7">
        <f t="shared" si="262"/>
        <v>1</v>
      </c>
      <c r="AB949" s="7">
        <f t="shared" si="263"/>
        <v>50</v>
      </c>
      <c r="AC949" s="7">
        <f t="shared" si="264"/>
        <v>0</v>
      </c>
      <c r="AD949" s="7" t="str">
        <f t="shared" si="265"/>
        <v/>
      </c>
      <c r="AE949" s="6">
        <f t="shared" si="266"/>
        <v>0</v>
      </c>
      <c r="AF949" s="69">
        <f t="shared" si="267"/>
        <v>3.0463439574623048</v>
      </c>
      <c r="AG949" s="6">
        <f t="shared" si="268"/>
        <v>0</v>
      </c>
      <c r="AH949" s="6">
        <f t="shared" si="269"/>
        <v>604</v>
      </c>
    </row>
    <row r="950" spans="8:34" x14ac:dyDescent="0.25">
      <c r="H950" s="7">
        <v>957</v>
      </c>
      <c r="I950" s="7" t="s">
        <v>9</v>
      </c>
      <c r="J950" s="8">
        <v>38716</v>
      </c>
      <c r="K950" s="12" t="s">
        <v>17</v>
      </c>
      <c r="L950" s="9">
        <v>83</v>
      </c>
      <c r="M950" s="10">
        <v>251.0948967308864</v>
      </c>
      <c r="N950" s="7" t="s">
        <v>24</v>
      </c>
      <c r="P950" s="29" t="str">
        <f t="shared" si="252"/>
        <v/>
      </c>
      <c r="Q950" s="29" t="str">
        <f t="shared" si="253"/>
        <v/>
      </c>
      <c r="R950" s="29" t="str">
        <f t="shared" si="254"/>
        <v/>
      </c>
      <c r="S950" s="29" t="str">
        <f t="shared" si="255"/>
        <v/>
      </c>
      <c r="T950" s="32">
        <f t="shared" si="256"/>
        <v>1</v>
      </c>
      <c r="U950" s="32">
        <f t="shared" si="259"/>
        <v>1</v>
      </c>
      <c r="V950" s="32" t="str">
        <f t="shared" si="260"/>
        <v/>
      </c>
      <c r="W950" s="41">
        <f t="shared" si="257"/>
        <v>3.025239719649234</v>
      </c>
      <c r="X950" s="6">
        <f t="shared" si="258"/>
        <v>251.0948967308864</v>
      </c>
      <c r="Y950" s="7">
        <f t="shared" si="261"/>
        <v>79</v>
      </c>
      <c r="AA950" s="7">
        <f t="shared" si="262"/>
        <v>0</v>
      </c>
      <c r="AB950" s="7" t="str">
        <f t="shared" si="263"/>
        <v/>
      </c>
      <c r="AC950" s="7">
        <f t="shared" si="264"/>
        <v>1</v>
      </c>
      <c r="AD950" s="7">
        <f t="shared" si="265"/>
        <v>83</v>
      </c>
      <c r="AE950" s="6">
        <f t="shared" si="266"/>
        <v>0</v>
      </c>
      <c r="AF950" s="69">
        <f t="shared" si="267"/>
        <v>3.025239719649234</v>
      </c>
      <c r="AG950" s="6">
        <f t="shared" si="268"/>
        <v>0</v>
      </c>
      <c r="AH950" s="6">
        <f t="shared" si="269"/>
        <v>604</v>
      </c>
    </row>
    <row r="951" spans="8:34" x14ac:dyDescent="0.25">
      <c r="H951" s="7">
        <v>958</v>
      </c>
      <c r="I951" s="7" t="s">
        <v>13</v>
      </c>
      <c r="J951" s="8">
        <v>38111</v>
      </c>
      <c r="K951" s="12" t="s">
        <v>20</v>
      </c>
      <c r="L951" s="9">
        <v>54</v>
      </c>
      <c r="M951" s="10">
        <v>164.08170340636366</v>
      </c>
      <c r="N951" s="7" t="s">
        <v>22</v>
      </c>
      <c r="P951" s="29" t="str">
        <f t="shared" si="252"/>
        <v/>
      </c>
      <c r="Q951" s="29">
        <f t="shared" si="253"/>
        <v>1</v>
      </c>
      <c r="R951" s="29" t="str">
        <f t="shared" si="254"/>
        <v/>
      </c>
      <c r="S951" s="29" t="str">
        <f t="shared" si="255"/>
        <v/>
      </c>
      <c r="T951" s="32" t="str">
        <f t="shared" si="256"/>
        <v/>
      </c>
      <c r="U951" s="32" t="str">
        <f t="shared" si="259"/>
        <v/>
      </c>
      <c r="V951" s="32" t="str">
        <f t="shared" si="260"/>
        <v/>
      </c>
      <c r="W951" s="41">
        <f t="shared" si="257"/>
        <v>3.0385500630808084</v>
      </c>
      <c r="X951" s="6">
        <f t="shared" si="258"/>
        <v>0</v>
      </c>
      <c r="Y951" s="7">
        <f t="shared" si="261"/>
        <v>567</v>
      </c>
      <c r="AA951" s="7">
        <f t="shared" si="262"/>
        <v>0</v>
      </c>
      <c r="AB951" s="7" t="str">
        <f t="shared" si="263"/>
        <v/>
      </c>
      <c r="AC951" s="7">
        <f t="shared" si="264"/>
        <v>0</v>
      </c>
      <c r="AD951" s="7" t="str">
        <f t="shared" si="265"/>
        <v/>
      </c>
      <c r="AE951" s="6">
        <f t="shared" si="266"/>
        <v>0</v>
      </c>
      <c r="AF951" s="69">
        <f t="shared" si="267"/>
        <v>3.0385500630808084</v>
      </c>
      <c r="AG951" s="6">
        <f t="shared" si="268"/>
        <v>164.08170340636366</v>
      </c>
      <c r="AH951" s="6">
        <f t="shared" si="269"/>
        <v>253</v>
      </c>
    </row>
    <row r="952" spans="8:34" x14ac:dyDescent="0.25">
      <c r="H952" s="7">
        <v>959</v>
      </c>
      <c r="I952" s="7" t="s">
        <v>9</v>
      </c>
      <c r="J952" s="8">
        <v>38463</v>
      </c>
      <c r="K952" s="12" t="s">
        <v>17</v>
      </c>
      <c r="L952" s="9">
        <v>16</v>
      </c>
      <c r="M952" s="10">
        <v>49.968087631431565</v>
      </c>
      <c r="N952" s="7" t="s">
        <v>21</v>
      </c>
      <c r="P952" s="29" t="str">
        <f t="shared" si="252"/>
        <v/>
      </c>
      <c r="Q952" s="29" t="str">
        <f t="shared" si="253"/>
        <v/>
      </c>
      <c r="R952" s="29" t="str">
        <f t="shared" si="254"/>
        <v/>
      </c>
      <c r="S952" s="29" t="str">
        <f t="shared" si="255"/>
        <v/>
      </c>
      <c r="T952" s="32" t="str">
        <f t="shared" si="256"/>
        <v/>
      </c>
      <c r="U952" s="32">
        <f t="shared" si="259"/>
        <v>1</v>
      </c>
      <c r="V952" s="32" t="str">
        <f t="shared" si="260"/>
        <v/>
      </c>
      <c r="W952" s="41">
        <f t="shared" si="257"/>
        <v>3.1230054769644728</v>
      </c>
      <c r="X952" s="6">
        <f t="shared" si="258"/>
        <v>49.968087631431565</v>
      </c>
      <c r="Y952" s="7">
        <f t="shared" si="261"/>
        <v>460</v>
      </c>
      <c r="AA952" s="7">
        <f t="shared" si="262"/>
        <v>0</v>
      </c>
      <c r="AB952" s="7" t="str">
        <f t="shared" si="263"/>
        <v/>
      </c>
      <c r="AC952" s="7">
        <f t="shared" si="264"/>
        <v>1</v>
      </c>
      <c r="AD952" s="7">
        <f t="shared" si="265"/>
        <v>16</v>
      </c>
      <c r="AE952" s="6">
        <f t="shared" si="266"/>
        <v>0</v>
      </c>
      <c r="AF952" s="69">
        <f t="shared" si="267"/>
        <v>3.1230054769644728</v>
      </c>
      <c r="AG952" s="6">
        <f t="shared" si="268"/>
        <v>0</v>
      </c>
      <c r="AH952" s="6">
        <f t="shared" si="269"/>
        <v>604</v>
      </c>
    </row>
    <row r="953" spans="8:34" x14ac:dyDescent="0.25">
      <c r="H953" s="7">
        <v>960</v>
      </c>
      <c r="I953" s="7" t="s">
        <v>13</v>
      </c>
      <c r="J953" s="8">
        <v>38980</v>
      </c>
      <c r="K953" s="12" t="s">
        <v>17</v>
      </c>
      <c r="L953" s="9">
        <v>53</v>
      </c>
      <c r="M953" s="10">
        <v>160.95914621811275</v>
      </c>
      <c r="N953" s="7" t="s">
        <v>24</v>
      </c>
      <c r="P953" s="29" t="str">
        <f t="shared" si="252"/>
        <v/>
      </c>
      <c r="Q953" s="29" t="str">
        <f t="shared" si="253"/>
        <v/>
      </c>
      <c r="R953" s="29" t="str">
        <f t="shared" si="254"/>
        <v/>
      </c>
      <c r="S953" s="29" t="str">
        <f t="shared" si="255"/>
        <v/>
      </c>
      <c r="T953" s="32" t="str">
        <f t="shared" si="256"/>
        <v/>
      </c>
      <c r="U953" s="32" t="str">
        <f t="shared" si="259"/>
        <v/>
      </c>
      <c r="V953" s="32">
        <f t="shared" si="260"/>
        <v>1</v>
      </c>
      <c r="W953" s="41">
        <f t="shared" si="257"/>
        <v>3.0369650229832592</v>
      </c>
      <c r="X953" s="6">
        <f t="shared" si="258"/>
        <v>0</v>
      </c>
      <c r="Y953" s="7">
        <f t="shared" si="261"/>
        <v>567</v>
      </c>
      <c r="AA953" s="7">
        <f t="shared" si="262"/>
        <v>0</v>
      </c>
      <c r="AB953" s="7" t="str">
        <f t="shared" si="263"/>
        <v/>
      </c>
      <c r="AC953" s="7">
        <f t="shared" si="264"/>
        <v>0</v>
      </c>
      <c r="AD953" s="7" t="str">
        <f t="shared" si="265"/>
        <v/>
      </c>
      <c r="AE953" s="6">
        <f t="shared" si="266"/>
        <v>0</v>
      </c>
      <c r="AF953" s="69">
        <f t="shared" si="267"/>
        <v>3.0369650229832592</v>
      </c>
      <c r="AG953" s="6">
        <f t="shared" si="268"/>
        <v>0</v>
      </c>
      <c r="AH953" s="6">
        <f t="shared" si="269"/>
        <v>604</v>
      </c>
    </row>
    <row r="954" spans="8:34" x14ac:dyDescent="0.25">
      <c r="H954" s="7">
        <v>961</v>
      </c>
      <c r="I954" s="7" t="s">
        <v>12</v>
      </c>
      <c r="J954" s="8">
        <v>38727</v>
      </c>
      <c r="K954" s="12" t="s">
        <v>16</v>
      </c>
      <c r="L954" s="9">
        <v>95</v>
      </c>
      <c r="M954" s="10">
        <v>286.71922939024518</v>
      </c>
      <c r="N954" s="7" t="s">
        <v>23</v>
      </c>
      <c r="P954" s="29" t="str">
        <f t="shared" si="252"/>
        <v/>
      </c>
      <c r="Q954" s="29" t="str">
        <f t="shared" si="253"/>
        <v/>
      </c>
      <c r="R954" s="29" t="str">
        <f t="shared" si="254"/>
        <v/>
      </c>
      <c r="S954" s="29" t="str">
        <f t="shared" si="255"/>
        <v/>
      </c>
      <c r="T954" s="32" t="str">
        <f t="shared" si="256"/>
        <v/>
      </c>
      <c r="U954" s="32" t="str">
        <f t="shared" si="259"/>
        <v/>
      </c>
      <c r="V954" s="32">
        <f t="shared" si="260"/>
        <v>1</v>
      </c>
      <c r="W954" s="41">
        <f t="shared" si="257"/>
        <v>3.0180971514762649</v>
      </c>
      <c r="X954" s="6">
        <f t="shared" si="258"/>
        <v>0</v>
      </c>
      <c r="Y954" s="7">
        <f t="shared" si="261"/>
        <v>567</v>
      </c>
      <c r="AA954" s="7">
        <f t="shared" si="262"/>
        <v>0</v>
      </c>
      <c r="AB954" s="7" t="str">
        <f t="shared" si="263"/>
        <v/>
      </c>
      <c r="AC954" s="7">
        <f t="shared" si="264"/>
        <v>0</v>
      </c>
      <c r="AD954" s="7" t="str">
        <f t="shared" si="265"/>
        <v/>
      </c>
      <c r="AE954" s="6">
        <f t="shared" si="266"/>
        <v>0</v>
      </c>
      <c r="AF954" s="69">
        <f t="shared" si="267"/>
        <v>3.0180971514762649</v>
      </c>
      <c r="AG954" s="6">
        <f t="shared" si="268"/>
        <v>0</v>
      </c>
      <c r="AH954" s="6">
        <f t="shared" si="269"/>
        <v>604</v>
      </c>
    </row>
    <row r="955" spans="8:34" x14ac:dyDescent="0.25">
      <c r="H955" s="7">
        <v>962</v>
      </c>
      <c r="I955" s="7" t="s">
        <v>9</v>
      </c>
      <c r="J955" s="8">
        <v>37990</v>
      </c>
      <c r="K955" s="12" t="s">
        <v>20</v>
      </c>
      <c r="L955" s="9">
        <v>74</v>
      </c>
      <c r="M955" s="10">
        <v>224.1344883418044</v>
      </c>
      <c r="N955" s="7" t="s">
        <v>21</v>
      </c>
      <c r="P955" s="29">
        <f t="shared" si="252"/>
        <v>1</v>
      </c>
      <c r="Q955" s="29" t="str">
        <f t="shared" si="253"/>
        <v/>
      </c>
      <c r="R955" s="29" t="str">
        <f t="shared" si="254"/>
        <v/>
      </c>
      <c r="S955" s="29" t="str">
        <f t="shared" si="255"/>
        <v/>
      </c>
      <c r="T955" s="32" t="str">
        <f t="shared" si="256"/>
        <v/>
      </c>
      <c r="U955" s="32" t="str">
        <f t="shared" si="259"/>
        <v/>
      </c>
      <c r="V955" s="32" t="str">
        <f t="shared" si="260"/>
        <v/>
      </c>
      <c r="W955" s="41">
        <f t="shared" si="257"/>
        <v>3.0288444370514109</v>
      </c>
      <c r="X955" s="6">
        <f t="shared" si="258"/>
        <v>0</v>
      </c>
      <c r="Y955" s="7">
        <f t="shared" si="261"/>
        <v>567</v>
      </c>
      <c r="AA955" s="7">
        <f t="shared" si="262"/>
        <v>0</v>
      </c>
      <c r="AB955" s="7" t="str">
        <f t="shared" si="263"/>
        <v/>
      </c>
      <c r="AC955" s="7">
        <f t="shared" si="264"/>
        <v>0</v>
      </c>
      <c r="AD955" s="7" t="str">
        <f t="shared" si="265"/>
        <v/>
      </c>
      <c r="AE955" s="6">
        <f t="shared" si="266"/>
        <v>0</v>
      </c>
      <c r="AF955" s="69">
        <f t="shared" si="267"/>
        <v>3.0288444370514109</v>
      </c>
      <c r="AG955" s="6">
        <f t="shared" si="268"/>
        <v>224.1344883418044</v>
      </c>
      <c r="AH955" s="6">
        <f t="shared" si="269"/>
        <v>127</v>
      </c>
    </row>
    <row r="956" spans="8:34" x14ac:dyDescent="0.25">
      <c r="H956" s="7">
        <v>963</v>
      </c>
      <c r="I956" s="7" t="s">
        <v>11</v>
      </c>
      <c r="J956" s="8">
        <v>38584</v>
      </c>
      <c r="K956" s="12" t="s">
        <v>20</v>
      </c>
      <c r="L956" s="9">
        <v>11</v>
      </c>
      <c r="M956" s="10">
        <v>35.126507167926178</v>
      </c>
      <c r="N956" s="7" t="s">
        <v>22</v>
      </c>
      <c r="P956" s="29" t="str">
        <f t="shared" si="252"/>
        <v/>
      </c>
      <c r="Q956" s="29" t="str">
        <f t="shared" si="253"/>
        <v/>
      </c>
      <c r="R956" s="29" t="str">
        <f t="shared" si="254"/>
        <v/>
      </c>
      <c r="S956" s="29" t="str">
        <f t="shared" si="255"/>
        <v/>
      </c>
      <c r="T956" s="32" t="str">
        <f t="shared" si="256"/>
        <v/>
      </c>
      <c r="U956" s="32">
        <f t="shared" si="259"/>
        <v>1</v>
      </c>
      <c r="V956" s="32" t="str">
        <f t="shared" si="260"/>
        <v/>
      </c>
      <c r="W956" s="41">
        <f t="shared" si="257"/>
        <v>3.1933188334478344</v>
      </c>
      <c r="X956" s="6">
        <f t="shared" si="258"/>
        <v>35.126507167926178</v>
      </c>
      <c r="Y956" s="7">
        <f t="shared" si="261"/>
        <v>489</v>
      </c>
      <c r="AA956" s="7">
        <f t="shared" si="262"/>
        <v>1</v>
      </c>
      <c r="AB956" s="7">
        <f t="shared" si="263"/>
        <v>11</v>
      </c>
      <c r="AC956" s="7">
        <f t="shared" si="264"/>
        <v>0</v>
      </c>
      <c r="AD956" s="7" t="str">
        <f t="shared" si="265"/>
        <v/>
      </c>
      <c r="AE956" s="6">
        <f t="shared" si="266"/>
        <v>0</v>
      </c>
      <c r="AF956" s="69">
        <f t="shared" si="267"/>
        <v>3.1933188334478344</v>
      </c>
      <c r="AG956" s="6">
        <f t="shared" si="268"/>
        <v>0</v>
      </c>
      <c r="AH956" s="6">
        <f t="shared" si="269"/>
        <v>604</v>
      </c>
    </row>
    <row r="957" spans="8:34" x14ac:dyDescent="0.25">
      <c r="H957" s="7">
        <v>964</v>
      </c>
      <c r="I957" s="7" t="s">
        <v>8</v>
      </c>
      <c r="J957" s="8">
        <v>38980</v>
      </c>
      <c r="K957" s="12" t="s">
        <v>18</v>
      </c>
      <c r="L957" s="9">
        <v>63</v>
      </c>
      <c r="M957" s="10">
        <v>191.00092010309442</v>
      </c>
      <c r="N957" s="7" t="s">
        <v>23</v>
      </c>
      <c r="P957" s="29" t="str">
        <f t="shared" si="252"/>
        <v/>
      </c>
      <c r="Q957" s="29" t="str">
        <f t="shared" si="253"/>
        <v/>
      </c>
      <c r="R957" s="29" t="str">
        <f t="shared" si="254"/>
        <v/>
      </c>
      <c r="S957" s="29" t="str">
        <f t="shared" si="255"/>
        <v/>
      </c>
      <c r="T957" s="32" t="str">
        <f t="shared" si="256"/>
        <v/>
      </c>
      <c r="U957" s="32" t="str">
        <f t="shared" si="259"/>
        <v/>
      </c>
      <c r="V957" s="32">
        <f t="shared" si="260"/>
        <v>1</v>
      </c>
      <c r="W957" s="41">
        <f t="shared" si="257"/>
        <v>3.0317606365570544</v>
      </c>
      <c r="X957" s="6">
        <f t="shared" si="258"/>
        <v>0</v>
      </c>
      <c r="Y957" s="7">
        <f t="shared" si="261"/>
        <v>567</v>
      </c>
      <c r="AA957" s="7">
        <f t="shared" si="262"/>
        <v>0</v>
      </c>
      <c r="AB957" s="7" t="str">
        <f t="shared" si="263"/>
        <v/>
      </c>
      <c r="AC957" s="7">
        <f t="shared" si="264"/>
        <v>0</v>
      </c>
      <c r="AD957" s="7" t="str">
        <f t="shared" si="265"/>
        <v/>
      </c>
      <c r="AE957" s="6">
        <f t="shared" si="266"/>
        <v>0</v>
      </c>
      <c r="AF957" s="69">
        <f t="shared" si="267"/>
        <v>3.0317606365570544</v>
      </c>
      <c r="AG957" s="6">
        <f t="shared" si="268"/>
        <v>0</v>
      </c>
      <c r="AH957" s="6">
        <f t="shared" si="269"/>
        <v>604</v>
      </c>
    </row>
    <row r="958" spans="8:34" x14ac:dyDescent="0.25">
      <c r="H958" s="7">
        <v>965</v>
      </c>
      <c r="I958" s="7" t="s">
        <v>7</v>
      </c>
      <c r="J958" s="8">
        <v>38595</v>
      </c>
      <c r="K958" s="12" t="s">
        <v>16</v>
      </c>
      <c r="L958" s="9">
        <v>53</v>
      </c>
      <c r="M958" s="10">
        <v>161.23768017364921</v>
      </c>
      <c r="N958" s="7" t="s">
        <v>24</v>
      </c>
      <c r="P958" s="29" t="str">
        <f t="shared" si="252"/>
        <v/>
      </c>
      <c r="Q958" s="29" t="str">
        <f t="shared" si="253"/>
        <v/>
      </c>
      <c r="R958" s="29" t="str">
        <f t="shared" si="254"/>
        <v/>
      </c>
      <c r="S958" s="29" t="str">
        <f t="shared" si="255"/>
        <v/>
      </c>
      <c r="T958" s="32" t="str">
        <f t="shared" si="256"/>
        <v/>
      </c>
      <c r="U958" s="32">
        <f t="shared" si="259"/>
        <v>1</v>
      </c>
      <c r="V958" s="32" t="str">
        <f t="shared" si="260"/>
        <v/>
      </c>
      <c r="W958" s="41">
        <f t="shared" si="257"/>
        <v>3.0422203806348906</v>
      </c>
      <c r="X958" s="6">
        <f t="shared" si="258"/>
        <v>161.23768017364921</v>
      </c>
      <c r="Y958" s="7">
        <f t="shared" si="261"/>
        <v>237</v>
      </c>
      <c r="AA958" s="7">
        <f t="shared" si="262"/>
        <v>1</v>
      </c>
      <c r="AB958" s="7">
        <f t="shared" si="263"/>
        <v>53</v>
      </c>
      <c r="AC958" s="7">
        <f t="shared" si="264"/>
        <v>0</v>
      </c>
      <c r="AD958" s="7" t="str">
        <f t="shared" si="265"/>
        <v/>
      </c>
      <c r="AE958" s="6">
        <f t="shared" si="266"/>
        <v>0</v>
      </c>
      <c r="AF958" s="69">
        <f t="shared" si="267"/>
        <v>3.0422203806348906</v>
      </c>
      <c r="AG958" s="6">
        <f t="shared" si="268"/>
        <v>0</v>
      </c>
      <c r="AH958" s="6">
        <f t="shared" si="269"/>
        <v>604</v>
      </c>
    </row>
    <row r="959" spans="8:34" x14ac:dyDescent="0.25">
      <c r="H959" s="7">
        <v>966</v>
      </c>
      <c r="I959" s="7" t="s">
        <v>10</v>
      </c>
      <c r="J959" s="8">
        <v>38925</v>
      </c>
      <c r="K959" s="12" t="s">
        <v>17</v>
      </c>
      <c r="L959" s="9">
        <v>1</v>
      </c>
      <c r="M959" s="10">
        <v>5.2816840348822387</v>
      </c>
      <c r="N959" s="7" t="s">
        <v>21</v>
      </c>
      <c r="P959" s="29" t="str">
        <f t="shared" si="252"/>
        <v/>
      </c>
      <c r="Q959" s="29" t="str">
        <f t="shared" si="253"/>
        <v/>
      </c>
      <c r="R959" s="29" t="str">
        <f t="shared" si="254"/>
        <v/>
      </c>
      <c r="S959" s="29" t="str">
        <f t="shared" si="255"/>
        <v/>
      </c>
      <c r="T959" s="32" t="str">
        <f t="shared" si="256"/>
        <v/>
      </c>
      <c r="U959" s="32" t="str">
        <f t="shared" si="259"/>
        <v/>
      </c>
      <c r="V959" s="32">
        <f t="shared" si="260"/>
        <v>1</v>
      </c>
      <c r="W959" s="41">
        <f t="shared" si="257"/>
        <v>5.2816840348822387</v>
      </c>
      <c r="X959" s="6">
        <f t="shared" si="258"/>
        <v>0</v>
      </c>
      <c r="Y959" s="7">
        <f t="shared" si="261"/>
        <v>567</v>
      </c>
      <c r="AA959" s="7">
        <f t="shared" si="262"/>
        <v>0</v>
      </c>
      <c r="AB959" s="7" t="str">
        <f t="shared" si="263"/>
        <v/>
      </c>
      <c r="AC959" s="7">
        <f t="shared" si="264"/>
        <v>0</v>
      </c>
      <c r="AD959" s="7" t="str">
        <f t="shared" si="265"/>
        <v/>
      </c>
      <c r="AE959" s="6">
        <f t="shared" si="266"/>
        <v>0</v>
      </c>
      <c r="AF959" s="69">
        <f t="shared" si="267"/>
        <v>5.2816840348822387</v>
      </c>
      <c r="AG959" s="6">
        <f t="shared" si="268"/>
        <v>0</v>
      </c>
      <c r="AH959" s="6">
        <f t="shared" si="269"/>
        <v>604</v>
      </c>
    </row>
    <row r="960" spans="8:34" x14ac:dyDescent="0.25">
      <c r="H960" s="7">
        <v>967</v>
      </c>
      <c r="I960" s="7" t="s">
        <v>12</v>
      </c>
      <c r="J960" s="8">
        <v>38309</v>
      </c>
      <c r="K960" s="12" t="s">
        <v>18</v>
      </c>
      <c r="L960" s="9">
        <v>24</v>
      </c>
      <c r="M960" s="10">
        <v>74.30729541001925</v>
      </c>
      <c r="N960" s="7" t="s">
        <v>22</v>
      </c>
      <c r="P960" s="29" t="str">
        <f t="shared" si="252"/>
        <v/>
      </c>
      <c r="Q960" s="29" t="str">
        <f t="shared" si="253"/>
        <v/>
      </c>
      <c r="R960" s="29" t="str">
        <f t="shared" si="254"/>
        <v/>
      </c>
      <c r="S960" s="29">
        <f t="shared" si="255"/>
        <v>1</v>
      </c>
      <c r="T960" s="32" t="str">
        <f t="shared" si="256"/>
        <v/>
      </c>
      <c r="U960" s="32" t="str">
        <f t="shared" si="259"/>
        <v/>
      </c>
      <c r="V960" s="32" t="str">
        <f t="shared" si="260"/>
        <v/>
      </c>
      <c r="W960" s="41">
        <f t="shared" si="257"/>
        <v>3.096137308750802</v>
      </c>
      <c r="X960" s="6">
        <f t="shared" si="258"/>
        <v>0</v>
      </c>
      <c r="Y960" s="7">
        <f t="shared" si="261"/>
        <v>567</v>
      </c>
      <c r="AA960" s="7">
        <f t="shared" si="262"/>
        <v>0</v>
      </c>
      <c r="AB960" s="7" t="str">
        <f t="shared" si="263"/>
        <v/>
      </c>
      <c r="AC960" s="7">
        <f t="shared" si="264"/>
        <v>0</v>
      </c>
      <c r="AD960" s="7" t="str">
        <f t="shared" si="265"/>
        <v/>
      </c>
      <c r="AE960" s="6">
        <f t="shared" si="266"/>
        <v>0</v>
      </c>
      <c r="AF960" s="69">
        <f t="shared" si="267"/>
        <v>3.096137308750802</v>
      </c>
      <c r="AG960" s="6">
        <f t="shared" si="268"/>
        <v>74.30729541001925</v>
      </c>
      <c r="AH960" s="6">
        <f t="shared" si="269"/>
        <v>436</v>
      </c>
    </row>
    <row r="961" spans="8:34" x14ac:dyDescent="0.25">
      <c r="H961" s="7">
        <v>968</v>
      </c>
      <c r="I961" s="7" t="s">
        <v>10</v>
      </c>
      <c r="J961" s="8">
        <v>38815</v>
      </c>
      <c r="K961" s="12" t="s">
        <v>19</v>
      </c>
      <c r="L961" s="9">
        <v>5</v>
      </c>
      <c r="M961" s="10">
        <v>16.422750032809695</v>
      </c>
      <c r="N961" s="7" t="s">
        <v>23</v>
      </c>
      <c r="P961" s="29" t="str">
        <f t="shared" si="252"/>
        <v/>
      </c>
      <c r="Q961" s="29" t="str">
        <f t="shared" si="253"/>
        <v/>
      </c>
      <c r="R961" s="29" t="str">
        <f t="shared" si="254"/>
        <v/>
      </c>
      <c r="S961" s="29" t="str">
        <f t="shared" si="255"/>
        <v/>
      </c>
      <c r="T961" s="32" t="str">
        <f t="shared" si="256"/>
        <v/>
      </c>
      <c r="U961" s="32" t="str">
        <f t="shared" si="259"/>
        <v/>
      </c>
      <c r="V961" s="32">
        <f t="shared" si="260"/>
        <v>1</v>
      </c>
      <c r="W961" s="41">
        <f t="shared" si="257"/>
        <v>3.2845500065619389</v>
      </c>
      <c r="X961" s="6">
        <f t="shared" si="258"/>
        <v>0</v>
      </c>
      <c r="Y961" s="7">
        <f t="shared" si="261"/>
        <v>567</v>
      </c>
      <c r="AA961" s="7">
        <f t="shared" si="262"/>
        <v>0</v>
      </c>
      <c r="AB961" s="7" t="str">
        <f t="shared" si="263"/>
        <v/>
      </c>
      <c r="AC961" s="7">
        <f t="shared" si="264"/>
        <v>0</v>
      </c>
      <c r="AD961" s="7" t="str">
        <f t="shared" si="265"/>
        <v/>
      </c>
      <c r="AE961" s="6">
        <f t="shared" si="266"/>
        <v>0</v>
      </c>
      <c r="AF961" s="69">
        <f t="shared" si="267"/>
        <v>3.2845500065619389</v>
      </c>
      <c r="AG961" s="6">
        <f t="shared" si="268"/>
        <v>0</v>
      </c>
      <c r="AH961" s="6">
        <f t="shared" si="269"/>
        <v>604</v>
      </c>
    </row>
    <row r="962" spans="8:34" x14ac:dyDescent="0.25">
      <c r="H962" s="7">
        <v>969</v>
      </c>
      <c r="I962" s="7" t="s">
        <v>7</v>
      </c>
      <c r="J962" s="8">
        <v>38408</v>
      </c>
      <c r="K962" s="12" t="s">
        <v>17</v>
      </c>
      <c r="L962" s="9">
        <v>35</v>
      </c>
      <c r="M962" s="10">
        <v>107.34237990295979</v>
      </c>
      <c r="N962" s="7" t="s">
        <v>24</v>
      </c>
      <c r="P962" s="29" t="str">
        <f t="shared" si="252"/>
        <v/>
      </c>
      <c r="Q962" s="29" t="str">
        <f t="shared" si="253"/>
        <v/>
      </c>
      <c r="R962" s="29" t="str">
        <f t="shared" si="254"/>
        <v/>
      </c>
      <c r="S962" s="29" t="str">
        <f t="shared" si="255"/>
        <v/>
      </c>
      <c r="T962" s="32" t="str">
        <f t="shared" si="256"/>
        <v/>
      </c>
      <c r="U962" s="32">
        <f t="shared" si="259"/>
        <v>1</v>
      </c>
      <c r="V962" s="32" t="str">
        <f t="shared" si="260"/>
        <v/>
      </c>
      <c r="W962" s="41">
        <f t="shared" si="257"/>
        <v>3.0669251400845656</v>
      </c>
      <c r="X962" s="6">
        <f t="shared" si="258"/>
        <v>107.34237990295979</v>
      </c>
      <c r="Y962" s="7">
        <f t="shared" si="261"/>
        <v>345</v>
      </c>
      <c r="AA962" s="7">
        <f t="shared" si="262"/>
        <v>1</v>
      </c>
      <c r="AB962" s="7">
        <f t="shared" si="263"/>
        <v>35</v>
      </c>
      <c r="AC962" s="7">
        <f t="shared" si="264"/>
        <v>0</v>
      </c>
      <c r="AD962" s="7" t="str">
        <f t="shared" si="265"/>
        <v/>
      </c>
      <c r="AE962" s="6">
        <f t="shared" si="266"/>
        <v>0</v>
      </c>
      <c r="AF962" s="69">
        <f t="shared" si="267"/>
        <v>3.0669251400845656</v>
      </c>
      <c r="AG962" s="6">
        <f t="shared" si="268"/>
        <v>0</v>
      </c>
      <c r="AH962" s="6">
        <f t="shared" si="269"/>
        <v>604</v>
      </c>
    </row>
    <row r="963" spans="8:34" x14ac:dyDescent="0.25">
      <c r="H963" s="7">
        <v>970</v>
      </c>
      <c r="I963" s="7" t="s">
        <v>7</v>
      </c>
      <c r="J963" s="8">
        <v>38859</v>
      </c>
      <c r="K963" s="12" t="s">
        <v>16</v>
      </c>
      <c r="L963" s="9">
        <v>33</v>
      </c>
      <c r="M963" s="10">
        <v>100.6187200673516</v>
      </c>
      <c r="N963" s="7" t="s">
        <v>21</v>
      </c>
      <c r="P963" s="29" t="str">
        <f t="shared" ref="P963:P1026" si="270">IF(AND((MONTH(J963))&lt;4,YEAR(J963)=2004),1,"")</f>
        <v/>
      </c>
      <c r="Q963" s="29" t="str">
        <f t="shared" ref="Q963:Q1026" si="271">IF(AND(3&lt;(MONTH(J963)),(MONTH(J963)&lt;7),YEAR(J963)=2004),1,"")</f>
        <v/>
      </c>
      <c r="R963" s="29" t="str">
        <f t="shared" ref="R963:R1026" si="272">IF(AND(6&lt;(MONTH(J963)),(MONTH(J963)&lt;10),YEAR(J963)=2004),1,"")</f>
        <v/>
      </c>
      <c r="S963" s="29" t="str">
        <f t="shared" ref="S963:S1026" si="273">IF(AND(9&lt;(MONTH(J963)),(MONTH(J963)&lt;13),YEAR(J963)=2004),1,"")</f>
        <v/>
      </c>
      <c r="T963" s="32" t="str">
        <f t="shared" ref="T963:T1026" si="274">IF(AND((9&lt;MONTH(J963)),YEAR(J963)=2005),1,"")</f>
        <v/>
      </c>
      <c r="U963" s="32" t="str">
        <f t="shared" si="259"/>
        <v/>
      </c>
      <c r="V963" s="32">
        <f t="shared" si="260"/>
        <v>1</v>
      </c>
      <c r="W963" s="41">
        <f t="shared" ref="W963:W1026" si="275">IF(L963&gt;0,M963/L963,"")</f>
        <v>3.0490521232530789</v>
      </c>
      <c r="X963" s="6">
        <f t="shared" ref="X963:X1026" si="276">IF(U963=1,M963,0)</f>
        <v>0</v>
      </c>
      <c r="Y963" s="7">
        <f t="shared" si="261"/>
        <v>567</v>
      </c>
      <c r="AA963" s="7">
        <f t="shared" si="262"/>
        <v>0</v>
      </c>
      <c r="AB963" s="7" t="str">
        <f t="shared" si="263"/>
        <v/>
      </c>
      <c r="AC963" s="7">
        <f t="shared" si="264"/>
        <v>0</v>
      </c>
      <c r="AD963" s="7" t="str">
        <f t="shared" si="265"/>
        <v/>
      </c>
      <c r="AE963" s="6">
        <f t="shared" si="266"/>
        <v>0</v>
      </c>
      <c r="AF963" s="69">
        <f t="shared" si="267"/>
        <v>3.0490521232530789</v>
      </c>
      <c r="AG963" s="6">
        <f t="shared" si="268"/>
        <v>0</v>
      </c>
      <c r="AH963" s="6">
        <f t="shared" si="269"/>
        <v>604</v>
      </c>
    </row>
    <row r="964" spans="8:34" x14ac:dyDescent="0.25">
      <c r="H964" s="7">
        <v>971</v>
      </c>
      <c r="I964" s="7" t="s">
        <v>13</v>
      </c>
      <c r="J964" s="8">
        <v>38749</v>
      </c>
      <c r="K964" s="12" t="s">
        <v>20</v>
      </c>
      <c r="L964" s="9">
        <v>65</v>
      </c>
      <c r="M964" s="10">
        <v>196.63630077143569</v>
      </c>
      <c r="N964" s="7" t="s">
        <v>21</v>
      </c>
      <c r="P964" s="29" t="str">
        <f t="shared" si="270"/>
        <v/>
      </c>
      <c r="Q964" s="29" t="str">
        <f t="shared" si="271"/>
        <v/>
      </c>
      <c r="R964" s="29" t="str">
        <f t="shared" si="272"/>
        <v/>
      </c>
      <c r="S964" s="29" t="str">
        <f t="shared" si="273"/>
        <v/>
      </c>
      <c r="T964" s="32" t="str">
        <f t="shared" si="274"/>
        <v/>
      </c>
      <c r="U964" s="32" t="str">
        <f t="shared" ref="U964:U1027" si="277">IF(YEAR(J964)=2005,1,"")</f>
        <v/>
      </c>
      <c r="V964" s="32">
        <f t="shared" ref="V964:V1027" si="278">IF(YEAR(J964)=2006,1,"")</f>
        <v>1</v>
      </c>
      <c r="W964" s="41">
        <f t="shared" si="275"/>
        <v>3.0251738580220873</v>
      </c>
      <c r="X964" s="6">
        <f t="shared" si="276"/>
        <v>0</v>
      </c>
      <c r="Y964" s="7">
        <f t="shared" ref="Y964:Y1027" si="279">RANK(X964,$X$3:$X$1893)</f>
        <v>567</v>
      </c>
      <c r="AA964" s="7">
        <f t="shared" ref="AA964:AA1027" si="280">IF(AND(OR((MONTH(J964))=1,(MONTH(J964))=2,(MONTH(J964))=3,(MONTH(J964))=7,(MONTH(J964))=8,(MONTH(J964))=9),YEAR(J964)=2005),1,0)</f>
        <v>0</v>
      </c>
      <c r="AB964" s="7" t="str">
        <f t="shared" ref="AB964:AB1027" si="281">IF(AA964=1,L964,"")</f>
        <v/>
      </c>
      <c r="AC964" s="7">
        <f t="shared" ref="AC964:AC1027" si="282">IF(AND(OR((MONTH(J964))=4,(MONTH(J964))=5,(MONTH(J964))=6,(MONTH(J964))=10,(MONTH(J964))=11,(MONTH(J964))=12),YEAR(J964)=2005),1,0)</f>
        <v>0</v>
      </c>
      <c r="AD964" s="7" t="str">
        <f t="shared" ref="AD964:AD1027" si="283">IF(AC964=1,L964,"")</f>
        <v/>
      </c>
      <c r="AE964" s="6">
        <f t="shared" ref="AE964:AE1027" si="284">IF(L964&lt;0,L964,0)</f>
        <v>0</v>
      </c>
      <c r="AF964" s="69">
        <f t="shared" ref="AF964:AF1027" si="285">IF(L964&gt;0,W964,"")</f>
        <v>3.0251738580220873</v>
      </c>
      <c r="AG964" s="6">
        <f t="shared" ref="AG964:AG1027" si="286">IF(AND((M964&gt;0),(YEAR(J964)=2004)),M964,0)</f>
        <v>0</v>
      </c>
      <c r="AH964" s="6">
        <f t="shared" ref="AH964:AH1027" si="287">RANK(AG964,$AG$3:$AG$1893)</f>
        <v>604</v>
      </c>
    </row>
    <row r="965" spans="8:34" x14ac:dyDescent="0.25">
      <c r="H965" s="7">
        <v>972</v>
      </c>
      <c r="I965" s="7" t="s">
        <v>15</v>
      </c>
      <c r="J965" s="8">
        <v>38760</v>
      </c>
      <c r="K965" s="12" t="s">
        <v>20</v>
      </c>
      <c r="L965" s="9">
        <v>52</v>
      </c>
      <c r="M965" s="10">
        <v>158.33506008490392</v>
      </c>
      <c r="N965" s="7" t="s">
        <v>24</v>
      </c>
      <c r="P965" s="29" t="str">
        <f t="shared" si="270"/>
        <v/>
      </c>
      <c r="Q965" s="29" t="str">
        <f t="shared" si="271"/>
        <v/>
      </c>
      <c r="R965" s="29" t="str">
        <f t="shared" si="272"/>
        <v/>
      </c>
      <c r="S965" s="29" t="str">
        <f t="shared" si="273"/>
        <v/>
      </c>
      <c r="T965" s="32" t="str">
        <f t="shared" si="274"/>
        <v/>
      </c>
      <c r="U965" s="32" t="str">
        <f t="shared" si="277"/>
        <v/>
      </c>
      <c r="V965" s="32">
        <f t="shared" si="278"/>
        <v>1</v>
      </c>
      <c r="W965" s="41">
        <f t="shared" si="275"/>
        <v>3.0449050016327677</v>
      </c>
      <c r="X965" s="6">
        <f t="shared" si="276"/>
        <v>0</v>
      </c>
      <c r="Y965" s="7">
        <f t="shared" si="279"/>
        <v>567</v>
      </c>
      <c r="AA965" s="7">
        <f t="shared" si="280"/>
        <v>0</v>
      </c>
      <c r="AB965" s="7" t="str">
        <f t="shared" si="281"/>
        <v/>
      </c>
      <c r="AC965" s="7">
        <f t="shared" si="282"/>
        <v>0</v>
      </c>
      <c r="AD965" s="7" t="str">
        <f t="shared" si="283"/>
        <v/>
      </c>
      <c r="AE965" s="6">
        <f t="shared" si="284"/>
        <v>0</v>
      </c>
      <c r="AF965" s="69">
        <f t="shared" si="285"/>
        <v>3.0449050016327677</v>
      </c>
      <c r="AG965" s="6">
        <f t="shared" si="286"/>
        <v>0</v>
      </c>
      <c r="AH965" s="6">
        <f t="shared" si="287"/>
        <v>604</v>
      </c>
    </row>
    <row r="966" spans="8:34" x14ac:dyDescent="0.25">
      <c r="H966" s="7">
        <v>973</v>
      </c>
      <c r="I966" s="7" t="s">
        <v>15</v>
      </c>
      <c r="J966" s="8">
        <v>38947</v>
      </c>
      <c r="K966" s="12" t="s">
        <v>20</v>
      </c>
      <c r="L966" s="9">
        <v>44</v>
      </c>
      <c r="M966" s="10">
        <v>133.42498328468113</v>
      </c>
      <c r="N966" s="7" t="s">
        <v>24</v>
      </c>
      <c r="P966" s="29" t="str">
        <f t="shared" si="270"/>
        <v/>
      </c>
      <c r="Q966" s="29" t="str">
        <f t="shared" si="271"/>
        <v/>
      </c>
      <c r="R966" s="29" t="str">
        <f t="shared" si="272"/>
        <v/>
      </c>
      <c r="S966" s="29" t="str">
        <f t="shared" si="273"/>
        <v/>
      </c>
      <c r="T966" s="32" t="str">
        <f t="shared" si="274"/>
        <v/>
      </c>
      <c r="U966" s="32" t="str">
        <f t="shared" si="277"/>
        <v/>
      </c>
      <c r="V966" s="32">
        <f t="shared" si="278"/>
        <v>1</v>
      </c>
      <c r="W966" s="41">
        <f t="shared" si="275"/>
        <v>3.0323859837427531</v>
      </c>
      <c r="X966" s="6">
        <f t="shared" si="276"/>
        <v>0</v>
      </c>
      <c r="Y966" s="7">
        <f t="shared" si="279"/>
        <v>567</v>
      </c>
      <c r="AA966" s="7">
        <f t="shared" si="280"/>
        <v>0</v>
      </c>
      <c r="AB966" s="7" t="str">
        <f t="shared" si="281"/>
        <v/>
      </c>
      <c r="AC966" s="7">
        <f t="shared" si="282"/>
        <v>0</v>
      </c>
      <c r="AD966" s="7" t="str">
        <f t="shared" si="283"/>
        <v/>
      </c>
      <c r="AE966" s="6">
        <f t="shared" si="284"/>
        <v>0</v>
      </c>
      <c r="AF966" s="69">
        <f t="shared" si="285"/>
        <v>3.0323859837427531</v>
      </c>
      <c r="AG966" s="6">
        <f t="shared" si="286"/>
        <v>0</v>
      </c>
      <c r="AH966" s="6">
        <f t="shared" si="287"/>
        <v>604</v>
      </c>
    </row>
    <row r="967" spans="8:34" x14ac:dyDescent="0.25">
      <c r="H967" s="7">
        <v>974</v>
      </c>
      <c r="I967" s="7" t="s">
        <v>9</v>
      </c>
      <c r="J967" s="8">
        <v>39002</v>
      </c>
      <c r="K967" s="12" t="s">
        <v>19</v>
      </c>
      <c r="L967" s="9">
        <v>72</v>
      </c>
      <c r="M967" s="10">
        <v>218.057153790916</v>
      </c>
      <c r="N967" s="7" t="s">
        <v>24</v>
      </c>
      <c r="P967" s="29" t="str">
        <f t="shared" si="270"/>
        <v/>
      </c>
      <c r="Q967" s="29" t="str">
        <f t="shared" si="271"/>
        <v/>
      </c>
      <c r="R967" s="29" t="str">
        <f t="shared" si="272"/>
        <v/>
      </c>
      <c r="S967" s="29" t="str">
        <f t="shared" si="273"/>
        <v/>
      </c>
      <c r="T967" s="32" t="str">
        <f t="shared" si="274"/>
        <v/>
      </c>
      <c r="U967" s="32" t="str">
        <f t="shared" si="277"/>
        <v/>
      </c>
      <c r="V967" s="32">
        <f t="shared" si="278"/>
        <v>1</v>
      </c>
      <c r="W967" s="41">
        <f t="shared" si="275"/>
        <v>3.0285715804293889</v>
      </c>
      <c r="X967" s="6">
        <f t="shared" si="276"/>
        <v>0</v>
      </c>
      <c r="Y967" s="7">
        <f t="shared" si="279"/>
        <v>567</v>
      </c>
      <c r="AA967" s="7">
        <f t="shared" si="280"/>
        <v>0</v>
      </c>
      <c r="AB967" s="7" t="str">
        <f t="shared" si="281"/>
        <v/>
      </c>
      <c r="AC967" s="7">
        <f t="shared" si="282"/>
        <v>0</v>
      </c>
      <c r="AD967" s="7" t="str">
        <f t="shared" si="283"/>
        <v/>
      </c>
      <c r="AE967" s="6">
        <f t="shared" si="284"/>
        <v>0</v>
      </c>
      <c r="AF967" s="69">
        <f t="shared" si="285"/>
        <v>3.0285715804293889</v>
      </c>
      <c r="AG967" s="6">
        <f t="shared" si="286"/>
        <v>0</v>
      </c>
      <c r="AH967" s="6">
        <f t="shared" si="287"/>
        <v>604</v>
      </c>
    </row>
    <row r="968" spans="8:34" x14ac:dyDescent="0.25">
      <c r="H968" s="7">
        <v>975</v>
      </c>
      <c r="I968" s="7" t="s">
        <v>13</v>
      </c>
      <c r="J968" s="8">
        <v>38243</v>
      </c>
      <c r="K968" s="12" t="s">
        <v>20</v>
      </c>
      <c r="L968" s="9">
        <v>13</v>
      </c>
      <c r="M968" s="10">
        <v>41.138712352864658</v>
      </c>
      <c r="N968" s="7" t="s">
        <v>24</v>
      </c>
      <c r="P968" s="29" t="str">
        <f t="shared" si="270"/>
        <v/>
      </c>
      <c r="Q968" s="29" t="str">
        <f t="shared" si="271"/>
        <v/>
      </c>
      <c r="R968" s="29">
        <f t="shared" si="272"/>
        <v>1</v>
      </c>
      <c r="S968" s="29" t="str">
        <f t="shared" si="273"/>
        <v/>
      </c>
      <c r="T968" s="32" t="str">
        <f t="shared" si="274"/>
        <v/>
      </c>
      <c r="U968" s="32" t="str">
        <f t="shared" si="277"/>
        <v/>
      </c>
      <c r="V968" s="32" t="str">
        <f t="shared" si="278"/>
        <v/>
      </c>
      <c r="W968" s="41">
        <f t="shared" si="275"/>
        <v>3.164516334835743</v>
      </c>
      <c r="X968" s="6">
        <f t="shared" si="276"/>
        <v>0</v>
      </c>
      <c r="Y968" s="7">
        <f t="shared" si="279"/>
        <v>567</v>
      </c>
      <c r="AA968" s="7">
        <f t="shared" si="280"/>
        <v>0</v>
      </c>
      <c r="AB968" s="7" t="str">
        <f t="shared" si="281"/>
        <v/>
      </c>
      <c r="AC968" s="7">
        <f t="shared" si="282"/>
        <v>0</v>
      </c>
      <c r="AD968" s="7" t="str">
        <f t="shared" si="283"/>
        <v/>
      </c>
      <c r="AE968" s="6">
        <f t="shared" si="284"/>
        <v>0</v>
      </c>
      <c r="AF968" s="69">
        <f t="shared" si="285"/>
        <v>3.164516334835743</v>
      </c>
      <c r="AG968" s="6">
        <f t="shared" si="286"/>
        <v>41.138712352864658</v>
      </c>
      <c r="AH968" s="6">
        <f t="shared" si="287"/>
        <v>498</v>
      </c>
    </row>
    <row r="969" spans="8:34" x14ac:dyDescent="0.25">
      <c r="H969" s="7">
        <v>976</v>
      </c>
      <c r="I969" s="7" t="s">
        <v>10</v>
      </c>
      <c r="J969" s="8">
        <v>38969</v>
      </c>
      <c r="K969" s="12" t="s">
        <v>18</v>
      </c>
      <c r="L969" s="9">
        <v>16</v>
      </c>
      <c r="M969" s="10">
        <v>50.15918619514666</v>
      </c>
      <c r="N969" s="7" t="s">
        <v>21</v>
      </c>
      <c r="P969" s="29" t="str">
        <f t="shared" si="270"/>
        <v/>
      </c>
      <c r="Q969" s="29" t="str">
        <f t="shared" si="271"/>
        <v/>
      </c>
      <c r="R969" s="29" t="str">
        <f t="shared" si="272"/>
        <v/>
      </c>
      <c r="S969" s="29" t="str">
        <f t="shared" si="273"/>
        <v/>
      </c>
      <c r="T969" s="32" t="str">
        <f t="shared" si="274"/>
        <v/>
      </c>
      <c r="U969" s="32" t="str">
        <f t="shared" si="277"/>
        <v/>
      </c>
      <c r="V969" s="32">
        <f t="shared" si="278"/>
        <v>1</v>
      </c>
      <c r="W969" s="41">
        <f t="shared" si="275"/>
        <v>3.1349491371966662</v>
      </c>
      <c r="X969" s="6">
        <f t="shared" si="276"/>
        <v>0</v>
      </c>
      <c r="Y969" s="7">
        <f t="shared" si="279"/>
        <v>567</v>
      </c>
      <c r="AA969" s="7">
        <f t="shared" si="280"/>
        <v>0</v>
      </c>
      <c r="AB969" s="7" t="str">
        <f t="shared" si="281"/>
        <v/>
      </c>
      <c r="AC969" s="7">
        <f t="shared" si="282"/>
        <v>0</v>
      </c>
      <c r="AD969" s="7" t="str">
        <f t="shared" si="283"/>
        <v/>
      </c>
      <c r="AE969" s="6">
        <f t="shared" si="284"/>
        <v>0</v>
      </c>
      <c r="AF969" s="69">
        <f t="shared" si="285"/>
        <v>3.1349491371966662</v>
      </c>
      <c r="AG969" s="6">
        <f t="shared" si="286"/>
        <v>0</v>
      </c>
      <c r="AH969" s="6">
        <f t="shared" si="287"/>
        <v>604</v>
      </c>
    </row>
    <row r="970" spans="8:34" x14ac:dyDescent="0.25">
      <c r="H970" s="7">
        <v>977</v>
      </c>
      <c r="I970" s="7" t="s">
        <v>15</v>
      </c>
      <c r="J970" s="8">
        <v>38760</v>
      </c>
      <c r="K970" s="12" t="s">
        <v>18</v>
      </c>
      <c r="L970" s="9">
        <v>19</v>
      </c>
      <c r="M970" s="10">
        <v>59.265314003350476</v>
      </c>
      <c r="N970" s="7" t="s">
        <v>23</v>
      </c>
      <c r="P970" s="29" t="str">
        <f t="shared" si="270"/>
        <v/>
      </c>
      <c r="Q970" s="29" t="str">
        <f t="shared" si="271"/>
        <v/>
      </c>
      <c r="R970" s="29" t="str">
        <f t="shared" si="272"/>
        <v/>
      </c>
      <c r="S970" s="29" t="str">
        <f t="shared" si="273"/>
        <v/>
      </c>
      <c r="T970" s="32" t="str">
        <f t="shared" si="274"/>
        <v/>
      </c>
      <c r="U970" s="32" t="str">
        <f t="shared" si="277"/>
        <v/>
      </c>
      <c r="V970" s="32">
        <f t="shared" si="278"/>
        <v>1</v>
      </c>
      <c r="W970" s="41">
        <f t="shared" si="275"/>
        <v>3.1192270528079198</v>
      </c>
      <c r="X970" s="6">
        <f t="shared" si="276"/>
        <v>0</v>
      </c>
      <c r="Y970" s="7">
        <f t="shared" si="279"/>
        <v>567</v>
      </c>
      <c r="AA970" s="7">
        <f t="shared" si="280"/>
        <v>0</v>
      </c>
      <c r="AB970" s="7" t="str">
        <f t="shared" si="281"/>
        <v/>
      </c>
      <c r="AC970" s="7">
        <f t="shared" si="282"/>
        <v>0</v>
      </c>
      <c r="AD970" s="7" t="str">
        <f t="shared" si="283"/>
        <v/>
      </c>
      <c r="AE970" s="6">
        <f t="shared" si="284"/>
        <v>0</v>
      </c>
      <c r="AF970" s="69">
        <f t="shared" si="285"/>
        <v>3.1192270528079198</v>
      </c>
      <c r="AG970" s="6">
        <f t="shared" si="286"/>
        <v>0</v>
      </c>
      <c r="AH970" s="6">
        <f t="shared" si="287"/>
        <v>604</v>
      </c>
    </row>
    <row r="971" spans="8:34" x14ac:dyDescent="0.25">
      <c r="H971" s="7">
        <v>978</v>
      </c>
      <c r="I971" s="7" t="s">
        <v>10</v>
      </c>
      <c r="J971" s="8">
        <v>38485</v>
      </c>
      <c r="K971" s="12" t="s">
        <v>20</v>
      </c>
      <c r="L971" s="9">
        <v>67</v>
      </c>
      <c r="M971" s="10">
        <v>203.43497713652508</v>
      </c>
      <c r="N971" s="7" t="s">
        <v>23</v>
      </c>
      <c r="P971" s="29" t="str">
        <f t="shared" si="270"/>
        <v/>
      </c>
      <c r="Q971" s="29" t="str">
        <f t="shared" si="271"/>
        <v/>
      </c>
      <c r="R971" s="29" t="str">
        <f t="shared" si="272"/>
        <v/>
      </c>
      <c r="S971" s="29" t="str">
        <f t="shared" si="273"/>
        <v/>
      </c>
      <c r="T971" s="32" t="str">
        <f t="shared" si="274"/>
        <v/>
      </c>
      <c r="U971" s="32">
        <f t="shared" si="277"/>
        <v>1</v>
      </c>
      <c r="V971" s="32" t="str">
        <f t="shared" si="278"/>
        <v/>
      </c>
      <c r="W971" s="41">
        <f t="shared" si="275"/>
        <v>3.0363429423361952</v>
      </c>
      <c r="X971" s="6">
        <f t="shared" si="276"/>
        <v>203.43497713652508</v>
      </c>
      <c r="Y971" s="7">
        <f t="shared" si="279"/>
        <v>171</v>
      </c>
      <c r="AA971" s="7">
        <f t="shared" si="280"/>
        <v>0</v>
      </c>
      <c r="AB971" s="7" t="str">
        <f t="shared" si="281"/>
        <v/>
      </c>
      <c r="AC971" s="7">
        <f t="shared" si="282"/>
        <v>1</v>
      </c>
      <c r="AD971" s="7">
        <f t="shared" si="283"/>
        <v>67</v>
      </c>
      <c r="AE971" s="6">
        <f t="shared" si="284"/>
        <v>0</v>
      </c>
      <c r="AF971" s="69">
        <f t="shared" si="285"/>
        <v>3.0363429423361952</v>
      </c>
      <c r="AG971" s="6">
        <f t="shared" si="286"/>
        <v>0</v>
      </c>
      <c r="AH971" s="6">
        <f t="shared" si="287"/>
        <v>604</v>
      </c>
    </row>
    <row r="972" spans="8:34" x14ac:dyDescent="0.25">
      <c r="H972" s="7">
        <v>979</v>
      </c>
      <c r="I972" s="7" t="s">
        <v>13</v>
      </c>
      <c r="J972" s="8">
        <v>38760</v>
      </c>
      <c r="K972" s="12" t="s">
        <v>17</v>
      </c>
      <c r="L972" s="9">
        <v>2</v>
      </c>
      <c r="M972" s="10">
        <v>8.3122868755040553</v>
      </c>
      <c r="N972" s="7" t="s">
        <v>22</v>
      </c>
      <c r="P972" s="29" t="str">
        <f t="shared" si="270"/>
        <v/>
      </c>
      <c r="Q972" s="29" t="str">
        <f t="shared" si="271"/>
        <v/>
      </c>
      <c r="R972" s="29" t="str">
        <f t="shared" si="272"/>
        <v/>
      </c>
      <c r="S972" s="29" t="str">
        <f t="shared" si="273"/>
        <v/>
      </c>
      <c r="T972" s="32" t="str">
        <f t="shared" si="274"/>
        <v/>
      </c>
      <c r="U972" s="32" t="str">
        <f t="shared" si="277"/>
        <v/>
      </c>
      <c r="V972" s="32">
        <f t="shared" si="278"/>
        <v>1</v>
      </c>
      <c r="W972" s="41">
        <f t="shared" si="275"/>
        <v>4.1561434377520277</v>
      </c>
      <c r="X972" s="6">
        <f t="shared" si="276"/>
        <v>0</v>
      </c>
      <c r="Y972" s="7">
        <f t="shared" si="279"/>
        <v>567</v>
      </c>
      <c r="AA972" s="7">
        <f t="shared" si="280"/>
        <v>0</v>
      </c>
      <c r="AB972" s="7" t="str">
        <f t="shared" si="281"/>
        <v/>
      </c>
      <c r="AC972" s="7">
        <f t="shared" si="282"/>
        <v>0</v>
      </c>
      <c r="AD972" s="7" t="str">
        <f t="shared" si="283"/>
        <v/>
      </c>
      <c r="AE972" s="6">
        <f t="shared" si="284"/>
        <v>0</v>
      </c>
      <c r="AF972" s="69">
        <f t="shared" si="285"/>
        <v>4.1561434377520277</v>
      </c>
      <c r="AG972" s="6">
        <f t="shared" si="286"/>
        <v>0</v>
      </c>
      <c r="AH972" s="6">
        <f t="shared" si="287"/>
        <v>604</v>
      </c>
    </row>
    <row r="973" spans="8:34" x14ac:dyDescent="0.25">
      <c r="H973" s="7">
        <v>980</v>
      </c>
      <c r="I973" s="7" t="s">
        <v>10</v>
      </c>
      <c r="J973" s="8">
        <v>38870</v>
      </c>
      <c r="K973" s="12" t="s">
        <v>20</v>
      </c>
      <c r="L973" s="9">
        <v>28</v>
      </c>
      <c r="M973" s="10">
        <v>85.787320991735939</v>
      </c>
      <c r="N973" s="7" t="s">
        <v>21</v>
      </c>
      <c r="P973" s="29" t="str">
        <f t="shared" si="270"/>
        <v/>
      </c>
      <c r="Q973" s="29" t="str">
        <f t="shared" si="271"/>
        <v/>
      </c>
      <c r="R973" s="29" t="str">
        <f t="shared" si="272"/>
        <v/>
      </c>
      <c r="S973" s="29" t="str">
        <f t="shared" si="273"/>
        <v/>
      </c>
      <c r="T973" s="32" t="str">
        <f t="shared" si="274"/>
        <v/>
      </c>
      <c r="U973" s="32" t="str">
        <f t="shared" si="277"/>
        <v/>
      </c>
      <c r="V973" s="32">
        <f t="shared" si="278"/>
        <v>1</v>
      </c>
      <c r="W973" s="41">
        <f t="shared" si="275"/>
        <v>3.0638328925619978</v>
      </c>
      <c r="X973" s="6">
        <f t="shared" si="276"/>
        <v>0</v>
      </c>
      <c r="Y973" s="7">
        <f t="shared" si="279"/>
        <v>567</v>
      </c>
      <c r="AA973" s="7">
        <f t="shared" si="280"/>
        <v>0</v>
      </c>
      <c r="AB973" s="7" t="str">
        <f t="shared" si="281"/>
        <v/>
      </c>
      <c r="AC973" s="7">
        <f t="shared" si="282"/>
        <v>0</v>
      </c>
      <c r="AD973" s="7" t="str">
        <f t="shared" si="283"/>
        <v/>
      </c>
      <c r="AE973" s="6">
        <f t="shared" si="284"/>
        <v>0</v>
      </c>
      <c r="AF973" s="69">
        <f t="shared" si="285"/>
        <v>3.0638328925619978</v>
      </c>
      <c r="AG973" s="6">
        <f t="shared" si="286"/>
        <v>0</v>
      </c>
      <c r="AH973" s="6">
        <f t="shared" si="287"/>
        <v>604</v>
      </c>
    </row>
    <row r="974" spans="8:34" x14ac:dyDescent="0.25">
      <c r="H974" s="7">
        <v>981</v>
      </c>
      <c r="I974" s="7" t="s">
        <v>11</v>
      </c>
      <c r="J974" s="8">
        <v>38584</v>
      </c>
      <c r="K974" s="12" t="s">
        <v>18</v>
      </c>
      <c r="L974" s="9">
        <v>-6</v>
      </c>
      <c r="M974" s="10">
        <v>-15.854559071603056</v>
      </c>
      <c r="N974" s="7" t="s">
        <v>22</v>
      </c>
      <c r="P974" s="29" t="str">
        <f t="shared" si="270"/>
        <v/>
      </c>
      <c r="Q974" s="29" t="str">
        <f t="shared" si="271"/>
        <v/>
      </c>
      <c r="R974" s="29" t="str">
        <f t="shared" si="272"/>
        <v/>
      </c>
      <c r="S974" s="29" t="str">
        <f t="shared" si="273"/>
        <v/>
      </c>
      <c r="T974" s="32" t="str">
        <f t="shared" si="274"/>
        <v/>
      </c>
      <c r="U974" s="32">
        <f t="shared" si="277"/>
        <v>1</v>
      </c>
      <c r="V974" s="32" t="str">
        <f t="shared" si="278"/>
        <v/>
      </c>
      <c r="W974" s="41" t="str">
        <f t="shared" si="275"/>
        <v/>
      </c>
      <c r="X974" s="6">
        <f t="shared" si="276"/>
        <v>-15.854559071603056</v>
      </c>
      <c r="Y974" s="7">
        <f t="shared" si="279"/>
        <v>1868</v>
      </c>
      <c r="AA974" s="7">
        <f t="shared" si="280"/>
        <v>1</v>
      </c>
      <c r="AB974" s="7">
        <f t="shared" si="281"/>
        <v>-6</v>
      </c>
      <c r="AC974" s="7">
        <f t="shared" si="282"/>
        <v>0</v>
      </c>
      <c r="AD974" s="7" t="str">
        <f t="shared" si="283"/>
        <v/>
      </c>
      <c r="AE974" s="6">
        <f t="shared" si="284"/>
        <v>-6</v>
      </c>
      <c r="AF974" s="69" t="str">
        <f t="shared" si="285"/>
        <v/>
      </c>
      <c r="AG974" s="6">
        <f t="shared" si="286"/>
        <v>0</v>
      </c>
      <c r="AH974" s="6">
        <f t="shared" si="287"/>
        <v>604</v>
      </c>
    </row>
    <row r="975" spans="8:34" x14ac:dyDescent="0.25">
      <c r="H975" s="7">
        <v>982</v>
      </c>
      <c r="I975" s="7" t="s">
        <v>9</v>
      </c>
      <c r="J975" s="8">
        <v>38441</v>
      </c>
      <c r="K975" s="12" t="s">
        <v>20</v>
      </c>
      <c r="L975" s="9">
        <v>70</v>
      </c>
      <c r="M975" s="10">
        <v>212.03178089307775</v>
      </c>
      <c r="N975" s="7" t="s">
        <v>22</v>
      </c>
      <c r="P975" s="29" t="str">
        <f t="shared" si="270"/>
        <v/>
      </c>
      <c r="Q975" s="29" t="str">
        <f t="shared" si="271"/>
        <v/>
      </c>
      <c r="R975" s="29" t="str">
        <f t="shared" si="272"/>
        <v/>
      </c>
      <c r="S975" s="29" t="str">
        <f t="shared" si="273"/>
        <v/>
      </c>
      <c r="T975" s="32" t="str">
        <f t="shared" si="274"/>
        <v/>
      </c>
      <c r="U975" s="32">
        <f t="shared" si="277"/>
        <v>1</v>
      </c>
      <c r="V975" s="32" t="str">
        <f t="shared" si="278"/>
        <v/>
      </c>
      <c r="W975" s="41">
        <f t="shared" si="275"/>
        <v>3.029025441329682</v>
      </c>
      <c r="X975" s="6">
        <f t="shared" si="276"/>
        <v>212.03178089307775</v>
      </c>
      <c r="Y975" s="7">
        <f t="shared" si="279"/>
        <v>157</v>
      </c>
      <c r="AA975" s="7">
        <f t="shared" si="280"/>
        <v>1</v>
      </c>
      <c r="AB975" s="7">
        <f t="shared" si="281"/>
        <v>70</v>
      </c>
      <c r="AC975" s="7">
        <f t="shared" si="282"/>
        <v>0</v>
      </c>
      <c r="AD975" s="7" t="str">
        <f t="shared" si="283"/>
        <v/>
      </c>
      <c r="AE975" s="6">
        <f t="shared" si="284"/>
        <v>0</v>
      </c>
      <c r="AF975" s="69">
        <f t="shared" si="285"/>
        <v>3.029025441329682</v>
      </c>
      <c r="AG975" s="6">
        <f t="shared" si="286"/>
        <v>0</v>
      </c>
      <c r="AH975" s="6">
        <f t="shared" si="287"/>
        <v>604</v>
      </c>
    </row>
    <row r="976" spans="8:34" x14ac:dyDescent="0.25">
      <c r="H976" s="7">
        <v>983</v>
      </c>
      <c r="I976" s="7" t="s">
        <v>8</v>
      </c>
      <c r="J976" s="8">
        <v>38771</v>
      </c>
      <c r="K976" s="12" t="s">
        <v>17</v>
      </c>
      <c r="L976" s="9">
        <v>65</v>
      </c>
      <c r="M976" s="10">
        <v>197.18663086835969</v>
      </c>
      <c r="N976" s="7" t="s">
        <v>21</v>
      </c>
      <c r="P976" s="29" t="str">
        <f t="shared" si="270"/>
        <v/>
      </c>
      <c r="Q976" s="29" t="str">
        <f t="shared" si="271"/>
        <v/>
      </c>
      <c r="R976" s="29" t="str">
        <f t="shared" si="272"/>
        <v/>
      </c>
      <c r="S976" s="29" t="str">
        <f t="shared" si="273"/>
        <v/>
      </c>
      <c r="T976" s="32" t="str">
        <f t="shared" si="274"/>
        <v/>
      </c>
      <c r="U976" s="32" t="str">
        <f t="shared" si="277"/>
        <v/>
      </c>
      <c r="V976" s="32">
        <f t="shared" si="278"/>
        <v>1</v>
      </c>
      <c r="W976" s="41">
        <f t="shared" si="275"/>
        <v>3.0336404748978412</v>
      </c>
      <c r="X976" s="6">
        <f t="shared" si="276"/>
        <v>0</v>
      </c>
      <c r="Y976" s="7">
        <f t="shared" si="279"/>
        <v>567</v>
      </c>
      <c r="AA976" s="7">
        <f t="shared" si="280"/>
        <v>0</v>
      </c>
      <c r="AB976" s="7" t="str">
        <f t="shared" si="281"/>
        <v/>
      </c>
      <c r="AC976" s="7">
        <f t="shared" si="282"/>
        <v>0</v>
      </c>
      <c r="AD976" s="7" t="str">
        <f t="shared" si="283"/>
        <v/>
      </c>
      <c r="AE976" s="6">
        <f t="shared" si="284"/>
        <v>0</v>
      </c>
      <c r="AF976" s="69">
        <f t="shared" si="285"/>
        <v>3.0336404748978412</v>
      </c>
      <c r="AG976" s="6">
        <f t="shared" si="286"/>
        <v>0</v>
      </c>
      <c r="AH976" s="6">
        <f t="shared" si="287"/>
        <v>604</v>
      </c>
    </row>
    <row r="977" spans="8:34" x14ac:dyDescent="0.25">
      <c r="H977" s="7">
        <v>984</v>
      </c>
      <c r="I977" s="7" t="s">
        <v>13</v>
      </c>
      <c r="J977" s="8">
        <v>39079</v>
      </c>
      <c r="K977" s="12" t="s">
        <v>18</v>
      </c>
      <c r="L977" s="9">
        <v>39</v>
      </c>
      <c r="M977" s="10">
        <v>119.05118285965317</v>
      </c>
      <c r="N977" s="7" t="s">
        <v>24</v>
      </c>
      <c r="P977" s="29" t="str">
        <f t="shared" si="270"/>
        <v/>
      </c>
      <c r="Q977" s="29" t="str">
        <f t="shared" si="271"/>
        <v/>
      </c>
      <c r="R977" s="29" t="str">
        <f t="shared" si="272"/>
        <v/>
      </c>
      <c r="S977" s="29" t="str">
        <f t="shared" si="273"/>
        <v/>
      </c>
      <c r="T977" s="32" t="str">
        <f t="shared" si="274"/>
        <v/>
      </c>
      <c r="U977" s="32" t="str">
        <f t="shared" si="277"/>
        <v/>
      </c>
      <c r="V977" s="32">
        <f t="shared" si="278"/>
        <v>1</v>
      </c>
      <c r="W977" s="41">
        <f t="shared" si="275"/>
        <v>3.052594432298799</v>
      </c>
      <c r="X977" s="6">
        <f t="shared" si="276"/>
        <v>0</v>
      </c>
      <c r="Y977" s="7">
        <f t="shared" si="279"/>
        <v>567</v>
      </c>
      <c r="AA977" s="7">
        <f t="shared" si="280"/>
        <v>0</v>
      </c>
      <c r="AB977" s="7" t="str">
        <f t="shared" si="281"/>
        <v/>
      </c>
      <c r="AC977" s="7">
        <f t="shared" si="282"/>
        <v>0</v>
      </c>
      <c r="AD977" s="7" t="str">
        <f t="shared" si="283"/>
        <v/>
      </c>
      <c r="AE977" s="6">
        <f t="shared" si="284"/>
        <v>0</v>
      </c>
      <c r="AF977" s="69">
        <f t="shared" si="285"/>
        <v>3.052594432298799</v>
      </c>
      <c r="AG977" s="6">
        <f t="shared" si="286"/>
        <v>0</v>
      </c>
      <c r="AH977" s="6">
        <f t="shared" si="287"/>
        <v>604</v>
      </c>
    </row>
    <row r="978" spans="8:34" x14ac:dyDescent="0.25">
      <c r="H978" s="7">
        <v>985</v>
      </c>
      <c r="I978" s="7" t="s">
        <v>8</v>
      </c>
      <c r="J978" s="8">
        <v>38958</v>
      </c>
      <c r="K978" s="12" t="s">
        <v>18</v>
      </c>
      <c r="L978" s="9">
        <v>72</v>
      </c>
      <c r="M978" s="10">
        <v>218.19229267045282</v>
      </c>
      <c r="N978" s="7" t="s">
        <v>23</v>
      </c>
      <c r="P978" s="29" t="str">
        <f t="shared" si="270"/>
        <v/>
      </c>
      <c r="Q978" s="29" t="str">
        <f t="shared" si="271"/>
        <v/>
      </c>
      <c r="R978" s="29" t="str">
        <f t="shared" si="272"/>
        <v/>
      </c>
      <c r="S978" s="29" t="str">
        <f t="shared" si="273"/>
        <v/>
      </c>
      <c r="T978" s="32" t="str">
        <f t="shared" si="274"/>
        <v/>
      </c>
      <c r="U978" s="32" t="str">
        <f t="shared" si="277"/>
        <v/>
      </c>
      <c r="V978" s="32">
        <f t="shared" si="278"/>
        <v>1</v>
      </c>
      <c r="W978" s="41">
        <f t="shared" si="275"/>
        <v>3.0304485093118445</v>
      </c>
      <c r="X978" s="6">
        <f t="shared" si="276"/>
        <v>0</v>
      </c>
      <c r="Y978" s="7">
        <f t="shared" si="279"/>
        <v>567</v>
      </c>
      <c r="AA978" s="7">
        <f t="shared" si="280"/>
        <v>0</v>
      </c>
      <c r="AB978" s="7" t="str">
        <f t="shared" si="281"/>
        <v/>
      </c>
      <c r="AC978" s="7">
        <f t="shared" si="282"/>
        <v>0</v>
      </c>
      <c r="AD978" s="7" t="str">
        <f t="shared" si="283"/>
        <v/>
      </c>
      <c r="AE978" s="6">
        <f t="shared" si="284"/>
        <v>0</v>
      </c>
      <c r="AF978" s="69">
        <f t="shared" si="285"/>
        <v>3.0304485093118445</v>
      </c>
      <c r="AG978" s="6">
        <f t="shared" si="286"/>
        <v>0</v>
      </c>
      <c r="AH978" s="6">
        <f t="shared" si="287"/>
        <v>604</v>
      </c>
    </row>
    <row r="979" spans="8:34" x14ac:dyDescent="0.25">
      <c r="H979" s="7">
        <v>986</v>
      </c>
      <c r="I979" s="7" t="s">
        <v>7</v>
      </c>
      <c r="J979" s="8">
        <v>38474</v>
      </c>
      <c r="K979" s="12" t="s">
        <v>19</v>
      </c>
      <c r="L979" s="9">
        <v>47</v>
      </c>
      <c r="M979" s="10">
        <v>142.53694145811323</v>
      </c>
      <c r="N979" s="7" t="s">
        <v>23</v>
      </c>
      <c r="P979" s="29" t="str">
        <f t="shared" si="270"/>
        <v/>
      </c>
      <c r="Q979" s="29" t="str">
        <f t="shared" si="271"/>
        <v/>
      </c>
      <c r="R979" s="29" t="str">
        <f t="shared" si="272"/>
        <v/>
      </c>
      <c r="S979" s="29" t="str">
        <f t="shared" si="273"/>
        <v/>
      </c>
      <c r="T979" s="32" t="str">
        <f t="shared" si="274"/>
        <v/>
      </c>
      <c r="U979" s="32">
        <f t="shared" si="277"/>
        <v>1</v>
      </c>
      <c r="V979" s="32" t="str">
        <f t="shared" si="278"/>
        <v/>
      </c>
      <c r="W979" s="41">
        <f t="shared" si="275"/>
        <v>3.0327008820875156</v>
      </c>
      <c r="X979" s="6">
        <f t="shared" si="276"/>
        <v>142.53694145811323</v>
      </c>
      <c r="Y979" s="7">
        <f t="shared" si="279"/>
        <v>285</v>
      </c>
      <c r="AA979" s="7">
        <f t="shared" si="280"/>
        <v>0</v>
      </c>
      <c r="AB979" s="7" t="str">
        <f t="shared" si="281"/>
        <v/>
      </c>
      <c r="AC979" s="7">
        <f t="shared" si="282"/>
        <v>1</v>
      </c>
      <c r="AD979" s="7">
        <f t="shared" si="283"/>
        <v>47</v>
      </c>
      <c r="AE979" s="6">
        <f t="shared" si="284"/>
        <v>0</v>
      </c>
      <c r="AF979" s="69">
        <f t="shared" si="285"/>
        <v>3.0327008820875156</v>
      </c>
      <c r="AG979" s="6">
        <f t="shared" si="286"/>
        <v>0</v>
      </c>
      <c r="AH979" s="6">
        <f t="shared" si="287"/>
        <v>604</v>
      </c>
    </row>
    <row r="980" spans="8:34" x14ac:dyDescent="0.25">
      <c r="H980" s="7">
        <v>987</v>
      </c>
      <c r="I980" s="7" t="s">
        <v>13</v>
      </c>
      <c r="J980" s="8">
        <v>38848</v>
      </c>
      <c r="K980" s="12" t="s">
        <v>17</v>
      </c>
      <c r="L980" s="9">
        <v>94</v>
      </c>
      <c r="M980" s="10">
        <v>283.57943523104291</v>
      </c>
      <c r="N980" s="7" t="s">
        <v>24</v>
      </c>
      <c r="P980" s="29" t="str">
        <f t="shared" si="270"/>
        <v/>
      </c>
      <c r="Q980" s="29" t="str">
        <f t="shared" si="271"/>
        <v/>
      </c>
      <c r="R980" s="29" t="str">
        <f t="shared" si="272"/>
        <v/>
      </c>
      <c r="S980" s="29" t="str">
        <f t="shared" si="273"/>
        <v/>
      </c>
      <c r="T980" s="32" t="str">
        <f t="shared" si="274"/>
        <v/>
      </c>
      <c r="U980" s="32" t="str">
        <f t="shared" si="277"/>
        <v/>
      </c>
      <c r="V980" s="32">
        <f t="shared" si="278"/>
        <v>1</v>
      </c>
      <c r="W980" s="41">
        <f t="shared" si="275"/>
        <v>3.0168025024579035</v>
      </c>
      <c r="X980" s="6">
        <f t="shared" si="276"/>
        <v>0</v>
      </c>
      <c r="Y980" s="7">
        <f t="shared" si="279"/>
        <v>567</v>
      </c>
      <c r="AA980" s="7">
        <f t="shared" si="280"/>
        <v>0</v>
      </c>
      <c r="AB980" s="7" t="str">
        <f t="shared" si="281"/>
        <v/>
      </c>
      <c r="AC980" s="7">
        <f t="shared" si="282"/>
        <v>0</v>
      </c>
      <c r="AD980" s="7" t="str">
        <f t="shared" si="283"/>
        <v/>
      </c>
      <c r="AE980" s="6">
        <f t="shared" si="284"/>
        <v>0</v>
      </c>
      <c r="AF980" s="69">
        <f t="shared" si="285"/>
        <v>3.0168025024579035</v>
      </c>
      <c r="AG980" s="6">
        <f t="shared" si="286"/>
        <v>0</v>
      </c>
      <c r="AH980" s="6">
        <f t="shared" si="287"/>
        <v>604</v>
      </c>
    </row>
    <row r="981" spans="8:34" x14ac:dyDescent="0.25">
      <c r="H981" s="7">
        <v>988</v>
      </c>
      <c r="I981" s="7" t="s">
        <v>7</v>
      </c>
      <c r="J981" s="8">
        <v>38485</v>
      </c>
      <c r="K981" s="12" t="s">
        <v>17</v>
      </c>
      <c r="L981" s="9">
        <v>58</v>
      </c>
      <c r="M981" s="10">
        <v>175.8230061159172</v>
      </c>
      <c r="N981" s="7" t="s">
        <v>23</v>
      </c>
      <c r="P981" s="29" t="str">
        <f t="shared" si="270"/>
        <v/>
      </c>
      <c r="Q981" s="29" t="str">
        <f t="shared" si="271"/>
        <v/>
      </c>
      <c r="R981" s="29" t="str">
        <f t="shared" si="272"/>
        <v/>
      </c>
      <c r="S981" s="29" t="str">
        <f t="shared" si="273"/>
        <v/>
      </c>
      <c r="T981" s="32" t="str">
        <f t="shared" si="274"/>
        <v/>
      </c>
      <c r="U981" s="32">
        <f t="shared" si="277"/>
        <v>1</v>
      </c>
      <c r="V981" s="32" t="str">
        <f t="shared" si="278"/>
        <v/>
      </c>
      <c r="W981" s="41">
        <f t="shared" si="275"/>
        <v>3.031431139929607</v>
      </c>
      <c r="X981" s="6">
        <f t="shared" si="276"/>
        <v>175.8230061159172</v>
      </c>
      <c r="Y981" s="7">
        <f t="shared" si="279"/>
        <v>216</v>
      </c>
      <c r="AA981" s="7">
        <f t="shared" si="280"/>
        <v>0</v>
      </c>
      <c r="AB981" s="7" t="str">
        <f t="shared" si="281"/>
        <v/>
      </c>
      <c r="AC981" s="7">
        <f t="shared" si="282"/>
        <v>1</v>
      </c>
      <c r="AD981" s="7">
        <f t="shared" si="283"/>
        <v>58</v>
      </c>
      <c r="AE981" s="6">
        <f t="shared" si="284"/>
        <v>0</v>
      </c>
      <c r="AF981" s="69">
        <f t="shared" si="285"/>
        <v>3.031431139929607</v>
      </c>
      <c r="AG981" s="6">
        <f t="shared" si="286"/>
        <v>0</v>
      </c>
      <c r="AH981" s="6">
        <f t="shared" si="287"/>
        <v>604</v>
      </c>
    </row>
    <row r="982" spans="8:34" x14ac:dyDescent="0.25">
      <c r="H982" s="7">
        <v>989</v>
      </c>
      <c r="I982" s="7" t="s">
        <v>14</v>
      </c>
      <c r="J982" s="8">
        <v>38122</v>
      </c>
      <c r="K982" s="12" t="s">
        <v>16</v>
      </c>
      <c r="L982" s="9">
        <v>-6</v>
      </c>
      <c r="M982" s="10">
        <v>-17.288821571122082</v>
      </c>
      <c r="N982" s="7" t="s">
        <v>24</v>
      </c>
      <c r="P982" s="29" t="str">
        <f t="shared" si="270"/>
        <v/>
      </c>
      <c r="Q982" s="29">
        <f t="shared" si="271"/>
        <v>1</v>
      </c>
      <c r="R982" s="29" t="str">
        <f t="shared" si="272"/>
        <v/>
      </c>
      <c r="S982" s="29" t="str">
        <f t="shared" si="273"/>
        <v/>
      </c>
      <c r="T982" s="32" t="str">
        <f t="shared" si="274"/>
        <v/>
      </c>
      <c r="U982" s="32" t="str">
        <f t="shared" si="277"/>
        <v/>
      </c>
      <c r="V982" s="32" t="str">
        <f t="shared" si="278"/>
        <v/>
      </c>
      <c r="W982" s="41" t="str">
        <f t="shared" si="275"/>
        <v/>
      </c>
      <c r="X982" s="6">
        <f t="shared" si="276"/>
        <v>0</v>
      </c>
      <c r="Y982" s="7">
        <f t="shared" si="279"/>
        <v>567</v>
      </c>
      <c r="AA982" s="7">
        <f t="shared" si="280"/>
        <v>0</v>
      </c>
      <c r="AB982" s="7" t="str">
        <f t="shared" si="281"/>
        <v/>
      </c>
      <c r="AC982" s="7">
        <f t="shared" si="282"/>
        <v>0</v>
      </c>
      <c r="AD982" s="7" t="str">
        <f t="shared" si="283"/>
        <v/>
      </c>
      <c r="AE982" s="6">
        <f t="shared" si="284"/>
        <v>-6</v>
      </c>
      <c r="AF982" s="69" t="str">
        <f t="shared" si="285"/>
        <v/>
      </c>
      <c r="AG982" s="6">
        <f t="shared" si="286"/>
        <v>0</v>
      </c>
      <c r="AH982" s="6">
        <f t="shared" si="287"/>
        <v>604</v>
      </c>
    </row>
    <row r="983" spans="8:34" x14ac:dyDescent="0.25">
      <c r="H983" s="7">
        <v>990</v>
      </c>
      <c r="I983" s="7" t="s">
        <v>11</v>
      </c>
      <c r="J983" s="8">
        <v>38034</v>
      </c>
      <c r="K983" s="12" t="s">
        <v>16</v>
      </c>
      <c r="L983" s="9">
        <v>38</v>
      </c>
      <c r="M983" s="10">
        <v>115.96163338782357</v>
      </c>
      <c r="N983" s="7" t="s">
        <v>21</v>
      </c>
      <c r="P983" s="29">
        <f t="shared" si="270"/>
        <v>1</v>
      </c>
      <c r="Q983" s="29" t="str">
        <f t="shared" si="271"/>
        <v/>
      </c>
      <c r="R983" s="29" t="str">
        <f t="shared" si="272"/>
        <v/>
      </c>
      <c r="S983" s="29" t="str">
        <f t="shared" si="273"/>
        <v/>
      </c>
      <c r="T983" s="32" t="str">
        <f t="shared" si="274"/>
        <v/>
      </c>
      <c r="U983" s="32" t="str">
        <f t="shared" si="277"/>
        <v/>
      </c>
      <c r="V983" s="32" t="str">
        <f t="shared" si="278"/>
        <v/>
      </c>
      <c r="W983" s="41">
        <f t="shared" si="275"/>
        <v>3.0516219312585151</v>
      </c>
      <c r="X983" s="6">
        <f t="shared" si="276"/>
        <v>0</v>
      </c>
      <c r="Y983" s="7">
        <f t="shared" si="279"/>
        <v>567</v>
      </c>
      <c r="AA983" s="7">
        <f t="shared" si="280"/>
        <v>0</v>
      </c>
      <c r="AB983" s="7" t="str">
        <f t="shared" si="281"/>
        <v/>
      </c>
      <c r="AC983" s="7">
        <f t="shared" si="282"/>
        <v>0</v>
      </c>
      <c r="AD983" s="7" t="str">
        <f t="shared" si="283"/>
        <v/>
      </c>
      <c r="AE983" s="6">
        <f t="shared" si="284"/>
        <v>0</v>
      </c>
      <c r="AF983" s="69">
        <f t="shared" si="285"/>
        <v>3.0516219312585151</v>
      </c>
      <c r="AG983" s="6">
        <f t="shared" si="286"/>
        <v>115.96163338782357</v>
      </c>
      <c r="AH983" s="6">
        <f t="shared" si="287"/>
        <v>341</v>
      </c>
    </row>
    <row r="984" spans="8:34" x14ac:dyDescent="0.25">
      <c r="H984" s="7">
        <v>991</v>
      </c>
      <c r="I984" s="7" t="s">
        <v>12</v>
      </c>
      <c r="J984" s="8">
        <v>38001</v>
      </c>
      <c r="K984" s="12" t="s">
        <v>16</v>
      </c>
      <c r="L984" s="9">
        <v>-1</v>
      </c>
      <c r="M984" s="10">
        <v>-1.0160108133922805</v>
      </c>
      <c r="N984" s="7" t="s">
        <v>22</v>
      </c>
      <c r="P984" s="29">
        <f t="shared" si="270"/>
        <v>1</v>
      </c>
      <c r="Q984" s="29" t="str">
        <f t="shared" si="271"/>
        <v/>
      </c>
      <c r="R984" s="29" t="str">
        <f t="shared" si="272"/>
        <v/>
      </c>
      <c r="S984" s="29" t="str">
        <f t="shared" si="273"/>
        <v/>
      </c>
      <c r="T984" s="32" t="str">
        <f t="shared" si="274"/>
        <v/>
      </c>
      <c r="U984" s="32" t="str">
        <f t="shared" si="277"/>
        <v/>
      </c>
      <c r="V984" s="32" t="str">
        <f t="shared" si="278"/>
        <v/>
      </c>
      <c r="W984" s="41" t="str">
        <f t="shared" si="275"/>
        <v/>
      </c>
      <c r="X984" s="6">
        <f t="shared" si="276"/>
        <v>0</v>
      </c>
      <c r="Y984" s="7">
        <f t="shared" si="279"/>
        <v>567</v>
      </c>
      <c r="AA984" s="7">
        <f t="shared" si="280"/>
        <v>0</v>
      </c>
      <c r="AB984" s="7" t="str">
        <f t="shared" si="281"/>
        <v/>
      </c>
      <c r="AC984" s="7">
        <f t="shared" si="282"/>
        <v>0</v>
      </c>
      <c r="AD984" s="7" t="str">
        <f t="shared" si="283"/>
        <v/>
      </c>
      <c r="AE984" s="6">
        <f t="shared" si="284"/>
        <v>-1</v>
      </c>
      <c r="AF984" s="69" t="str">
        <f t="shared" si="285"/>
        <v/>
      </c>
      <c r="AG984" s="6">
        <f t="shared" si="286"/>
        <v>0</v>
      </c>
      <c r="AH984" s="6">
        <f t="shared" si="287"/>
        <v>604</v>
      </c>
    </row>
    <row r="985" spans="8:34" x14ac:dyDescent="0.25">
      <c r="H985" s="7">
        <v>992</v>
      </c>
      <c r="I985" s="7" t="s">
        <v>14</v>
      </c>
      <c r="J985" s="8">
        <v>38672</v>
      </c>
      <c r="K985" s="12" t="s">
        <v>16</v>
      </c>
      <c r="L985" s="9">
        <v>34</v>
      </c>
      <c r="M985" s="10">
        <v>104.57917159926555</v>
      </c>
      <c r="N985" s="7" t="s">
        <v>23</v>
      </c>
      <c r="P985" s="29" t="str">
        <f t="shared" si="270"/>
        <v/>
      </c>
      <c r="Q985" s="29" t="str">
        <f t="shared" si="271"/>
        <v/>
      </c>
      <c r="R985" s="29" t="str">
        <f t="shared" si="272"/>
        <v/>
      </c>
      <c r="S985" s="29" t="str">
        <f t="shared" si="273"/>
        <v/>
      </c>
      <c r="T985" s="32">
        <f t="shared" si="274"/>
        <v>1</v>
      </c>
      <c r="U985" s="32">
        <f t="shared" si="277"/>
        <v>1</v>
      </c>
      <c r="V985" s="32" t="str">
        <f t="shared" si="278"/>
        <v/>
      </c>
      <c r="W985" s="41">
        <f t="shared" si="275"/>
        <v>3.0758579882136927</v>
      </c>
      <c r="X985" s="6">
        <f t="shared" si="276"/>
        <v>104.57917159926555</v>
      </c>
      <c r="Y985" s="7">
        <f t="shared" si="279"/>
        <v>349</v>
      </c>
      <c r="AA985" s="7">
        <f t="shared" si="280"/>
        <v>0</v>
      </c>
      <c r="AB985" s="7" t="str">
        <f t="shared" si="281"/>
        <v/>
      </c>
      <c r="AC985" s="7">
        <f t="shared" si="282"/>
        <v>1</v>
      </c>
      <c r="AD985" s="7">
        <f t="shared" si="283"/>
        <v>34</v>
      </c>
      <c r="AE985" s="6">
        <f t="shared" si="284"/>
        <v>0</v>
      </c>
      <c r="AF985" s="69">
        <f t="shared" si="285"/>
        <v>3.0758579882136927</v>
      </c>
      <c r="AG985" s="6">
        <f t="shared" si="286"/>
        <v>0</v>
      </c>
      <c r="AH985" s="6">
        <f t="shared" si="287"/>
        <v>604</v>
      </c>
    </row>
    <row r="986" spans="8:34" x14ac:dyDescent="0.25">
      <c r="H986" s="7">
        <v>993</v>
      </c>
      <c r="I986" s="7" t="s">
        <v>10</v>
      </c>
      <c r="J986" s="8">
        <v>38078</v>
      </c>
      <c r="K986" s="12" t="s">
        <v>17</v>
      </c>
      <c r="L986" s="9">
        <v>30</v>
      </c>
      <c r="M986" s="10">
        <v>91.71732531853138</v>
      </c>
      <c r="N986" s="7" t="s">
        <v>23</v>
      </c>
      <c r="P986" s="29" t="str">
        <f t="shared" si="270"/>
        <v/>
      </c>
      <c r="Q986" s="29">
        <f t="shared" si="271"/>
        <v>1</v>
      </c>
      <c r="R986" s="29" t="str">
        <f t="shared" si="272"/>
        <v/>
      </c>
      <c r="S986" s="29" t="str">
        <f t="shared" si="273"/>
        <v/>
      </c>
      <c r="T986" s="32" t="str">
        <f t="shared" si="274"/>
        <v/>
      </c>
      <c r="U986" s="32" t="str">
        <f t="shared" si="277"/>
        <v/>
      </c>
      <c r="V986" s="32" t="str">
        <f t="shared" si="278"/>
        <v/>
      </c>
      <c r="W986" s="41">
        <f t="shared" si="275"/>
        <v>3.0572441772843795</v>
      </c>
      <c r="X986" s="6">
        <f t="shared" si="276"/>
        <v>0</v>
      </c>
      <c r="Y986" s="7">
        <f t="shared" si="279"/>
        <v>567</v>
      </c>
      <c r="AA986" s="7">
        <f t="shared" si="280"/>
        <v>0</v>
      </c>
      <c r="AB986" s="7" t="str">
        <f t="shared" si="281"/>
        <v/>
      </c>
      <c r="AC986" s="7">
        <f t="shared" si="282"/>
        <v>0</v>
      </c>
      <c r="AD986" s="7" t="str">
        <f t="shared" si="283"/>
        <v/>
      </c>
      <c r="AE986" s="6">
        <f t="shared" si="284"/>
        <v>0</v>
      </c>
      <c r="AF986" s="69">
        <f t="shared" si="285"/>
        <v>3.0572441772843795</v>
      </c>
      <c r="AG986" s="6">
        <f t="shared" si="286"/>
        <v>91.71732531853138</v>
      </c>
      <c r="AH986" s="6">
        <f t="shared" si="287"/>
        <v>398</v>
      </c>
    </row>
    <row r="987" spans="8:34" x14ac:dyDescent="0.25">
      <c r="H987" s="7">
        <v>994</v>
      </c>
      <c r="I987" s="7" t="s">
        <v>11</v>
      </c>
      <c r="J987" s="8">
        <v>38133</v>
      </c>
      <c r="K987" s="12" t="s">
        <v>18</v>
      </c>
      <c r="L987" s="9">
        <v>62</v>
      </c>
      <c r="M987" s="10">
        <v>187.43238539805822</v>
      </c>
      <c r="N987" s="7" t="s">
        <v>21</v>
      </c>
      <c r="P987" s="29" t="str">
        <f t="shared" si="270"/>
        <v/>
      </c>
      <c r="Q987" s="29">
        <f t="shared" si="271"/>
        <v>1</v>
      </c>
      <c r="R987" s="29" t="str">
        <f t="shared" si="272"/>
        <v/>
      </c>
      <c r="S987" s="29" t="str">
        <f t="shared" si="273"/>
        <v/>
      </c>
      <c r="T987" s="32" t="str">
        <f t="shared" si="274"/>
        <v/>
      </c>
      <c r="U987" s="32" t="str">
        <f t="shared" si="277"/>
        <v/>
      </c>
      <c r="V987" s="32" t="str">
        <f t="shared" si="278"/>
        <v/>
      </c>
      <c r="W987" s="41">
        <f t="shared" si="275"/>
        <v>3.0231029902912616</v>
      </c>
      <c r="X987" s="6">
        <f t="shared" si="276"/>
        <v>0</v>
      </c>
      <c r="Y987" s="7">
        <f t="shared" si="279"/>
        <v>567</v>
      </c>
      <c r="AA987" s="7">
        <f t="shared" si="280"/>
        <v>0</v>
      </c>
      <c r="AB987" s="7" t="str">
        <f t="shared" si="281"/>
        <v/>
      </c>
      <c r="AC987" s="7">
        <f t="shared" si="282"/>
        <v>0</v>
      </c>
      <c r="AD987" s="7" t="str">
        <f t="shared" si="283"/>
        <v/>
      </c>
      <c r="AE987" s="6">
        <f t="shared" si="284"/>
        <v>0</v>
      </c>
      <c r="AF987" s="69">
        <f t="shared" si="285"/>
        <v>3.0231029902912616</v>
      </c>
      <c r="AG987" s="6">
        <f t="shared" si="286"/>
        <v>187.43238539805822</v>
      </c>
      <c r="AH987" s="6">
        <f t="shared" si="287"/>
        <v>209</v>
      </c>
    </row>
    <row r="988" spans="8:34" x14ac:dyDescent="0.25">
      <c r="H988" s="7">
        <v>995</v>
      </c>
      <c r="I988" s="7" t="s">
        <v>7</v>
      </c>
      <c r="J988" s="8">
        <v>38760</v>
      </c>
      <c r="K988" s="12" t="s">
        <v>17</v>
      </c>
      <c r="L988" s="9">
        <v>24</v>
      </c>
      <c r="M988" s="10">
        <v>74.211669903196139</v>
      </c>
      <c r="N988" s="7" t="s">
        <v>24</v>
      </c>
      <c r="P988" s="29" t="str">
        <f t="shared" si="270"/>
        <v/>
      </c>
      <c r="Q988" s="29" t="str">
        <f t="shared" si="271"/>
        <v/>
      </c>
      <c r="R988" s="29" t="str">
        <f t="shared" si="272"/>
        <v/>
      </c>
      <c r="S988" s="29" t="str">
        <f t="shared" si="273"/>
        <v/>
      </c>
      <c r="T988" s="32" t="str">
        <f t="shared" si="274"/>
        <v/>
      </c>
      <c r="U988" s="32" t="str">
        <f t="shared" si="277"/>
        <v/>
      </c>
      <c r="V988" s="32">
        <f t="shared" si="278"/>
        <v>1</v>
      </c>
      <c r="W988" s="41">
        <f t="shared" si="275"/>
        <v>3.0921529126331726</v>
      </c>
      <c r="X988" s="6">
        <f t="shared" si="276"/>
        <v>0</v>
      </c>
      <c r="Y988" s="7">
        <f t="shared" si="279"/>
        <v>567</v>
      </c>
      <c r="AA988" s="7">
        <f t="shared" si="280"/>
        <v>0</v>
      </c>
      <c r="AB988" s="7" t="str">
        <f t="shared" si="281"/>
        <v/>
      </c>
      <c r="AC988" s="7">
        <f t="shared" si="282"/>
        <v>0</v>
      </c>
      <c r="AD988" s="7" t="str">
        <f t="shared" si="283"/>
        <v/>
      </c>
      <c r="AE988" s="6">
        <f t="shared" si="284"/>
        <v>0</v>
      </c>
      <c r="AF988" s="69">
        <f t="shared" si="285"/>
        <v>3.0921529126331726</v>
      </c>
      <c r="AG988" s="6">
        <f t="shared" si="286"/>
        <v>0</v>
      </c>
      <c r="AH988" s="6">
        <f t="shared" si="287"/>
        <v>604</v>
      </c>
    </row>
    <row r="989" spans="8:34" x14ac:dyDescent="0.25">
      <c r="H989" s="7">
        <v>996</v>
      </c>
      <c r="I989" s="7" t="s">
        <v>11</v>
      </c>
      <c r="J989" s="8">
        <v>38243</v>
      </c>
      <c r="K989" s="12" t="s">
        <v>16</v>
      </c>
      <c r="L989" s="9">
        <v>4</v>
      </c>
      <c r="M989" s="10">
        <v>13.654188955553082</v>
      </c>
      <c r="N989" s="7" t="s">
        <v>23</v>
      </c>
      <c r="P989" s="29" t="str">
        <f t="shared" si="270"/>
        <v/>
      </c>
      <c r="Q989" s="29" t="str">
        <f t="shared" si="271"/>
        <v/>
      </c>
      <c r="R989" s="29">
        <f t="shared" si="272"/>
        <v>1</v>
      </c>
      <c r="S989" s="29" t="str">
        <f t="shared" si="273"/>
        <v/>
      </c>
      <c r="T989" s="32" t="str">
        <f t="shared" si="274"/>
        <v/>
      </c>
      <c r="U989" s="32" t="str">
        <f t="shared" si="277"/>
        <v/>
      </c>
      <c r="V989" s="32" t="str">
        <f t="shared" si="278"/>
        <v/>
      </c>
      <c r="W989" s="41">
        <f t="shared" si="275"/>
        <v>3.4135472388882704</v>
      </c>
      <c r="X989" s="6">
        <f t="shared" si="276"/>
        <v>0</v>
      </c>
      <c r="Y989" s="7">
        <f t="shared" si="279"/>
        <v>567</v>
      </c>
      <c r="AA989" s="7">
        <f t="shared" si="280"/>
        <v>0</v>
      </c>
      <c r="AB989" s="7" t="str">
        <f t="shared" si="281"/>
        <v/>
      </c>
      <c r="AC989" s="7">
        <f t="shared" si="282"/>
        <v>0</v>
      </c>
      <c r="AD989" s="7" t="str">
        <f t="shared" si="283"/>
        <v/>
      </c>
      <c r="AE989" s="6">
        <f t="shared" si="284"/>
        <v>0</v>
      </c>
      <c r="AF989" s="69">
        <f t="shared" si="285"/>
        <v>3.4135472388882704</v>
      </c>
      <c r="AG989" s="6">
        <f t="shared" si="286"/>
        <v>13.654188955553082</v>
      </c>
      <c r="AH989" s="6">
        <f t="shared" si="287"/>
        <v>580</v>
      </c>
    </row>
    <row r="990" spans="8:34" x14ac:dyDescent="0.25">
      <c r="H990" s="7">
        <v>997</v>
      </c>
      <c r="I990" s="7" t="s">
        <v>13</v>
      </c>
      <c r="J990" s="8">
        <v>38144</v>
      </c>
      <c r="K990" s="12" t="s">
        <v>17</v>
      </c>
      <c r="L990" s="9">
        <v>88</v>
      </c>
      <c r="M990" s="10">
        <v>265.2916292071763</v>
      </c>
      <c r="N990" s="7" t="s">
        <v>23</v>
      </c>
      <c r="P990" s="29" t="str">
        <f t="shared" si="270"/>
        <v/>
      </c>
      <c r="Q990" s="29">
        <f t="shared" si="271"/>
        <v>1</v>
      </c>
      <c r="R990" s="29" t="str">
        <f t="shared" si="272"/>
        <v/>
      </c>
      <c r="S990" s="29" t="str">
        <f t="shared" si="273"/>
        <v/>
      </c>
      <c r="T990" s="32" t="str">
        <f t="shared" si="274"/>
        <v/>
      </c>
      <c r="U990" s="32" t="str">
        <f t="shared" si="277"/>
        <v/>
      </c>
      <c r="V990" s="32" t="str">
        <f t="shared" si="278"/>
        <v/>
      </c>
      <c r="W990" s="41">
        <f t="shared" si="275"/>
        <v>3.0146776046270034</v>
      </c>
      <c r="X990" s="6">
        <f t="shared" si="276"/>
        <v>0</v>
      </c>
      <c r="Y990" s="7">
        <f t="shared" si="279"/>
        <v>567</v>
      </c>
      <c r="AA990" s="7">
        <f t="shared" si="280"/>
        <v>0</v>
      </c>
      <c r="AB990" s="7" t="str">
        <f t="shared" si="281"/>
        <v/>
      </c>
      <c r="AC990" s="7">
        <f t="shared" si="282"/>
        <v>0</v>
      </c>
      <c r="AD990" s="7" t="str">
        <f t="shared" si="283"/>
        <v/>
      </c>
      <c r="AE990" s="6">
        <f t="shared" si="284"/>
        <v>0</v>
      </c>
      <c r="AF990" s="69">
        <f t="shared" si="285"/>
        <v>3.0146776046270034</v>
      </c>
      <c r="AG990" s="6">
        <f t="shared" si="286"/>
        <v>265.2916292071763</v>
      </c>
      <c r="AH990" s="6">
        <f t="shared" si="287"/>
        <v>44</v>
      </c>
    </row>
    <row r="991" spans="8:34" x14ac:dyDescent="0.25">
      <c r="H991" s="7">
        <v>998</v>
      </c>
      <c r="I991" s="7" t="s">
        <v>13</v>
      </c>
      <c r="J991" s="8">
        <v>38628</v>
      </c>
      <c r="K991" s="12" t="s">
        <v>16</v>
      </c>
      <c r="L991" s="9">
        <v>78</v>
      </c>
      <c r="M991" s="10">
        <v>235.69356375172592</v>
      </c>
      <c r="N991" s="7" t="s">
        <v>24</v>
      </c>
      <c r="P991" s="29" t="str">
        <f t="shared" si="270"/>
        <v/>
      </c>
      <c r="Q991" s="29" t="str">
        <f t="shared" si="271"/>
        <v/>
      </c>
      <c r="R991" s="29" t="str">
        <f t="shared" si="272"/>
        <v/>
      </c>
      <c r="S991" s="29" t="str">
        <f t="shared" si="273"/>
        <v/>
      </c>
      <c r="T991" s="32">
        <f t="shared" si="274"/>
        <v>1</v>
      </c>
      <c r="U991" s="32">
        <f t="shared" si="277"/>
        <v>1</v>
      </c>
      <c r="V991" s="32" t="str">
        <f t="shared" si="278"/>
        <v/>
      </c>
      <c r="W991" s="41">
        <f t="shared" si="275"/>
        <v>3.0217123557913581</v>
      </c>
      <c r="X991" s="6">
        <f t="shared" si="276"/>
        <v>235.69356375172592</v>
      </c>
      <c r="Y991" s="7">
        <f t="shared" si="279"/>
        <v>115</v>
      </c>
      <c r="AA991" s="7">
        <f t="shared" si="280"/>
        <v>0</v>
      </c>
      <c r="AB991" s="7" t="str">
        <f t="shared" si="281"/>
        <v/>
      </c>
      <c r="AC991" s="7">
        <f t="shared" si="282"/>
        <v>1</v>
      </c>
      <c r="AD991" s="7">
        <f t="shared" si="283"/>
        <v>78</v>
      </c>
      <c r="AE991" s="6">
        <f t="shared" si="284"/>
        <v>0</v>
      </c>
      <c r="AF991" s="69">
        <f t="shared" si="285"/>
        <v>3.0217123557913581</v>
      </c>
      <c r="AG991" s="6">
        <f t="shared" si="286"/>
        <v>0</v>
      </c>
      <c r="AH991" s="6">
        <f t="shared" si="287"/>
        <v>604</v>
      </c>
    </row>
    <row r="992" spans="8:34" x14ac:dyDescent="0.25">
      <c r="H992" s="7">
        <v>999</v>
      </c>
      <c r="I992" s="7" t="s">
        <v>9</v>
      </c>
      <c r="J992" s="8">
        <v>38639</v>
      </c>
      <c r="K992" s="12" t="s">
        <v>16</v>
      </c>
      <c r="L992" s="9">
        <v>82</v>
      </c>
      <c r="M992" s="10">
        <v>248.12045570070282</v>
      </c>
      <c r="N992" s="7" t="s">
        <v>23</v>
      </c>
      <c r="P992" s="29" t="str">
        <f t="shared" si="270"/>
        <v/>
      </c>
      <c r="Q992" s="29" t="str">
        <f t="shared" si="271"/>
        <v/>
      </c>
      <c r="R992" s="29" t="str">
        <f t="shared" si="272"/>
        <v/>
      </c>
      <c r="S992" s="29" t="str">
        <f t="shared" si="273"/>
        <v/>
      </c>
      <c r="T992" s="32">
        <f t="shared" si="274"/>
        <v>1</v>
      </c>
      <c r="U992" s="32">
        <f t="shared" si="277"/>
        <v>1</v>
      </c>
      <c r="V992" s="32" t="str">
        <f t="shared" si="278"/>
        <v/>
      </c>
      <c r="W992" s="41">
        <f t="shared" si="275"/>
        <v>3.0258592158622295</v>
      </c>
      <c r="X992" s="6">
        <f t="shared" si="276"/>
        <v>248.12045570070282</v>
      </c>
      <c r="Y992" s="7">
        <f t="shared" si="279"/>
        <v>86</v>
      </c>
      <c r="AA992" s="7">
        <f t="shared" si="280"/>
        <v>0</v>
      </c>
      <c r="AB992" s="7" t="str">
        <f t="shared" si="281"/>
        <v/>
      </c>
      <c r="AC992" s="7">
        <f t="shared" si="282"/>
        <v>1</v>
      </c>
      <c r="AD992" s="7">
        <f t="shared" si="283"/>
        <v>82</v>
      </c>
      <c r="AE992" s="6">
        <f t="shared" si="284"/>
        <v>0</v>
      </c>
      <c r="AF992" s="69">
        <f t="shared" si="285"/>
        <v>3.0258592158622295</v>
      </c>
      <c r="AG992" s="6">
        <f t="shared" si="286"/>
        <v>0</v>
      </c>
      <c r="AH992" s="6">
        <f t="shared" si="287"/>
        <v>604</v>
      </c>
    </row>
    <row r="993" spans="8:34" x14ac:dyDescent="0.25">
      <c r="H993" s="7">
        <v>1000</v>
      </c>
      <c r="I993" s="7" t="s">
        <v>12</v>
      </c>
      <c r="J993" s="8">
        <v>38485</v>
      </c>
      <c r="K993" s="12" t="s">
        <v>17</v>
      </c>
      <c r="L993" s="9">
        <v>68</v>
      </c>
      <c r="M993" s="10">
        <v>206.8704837754205</v>
      </c>
      <c r="N993" s="7" t="s">
        <v>24</v>
      </c>
      <c r="P993" s="29" t="str">
        <f t="shared" si="270"/>
        <v/>
      </c>
      <c r="Q993" s="29" t="str">
        <f t="shared" si="271"/>
        <v/>
      </c>
      <c r="R993" s="29" t="str">
        <f t="shared" si="272"/>
        <v/>
      </c>
      <c r="S993" s="29" t="str">
        <f t="shared" si="273"/>
        <v/>
      </c>
      <c r="T993" s="32" t="str">
        <f t="shared" si="274"/>
        <v/>
      </c>
      <c r="U993" s="32">
        <f t="shared" si="277"/>
        <v>1</v>
      </c>
      <c r="V993" s="32" t="str">
        <f t="shared" si="278"/>
        <v/>
      </c>
      <c r="W993" s="41">
        <f t="shared" si="275"/>
        <v>3.0422129966973603</v>
      </c>
      <c r="X993" s="6">
        <f t="shared" si="276"/>
        <v>206.8704837754205</v>
      </c>
      <c r="Y993" s="7">
        <f t="shared" si="279"/>
        <v>166</v>
      </c>
      <c r="AA993" s="7">
        <f t="shared" si="280"/>
        <v>0</v>
      </c>
      <c r="AB993" s="7" t="str">
        <f t="shared" si="281"/>
        <v/>
      </c>
      <c r="AC993" s="7">
        <f t="shared" si="282"/>
        <v>1</v>
      </c>
      <c r="AD993" s="7">
        <f t="shared" si="283"/>
        <v>68</v>
      </c>
      <c r="AE993" s="6">
        <f t="shared" si="284"/>
        <v>0</v>
      </c>
      <c r="AF993" s="69">
        <f t="shared" si="285"/>
        <v>3.0422129966973603</v>
      </c>
      <c r="AG993" s="6">
        <f t="shared" si="286"/>
        <v>0</v>
      </c>
      <c r="AH993" s="6">
        <f t="shared" si="287"/>
        <v>604</v>
      </c>
    </row>
    <row r="994" spans="8:34" x14ac:dyDescent="0.25">
      <c r="H994" s="7">
        <v>1001</v>
      </c>
      <c r="I994" s="7" t="s">
        <v>12</v>
      </c>
      <c r="J994" s="8">
        <v>38034</v>
      </c>
      <c r="K994" s="12" t="s">
        <v>18</v>
      </c>
      <c r="L994" s="9">
        <v>20</v>
      </c>
      <c r="M994" s="10">
        <v>61.598286646601295</v>
      </c>
      <c r="N994" s="7" t="s">
        <v>22</v>
      </c>
      <c r="P994" s="29">
        <f t="shared" si="270"/>
        <v>1</v>
      </c>
      <c r="Q994" s="29" t="str">
        <f t="shared" si="271"/>
        <v/>
      </c>
      <c r="R994" s="29" t="str">
        <f t="shared" si="272"/>
        <v/>
      </c>
      <c r="S994" s="29" t="str">
        <f t="shared" si="273"/>
        <v/>
      </c>
      <c r="T994" s="32" t="str">
        <f t="shared" si="274"/>
        <v/>
      </c>
      <c r="U994" s="32" t="str">
        <f t="shared" si="277"/>
        <v/>
      </c>
      <c r="V994" s="32" t="str">
        <f t="shared" si="278"/>
        <v/>
      </c>
      <c r="W994" s="41">
        <f t="shared" si="275"/>
        <v>3.0799143323300648</v>
      </c>
      <c r="X994" s="6">
        <f t="shared" si="276"/>
        <v>0</v>
      </c>
      <c r="Y994" s="7">
        <f t="shared" si="279"/>
        <v>567</v>
      </c>
      <c r="AA994" s="7">
        <f t="shared" si="280"/>
        <v>0</v>
      </c>
      <c r="AB994" s="7" t="str">
        <f t="shared" si="281"/>
        <v/>
      </c>
      <c r="AC994" s="7">
        <f t="shared" si="282"/>
        <v>0</v>
      </c>
      <c r="AD994" s="7" t="str">
        <f t="shared" si="283"/>
        <v/>
      </c>
      <c r="AE994" s="6">
        <f t="shared" si="284"/>
        <v>0</v>
      </c>
      <c r="AF994" s="69">
        <f t="shared" si="285"/>
        <v>3.0799143323300648</v>
      </c>
      <c r="AG994" s="6">
        <f t="shared" si="286"/>
        <v>61.598286646601295</v>
      </c>
      <c r="AH994" s="6">
        <f t="shared" si="287"/>
        <v>463</v>
      </c>
    </row>
    <row r="995" spans="8:34" x14ac:dyDescent="0.25">
      <c r="H995" s="7">
        <v>1002</v>
      </c>
      <c r="I995" s="7" t="s">
        <v>11</v>
      </c>
      <c r="J995" s="8">
        <v>38265</v>
      </c>
      <c r="K995" s="12" t="s">
        <v>17</v>
      </c>
      <c r="L995" s="9">
        <v>-10</v>
      </c>
      <c r="M995" s="10">
        <v>-28.326133240637468</v>
      </c>
      <c r="N995" s="7" t="s">
        <v>21</v>
      </c>
      <c r="P995" s="29" t="str">
        <f t="shared" si="270"/>
        <v/>
      </c>
      <c r="Q995" s="29" t="str">
        <f t="shared" si="271"/>
        <v/>
      </c>
      <c r="R995" s="29" t="str">
        <f t="shared" si="272"/>
        <v/>
      </c>
      <c r="S995" s="29">
        <f t="shared" si="273"/>
        <v>1</v>
      </c>
      <c r="T995" s="32" t="str">
        <f t="shared" si="274"/>
        <v/>
      </c>
      <c r="U995" s="32" t="str">
        <f t="shared" si="277"/>
        <v/>
      </c>
      <c r="V995" s="32" t="str">
        <f t="shared" si="278"/>
        <v/>
      </c>
      <c r="W995" s="41" t="str">
        <f t="shared" si="275"/>
        <v/>
      </c>
      <c r="X995" s="6">
        <f t="shared" si="276"/>
        <v>0</v>
      </c>
      <c r="Y995" s="7">
        <f t="shared" si="279"/>
        <v>567</v>
      </c>
      <c r="AA995" s="7">
        <f t="shared" si="280"/>
        <v>0</v>
      </c>
      <c r="AB995" s="7" t="str">
        <f t="shared" si="281"/>
        <v/>
      </c>
      <c r="AC995" s="7">
        <f t="shared" si="282"/>
        <v>0</v>
      </c>
      <c r="AD995" s="7" t="str">
        <f t="shared" si="283"/>
        <v/>
      </c>
      <c r="AE995" s="6">
        <f t="shared" si="284"/>
        <v>-10</v>
      </c>
      <c r="AF995" s="69" t="str">
        <f t="shared" si="285"/>
        <v/>
      </c>
      <c r="AG995" s="6">
        <f t="shared" si="286"/>
        <v>0</v>
      </c>
      <c r="AH995" s="6">
        <f t="shared" si="287"/>
        <v>604</v>
      </c>
    </row>
    <row r="996" spans="8:34" x14ac:dyDescent="0.25">
      <c r="H996" s="7">
        <v>1003</v>
      </c>
      <c r="I996" s="7" t="s">
        <v>10</v>
      </c>
      <c r="J996" s="8">
        <v>38254</v>
      </c>
      <c r="K996" s="12" t="s">
        <v>16</v>
      </c>
      <c r="L996" s="9">
        <v>94</v>
      </c>
      <c r="M996" s="10">
        <v>283.987112843305</v>
      </c>
      <c r="N996" s="7" t="s">
        <v>21</v>
      </c>
      <c r="P996" s="29" t="str">
        <f t="shared" si="270"/>
        <v/>
      </c>
      <c r="Q996" s="29" t="str">
        <f t="shared" si="271"/>
        <v/>
      </c>
      <c r="R996" s="29">
        <f t="shared" si="272"/>
        <v>1</v>
      </c>
      <c r="S996" s="29" t="str">
        <f t="shared" si="273"/>
        <v/>
      </c>
      <c r="T996" s="32" t="str">
        <f t="shared" si="274"/>
        <v/>
      </c>
      <c r="U996" s="32" t="str">
        <f t="shared" si="277"/>
        <v/>
      </c>
      <c r="V996" s="32" t="str">
        <f t="shared" si="278"/>
        <v/>
      </c>
      <c r="W996" s="41">
        <f t="shared" si="275"/>
        <v>3.021139498333032</v>
      </c>
      <c r="X996" s="6">
        <f t="shared" si="276"/>
        <v>0</v>
      </c>
      <c r="Y996" s="7">
        <f t="shared" si="279"/>
        <v>567</v>
      </c>
      <c r="AA996" s="7">
        <f t="shared" si="280"/>
        <v>0</v>
      </c>
      <c r="AB996" s="7" t="str">
        <f t="shared" si="281"/>
        <v/>
      </c>
      <c r="AC996" s="7">
        <f t="shared" si="282"/>
        <v>0</v>
      </c>
      <c r="AD996" s="7" t="str">
        <f t="shared" si="283"/>
        <v/>
      </c>
      <c r="AE996" s="6">
        <f t="shared" si="284"/>
        <v>0</v>
      </c>
      <c r="AF996" s="69">
        <f t="shared" si="285"/>
        <v>3.021139498333032</v>
      </c>
      <c r="AG996" s="6">
        <f t="shared" si="286"/>
        <v>283.987112843305</v>
      </c>
      <c r="AH996" s="6">
        <f t="shared" si="287"/>
        <v>8</v>
      </c>
    </row>
    <row r="997" spans="8:34" x14ac:dyDescent="0.25">
      <c r="H997" s="7">
        <v>1004</v>
      </c>
      <c r="I997" s="7" t="s">
        <v>10</v>
      </c>
      <c r="J997" s="8">
        <v>38815</v>
      </c>
      <c r="K997" s="12" t="s">
        <v>18</v>
      </c>
      <c r="L997" s="9">
        <v>62</v>
      </c>
      <c r="M997" s="10">
        <v>188.00253303300292</v>
      </c>
      <c r="N997" s="7" t="s">
        <v>24</v>
      </c>
      <c r="P997" s="29" t="str">
        <f t="shared" si="270"/>
        <v/>
      </c>
      <c r="Q997" s="29" t="str">
        <f t="shared" si="271"/>
        <v/>
      </c>
      <c r="R997" s="29" t="str">
        <f t="shared" si="272"/>
        <v/>
      </c>
      <c r="S997" s="29" t="str">
        <f t="shared" si="273"/>
        <v/>
      </c>
      <c r="T997" s="32" t="str">
        <f t="shared" si="274"/>
        <v/>
      </c>
      <c r="U997" s="32" t="str">
        <f t="shared" si="277"/>
        <v/>
      </c>
      <c r="V997" s="32">
        <f t="shared" si="278"/>
        <v>1</v>
      </c>
      <c r="W997" s="41">
        <f t="shared" si="275"/>
        <v>3.0322989198871437</v>
      </c>
      <c r="X997" s="6">
        <f t="shared" si="276"/>
        <v>0</v>
      </c>
      <c r="Y997" s="7">
        <f t="shared" si="279"/>
        <v>567</v>
      </c>
      <c r="AA997" s="7">
        <f t="shared" si="280"/>
        <v>0</v>
      </c>
      <c r="AB997" s="7" t="str">
        <f t="shared" si="281"/>
        <v/>
      </c>
      <c r="AC997" s="7">
        <f t="shared" si="282"/>
        <v>0</v>
      </c>
      <c r="AD997" s="7" t="str">
        <f t="shared" si="283"/>
        <v/>
      </c>
      <c r="AE997" s="6">
        <f t="shared" si="284"/>
        <v>0</v>
      </c>
      <c r="AF997" s="69">
        <f t="shared" si="285"/>
        <v>3.0322989198871437</v>
      </c>
      <c r="AG997" s="6">
        <f t="shared" si="286"/>
        <v>0</v>
      </c>
      <c r="AH997" s="6">
        <f t="shared" si="287"/>
        <v>604</v>
      </c>
    </row>
    <row r="998" spans="8:34" x14ac:dyDescent="0.25">
      <c r="H998" s="7">
        <v>1005</v>
      </c>
      <c r="I998" s="7" t="s">
        <v>13</v>
      </c>
      <c r="J998" s="8">
        <v>38177</v>
      </c>
      <c r="K998" s="12" t="s">
        <v>20</v>
      </c>
      <c r="L998" s="9">
        <v>71</v>
      </c>
      <c r="M998" s="10">
        <v>215.02251352159234</v>
      </c>
      <c r="N998" s="7" t="s">
        <v>23</v>
      </c>
      <c r="P998" s="29" t="str">
        <f t="shared" si="270"/>
        <v/>
      </c>
      <c r="Q998" s="29" t="str">
        <f t="shared" si="271"/>
        <v/>
      </c>
      <c r="R998" s="29">
        <f t="shared" si="272"/>
        <v>1</v>
      </c>
      <c r="S998" s="29" t="str">
        <f t="shared" si="273"/>
        <v/>
      </c>
      <c r="T998" s="32" t="str">
        <f t="shared" si="274"/>
        <v/>
      </c>
      <c r="U998" s="32" t="str">
        <f t="shared" si="277"/>
        <v/>
      </c>
      <c r="V998" s="32" t="str">
        <f t="shared" si="278"/>
        <v/>
      </c>
      <c r="W998" s="41">
        <f t="shared" si="275"/>
        <v>3.0284861059379202</v>
      </c>
      <c r="X998" s="6">
        <f t="shared" si="276"/>
        <v>0</v>
      </c>
      <c r="Y998" s="7">
        <f t="shared" si="279"/>
        <v>567</v>
      </c>
      <c r="AA998" s="7">
        <f t="shared" si="280"/>
        <v>0</v>
      </c>
      <c r="AB998" s="7" t="str">
        <f t="shared" si="281"/>
        <v/>
      </c>
      <c r="AC998" s="7">
        <f t="shared" si="282"/>
        <v>0</v>
      </c>
      <c r="AD998" s="7" t="str">
        <f t="shared" si="283"/>
        <v/>
      </c>
      <c r="AE998" s="6">
        <f t="shared" si="284"/>
        <v>0</v>
      </c>
      <c r="AF998" s="69">
        <f t="shared" si="285"/>
        <v>3.0284861059379202</v>
      </c>
      <c r="AG998" s="6">
        <f t="shared" si="286"/>
        <v>215.02251352159234</v>
      </c>
      <c r="AH998" s="6">
        <f t="shared" si="287"/>
        <v>147</v>
      </c>
    </row>
    <row r="999" spans="8:34" x14ac:dyDescent="0.25">
      <c r="H999" s="7">
        <v>1006</v>
      </c>
      <c r="I999" s="7" t="s">
        <v>9</v>
      </c>
      <c r="J999" s="8">
        <v>38067</v>
      </c>
      <c r="K999" s="12" t="s">
        <v>19</v>
      </c>
      <c r="L999" s="9">
        <v>70</v>
      </c>
      <c r="M999" s="10">
        <v>211.5224440500217</v>
      </c>
      <c r="N999" s="7" t="s">
        <v>23</v>
      </c>
      <c r="P999" s="29">
        <f t="shared" si="270"/>
        <v>1</v>
      </c>
      <c r="Q999" s="29" t="str">
        <f t="shared" si="271"/>
        <v/>
      </c>
      <c r="R999" s="29" t="str">
        <f t="shared" si="272"/>
        <v/>
      </c>
      <c r="S999" s="29" t="str">
        <f t="shared" si="273"/>
        <v/>
      </c>
      <c r="T999" s="32" t="str">
        <f t="shared" si="274"/>
        <v/>
      </c>
      <c r="U999" s="32" t="str">
        <f t="shared" si="277"/>
        <v/>
      </c>
      <c r="V999" s="32" t="str">
        <f t="shared" si="278"/>
        <v/>
      </c>
      <c r="W999" s="41">
        <f t="shared" si="275"/>
        <v>3.0217492007145959</v>
      </c>
      <c r="X999" s="6">
        <f t="shared" si="276"/>
        <v>0</v>
      </c>
      <c r="Y999" s="7">
        <f t="shared" si="279"/>
        <v>567</v>
      </c>
      <c r="AA999" s="7">
        <f t="shared" si="280"/>
        <v>0</v>
      </c>
      <c r="AB999" s="7" t="str">
        <f t="shared" si="281"/>
        <v/>
      </c>
      <c r="AC999" s="7">
        <f t="shared" si="282"/>
        <v>0</v>
      </c>
      <c r="AD999" s="7" t="str">
        <f t="shared" si="283"/>
        <v/>
      </c>
      <c r="AE999" s="6">
        <f t="shared" si="284"/>
        <v>0</v>
      </c>
      <c r="AF999" s="69">
        <f t="shared" si="285"/>
        <v>3.0217492007145959</v>
      </c>
      <c r="AG999" s="6">
        <f t="shared" si="286"/>
        <v>211.5224440500217</v>
      </c>
      <c r="AH999" s="6">
        <f t="shared" si="287"/>
        <v>155</v>
      </c>
    </row>
    <row r="1000" spans="8:34" x14ac:dyDescent="0.25">
      <c r="H1000" s="7">
        <v>1007</v>
      </c>
      <c r="I1000" s="7" t="s">
        <v>15</v>
      </c>
      <c r="J1000" s="8">
        <v>38089</v>
      </c>
      <c r="K1000" s="12" t="s">
        <v>18</v>
      </c>
      <c r="L1000" s="9">
        <v>17</v>
      </c>
      <c r="M1000" s="10">
        <v>52.007206372460615</v>
      </c>
      <c r="N1000" s="7" t="s">
        <v>24</v>
      </c>
      <c r="P1000" s="29" t="str">
        <f t="shared" si="270"/>
        <v/>
      </c>
      <c r="Q1000" s="29">
        <f t="shared" si="271"/>
        <v>1</v>
      </c>
      <c r="R1000" s="29" t="str">
        <f t="shared" si="272"/>
        <v/>
      </c>
      <c r="S1000" s="29" t="str">
        <f t="shared" si="273"/>
        <v/>
      </c>
      <c r="T1000" s="32" t="str">
        <f t="shared" si="274"/>
        <v/>
      </c>
      <c r="U1000" s="32" t="str">
        <f t="shared" si="277"/>
        <v/>
      </c>
      <c r="V1000" s="32" t="str">
        <f t="shared" si="278"/>
        <v/>
      </c>
      <c r="W1000" s="41">
        <f t="shared" si="275"/>
        <v>3.059247433674154</v>
      </c>
      <c r="X1000" s="6">
        <f t="shared" si="276"/>
        <v>0</v>
      </c>
      <c r="Y1000" s="7">
        <f t="shared" si="279"/>
        <v>567</v>
      </c>
      <c r="AA1000" s="7">
        <f t="shared" si="280"/>
        <v>0</v>
      </c>
      <c r="AB1000" s="7" t="str">
        <f t="shared" si="281"/>
        <v/>
      </c>
      <c r="AC1000" s="7">
        <f t="shared" si="282"/>
        <v>0</v>
      </c>
      <c r="AD1000" s="7" t="str">
        <f t="shared" si="283"/>
        <v/>
      </c>
      <c r="AE1000" s="6">
        <f t="shared" si="284"/>
        <v>0</v>
      </c>
      <c r="AF1000" s="69">
        <f t="shared" si="285"/>
        <v>3.059247433674154</v>
      </c>
      <c r="AG1000" s="6">
        <f t="shared" si="286"/>
        <v>52.007206372460615</v>
      </c>
      <c r="AH1000" s="6">
        <f t="shared" si="287"/>
        <v>477</v>
      </c>
    </row>
    <row r="1001" spans="8:34" x14ac:dyDescent="0.25">
      <c r="H1001" s="7">
        <v>1008</v>
      </c>
      <c r="I1001" s="7" t="s">
        <v>9</v>
      </c>
      <c r="J1001" s="8">
        <v>38694</v>
      </c>
      <c r="K1001" s="12" t="s">
        <v>16</v>
      </c>
      <c r="L1001" s="9">
        <v>51</v>
      </c>
      <c r="M1001" s="10">
        <v>154.86582287521293</v>
      </c>
      <c r="N1001" s="7" t="s">
        <v>24</v>
      </c>
      <c r="P1001" s="29" t="str">
        <f t="shared" si="270"/>
        <v/>
      </c>
      <c r="Q1001" s="29" t="str">
        <f t="shared" si="271"/>
        <v/>
      </c>
      <c r="R1001" s="29" t="str">
        <f t="shared" si="272"/>
        <v/>
      </c>
      <c r="S1001" s="29" t="str">
        <f t="shared" si="273"/>
        <v/>
      </c>
      <c r="T1001" s="32">
        <f t="shared" si="274"/>
        <v>1</v>
      </c>
      <c r="U1001" s="32">
        <f t="shared" si="277"/>
        <v>1</v>
      </c>
      <c r="V1001" s="32" t="str">
        <f t="shared" si="278"/>
        <v/>
      </c>
      <c r="W1001" s="41">
        <f t="shared" si="275"/>
        <v>3.0365847622590771</v>
      </c>
      <c r="X1001" s="6">
        <f t="shared" si="276"/>
        <v>154.86582287521293</v>
      </c>
      <c r="Y1001" s="7">
        <f t="shared" si="279"/>
        <v>257</v>
      </c>
      <c r="AA1001" s="7">
        <f t="shared" si="280"/>
        <v>0</v>
      </c>
      <c r="AB1001" s="7" t="str">
        <f t="shared" si="281"/>
        <v/>
      </c>
      <c r="AC1001" s="7">
        <f t="shared" si="282"/>
        <v>1</v>
      </c>
      <c r="AD1001" s="7">
        <f t="shared" si="283"/>
        <v>51</v>
      </c>
      <c r="AE1001" s="6">
        <f t="shared" si="284"/>
        <v>0</v>
      </c>
      <c r="AF1001" s="69">
        <f t="shared" si="285"/>
        <v>3.0365847622590771</v>
      </c>
      <c r="AG1001" s="6">
        <f t="shared" si="286"/>
        <v>0</v>
      </c>
      <c r="AH1001" s="6">
        <f t="shared" si="287"/>
        <v>604</v>
      </c>
    </row>
    <row r="1002" spans="8:34" x14ac:dyDescent="0.25">
      <c r="H1002" s="7">
        <v>1009</v>
      </c>
      <c r="I1002" s="7" t="s">
        <v>7</v>
      </c>
      <c r="J1002" s="8">
        <v>38837</v>
      </c>
      <c r="K1002" s="12" t="s">
        <v>20</v>
      </c>
      <c r="L1002" s="9">
        <v>70</v>
      </c>
      <c r="M1002" s="10">
        <v>212.18684363818184</v>
      </c>
      <c r="N1002" s="7" t="s">
        <v>22</v>
      </c>
      <c r="P1002" s="29" t="str">
        <f t="shared" si="270"/>
        <v/>
      </c>
      <c r="Q1002" s="29" t="str">
        <f t="shared" si="271"/>
        <v/>
      </c>
      <c r="R1002" s="29" t="str">
        <f t="shared" si="272"/>
        <v/>
      </c>
      <c r="S1002" s="29" t="str">
        <f t="shared" si="273"/>
        <v/>
      </c>
      <c r="T1002" s="32" t="str">
        <f t="shared" si="274"/>
        <v/>
      </c>
      <c r="U1002" s="32" t="str">
        <f t="shared" si="277"/>
        <v/>
      </c>
      <c r="V1002" s="32">
        <f t="shared" si="278"/>
        <v>1</v>
      </c>
      <c r="W1002" s="41">
        <f t="shared" si="275"/>
        <v>3.0312406234025979</v>
      </c>
      <c r="X1002" s="6">
        <f t="shared" si="276"/>
        <v>0</v>
      </c>
      <c r="Y1002" s="7">
        <f t="shared" si="279"/>
        <v>567</v>
      </c>
      <c r="AA1002" s="7">
        <f t="shared" si="280"/>
        <v>0</v>
      </c>
      <c r="AB1002" s="7" t="str">
        <f t="shared" si="281"/>
        <v/>
      </c>
      <c r="AC1002" s="7">
        <f t="shared" si="282"/>
        <v>0</v>
      </c>
      <c r="AD1002" s="7" t="str">
        <f t="shared" si="283"/>
        <v/>
      </c>
      <c r="AE1002" s="6">
        <f t="shared" si="284"/>
        <v>0</v>
      </c>
      <c r="AF1002" s="69">
        <f t="shared" si="285"/>
        <v>3.0312406234025979</v>
      </c>
      <c r="AG1002" s="6">
        <f t="shared" si="286"/>
        <v>0</v>
      </c>
      <c r="AH1002" s="6">
        <f t="shared" si="287"/>
        <v>604</v>
      </c>
    </row>
    <row r="1003" spans="8:34" x14ac:dyDescent="0.25">
      <c r="H1003" s="7">
        <v>1010</v>
      </c>
      <c r="I1003" s="7" t="s">
        <v>10</v>
      </c>
      <c r="J1003" s="8">
        <v>38892</v>
      </c>
      <c r="K1003" s="12" t="s">
        <v>16</v>
      </c>
      <c r="L1003" s="9">
        <v>94</v>
      </c>
      <c r="M1003" s="10">
        <v>283.91906780587465</v>
      </c>
      <c r="N1003" s="7" t="s">
        <v>23</v>
      </c>
      <c r="P1003" s="29" t="str">
        <f t="shared" si="270"/>
        <v/>
      </c>
      <c r="Q1003" s="29" t="str">
        <f t="shared" si="271"/>
        <v/>
      </c>
      <c r="R1003" s="29" t="str">
        <f t="shared" si="272"/>
        <v/>
      </c>
      <c r="S1003" s="29" t="str">
        <f t="shared" si="273"/>
        <v/>
      </c>
      <c r="T1003" s="32" t="str">
        <f t="shared" si="274"/>
        <v/>
      </c>
      <c r="U1003" s="32" t="str">
        <f t="shared" si="277"/>
        <v/>
      </c>
      <c r="V1003" s="32">
        <f t="shared" si="278"/>
        <v>1</v>
      </c>
      <c r="W1003" s="41">
        <f t="shared" si="275"/>
        <v>3.0204156149561134</v>
      </c>
      <c r="X1003" s="6">
        <f t="shared" si="276"/>
        <v>0</v>
      </c>
      <c r="Y1003" s="7">
        <f t="shared" si="279"/>
        <v>567</v>
      </c>
      <c r="AA1003" s="7">
        <f t="shared" si="280"/>
        <v>0</v>
      </c>
      <c r="AB1003" s="7" t="str">
        <f t="shared" si="281"/>
        <v/>
      </c>
      <c r="AC1003" s="7">
        <f t="shared" si="282"/>
        <v>0</v>
      </c>
      <c r="AD1003" s="7" t="str">
        <f t="shared" si="283"/>
        <v/>
      </c>
      <c r="AE1003" s="6">
        <f t="shared" si="284"/>
        <v>0</v>
      </c>
      <c r="AF1003" s="69">
        <f t="shared" si="285"/>
        <v>3.0204156149561134</v>
      </c>
      <c r="AG1003" s="6">
        <f t="shared" si="286"/>
        <v>0</v>
      </c>
      <c r="AH1003" s="6">
        <f t="shared" si="287"/>
        <v>604</v>
      </c>
    </row>
    <row r="1004" spans="8:34" x14ac:dyDescent="0.25">
      <c r="H1004" s="7">
        <v>1011</v>
      </c>
      <c r="I1004" s="7" t="s">
        <v>11</v>
      </c>
      <c r="J1004" s="8">
        <v>38331</v>
      </c>
      <c r="K1004" s="12" t="s">
        <v>20</v>
      </c>
      <c r="L1004" s="9">
        <v>70</v>
      </c>
      <c r="M1004" s="10">
        <v>211.85016457637715</v>
      </c>
      <c r="N1004" s="7" t="s">
        <v>22</v>
      </c>
      <c r="P1004" s="29" t="str">
        <f t="shared" si="270"/>
        <v/>
      </c>
      <c r="Q1004" s="29" t="str">
        <f t="shared" si="271"/>
        <v/>
      </c>
      <c r="R1004" s="29" t="str">
        <f t="shared" si="272"/>
        <v/>
      </c>
      <c r="S1004" s="29">
        <f t="shared" si="273"/>
        <v>1</v>
      </c>
      <c r="T1004" s="32" t="str">
        <f t="shared" si="274"/>
        <v/>
      </c>
      <c r="U1004" s="32" t="str">
        <f t="shared" si="277"/>
        <v/>
      </c>
      <c r="V1004" s="32" t="str">
        <f t="shared" si="278"/>
        <v/>
      </c>
      <c r="W1004" s="41">
        <f t="shared" si="275"/>
        <v>3.0264309225196735</v>
      </c>
      <c r="X1004" s="6">
        <f t="shared" si="276"/>
        <v>0</v>
      </c>
      <c r="Y1004" s="7">
        <f t="shared" si="279"/>
        <v>567</v>
      </c>
      <c r="AA1004" s="7">
        <f t="shared" si="280"/>
        <v>0</v>
      </c>
      <c r="AB1004" s="7" t="str">
        <f t="shared" si="281"/>
        <v/>
      </c>
      <c r="AC1004" s="7">
        <f t="shared" si="282"/>
        <v>0</v>
      </c>
      <c r="AD1004" s="7" t="str">
        <f t="shared" si="283"/>
        <v/>
      </c>
      <c r="AE1004" s="6">
        <f t="shared" si="284"/>
        <v>0</v>
      </c>
      <c r="AF1004" s="69">
        <f t="shared" si="285"/>
        <v>3.0264309225196735</v>
      </c>
      <c r="AG1004" s="6">
        <f t="shared" si="286"/>
        <v>211.85016457637715</v>
      </c>
      <c r="AH1004" s="6">
        <f t="shared" si="287"/>
        <v>152</v>
      </c>
    </row>
    <row r="1005" spans="8:34" x14ac:dyDescent="0.25">
      <c r="H1005" s="7">
        <v>1012</v>
      </c>
      <c r="I1005" s="7" t="s">
        <v>9</v>
      </c>
      <c r="J1005" s="8">
        <v>38485</v>
      </c>
      <c r="K1005" s="12" t="s">
        <v>17</v>
      </c>
      <c r="L1005" s="9">
        <v>89</v>
      </c>
      <c r="M1005" s="10">
        <v>269.18851021987467</v>
      </c>
      <c r="N1005" s="7" t="s">
        <v>23</v>
      </c>
      <c r="P1005" s="29" t="str">
        <f t="shared" si="270"/>
        <v/>
      </c>
      <c r="Q1005" s="29" t="str">
        <f t="shared" si="271"/>
        <v/>
      </c>
      <c r="R1005" s="29" t="str">
        <f t="shared" si="272"/>
        <v/>
      </c>
      <c r="S1005" s="29" t="str">
        <f t="shared" si="273"/>
        <v/>
      </c>
      <c r="T1005" s="32" t="str">
        <f t="shared" si="274"/>
        <v/>
      </c>
      <c r="U1005" s="32">
        <f t="shared" si="277"/>
        <v>1</v>
      </c>
      <c r="V1005" s="32" t="str">
        <f t="shared" si="278"/>
        <v/>
      </c>
      <c r="W1005" s="41">
        <f t="shared" si="275"/>
        <v>3.0245900024705019</v>
      </c>
      <c r="X1005" s="6">
        <f t="shared" si="276"/>
        <v>269.18851021987467</v>
      </c>
      <c r="Y1005" s="7">
        <f t="shared" si="279"/>
        <v>44</v>
      </c>
      <c r="AA1005" s="7">
        <f t="shared" si="280"/>
        <v>0</v>
      </c>
      <c r="AB1005" s="7" t="str">
        <f t="shared" si="281"/>
        <v/>
      </c>
      <c r="AC1005" s="7">
        <f t="shared" si="282"/>
        <v>1</v>
      </c>
      <c r="AD1005" s="7">
        <f t="shared" si="283"/>
        <v>89</v>
      </c>
      <c r="AE1005" s="6">
        <f t="shared" si="284"/>
        <v>0</v>
      </c>
      <c r="AF1005" s="69">
        <f t="shared" si="285"/>
        <v>3.0245900024705019</v>
      </c>
      <c r="AG1005" s="6">
        <f t="shared" si="286"/>
        <v>0</v>
      </c>
      <c r="AH1005" s="6">
        <f t="shared" si="287"/>
        <v>604</v>
      </c>
    </row>
    <row r="1006" spans="8:34" x14ac:dyDescent="0.25">
      <c r="H1006" s="7">
        <v>1013</v>
      </c>
      <c r="I1006" s="7" t="s">
        <v>11</v>
      </c>
      <c r="J1006" s="8">
        <v>38639</v>
      </c>
      <c r="K1006" s="12" t="s">
        <v>17</v>
      </c>
      <c r="L1006" s="9">
        <v>26</v>
      </c>
      <c r="M1006" s="10">
        <v>79.311492307621293</v>
      </c>
      <c r="N1006" s="7" t="s">
        <v>22</v>
      </c>
      <c r="P1006" s="29" t="str">
        <f t="shared" si="270"/>
        <v/>
      </c>
      <c r="Q1006" s="29" t="str">
        <f t="shared" si="271"/>
        <v/>
      </c>
      <c r="R1006" s="29" t="str">
        <f t="shared" si="272"/>
        <v/>
      </c>
      <c r="S1006" s="29" t="str">
        <f t="shared" si="273"/>
        <v/>
      </c>
      <c r="T1006" s="32">
        <f t="shared" si="274"/>
        <v>1</v>
      </c>
      <c r="U1006" s="32">
        <f t="shared" si="277"/>
        <v>1</v>
      </c>
      <c r="V1006" s="32" t="str">
        <f t="shared" si="278"/>
        <v/>
      </c>
      <c r="W1006" s="41">
        <f t="shared" si="275"/>
        <v>3.050442011831588</v>
      </c>
      <c r="X1006" s="6">
        <f t="shared" si="276"/>
        <v>79.311492307621293</v>
      </c>
      <c r="Y1006" s="7">
        <f t="shared" si="279"/>
        <v>408</v>
      </c>
      <c r="AA1006" s="7">
        <f t="shared" si="280"/>
        <v>0</v>
      </c>
      <c r="AB1006" s="7" t="str">
        <f t="shared" si="281"/>
        <v/>
      </c>
      <c r="AC1006" s="7">
        <f t="shared" si="282"/>
        <v>1</v>
      </c>
      <c r="AD1006" s="7">
        <f t="shared" si="283"/>
        <v>26</v>
      </c>
      <c r="AE1006" s="6">
        <f t="shared" si="284"/>
        <v>0</v>
      </c>
      <c r="AF1006" s="69">
        <f t="shared" si="285"/>
        <v>3.050442011831588</v>
      </c>
      <c r="AG1006" s="6">
        <f t="shared" si="286"/>
        <v>0</v>
      </c>
      <c r="AH1006" s="6">
        <f t="shared" si="287"/>
        <v>604</v>
      </c>
    </row>
    <row r="1007" spans="8:34" x14ac:dyDescent="0.25">
      <c r="H1007" s="7">
        <v>1014</v>
      </c>
      <c r="I1007" s="7" t="s">
        <v>15</v>
      </c>
      <c r="J1007" s="8">
        <v>38694</v>
      </c>
      <c r="K1007" s="12" t="s">
        <v>16</v>
      </c>
      <c r="L1007" s="9">
        <v>8</v>
      </c>
      <c r="M1007" s="10">
        <v>26.096472599703908</v>
      </c>
      <c r="N1007" s="7" t="s">
        <v>22</v>
      </c>
      <c r="P1007" s="29" t="str">
        <f t="shared" si="270"/>
        <v/>
      </c>
      <c r="Q1007" s="29" t="str">
        <f t="shared" si="271"/>
        <v/>
      </c>
      <c r="R1007" s="29" t="str">
        <f t="shared" si="272"/>
        <v/>
      </c>
      <c r="S1007" s="29" t="str">
        <f t="shared" si="273"/>
        <v/>
      </c>
      <c r="T1007" s="32">
        <f t="shared" si="274"/>
        <v>1</v>
      </c>
      <c r="U1007" s="32">
        <f t="shared" si="277"/>
        <v>1</v>
      </c>
      <c r="V1007" s="32" t="str">
        <f t="shared" si="278"/>
        <v/>
      </c>
      <c r="W1007" s="41">
        <f t="shared" si="275"/>
        <v>3.2620590749629885</v>
      </c>
      <c r="X1007" s="6">
        <f t="shared" si="276"/>
        <v>26.096472599703908</v>
      </c>
      <c r="Y1007" s="7">
        <f t="shared" si="279"/>
        <v>511</v>
      </c>
      <c r="AA1007" s="7">
        <f t="shared" si="280"/>
        <v>0</v>
      </c>
      <c r="AB1007" s="7" t="str">
        <f t="shared" si="281"/>
        <v/>
      </c>
      <c r="AC1007" s="7">
        <f t="shared" si="282"/>
        <v>1</v>
      </c>
      <c r="AD1007" s="7">
        <f t="shared" si="283"/>
        <v>8</v>
      </c>
      <c r="AE1007" s="6">
        <f t="shared" si="284"/>
        <v>0</v>
      </c>
      <c r="AF1007" s="69">
        <f t="shared" si="285"/>
        <v>3.2620590749629885</v>
      </c>
      <c r="AG1007" s="6">
        <f t="shared" si="286"/>
        <v>0</v>
      </c>
      <c r="AH1007" s="6">
        <f t="shared" si="287"/>
        <v>604</v>
      </c>
    </row>
    <row r="1008" spans="8:34" x14ac:dyDescent="0.25">
      <c r="H1008" s="7">
        <v>1015</v>
      </c>
      <c r="I1008" s="7" t="s">
        <v>9</v>
      </c>
      <c r="J1008" s="8">
        <v>38749</v>
      </c>
      <c r="K1008" s="12" t="s">
        <v>18</v>
      </c>
      <c r="L1008" s="9">
        <v>8</v>
      </c>
      <c r="M1008" s="10">
        <v>26.08199028619465</v>
      </c>
      <c r="N1008" s="7" t="s">
        <v>22</v>
      </c>
      <c r="P1008" s="29" t="str">
        <f t="shared" si="270"/>
        <v/>
      </c>
      <c r="Q1008" s="29" t="str">
        <f t="shared" si="271"/>
        <v/>
      </c>
      <c r="R1008" s="29" t="str">
        <f t="shared" si="272"/>
        <v/>
      </c>
      <c r="S1008" s="29" t="str">
        <f t="shared" si="273"/>
        <v/>
      </c>
      <c r="T1008" s="32" t="str">
        <f t="shared" si="274"/>
        <v/>
      </c>
      <c r="U1008" s="32" t="str">
        <f t="shared" si="277"/>
        <v/>
      </c>
      <c r="V1008" s="32">
        <f t="shared" si="278"/>
        <v>1</v>
      </c>
      <c r="W1008" s="41">
        <f t="shared" si="275"/>
        <v>3.2602487857743312</v>
      </c>
      <c r="X1008" s="6">
        <f t="shared" si="276"/>
        <v>0</v>
      </c>
      <c r="Y1008" s="7">
        <f t="shared" si="279"/>
        <v>567</v>
      </c>
      <c r="AA1008" s="7">
        <f t="shared" si="280"/>
        <v>0</v>
      </c>
      <c r="AB1008" s="7" t="str">
        <f t="shared" si="281"/>
        <v/>
      </c>
      <c r="AC1008" s="7">
        <f t="shared" si="282"/>
        <v>0</v>
      </c>
      <c r="AD1008" s="7" t="str">
        <f t="shared" si="283"/>
        <v/>
      </c>
      <c r="AE1008" s="6">
        <f t="shared" si="284"/>
        <v>0</v>
      </c>
      <c r="AF1008" s="69">
        <f t="shared" si="285"/>
        <v>3.2602487857743312</v>
      </c>
      <c r="AG1008" s="6">
        <f t="shared" si="286"/>
        <v>0</v>
      </c>
      <c r="AH1008" s="6">
        <f t="shared" si="287"/>
        <v>604</v>
      </c>
    </row>
    <row r="1009" spans="8:34" x14ac:dyDescent="0.25">
      <c r="H1009" s="7">
        <v>1016</v>
      </c>
      <c r="I1009" s="7" t="s">
        <v>15</v>
      </c>
      <c r="J1009" s="8">
        <v>39002</v>
      </c>
      <c r="K1009" s="12" t="s">
        <v>16</v>
      </c>
      <c r="L1009" s="9">
        <v>62</v>
      </c>
      <c r="M1009" s="10">
        <v>187.69110116385426</v>
      </c>
      <c r="N1009" s="7" t="s">
        <v>24</v>
      </c>
      <c r="P1009" s="29" t="str">
        <f t="shared" si="270"/>
        <v/>
      </c>
      <c r="Q1009" s="29" t="str">
        <f t="shared" si="271"/>
        <v/>
      </c>
      <c r="R1009" s="29" t="str">
        <f t="shared" si="272"/>
        <v/>
      </c>
      <c r="S1009" s="29" t="str">
        <f t="shared" si="273"/>
        <v/>
      </c>
      <c r="T1009" s="32" t="str">
        <f t="shared" si="274"/>
        <v/>
      </c>
      <c r="U1009" s="32" t="str">
        <f t="shared" si="277"/>
        <v/>
      </c>
      <c r="V1009" s="32">
        <f t="shared" si="278"/>
        <v>1</v>
      </c>
      <c r="W1009" s="41">
        <f t="shared" si="275"/>
        <v>3.0272758252234557</v>
      </c>
      <c r="X1009" s="6">
        <f t="shared" si="276"/>
        <v>0</v>
      </c>
      <c r="Y1009" s="7">
        <f t="shared" si="279"/>
        <v>567</v>
      </c>
      <c r="AA1009" s="7">
        <f t="shared" si="280"/>
        <v>0</v>
      </c>
      <c r="AB1009" s="7" t="str">
        <f t="shared" si="281"/>
        <v/>
      </c>
      <c r="AC1009" s="7">
        <f t="shared" si="282"/>
        <v>0</v>
      </c>
      <c r="AD1009" s="7" t="str">
        <f t="shared" si="283"/>
        <v/>
      </c>
      <c r="AE1009" s="6">
        <f t="shared" si="284"/>
        <v>0</v>
      </c>
      <c r="AF1009" s="69">
        <f t="shared" si="285"/>
        <v>3.0272758252234557</v>
      </c>
      <c r="AG1009" s="6">
        <f t="shared" si="286"/>
        <v>0</v>
      </c>
      <c r="AH1009" s="6">
        <f t="shared" si="287"/>
        <v>604</v>
      </c>
    </row>
    <row r="1010" spans="8:34" x14ac:dyDescent="0.25">
      <c r="H1010" s="7">
        <v>1017</v>
      </c>
      <c r="I1010" s="7" t="s">
        <v>14</v>
      </c>
      <c r="J1010" s="8">
        <v>38947</v>
      </c>
      <c r="K1010" s="12" t="s">
        <v>16</v>
      </c>
      <c r="L1010" s="9">
        <v>-9</v>
      </c>
      <c r="M1010" s="10">
        <v>-24.819632815121537</v>
      </c>
      <c r="N1010" s="7" t="s">
        <v>21</v>
      </c>
      <c r="P1010" s="29" t="str">
        <f t="shared" si="270"/>
        <v/>
      </c>
      <c r="Q1010" s="29" t="str">
        <f t="shared" si="271"/>
        <v/>
      </c>
      <c r="R1010" s="29" t="str">
        <f t="shared" si="272"/>
        <v/>
      </c>
      <c r="S1010" s="29" t="str">
        <f t="shared" si="273"/>
        <v/>
      </c>
      <c r="T1010" s="32" t="str">
        <f t="shared" si="274"/>
        <v/>
      </c>
      <c r="U1010" s="32" t="str">
        <f t="shared" si="277"/>
        <v/>
      </c>
      <c r="V1010" s="32">
        <f t="shared" si="278"/>
        <v>1</v>
      </c>
      <c r="W1010" s="41" t="str">
        <f t="shared" si="275"/>
        <v/>
      </c>
      <c r="X1010" s="6">
        <f t="shared" si="276"/>
        <v>0</v>
      </c>
      <c r="Y1010" s="7">
        <f t="shared" si="279"/>
        <v>567</v>
      </c>
      <c r="AA1010" s="7">
        <f t="shared" si="280"/>
        <v>0</v>
      </c>
      <c r="AB1010" s="7" t="str">
        <f t="shared" si="281"/>
        <v/>
      </c>
      <c r="AC1010" s="7">
        <f t="shared" si="282"/>
        <v>0</v>
      </c>
      <c r="AD1010" s="7" t="str">
        <f t="shared" si="283"/>
        <v/>
      </c>
      <c r="AE1010" s="6">
        <f t="shared" si="284"/>
        <v>-9</v>
      </c>
      <c r="AF1010" s="69" t="str">
        <f t="shared" si="285"/>
        <v/>
      </c>
      <c r="AG1010" s="6">
        <f t="shared" si="286"/>
        <v>0</v>
      </c>
      <c r="AH1010" s="6">
        <f t="shared" si="287"/>
        <v>604</v>
      </c>
    </row>
    <row r="1011" spans="8:34" x14ac:dyDescent="0.25">
      <c r="H1011" s="7">
        <v>1018</v>
      </c>
      <c r="I1011" s="7" t="s">
        <v>10</v>
      </c>
      <c r="J1011" s="8">
        <v>38221</v>
      </c>
      <c r="K1011" s="12" t="s">
        <v>18</v>
      </c>
      <c r="L1011" s="9">
        <v>55</v>
      </c>
      <c r="M1011" s="10">
        <v>166.81971361139639</v>
      </c>
      <c r="N1011" s="7" t="s">
        <v>24</v>
      </c>
      <c r="P1011" s="29" t="str">
        <f t="shared" si="270"/>
        <v/>
      </c>
      <c r="Q1011" s="29" t="str">
        <f t="shared" si="271"/>
        <v/>
      </c>
      <c r="R1011" s="29">
        <f t="shared" si="272"/>
        <v>1</v>
      </c>
      <c r="S1011" s="29" t="str">
        <f t="shared" si="273"/>
        <v/>
      </c>
      <c r="T1011" s="32" t="str">
        <f t="shared" si="274"/>
        <v/>
      </c>
      <c r="U1011" s="32" t="str">
        <f t="shared" si="277"/>
        <v/>
      </c>
      <c r="V1011" s="32" t="str">
        <f t="shared" si="278"/>
        <v/>
      </c>
      <c r="W1011" s="41">
        <f t="shared" si="275"/>
        <v>3.0330857020253892</v>
      </c>
      <c r="X1011" s="6">
        <f t="shared" si="276"/>
        <v>0</v>
      </c>
      <c r="Y1011" s="7">
        <f t="shared" si="279"/>
        <v>567</v>
      </c>
      <c r="AA1011" s="7">
        <f t="shared" si="280"/>
        <v>0</v>
      </c>
      <c r="AB1011" s="7" t="str">
        <f t="shared" si="281"/>
        <v/>
      </c>
      <c r="AC1011" s="7">
        <f t="shared" si="282"/>
        <v>0</v>
      </c>
      <c r="AD1011" s="7" t="str">
        <f t="shared" si="283"/>
        <v/>
      </c>
      <c r="AE1011" s="6">
        <f t="shared" si="284"/>
        <v>0</v>
      </c>
      <c r="AF1011" s="69">
        <f t="shared" si="285"/>
        <v>3.0330857020253892</v>
      </c>
      <c r="AG1011" s="6">
        <f t="shared" si="286"/>
        <v>166.81971361139639</v>
      </c>
      <c r="AH1011" s="6">
        <f t="shared" si="287"/>
        <v>249</v>
      </c>
    </row>
    <row r="1012" spans="8:34" x14ac:dyDescent="0.25">
      <c r="H1012" s="7">
        <v>1019</v>
      </c>
      <c r="I1012" s="7" t="s">
        <v>8</v>
      </c>
      <c r="J1012" s="8">
        <v>38232</v>
      </c>
      <c r="K1012" s="12" t="s">
        <v>19</v>
      </c>
      <c r="L1012" s="9">
        <v>71</v>
      </c>
      <c r="M1012" s="10">
        <v>215.35336056441088</v>
      </c>
      <c r="N1012" s="7" t="s">
        <v>22</v>
      </c>
      <c r="P1012" s="29" t="str">
        <f t="shared" si="270"/>
        <v/>
      </c>
      <c r="Q1012" s="29" t="str">
        <f t="shared" si="271"/>
        <v/>
      </c>
      <c r="R1012" s="29">
        <f t="shared" si="272"/>
        <v>1</v>
      </c>
      <c r="S1012" s="29" t="str">
        <f t="shared" si="273"/>
        <v/>
      </c>
      <c r="T1012" s="32" t="str">
        <f t="shared" si="274"/>
        <v/>
      </c>
      <c r="U1012" s="32" t="str">
        <f t="shared" si="277"/>
        <v/>
      </c>
      <c r="V1012" s="32" t="str">
        <f t="shared" si="278"/>
        <v/>
      </c>
      <c r="W1012" s="41">
        <f t="shared" si="275"/>
        <v>3.0331459234424067</v>
      </c>
      <c r="X1012" s="6">
        <f t="shared" si="276"/>
        <v>0</v>
      </c>
      <c r="Y1012" s="7">
        <f t="shared" si="279"/>
        <v>567</v>
      </c>
      <c r="AA1012" s="7">
        <f t="shared" si="280"/>
        <v>0</v>
      </c>
      <c r="AB1012" s="7" t="str">
        <f t="shared" si="281"/>
        <v/>
      </c>
      <c r="AC1012" s="7">
        <f t="shared" si="282"/>
        <v>0</v>
      </c>
      <c r="AD1012" s="7" t="str">
        <f t="shared" si="283"/>
        <v/>
      </c>
      <c r="AE1012" s="6">
        <f t="shared" si="284"/>
        <v>0</v>
      </c>
      <c r="AF1012" s="69">
        <f t="shared" si="285"/>
        <v>3.0331459234424067</v>
      </c>
      <c r="AG1012" s="6">
        <f t="shared" si="286"/>
        <v>215.35336056441088</v>
      </c>
      <c r="AH1012" s="6">
        <f t="shared" si="287"/>
        <v>144</v>
      </c>
    </row>
    <row r="1013" spans="8:34" x14ac:dyDescent="0.25">
      <c r="H1013" s="7">
        <v>1020</v>
      </c>
      <c r="I1013" s="7" t="s">
        <v>13</v>
      </c>
      <c r="J1013" s="8">
        <v>38793</v>
      </c>
      <c r="K1013" s="12" t="s">
        <v>20</v>
      </c>
      <c r="L1013" s="9">
        <v>5</v>
      </c>
      <c r="M1013" s="10">
        <v>17.428217544434208</v>
      </c>
      <c r="N1013" s="7" t="s">
        <v>21</v>
      </c>
      <c r="P1013" s="29" t="str">
        <f t="shared" si="270"/>
        <v/>
      </c>
      <c r="Q1013" s="29" t="str">
        <f t="shared" si="271"/>
        <v/>
      </c>
      <c r="R1013" s="29" t="str">
        <f t="shared" si="272"/>
        <v/>
      </c>
      <c r="S1013" s="29" t="str">
        <f t="shared" si="273"/>
        <v/>
      </c>
      <c r="T1013" s="32" t="str">
        <f t="shared" si="274"/>
        <v/>
      </c>
      <c r="U1013" s="32" t="str">
        <f t="shared" si="277"/>
        <v/>
      </c>
      <c r="V1013" s="32">
        <f t="shared" si="278"/>
        <v>1</v>
      </c>
      <c r="W1013" s="41">
        <f t="shared" si="275"/>
        <v>3.4856435088868416</v>
      </c>
      <c r="X1013" s="6">
        <f t="shared" si="276"/>
        <v>0</v>
      </c>
      <c r="Y1013" s="7">
        <f t="shared" si="279"/>
        <v>567</v>
      </c>
      <c r="AA1013" s="7">
        <f t="shared" si="280"/>
        <v>0</v>
      </c>
      <c r="AB1013" s="7" t="str">
        <f t="shared" si="281"/>
        <v/>
      </c>
      <c r="AC1013" s="7">
        <f t="shared" si="282"/>
        <v>0</v>
      </c>
      <c r="AD1013" s="7" t="str">
        <f t="shared" si="283"/>
        <v/>
      </c>
      <c r="AE1013" s="6">
        <f t="shared" si="284"/>
        <v>0</v>
      </c>
      <c r="AF1013" s="69">
        <f t="shared" si="285"/>
        <v>3.4856435088868416</v>
      </c>
      <c r="AG1013" s="6">
        <f t="shared" si="286"/>
        <v>0</v>
      </c>
      <c r="AH1013" s="6">
        <f t="shared" si="287"/>
        <v>604</v>
      </c>
    </row>
    <row r="1014" spans="8:34" x14ac:dyDescent="0.25">
      <c r="H1014" s="7">
        <v>1021</v>
      </c>
      <c r="I1014" s="7" t="s">
        <v>11</v>
      </c>
      <c r="J1014" s="8">
        <v>38595</v>
      </c>
      <c r="K1014" s="12" t="s">
        <v>18</v>
      </c>
      <c r="L1014" s="9">
        <v>28</v>
      </c>
      <c r="M1014" s="10">
        <v>86.322091823923344</v>
      </c>
      <c r="N1014" s="7" t="s">
        <v>24</v>
      </c>
      <c r="P1014" s="29" t="str">
        <f t="shared" si="270"/>
        <v/>
      </c>
      <c r="Q1014" s="29" t="str">
        <f t="shared" si="271"/>
        <v/>
      </c>
      <c r="R1014" s="29" t="str">
        <f t="shared" si="272"/>
        <v/>
      </c>
      <c r="S1014" s="29" t="str">
        <f t="shared" si="273"/>
        <v/>
      </c>
      <c r="T1014" s="32" t="str">
        <f t="shared" si="274"/>
        <v/>
      </c>
      <c r="U1014" s="32">
        <f t="shared" si="277"/>
        <v>1</v>
      </c>
      <c r="V1014" s="32" t="str">
        <f t="shared" si="278"/>
        <v/>
      </c>
      <c r="W1014" s="41">
        <f t="shared" si="275"/>
        <v>3.082931850854405</v>
      </c>
      <c r="X1014" s="6">
        <f t="shared" si="276"/>
        <v>86.322091823923344</v>
      </c>
      <c r="Y1014" s="7">
        <f t="shared" si="279"/>
        <v>386</v>
      </c>
      <c r="AA1014" s="7">
        <f t="shared" si="280"/>
        <v>1</v>
      </c>
      <c r="AB1014" s="7">
        <f t="shared" si="281"/>
        <v>28</v>
      </c>
      <c r="AC1014" s="7">
        <f t="shared" si="282"/>
        <v>0</v>
      </c>
      <c r="AD1014" s="7" t="str">
        <f t="shared" si="283"/>
        <v/>
      </c>
      <c r="AE1014" s="6">
        <f t="shared" si="284"/>
        <v>0</v>
      </c>
      <c r="AF1014" s="69">
        <f t="shared" si="285"/>
        <v>3.082931850854405</v>
      </c>
      <c r="AG1014" s="6">
        <f t="shared" si="286"/>
        <v>0</v>
      </c>
      <c r="AH1014" s="6">
        <f t="shared" si="287"/>
        <v>604</v>
      </c>
    </row>
    <row r="1015" spans="8:34" x14ac:dyDescent="0.25">
      <c r="H1015" s="7">
        <v>1022</v>
      </c>
      <c r="I1015" s="7" t="s">
        <v>13</v>
      </c>
      <c r="J1015" s="8">
        <v>38848</v>
      </c>
      <c r="K1015" s="12" t="s">
        <v>19</v>
      </c>
      <c r="L1015" s="9">
        <v>95</v>
      </c>
      <c r="M1015" s="10">
        <v>286.92674877229024</v>
      </c>
      <c r="N1015" s="7" t="s">
        <v>21</v>
      </c>
      <c r="P1015" s="29" t="str">
        <f t="shared" si="270"/>
        <v/>
      </c>
      <c r="Q1015" s="29" t="str">
        <f t="shared" si="271"/>
        <v/>
      </c>
      <c r="R1015" s="29" t="str">
        <f t="shared" si="272"/>
        <v/>
      </c>
      <c r="S1015" s="29" t="str">
        <f t="shared" si="273"/>
        <v/>
      </c>
      <c r="T1015" s="32" t="str">
        <f t="shared" si="274"/>
        <v/>
      </c>
      <c r="U1015" s="32" t="str">
        <f t="shared" si="277"/>
        <v/>
      </c>
      <c r="V1015" s="32">
        <f t="shared" si="278"/>
        <v>1</v>
      </c>
      <c r="W1015" s="41">
        <f t="shared" si="275"/>
        <v>3.0202815660241078</v>
      </c>
      <c r="X1015" s="6">
        <f t="shared" si="276"/>
        <v>0</v>
      </c>
      <c r="Y1015" s="7">
        <f t="shared" si="279"/>
        <v>567</v>
      </c>
      <c r="AA1015" s="7">
        <f t="shared" si="280"/>
        <v>0</v>
      </c>
      <c r="AB1015" s="7" t="str">
        <f t="shared" si="281"/>
        <v/>
      </c>
      <c r="AC1015" s="7">
        <f t="shared" si="282"/>
        <v>0</v>
      </c>
      <c r="AD1015" s="7" t="str">
        <f t="shared" si="283"/>
        <v/>
      </c>
      <c r="AE1015" s="6">
        <f t="shared" si="284"/>
        <v>0</v>
      </c>
      <c r="AF1015" s="69">
        <f t="shared" si="285"/>
        <v>3.0202815660241078</v>
      </c>
      <c r="AG1015" s="6">
        <f t="shared" si="286"/>
        <v>0</v>
      </c>
      <c r="AH1015" s="6">
        <f t="shared" si="287"/>
        <v>604</v>
      </c>
    </row>
    <row r="1016" spans="8:34" x14ac:dyDescent="0.25">
      <c r="H1016" s="7">
        <v>1023</v>
      </c>
      <c r="I1016" s="7" t="s">
        <v>7</v>
      </c>
      <c r="J1016" s="8">
        <v>38617</v>
      </c>
      <c r="K1016" s="12" t="s">
        <v>16</v>
      </c>
      <c r="L1016" s="9">
        <v>56</v>
      </c>
      <c r="M1016" s="10">
        <v>169.66853559743345</v>
      </c>
      <c r="N1016" s="7" t="s">
        <v>21</v>
      </c>
      <c r="P1016" s="29" t="str">
        <f t="shared" si="270"/>
        <v/>
      </c>
      <c r="Q1016" s="29" t="str">
        <f t="shared" si="271"/>
        <v/>
      </c>
      <c r="R1016" s="29" t="str">
        <f t="shared" si="272"/>
        <v/>
      </c>
      <c r="S1016" s="29" t="str">
        <f t="shared" si="273"/>
        <v/>
      </c>
      <c r="T1016" s="32" t="str">
        <f t="shared" si="274"/>
        <v/>
      </c>
      <c r="U1016" s="32">
        <f t="shared" si="277"/>
        <v>1</v>
      </c>
      <c r="V1016" s="32" t="str">
        <f t="shared" si="278"/>
        <v/>
      </c>
      <c r="W1016" s="41">
        <f t="shared" si="275"/>
        <v>3.0297952785255973</v>
      </c>
      <c r="X1016" s="6">
        <f t="shared" si="276"/>
        <v>169.66853559743345</v>
      </c>
      <c r="Y1016" s="7">
        <f t="shared" si="279"/>
        <v>229</v>
      </c>
      <c r="AA1016" s="7">
        <f t="shared" si="280"/>
        <v>1</v>
      </c>
      <c r="AB1016" s="7">
        <f t="shared" si="281"/>
        <v>56</v>
      </c>
      <c r="AC1016" s="7">
        <f t="shared" si="282"/>
        <v>0</v>
      </c>
      <c r="AD1016" s="7" t="str">
        <f t="shared" si="283"/>
        <v/>
      </c>
      <c r="AE1016" s="6">
        <f t="shared" si="284"/>
        <v>0</v>
      </c>
      <c r="AF1016" s="69">
        <f t="shared" si="285"/>
        <v>3.0297952785255973</v>
      </c>
      <c r="AG1016" s="6">
        <f t="shared" si="286"/>
        <v>0</v>
      </c>
      <c r="AH1016" s="6">
        <f t="shared" si="287"/>
        <v>604</v>
      </c>
    </row>
    <row r="1017" spans="8:34" x14ac:dyDescent="0.25">
      <c r="H1017" s="7">
        <v>1024</v>
      </c>
      <c r="I1017" s="7" t="s">
        <v>15</v>
      </c>
      <c r="J1017" s="8">
        <v>38650</v>
      </c>
      <c r="K1017" s="12" t="s">
        <v>18</v>
      </c>
      <c r="L1017" s="9">
        <v>79</v>
      </c>
      <c r="M1017" s="10">
        <v>238.71622982310416</v>
      </c>
      <c r="N1017" s="7" t="s">
        <v>21</v>
      </c>
      <c r="P1017" s="29" t="str">
        <f t="shared" si="270"/>
        <v/>
      </c>
      <c r="Q1017" s="29" t="str">
        <f t="shared" si="271"/>
        <v/>
      </c>
      <c r="R1017" s="29" t="str">
        <f t="shared" si="272"/>
        <v/>
      </c>
      <c r="S1017" s="29" t="str">
        <f t="shared" si="273"/>
        <v/>
      </c>
      <c r="T1017" s="32">
        <f t="shared" si="274"/>
        <v>1</v>
      </c>
      <c r="U1017" s="32">
        <f t="shared" si="277"/>
        <v>1</v>
      </c>
      <c r="V1017" s="32" t="str">
        <f t="shared" si="278"/>
        <v/>
      </c>
      <c r="W1017" s="41">
        <f t="shared" si="275"/>
        <v>3.0217244281405589</v>
      </c>
      <c r="X1017" s="6">
        <f t="shared" si="276"/>
        <v>238.71622982310416</v>
      </c>
      <c r="Y1017" s="7">
        <f t="shared" si="279"/>
        <v>109</v>
      </c>
      <c r="AA1017" s="7">
        <f t="shared" si="280"/>
        <v>0</v>
      </c>
      <c r="AB1017" s="7" t="str">
        <f t="shared" si="281"/>
        <v/>
      </c>
      <c r="AC1017" s="7">
        <f t="shared" si="282"/>
        <v>1</v>
      </c>
      <c r="AD1017" s="7">
        <f t="shared" si="283"/>
        <v>79</v>
      </c>
      <c r="AE1017" s="6">
        <f t="shared" si="284"/>
        <v>0</v>
      </c>
      <c r="AF1017" s="69">
        <f t="shared" si="285"/>
        <v>3.0217244281405589</v>
      </c>
      <c r="AG1017" s="6">
        <f t="shared" si="286"/>
        <v>0</v>
      </c>
      <c r="AH1017" s="6">
        <f t="shared" si="287"/>
        <v>604</v>
      </c>
    </row>
    <row r="1018" spans="8:34" x14ac:dyDescent="0.25">
      <c r="H1018" s="7">
        <v>1025</v>
      </c>
      <c r="I1018" s="7" t="s">
        <v>15</v>
      </c>
      <c r="J1018" s="8">
        <v>38562</v>
      </c>
      <c r="K1018" s="12" t="s">
        <v>16</v>
      </c>
      <c r="L1018" s="9">
        <v>10</v>
      </c>
      <c r="M1018" s="10">
        <v>32.241149527753471</v>
      </c>
      <c r="N1018" s="7" t="s">
        <v>21</v>
      </c>
      <c r="P1018" s="29" t="str">
        <f t="shared" si="270"/>
        <v/>
      </c>
      <c r="Q1018" s="29" t="str">
        <f t="shared" si="271"/>
        <v/>
      </c>
      <c r="R1018" s="29" t="str">
        <f t="shared" si="272"/>
        <v/>
      </c>
      <c r="S1018" s="29" t="str">
        <f t="shared" si="273"/>
        <v/>
      </c>
      <c r="T1018" s="32" t="str">
        <f t="shared" si="274"/>
        <v/>
      </c>
      <c r="U1018" s="32">
        <f t="shared" si="277"/>
        <v>1</v>
      </c>
      <c r="V1018" s="32" t="str">
        <f t="shared" si="278"/>
        <v/>
      </c>
      <c r="W1018" s="41">
        <f t="shared" si="275"/>
        <v>3.2241149527753472</v>
      </c>
      <c r="X1018" s="6">
        <f t="shared" si="276"/>
        <v>32.241149527753471</v>
      </c>
      <c r="Y1018" s="7">
        <f t="shared" si="279"/>
        <v>498</v>
      </c>
      <c r="AA1018" s="7">
        <f t="shared" si="280"/>
        <v>1</v>
      </c>
      <c r="AB1018" s="7">
        <f t="shared" si="281"/>
        <v>10</v>
      </c>
      <c r="AC1018" s="7">
        <f t="shared" si="282"/>
        <v>0</v>
      </c>
      <c r="AD1018" s="7" t="str">
        <f t="shared" si="283"/>
        <v/>
      </c>
      <c r="AE1018" s="6">
        <f t="shared" si="284"/>
        <v>0</v>
      </c>
      <c r="AF1018" s="69">
        <f t="shared" si="285"/>
        <v>3.2241149527753472</v>
      </c>
      <c r="AG1018" s="6">
        <f t="shared" si="286"/>
        <v>0</v>
      </c>
      <c r="AH1018" s="6">
        <f t="shared" si="287"/>
        <v>604</v>
      </c>
    </row>
    <row r="1019" spans="8:34" x14ac:dyDescent="0.25">
      <c r="H1019" s="7">
        <v>1026</v>
      </c>
      <c r="I1019" s="7" t="s">
        <v>8</v>
      </c>
      <c r="J1019" s="8">
        <v>38254</v>
      </c>
      <c r="K1019" s="12" t="s">
        <v>19</v>
      </c>
      <c r="L1019" s="9">
        <v>69</v>
      </c>
      <c r="M1019" s="10">
        <v>208.61631773052886</v>
      </c>
      <c r="N1019" s="7" t="s">
        <v>23</v>
      </c>
      <c r="P1019" s="29" t="str">
        <f t="shared" si="270"/>
        <v/>
      </c>
      <c r="Q1019" s="29" t="str">
        <f t="shared" si="271"/>
        <v/>
      </c>
      <c r="R1019" s="29">
        <f t="shared" si="272"/>
        <v>1</v>
      </c>
      <c r="S1019" s="29" t="str">
        <f t="shared" si="273"/>
        <v/>
      </c>
      <c r="T1019" s="32" t="str">
        <f t="shared" si="274"/>
        <v/>
      </c>
      <c r="U1019" s="32" t="str">
        <f t="shared" si="277"/>
        <v/>
      </c>
      <c r="V1019" s="32" t="str">
        <f t="shared" si="278"/>
        <v/>
      </c>
      <c r="W1019" s="41">
        <f t="shared" si="275"/>
        <v>3.0234248946453457</v>
      </c>
      <c r="X1019" s="6">
        <f t="shared" si="276"/>
        <v>0</v>
      </c>
      <c r="Y1019" s="7">
        <f t="shared" si="279"/>
        <v>567</v>
      </c>
      <c r="AA1019" s="7">
        <f t="shared" si="280"/>
        <v>0</v>
      </c>
      <c r="AB1019" s="7" t="str">
        <f t="shared" si="281"/>
        <v/>
      </c>
      <c r="AC1019" s="7">
        <f t="shared" si="282"/>
        <v>0</v>
      </c>
      <c r="AD1019" s="7" t="str">
        <f t="shared" si="283"/>
        <v/>
      </c>
      <c r="AE1019" s="6">
        <f t="shared" si="284"/>
        <v>0</v>
      </c>
      <c r="AF1019" s="69">
        <f t="shared" si="285"/>
        <v>3.0234248946453457</v>
      </c>
      <c r="AG1019" s="6">
        <f t="shared" si="286"/>
        <v>208.61631773052886</v>
      </c>
      <c r="AH1019" s="6">
        <f t="shared" si="287"/>
        <v>160</v>
      </c>
    </row>
    <row r="1020" spans="8:34" x14ac:dyDescent="0.25">
      <c r="H1020" s="7">
        <v>1027</v>
      </c>
      <c r="I1020" s="7" t="s">
        <v>11</v>
      </c>
      <c r="J1020" s="8">
        <v>38793</v>
      </c>
      <c r="K1020" s="12" t="s">
        <v>17</v>
      </c>
      <c r="L1020" s="9">
        <v>15</v>
      </c>
      <c r="M1020" s="10">
        <v>46.772430431730463</v>
      </c>
      <c r="N1020" s="7" t="s">
        <v>22</v>
      </c>
      <c r="P1020" s="29" t="str">
        <f t="shared" si="270"/>
        <v/>
      </c>
      <c r="Q1020" s="29" t="str">
        <f t="shared" si="271"/>
        <v/>
      </c>
      <c r="R1020" s="29" t="str">
        <f t="shared" si="272"/>
        <v/>
      </c>
      <c r="S1020" s="29" t="str">
        <f t="shared" si="273"/>
        <v/>
      </c>
      <c r="T1020" s="32" t="str">
        <f t="shared" si="274"/>
        <v/>
      </c>
      <c r="U1020" s="32" t="str">
        <f t="shared" si="277"/>
        <v/>
      </c>
      <c r="V1020" s="32">
        <f t="shared" si="278"/>
        <v>1</v>
      </c>
      <c r="W1020" s="41">
        <f t="shared" si="275"/>
        <v>3.1181620287820309</v>
      </c>
      <c r="X1020" s="6">
        <f t="shared" si="276"/>
        <v>0</v>
      </c>
      <c r="Y1020" s="7">
        <f t="shared" si="279"/>
        <v>567</v>
      </c>
      <c r="AA1020" s="7">
        <f t="shared" si="280"/>
        <v>0</v>
      </c>
      <c r="AB1020" s="7" t="str">
        <f t="shared" si="281"/>
        <v/>
      </c>
      <c r="AC1020" s="7">
        <f t="shared" si="282"/>
        <v>0</v>
      </c>
      <c r="AD1020" s="7" t="str">
        <f t="shared" si="283"/>
        <v/>
      </c>
      <c r="AE1020" s="6">
        <f t="shared" si="284"/>
        <v>0</v>
      </c>
      <c r="AF1020" s="69">
        <f t="shared" si="285"/>
        <v>3.1181620287820309</v>
      </c>
      <c r="AG1020" s="6">
        <f t="shared" si="286"/>
        <v>0</v>
      </c>
      <c r="AH1020" s="6">
        <f t="shared" si="287"/>
        <v>604</v>
      </c>
    </row>
    <row r="1021" spans="8:34" x14ac:dyDescent="0.25">
      <c r="H1021" s="7">
        <v>1028</v>
      </c>
      <c r="I1021" s="7" t="s">
        <v>15</v>
      </c>
      <c r="J1021" s="8">
        <v>38749</v>
      </c>
      <c r="K1021" s="12" t="s">
        <v>16</v>
      </c>
      <c r="L1021" s="9">
        <v>0</v>
      </c>
      <c r="M1021" s="10">
        <v>1.7760594332285693</v>
      </c>
      <c r="N1021" s="7" t="s">
        <v>23</v>
      </c>
      <c r="P1021" s="29" t="str">
        <f t="shared" si="270"/>
        <v/>
      </c>
      <c r="Q1021" s="29" t="str">
        <f t="shared" si="271"/>
        <v/>
      </c>
      <c r="R1021" s="29" t="str">
        <f t="shared" si="272"/>
        <v/>
      </c>
      <c r="S1021" s="29" t="str">
        <f t="shared" si="273"/>
        <v/>
      </c>
      <c r="T1021" s="32" t="str">
        <f t="shared" si="274"/>
        <v/>
      </c>
      <c r="U1021" s="32" t="str">
        <f t="shared" si="277"/>
        <v/>
      </c>
      <c r="V1021" s="32">
        <f t="shared" si="278"/>
        <v>1</v>
      </c>
      <c r="W1021" s="41" t="str">
        <f t="shared" si="275"/>
        <v/>
      </c>
      <c r="X1021" s="6">
        <f t="shared" si="276"/>
        <v>0</v>
      </c>
      <c r="Y1021" s="7">
        <f t="shared" si="279"/>
        <v>567</v>
      </c>
      <c r="AA1021" s="7">
        <f t="shared" si="280"/>
        <v>0</v>
      </c>
      <c r="AB1021" s="7" t="str">
        <f t="shared" si="281"/>
        <v/>
      </c>
      <c r="AC1021" s="7">
        <f t="shared" si="282"/>
        <v>0</v>
      </c>
      <c r="AD1021" s="7" t="str">
        <f t="shared" si="283"/>
        <v/>
      </c>
      <c r="AE1021" s="6">
        <f t="shared" si="284"/>
        <v>0</v>
      </c>
      <c r="AF1021" s="69" t="str">
        <f t="shared" si="285"/>
        <v/>
      </c>
      <c r="AG1021" s="6">
        <f t="shared" si="286"/>
        <v>0</v>
      </c>
      <c r="AH1021" s="6">
        <f t="shared" si="287"/>
        <v>604</v>
      </c>
    </row>
    <row r="1022" spans="8:34" x14ac:dyDescent="0.25">
      <c r="H1022" s="7">
        <v>1029</v>
      </c>
      <c r="I1022" s="7" t="s">
        <v>15</v>
      </c>
      <c r="J1022" s="8">
        <v>38540</v>
      </c>
      <c r="K1022" s="12" t="s">
        <v>19</v>
      </c>
      <c r="L1022" s="9">
        <v>78</v>
      </c>
      <c r="M1022" s="10">
        <v>236.10178950758817</v>
      </c>
      <c r="N1022" s="7" t="s">
        <v>24</v>
      </c>
      <c r="P1022" s="29" t="str">
        <f t="shared" si="270"/>
        <v/>
      </c>
      <c r="Q1022" s="29" t="str">
        <f t="shared" si="271"/>
        <v/>
      </c>
      <c r="R1022" s="29" t="str">
        <f t="shared" si="272"/>
        <v/>
      </c>
      <c r="S1022" s="29" t="str">
        <f t="shared" si="273"/>
        <v/>
      </c>
      <c r="T1022" s="32" t="str">
        <f t="shared" si="274"/>
        <v/>
      </c>
      <c r="U1022" s="32">
        <f t="shared" si="277"/>
        <v>1</v>
      </c>
      <c r="V1022" s="32" t="str">
        <f t="shared" si="278"/>
        <v/>
      </c>
      <c r="W1022" s="41">
        <f t="shared" si="275"/>
        <v>3.0269460193280535</v>
      </c>
      <c r="X1022" s="6">
        <f t="shared" si="276"/>
        <v>236.10178950758817</v>
      </c>
      <c r="Y1022" s="7">
        <f t="shared" si="279"/>
        <v>111</v>
      </c>
      <c r="AA1022" s="7">
        <f t="shared" si="280"/>
        <v>1</v>
      </c>
      <c r="AB1022" s="7">
        <f t="shared" si="281"/>
        <v>78</v>
      </c>
      <c r="AC1022" s="7">
        <f t="shared" si="282"/>
        <v>0</v>
      </c>
      <c r="AD1022" s="7" t="str">
        <f t="shared" si="283"/>
        <v/>
      </c>
      <c r="AE1022" s="6">
        <f t="shared" si="284"/>
        <v>0</v>
      </c>
      <c r="AF1022" s="69">
        <f t="shared" si="285"/>
        <v>3.0269460193280535</v>
      </c>
      <c r="AG1022" s="6">
        <f t="shared" si="286"/>
        <v>0</v>
      </c>
      <c r="AH1022" s="6">
        <f t="shared" si="287"/>
        <v>604</v>
      </c>
    </row>
    <row r="1023" spans="8:34" x14ac:dyDescent="0.25">
      <c r="H1023" s="7">
        <v>1030</v>
      </c>
      <c r="I1023" s="7" t="s">
        <v>8</v>
      </c>
      <c r="J1023" s="8">
        <v>38496</v>
      </c>
      <c r="K1023" s="12" t="s">
        <v>20</v>
      </c>
      <c r="L1023" s="9">
        <v>89</v>
      </c>
      <c r="M1023" s="10">
        <v>268.45127891867156</v>
      </c>
      <c r="N1023" s="7" t="s">
        <v>21</v>
      </c>
      <c r="P1023" s="29" t="str">
        <f t="shared" si="270"/>
        <v/>
      </c>
      <c r="Q1023" s="29" t="str">
        <f t="shared" si="271"/>
        <v/>
      </c>
      <c r="R1023" s="29" t="str">
        <f t="shared" si="272"/>
        <v/>
      </c>
      <c r="S1023" s="29" t="str">
        <f t="shared" si="273"/>
        <v/>
      </c>
      <c r="T1023" s="32" t="str">
        <f t="shared" si="274"/>
        <v/>
      </c>
      <c r="U1023" s="32">
        <f t="shared" si="277"/>
        <v>1</v>
      </c>
      <c r="V1023" s="32" t="str">
        <f t="shared" si="278"/>
        <v/>
      </c>
      <c r="W1023" s="41">
        <f t="shared" si="275"/>
        <v>3.0163065047041751</v>
      </c>
      <c r="X1023" s="6">
        <f t="shared" si="276"/>
        <v>268.45127891867156</v>
      </c>
      <c r="Y1023" s="7">
        <f t="shared" si="279"/>
        <v>51</v>
      </c>
      <c r="AA1023" s="7">
        <f t="shared" si="280"/>
        <v>0</v>
      </c>
      <c r="AB1023" s="7" t="str">
        <f t="shared" si="281"/>
        <v/>
      </c>
      <c r="AC1023" s="7">
        <f t="shared" si="282"/>
        <v>1</v>
      </c>
      <c r="AD1023" s="7">
        <f t="shared" si="283"/>
        <v>89</v>
      </c>
      <c r="AE1023" s="6">
        <f t="shared" si="284"/>
        <v>0</v>
      </c>
      <c r="AF1023" s="69">
        <f t="shared" si="285"/>
        <v>3.0163065047041751</v>
      </c>
      <c r="AG1023" s="6">
        <f t="shared" si="286"/>
        <v>0</v>
      </c>
      <c r="AH1023" s="6">
        <f t="shared" si="287"/>
        <v>604</v>
      </c>
    </row>
    <row r="1024" spans="8:34" x14ac:dyDescent="0.25">
      <c r="H1024" s="7">
        <v>1031</v>
      </c>
      <c r="I1024" s="7" t="s">
        <v>15</v>
      </c>
      <c r="J1024" s="8">
        <v>38397</v>
      </c>
      <c r="K1024" s="12" t="s">
        <v>20</v>
      </c>
      <c r="L1024" s="9">
        <v>94</v>
      </c>
      <c r="M1024" s="10">
        <v>284.11176896611153</v>
      </c>
      <c r="N1024" s="7" t="s">
        <v>24</v>
      </c>
      <c r="P1024" s="29" t="str">
        <f t="shared" si="270"/>
        <v/>
      </c>
      <c r="Q1024" s="29" t="str">
        <f t="shared" si="271"/>
        <v/>
      </c>
      <c r="R1024" s="29" t="str">
        <f t="shared" si="272"/>
        <v/>
      </c>
      <c r="S1024" s="29" t="str">
        <f t="shared" si="273"/>
        <v/>
      </c>
      <c r="T1024" s="32" t="str">
        <f t="shared" si="274"/>
        <v/>
      </c>
      <c r="U1024" s="32">
        <f t="shared" si="277"/>
        <v>1</v>
      </c>
      <c r="V1024" s="32" t="str">
        <f t="shared" si="278"/>
        <v/>
      </c>
      <c r="W1024" s="41">
        <f t="shared" si="275"/>
        <v>3.0224656272990589</v>
      </c>
      <c r="X1024" s="6">
        <f t="shared" si="276"/>
        <v>284.11176896611153</v>
      </c>
      <c r="Y1024" s="7">
        <f t="shared" si="279"/>
        <v>11</v>
      </c>
      <c r="AA1024" s="7">
        <f t="shared" si="280"/>
        <v>1</v>
      </c>
      <c r="AB1024" s="7">
        <f t="shared" si="281"/>
        <v>94</v>
      </c>
      <c r="AC1024" s="7">
        <f t="shared" si="282"/>
        <v>0</v>
      </c>
      <c r="AD1024" s="7" t="str">
        <f t="shared" si="283"/>
        <v/>
      </c>
      <c r="AE1024" s="6">
        <f t="shared" si="284"/>
        <v>0</v>
      </c>
      <c r="AF1024" s="69">
        <f t="shared" si="285"/>
        <v>3.0224656272990589</v>
      </c>
      <c r="AG1024" s="6">
        <f t="shared" si="286"/>
        <v>0</v>
      </c>
      <c r="AH1024" s="6">
        <f t="shared" si="287"/>
        <v>604</v>
      </c>
    </row>
    <row r="1025" spans="8:34" x14ac:dyDescent="0.25">
      <c r="H1025" s="7">
        <v>1032</v>
      </c>
      <c r="I1025" s="7" t="s">
        <v>7</v>
      </c>
      <c r="J1025" s="8">
        <v>38034</v>
      </c>
      <c r="K1025" s="12" t="s">
        <v>20</v>
      </c>
      <c r="L1025" s="9">
        <v>-5</v>
      </c>
      <c r="M1025" s="10">
        <v>-13.090742445919402</v>
      </c>
      <c r="N1025" s="7" t="s">
        <v>23</v>
      </c>
      <c r="P1025" s="29">
        <f t="shared" si="270"/>
        <v>1</v>
      </c>
      <c r="Q1025" s="29" t="str">
        <f t="shared" si="271"/>
        <v/>
      </c>
      <c r="R1025" s="29" t="str">
        <f t="shared" si="272"/>
        <v/>
      </c>
      <c r="S1025" s="29" t="str">
        <f t="shared" si="273"/>
        <v/>
      </c>
      <c r="T1025" s="32" t="str">
        <f t="shared" si="274"/>
        <v/>
      </c>
      <c r="U1025" s="32" t="str">
        <f t="shared" si="277"/>
        <v/>
      </c>
      <c r="V1025" s="32" t="str">
        <f t="shared" si="278"/>
        <v/>
      </c>
      <c r="W1025" s="41" t="str">
        <f t="shared" si="275"/>
        <v/>
      </c>
      <c r="X1025" s="6">
        <f t="shared" si="276"/>
        <v>0</v>
      </c>
      <c r="Y1025" s="7">
        <f t="shared" si="279"/>
        <v>567</v>
      </c>
      <c r="AA1025" s="7">
        <f t="shared" si="280"/>
        <v>0</v>
      </c>
      <c r="AB1025" s="7" t="str">
        <f t="shared" si="281"/>
        <v/>
      </c>
      <c r="AC1025" s="7">
        <f t="shared" si="282"/>
        <v>0</v>
      </c>
      <c r="AD1025" s="7" t="str">
        <f t="shared" si="283"/>
        <v/>
      </c>
      <c r="AE1025" s="6">
        <f t="shared" si="284"/>
        <v>-5</v>
      </c>
      <c r="AF1025" s="69" t="str">
        <f t="shared" si="285"/>
        <v/>
      </c>
      <c r="AG1025" s="6">
        <f t="shared" si="286"/>
        <v>0</v>
      </c>
      <c r="AH1025" s="6">
        <f t="shared" si="287"/>
        <v>604</v>
      </c>
    </row>
    <row r="1026" spans="8:34" x14ac:dyDescent="0.25">
      <c r="H1026" s="7">
        <v>1033</v>
      </c>
      <c r="I1026" s="7" t="s">
        <v>8</v>
      </c>
      <c r="J1026" s="8">
        <v>39057</v>
      </c>
      <c r="K1026" s="12" t="s">
        <v>17</v>
      </c>
      <c r="L1026" s="9">
        <v>42</v>
      </c>
      <c r="M1026" s="10">
        <v>127.95167625422781</v>
      </c>
      <c r="N1026" s="7" t="s">
        <v>22</v>
      </c>
      <c r="P1026" s="29" t="str">
        <f t="shared" si="270"/>
        <v/>
      </c>
      <c r="Q1026" s="29" t="str">
        <f t="shared" si="271"/>
        <v/>
      </c>
      <c r="R1026" s="29" t="str">
        <f t="shared" si="272"/>
        <v/>
      </c>
      <c r="S1026" s="29" t="str">
        <f t="shared" si="273"/>
        <v/>
      </c>
      <c r="T1026" s="32" t="str">
        <f t="shared" si="274"/>
        <v/>
      </c>
      <c r="U1026" s="32" t="str">
        <f t="shared" si="277"/>
        <v/>
      </c>
      <c r="V1026" s="32">
        <f t="shared" si="278"/>
        <v>1</v>
      </c>
      <c r="W1026" s="41">
        <f t="shared" si="275"/>
        <v>3.0464684822435193</v>
      </c>
      <c r="X1026" s="6">
        <f t="shared" si="276"/>
        <v>0</v>
      </c>
      <c r="Y1026" s="7">
        <f t="shared" si="279"/>
        <v>567</v>
      </c>
      <c r="AA1026" s="7">
        <f t="shared" si="280"/>
        <v>0</v>
      </c>
      <c r="AB1026" s="7" t="str">
        <f t="shared" si="281"/>
        <v/>
      </c>
      <c r="AC1026" s="7">
        <f t="shared" si="282"/>
        <v>0</v>
      </c>
      <c r="AD1026" s="7" t="str">
        <f t="shared" si="283"/>
        <v/>
      </c>
      <c r="AE1026" s="6">
        <f t="shared" si="284"/>
        <v>0</v>
      </c>
      <c r="AF1026" s="69">
        <f t="shared" si="285"/>
        <v>3.0464684822435193</v>
      </c>
      <c r="AG1026" s="6">
        <f t="shared" si="286"/>
        <v>0</v>
      </c>
      <c r="AH1026" s="6">
        <f t="shared" si="287"/>
        <v>604</v>
      </c>
    </row>
    <row r="1027" spans="8:34" x14ac:dyDescent="0.25">
      <c r="H1027" s="7">
        <v>1034</v>
      </c>
      <c r="I1027" s="7" t="s">
        <v>13</v>
      </c>
      <c r="J1027" s="8">
        <v>38980</v>
      </c>
      <c r="K1027" s="12" t="s">
        <v>16</v>
      </c>
      <c r="L1027" s="9">
        <v>9</v>
      </c>
      <c r="M1027" s="10">
        <v>29.027293052396654</v>
      </c>
      <c r="N1027" s="7" t="s">
        <v>23</v>
      </c>
      <c r="P1027" s="29" t="str">
        <f t="shared" ref="P1027:P1090" si="288">IF(AND((MONTH(J1027))&lt;4,YEAR(J1027)=2004),1,"")</f>
        <v/>
      </c>
      <c r="Q1027" s="29" t="str">
        <f t="shared" ref="Q1027:Q1090" si="289">IF(AND(3&lt;(MONTH(J1027)),(MONTH(J1027)&lt;7),YEAR(J1027)=2004),1,"")</f>
        <v/>
      </c>
      <c r="R1027" s="29" t="str">
        <f t="shared" ref="R1027:R1090" si="290">IF(AND(6&lt;(MONTH(J1027)),(MONTH(J1027)&lt;10),YEAR(J1027)=2004),1,"")</f>
        <v/>
      </c>
      <c r="S1027" s="29" t="str">
        <f t="shared" ref="S1027:S1090" si="291">IF(AND(9&lt;(MONTH(J1027)),(MONTH(J1027)&lt;13),YEAR(J1027)=2004),1,"")</f>
        <v/>
      </c>
      <c r="T1027" s="32" t="str">
        <f t="shared" ref="T1027:T1090" si="292">IF(AND((9&lt;MONTH(J1027)),YEAR(J1027)=2005),1,"")</f>
        <v/>
      </c>
      <c r="U1027" s="32" t="str">
        <f t="shared" si="277"/>
        <v/>
      </c>
      <c r="V1027" s="32">
        <f t="shared" si="278"/>
        <v>1</v>
      </c>
      <c r="W1027" s="41">
        <f t="shared" ref="W1027:W1090" si="293">IF(L1027&gt;0,M1027/L1027,"")</f>
        <v>3.2252547835996284</v>
      </c>
      <c r="X1027" s="6">
        <f t="shared" ref="X1027:X1090" si="294">IF(U1027=1,M1027,0)</f>
        <v>0</v>
      </c>
      <c r="Y1027" s="7">
        <f t="shared" si="279"/>
        <v>567</v>
      </c>
      <c r="AA1027" s="7">
        <f t="shared" si="280"/>
        <v>0</v>
      </c>
      <c r="AB1027" s="7" t="str">
        <f t="shared" si="281"/>
        <v/>
      </c>
      <c r="AC1027" s="7">
        <f t="shared" si="282"/>
        <v>0</v>
      </c>
      <c r="AD1027" s="7" t="str">
        <f t="shared" si="283"/>
        <v/>
      </c>
      <c r="AE1027" s="6">
        <f t="shared" si="284"/>
        <v>0</v>
      </c>
      <c r="AF1027" s="69">
        <f t="shared" si="285"/>
        <v>3.2252547835996284</v>
      </c>
      <c r="AG1027" s="6">
        <f t="shared" si="286"/>
        <v>0</v>
      </c>
      <c r="AH1027" s="6">
        <f t="shared" si="287"/>
        <v>604</v>
      </c>
    </row>
    <row r="1028" spans="8:34" x14ac:dyDescent="0.25">
      <c r="H1028" s="7">
        <v>1035</v>
      </c>
      <c r="I1028" s="7" t="s">
        <v>13</v>
      </c>
      <c r="J1028" s="8">
        <v>38452</v>
      </c>
      <c r="K1028" s="12" t="s">
        <v>18</v>
      </c>
      <c r="L1028" s="9">
        <v>8</v>
      </c>
      <c r="M1028" s="10">
        <v>26.399425452966565</v>
      </c>
      <c r="N1028" s="7" t="s">
        <v>24</v>
      </c>
      <c r="P1028" s="29" t="str">
        <f t="shared" si="288"/>
        <v/>
      </c>
      <c r="Q1028" s="29" t="str">
        <f t="shared" si="289"/>
        <v/>
      </c>
      <c r="R1028" s="29" t="str">
        <f t="shared" si="290"/>
        <v/>
      </c>
      <c r="S1028" s="29" t="str">
        <f t="shared" si="291"/>
        <v/>
      </c>
      <c r="T1028" s="32" t="str">
        <f t="shared" si="292"/>
        <v/>
      </c>
      <c r="U1028" s="32">
        <f t="shared" ref="U1028:U1091" si="295">IF(YEAR(J1028)=2005,1,"")</f>
        <v>1</v>
      </c>
      <c r="V1028" s="32" t="str">
        <f t="shared" ref="V1028:V1091" si="296">IF(YEAR(J1028)=2006,1,"")</f>
        <v/>
      </c>
      <c r="W1028" s="41">
        <f t="shared" si="293"/>
        <v>3.2999281816208206</v>
      </c>
      <c r="X1028" s="6">
        <f t="shared" si="294"/>
        <v>26.399425452966565</v>
      </c>
      <c r="Y1028" s="7">
        <f t="shared" ref="Y1028:Y1091" si="297">RANK(X1028,$X$3:$X$1893)</f>
        <v>508</v>
      </c>
      <c r="AA1028" s="7">
        <f t="shared" ref="AA1028:AA1091" si="298">IF(AND(OR((MONTH(J1028))=1,(MONTH(J1028))=2,(MONTH(J1028))=3,(MONTH(J1028))=7,(MONTH(J1028))=8,(MONTH(J1028))=9),YEAR(J1028)=2005),1,0)</f>
        <v>0</v>
      </c>
      <c r="AB1028" s="7" t="str">
        <f t="shared" ref="AB1028:AB1091" si="299">IF(AA1028=1,L1028,"")</f>
        <v/>
      </c>
      <c r="AC1028" s="7">
        <f t="shared" ref="AC1028:AC1091" si="300">IF(AND(OR((MONTH(J1028))=4,(MONTH(J1028))=5,(MONTH(J1028))=6,(MONTH(J1028))=10,(MONTH(J1028))=11,(MONTH(J1028))=12),YEAR(J1028)=2005),1,0)</f>
        <v>1</v>
      </c>
      <c r="AD1028" s="7">
        <f t="shared" ref="AD1028:AD1091" si="301">IF(AC1028=1,L1028,"")</f>
        <v>8</v>
      </c>
      <c r="AE1028" s="6">
        <f t="shared" ref="AE1028:AE1091" si="302">IF(L1028&lt;0,L1028,0)</f>
        <v>0</v>
      </c>
      <c r="AF1028" s="69">
        <f t="shared" ref="AF1028:AF1091" si="303">IF(L1028&gt;0,W1028,"")</f>
        <v>3.2999281816208206</v>
      </c>
      <c r="AG1028" s="6">
        <f t="shared" ref="AG1028:AG1091" si="304">IF(AND((M1028&gt;0),(YEAR(J1028)=2004)),M1028,0)</f>
        <v>0</v>
      </c>
      <c r="AH1028" s="6">
        <f t="shared" ref="AH1028:AH1091" si="305">RANK(AG1028,$AG$3:$AG$1893)</f>
        <v>604</v>
      </c>
    </row>
    <row r="1029" spans="8:34" x14ac:dyDescent="0.25">
      <c r="H1029" s="7">
        <v>1036</v>
      </c>
      <c r="I1029" s="7" t="s">
        <v>7</v>
      </c>
      <c r="J1029" s="8">
        <v>38210</v>
      </c>
      <c r="K1029" s="12" t="s">
        <v>18</v>
      </c>
      <c r="L1029" s="9">
        <v>69</v>
      </c>
      <c r="M1029" s="10">
        <v>209.14573718458519</v>
      </c>
      <c r="N1029" s="7" t="s">
        <v>21</v>
      </c>
      <c r="P1029" s="29" t="str">
        <f t="shared" si="288"/>
        <v/>
      </c>
      <c r="Q1029" s="29" t="str">
        <f t="shared" si="289"/>
        <v/>
      </c>
      <c r="R1029" s="29">
        <f t="shared" si="290"/>
        <v>1</v>
      </c>
      <c r="S1029" s="29" t="str">
        <f t="shared" si="291"/>
        <v/>
      </c>
      <c r="T1029" s="32" t="str">
        <f t="shared" si="292"/>
        <v/>
      </c>
      <c r="U1029" s="32" t="str">
        <f t="shared" si="295"/>
        <v/>
      </c>
      <c r="V1029" s="32" t="str">
        <f t="shared" si="296"/>
        <v/>
      </c>
      <c r="W1029" s="41">
        <f t="shared" si="293"/>
        <v>3.031097640356307</v>
      </c>
      <c r="X1029" s="6">
        <f t="shared" si="294"/>
        <v>0</v>
      </c>
      <c r="Y1029" s="7">
        <f t="shared" si="297"/>
        <v>567</v>
      </c>
      <c r="AA1029" s="7">
        <f t="shared" si="298"/>
        <v>0</v>
      </c>
      <c r="AB1029" s="7" t="str">
        <f t="shared" si="299"/>
        <v/>
      </c>
      <c r="AC1029" s="7">
        <f t="shared" si="300"/>
        <v>0</v>
      </c>
      <c r="AD1029" s="7" t="str">
        <f t="shared" si="301"/>
        <v/>
      </c>
      <c r="AE1029" s="6">
        <f t="shared" si="302"/>
        <v>0</v>
      </c>
      <c r="AF1029" s="69">
        <f t="shared" si="303"/>
        <v>3.031097640356307</v>
      </c>
      <c r="AG1029" s="6">
        <f t="shared" si="304"/>
        <v>209.14573718458519</v>
      </c>
      <c r="AH1029" s="6">
        <f t="shared" si="305"/>
        <v>158</v>
      </c>
    </row>
    <row r="1030" spans="8:34" x14ac:dyDescent="0.25">
      <c r="H1030" s="7">
        <v>1037</v>
      </c>
      <c r="I1030" s="7" t="s">
        <v>12</v>
      </c>
      <c r="J1030" s="8">
        <v>39002</v>
      </c>
      <c r="K1030" s="12" t="s">
        <v>20</v>
      </c>
      <c r="L1030" s="9">
        <v>2</v>
      </c>
      <c r="M1030" s="10">
        <v>7.7270735524440131</v>
      </c>
      <c r="N1030" s="7" t="s">
        <v>21</v>
      </c>
      <c r="P1030" s="29" t="str">
        <f t="shared" si="288"/>
        <v/>
      </c>
      <c r="Q1030" s="29" t="str">
        <f t="shared" si="289"/>
        <v/>
      </c>
      <c r="R1030" s="29" t="str">
        <f t="shared" si="290"/>
        <v/>
      </c>
      <c r="S1030" s="29" t="str">
        <f t="shared" si="291"/>
        <v/>
      </c>
      <c r="T1030" s="32" t="str">
        <f t="shared" si="292"/>
        <v/>
      </c>
      <c r="U1030" s="32" t="str">
        <f t="shared" si="295"/>
        <v/>
      </c>
      <c r="V1030" s="32">
        <f t="shared" si="296"/>
        <v>1</v>
      </c>
      <c r="W1030" s="41">
        <f t="shared" si="293"/>
        <v>3.8635367762220065</v>
      </c>
      <c r="X1030" s="6">
        <f t="shared" si="294"/>
        <v>0</v>
      </c>
      <c r="Y1030" s="7">
        <f t="shared" si="297"/>
        <v>567</v>
      </c>
      <c r="AA1030" s="7">
        <f t="shared" si="298"/>
        <v>0</v>
      </c>
      <c r="AB1030" s="7" t="str">
        <f t="shared" si="299"/>
        <v/>
      </c>
      <c r="AC1030" s="7">
        <f t="shared" si="300"/>
        <v>0</v>
      </c>
      <c r="AD1030" s="7" t="str">
        <f t="shared" si="301"/>
        <v/>
      </c>
      <c r="AE1030" s="6">
        <f t="shared" si="302"/>
        <v>0</v>
      </c>
      <c r="AF1030" s="69">
        <f t="shared" si="303"/>
        <v>3.8635367762220065</v>
      </c>
      <c r="AG1030" s="6">
        <f t="shared" si="304"/>
        <v>0</v>
      </c>
      <c r="AH1030" s="6">
        <f t="shared" si="305"/>
        <v>604</v>
      </c>
    </row>
    <row r="1031" spans="8:34" x14ac:dyDescent="0.25">
      <c r="H1031" s="7">
        <v>1038</v>
      </c>
      <c r="I1031" s="7" t="s">
        <v>15</v>
      </c>
      <c r="J1031" s="8">
        <v>38254</v>
      </c>
      <c r="K1031" s="12" t="s">
        <v>16</v>
      </c>
      <c r="L1031" s="9">
        <v>3</v>
      </c>
      <c r="M1031" s="10">
        <v>10.487455049777733</v>
      </c>
      <c r="N1031" s="7" t="s">
        <v>22</v>
      </c>
      <c r="P1031" s="29" t="str">
        <f t="shared" si="288"/>
        <v/>
      </c>
      <c r="Q1031" s="29" t="str">
        <f t="shared" si="289"/>
        <v/>
      </c>
      <c r="R1031" s="29">
        <f t="shared" si="290"/>
        <v>1</v>
      </c>
      <c r="S1031" s="29" t="str">
        <f t="shared" si="291"/>
        <v/>
      </c>
      <c r="T1031" s="32" t="str">
        <f t="shared" si="292"/>
        <v/>
      </c>
      <c r="U1031" s="32" t="str">
        <f t="shared" si="295"/>
        <v/>
      </c>
      <c r="V1031" s="32" t="str">
        <f t="shared" si="296"/>
        <v/>
      </c>
      <c r="W1031" s="41">
        <f t="shared" si="293"/>
        <v>3.4958183499259108</v>
      </c>
      <c r="X1031" s="6">
        <f t="shared" si="294"/>
        <v>0</v>
      </c>
      <c r="Y1031" s="7">
        <f t="shared" si="297"/>
        <v>567</v>
      </c>
      <c r="AA1031" s="7">
        <f t="shared" si="298"/>
        <v>0</v>
      </c>
      <c r="AB1031" s="7" t="str">
        <f t="shared" si="299"/>
        <v/>
      </c>
      <c r="AC1031" s="7">
        <f t="shared" si="300"/>
        <v>0</v>
      </c>
      <c r="AD1031" s="7" t="str">
        <f t="shared" si="301"/>
        <v/>
      </c>
      <c r="AE1031" s="6">
        <f t="shared" si="302"/>
        <v>0</v>
      </c>
      <c r="AF1031" s="69">
        <f t="shared" si="303"/>
        <v>3.4958183499259108</v>
      </c>
      <c r="AG1031" s="6">
        <f t="shared" si="304"/>
        <v>10.487455049777733</v>
      </c>
      <c r="AH1031" s="6">
        <f t="shared" si="305"/>
        <v>586</v>
      </c>
    </row>
    <row r="1032" spans="8:34" x14ac:dyDescent="0.25">
      <c r="H1032" s="7">
        <v>1039</v>
      </c>
      <c r="I1032" s="7" t="s">
        <v>13</v>
      </c>
      <c r="J1032" s="8">
        <v>38518</v>
      </c>
      <c r="K1032" s="12" t="s">
        <v>19</v>
      </c>
      <c r="L1032" s="9">
        <v>76</v>
      </c>
      <c r="M1032" s="10">
        <v>230.14134634452847</v>
      </c>
      <c r="N1032" s="7" t="s">
        <v>22</v>
      </c>
      <c r="P1032" s="29" t="str">
        <f t="shared" si="288"/>
        <v/>
      </c>
      <c r="Q1032" s="29" t="str">
        <f t="shared" si="289"/>
        <v/>
      </c>
      <c r="R1032" s="29" t="str">
        <f t="shared" si="290"/>
        <v/>
      </c>
      <c r="S1032" s="29" t="str">
        <f t="shared" si="291"/>
        <v/>
      </c>
      <c r="T1032" s="32" t="str">
        <f t="shared" si="292"/>
        <v/>
      </c>
      <c r="U1032" s="32">
        <f t="shared" si="295"/>
        <v>1</v>
      </c>
      <c r="V1032" s="32" t="str">
        <f t="shared" si="296"/>
        <v/>
      </c>
      <c r="W1032" s="41">
        <f t="shared" si="293"/>
        <v>3.0281756097964272</v>
      </c>
      <c r="X1032" s="6">
        <f t="shared" si="294"/>
        <v>230.14134634452847</v>
      </c>
      <c r="Y1032" s="7">
        <f t="shared" si="297"/>
        <v>124</v>
      </c>
      <c r="AA1032" s="7">
        <f t="shared" si="298"/>
        <v>0</v>
      </c>
      <c r="AB1032" s="7" t="str">
        <f t="shared" si="299"/>
        <v/>
      </c>
      <c r="AC1032" s="7">
        <f t="shared" si="300"/>
        <v>1</v>
      </c>
      <c r="AD1032" s="7">
        <f t="shared" si="301"/>
        <v>76</v>
      </c>
      <c r="AE1032" s="6">
        <f t="shared" si="302"/>
        <v>0</v>
      </c>
      <c r="AF1032" s="69">
        <f t="shared" si="303"/>
        <v>3.0281756097964272</v>
      </c>
      <c r="AG1032" s="6">
        <f t="shared" si="304"/>
        <v>0</v>
      </c>
      <c r="AH1032" s="6">
        <f t="shared" si="305"/>
        <v>604</v>
      </c>
    </row>
    <row r="1033" spans="8:34" x14ac:dyDescent="0.25">
      <c r="H1033" s="7">
        <v>1040</v>
      </c>
      <c r="I1033" s="7" t="s">
        <v>12</v>
      </c>
      <c r="J1033" s="8">
        <v>38166</v>
      </c>
      <c r="K1033" s="12" t="s">
        <v>16</v>
      </c>
      <c r="L1033" s="9">
        <v>-7</v>
      </c>
      <c r="M1033" s="10">
        <v>-18.434662066971001</v>
      </c>
      <c r="N1033" s="7" t="s">
        <v>23</v>
      </c>
      <c r="P1033" s="29" t="str">
        <f t="shared" si="288"/>
        <v/>
      </c>
      <c r="Q1033" s="29">
        <f t="shared" si="289"/>
        <v>1</v>
      </c>
      <c r="R1033" s="29" t="str">
        <f t="shared" si="290"/>
        <v/>
      </c>
      <c r="S1033" s="29" t="str">
        <f t="shared" si="291"/>
        <v/>
      </c>
      <c r="T1033" s="32" t="str">
        <f t="shared" si="292"/>
        <v/>
      </c>
      <c r="U1033" s="32" t="str">
        <f t="shared" si="295"/>
        <v/>
      </c>
      <c r="V1033" s="32" t="str">
        <f t="shared" si="296"/>
        <v/>
      </c>
      <c r="W1033" s="41" t="str">
        <f t="shared" si="293"/>
        <v/>
      </c>
      <c r="X1033" s="6">
        <f t="shared" si="294"/>
        <v>0</v>
      </c>
      <c r="Y1033" s="7">
        <f t="shared" si="297"/>
        <v>567</v>
      </c>
      <c r="AA1033" s="7">
        <f t="shared" si="298"/>
        <v>0</v>
      </c>
      <c r="AB1033" s="7" t="str">
        <f t="shared" si="299"/>
        <v/>
      </c>
      <c r="AC1033" s="7">
        <f t="shared" si="300"/>
        <v>0</v>
      </c>
      <c r="AD1033" s="7" t="str">
        <f t="shared" si="301"/>
        <v/>
      </c>
      <c r="AE1033" s="6">
        <f t="shared" si="302"/>
        <v>-7</v>
      </c>
      <c r="AF1033" s="69" t="str">
        <f t="shared" si="303"/>
        <v/>
      </c>
      <c r="AG1033" s="6">
        <f t="shared" si="304"/>
        <v>0</v>
      </c>
      <c r="AH1033" s="6">
        <f t="shared" si="305"/>
        <v>604</v>
      </c>
    </row>
    <row r="1034" spans="8:34" x14ac:dyDescent="0.25">
      <c r="H1034" s="7">
        <v>1041</v>
      </c>
      <c r="I1034" s="7" t="s">
        <v>11</v>
      </c>
      <c r="J1034" s="8">
        <v>38903</v>
      </c>
      <c r="K1034" s="12" t="s">
        <v>20</v>
      </c>
      <c r="L1034" s="9">
        <v>24</v>
      </c>
      <c r="M1034" s="10">
        <v>74.040343042743388</v>
      </c>
      <c r="N1034" s="7" t="s">
        <v>23</v>
      </c>
      <c r="P1034" s="29" t="str">
        <f t="shared" si="288"/>
        <v/>
      </c>
      <c r="Q1034" s="29" t="str">
        <f t="shared" si="289"/>
        <v/>
      </c>
      <c r="R1034" s="29" t="str">
        <f t="shared" si="290"/>
        <v/>
      </c>
      <c r="S1034" s="29" t="str">
        <f t="shared" si="291"/>
        <v/>
      </c>
      <c r="T1034" s="32" t="str">
        <f t="shared" si="292"/>
        <v/>
      </c>
      <c r="U1034" s="32" t="str">
        <f t="shared" si="295"/>
        <v/>
      </c>
      <c r="V1034" s="32">
        <f t="shared" si="296"/>
        <v>1</v>
      </c>
      <c r="W1034" s="41">
        <f t="shared" si="293"/>
        <v>3.085014293447641</v>
      </c>
      <c r="X1034" s="6">
        <f t="shared" si="294"/>
        <v>0</v>
      </c>
      <c r="Y1034" s="7">
        <f t="shared" si="297"/>
        <v>567</v>
      </c>
      <c r="AA1034" s="7">
        <f t="shared" si="298"/>
        <v>0</v>
      </c>
      <c r="AB1034" s="7" t="str">
        <f t="shared" si="299"/>
        <v/>
      </c>
      <c r="AC1034" s="7">
        <f t="shared" si="300"/>
        <v>0</v>
      </c>
      <c r="AD1034" s="7" t="str">
        <f t="shared" si="301"/>
        <v/>
      </c>
      <c r="AE1034" s="6">
        <f t="shared" si="302"/>
        <v>0</v>
      </c>
      <c r="AF1034" s="69">
        <f t="shared" si="303"/>
        <v>3.085014293447641</v>
      </c>
      <c r="AG1034" s="6">
        <f t="shared" si="304"/>
        <v>0</v>
      </c>
      <c r="AH1034" s="6">
        <f t="shared" si="305"/>
        <v>604</v>
      </c>
    </row>
    <row r="1035" spans="8:34" x14ac:dyDescent="0.25">
      <c r="H1035" s="7">
        <v>1042</v>
      </c>
      <c r="I1035" s="7" t="s">
        <v>14</v>
      </c>
      <c r="J1035" s="8">
        <v>38969</v>
      </c>
      <c r="K1035" s="12" t="s">
        <v>18</v>
      </c>
      <c r="L1035" s="9">
        <v>35</v>
      </c>
      <c r="M1035" s="10">
        <v>106.66944991477989</v>
      </c>
      <c r="N1035" s="7" t="s">
        <v>23</v>
      </c>
      <c r="P1035" s="29" t="str">
        <f t="shared" si="288"/>
        <v/>
      </c>
      <c r="Q1035" s="29" t="str">
        <f t="shared" si="289"/>
        <v/>
      </c>
      <c r="R1035" s="29" t="str">
        <f t="shared" si="290"/>
        <v/>
      </c>
      <c r="S1035" s="29" t="str">
        <f t="shared" si="291"/>
        <v/>
      </c>
      <c r="T1035" s="32" t="str">
        <f t="shared" si="292"/>
        <v/>
      </c>
      <c r="U1035" s="32" t="str">
        <f t="shared" si="295"/>
        <v/>
      </c>
      <c r="V1035" s="32">
        <f t="shared" si="296"/>
        <v>1</v>
      </c>
      <c r="W1035" s="41">
        <f t="shared" si="293"/>
        <v>3.0476985689937113</v>
      </c>
      <c r="X1035" s="6">
        <f t="shared" si="294"/>
        <v>0</v>
      </c>
      <c r="Y1035" s="7">
        <f t="shared" si="297"/>
        <v>567</v>
      </c>
      <c r="AA1035" s="7">
        <f t="shared" si="298"/>
        <v>0</v>
      </c>
      <c r="AB1035" s="7" t="str">
        <f t="shared" si="299"/>
        <v/>
      </c>
      <c r="AC1035" s="7">
        <f t="shared" si="300"/>
        <v>0</v>
      </c>
      <c r="AD1035" s="7" t="str">
        <f t="shared" si="301"/>
        <v/>
      </c>
      <c r="AE1035" s="6">
        <f t="shared" si="302"/>
        <v>0</v>
      </c>
      <c r="AF1035" s="69">
        <f t="shared" si="303"/>
        <v>3.0476985689937113</v>
      </c>
      <c r="AG1035" s="6">
        <f t="shared" si="304"/>
        <v>0</v>
      </c>
      <c r="AH1035" s="6">
        <f t="shared" si="305"/>
        <v>604</v>
      </c>
    </row>
    <row r="1036" spans="8:34" x14ac:dyDescent="0.25">
      <c r="H1036" s="7">
        <v>1043</v>
      </c>
      <c r="I1036" s="7" t="s">
        <v>15</v>
      </c>
      <c r="J1036" s="8">
        <v>38067</v>
      </c>
      <c r="K1036" s="12" t="s">
        <v>18</v>
      </c>
      <c r="L1036" s="9">
        <v>23</v>
      </c>
      <c r="M1036" s="10">
        <v>71.099513118305453</v>
      </c>
      <c r="N1036" s="7" t="s">
        <v>23</v>
      </c>
      <c r="P1036" s="29">
        <f t="shared" si="288"/>
        <v>1</v>
      </c>
      <c r="Q1036" s="29" t="str">
        <f t="shared" si="289"/>
        <v/>
      </c>
      <c r="R1036" s="29" t="str">
        <f t="shared" si="290"/>
        <v/>
      </c>
      <c r="S1036" s="29" t="str">
        <f t="shared" si="291"/>
        <v/>
      </c>
      <c r="T1036" s="32" t="str">
        <f t="shared" si="292"/>
        <v/>
      </c>
      <c r="U1036" s="32" t="str">
        <f t="shared" si="295"/>
        <v/>
      </c>
      <c r="V1036" s="32" t="str">
        <f t="shared" si="296"/>
        <v/>
      </c>
      <c r="W1036" s="41">
        <f t="shared" si="293"/>
        <v>3.091283179056759</v>
      </c>
      <c r="X1036" s="6">
        <f t="shared" si="294"/>
        <v>0</v>
      </c>
      <c r="Y1036" s="7">
        <f t="shared" si="297"/>
        <v>567</v>
      </c>
      <c r="AA1036" s="7">
        <f t="shared" si="298"/>
        <v>0</v>
      </c>
      <c r="AB1036" s="7" t="str">
        <f t="shared" si="299"/>
        <v/>
      </c>
      <c r="AC1036" s="7">
        <f t="shared" si="300"/>
        <v>0</v>
      </c>
      <c r="AD1036" s="7" t="str">
        <f t="shared" si="301"/>
        <v/>
      </c>
      <c r="AE1036" s="6">
        <f t="shared" si="302"/>
        <v>0</v>
      </c>
      <c r="AF1036" s="69">
        <f t="shared" si="303"/>
        <v>3.091283179056759</v>
      </c>
      <c r="AG1036" s="6">
        <f t="shared" si="304"/>
        <v>71.099513118305453</v>
      </c>
      <c r="AH1036" s="6">
        <f t="shared" si="305"/>
        <v>440</v>
      </c>
    </row>
    <row r="1037" spans="8:34" x14ac:dyDescent="0.25">
      <c r="H1037" s="7">
        <v>1044</v>
      </c>
      <c r="I1037" s="7" t="s">
        <v>10</v>
      </c>
      <c r="J1037" s="8">
        <v>38837</v>
      </c>
      <c r="K1037" s="12" t="s">
        <v>16</v>
      </c>
      <c r="L1037" s="9">
        <v>32</v>
      </c>
      <c r="M1037" s="10">
        <v>97.982599723305</v>
      </c>
      <c r="N1037" s="7" t="s">
        <v>24</v>
      </c>
      <c r="P1037" s="29" t="str">
        <f t="shared" si="288"/>
        <v/>
      </c>
      <c r="Q1037" s="29" t="str">
        <f t="shared" si="289"/>
        <v/>
      </c>
      <c r="R1037" s="29" t="str">
        <f t="shared" si="290"/>
        <v/>
      </c>
      <c r="S1037" s="29" t="str">
        <f t="shared" si="291"/>
        <v/>
      </c>
      <c r="T1037" s="32" t="str">
        <f t="shared" si="292"/>
        <v/>
      </c>
      <c r="U1037" s="32" t="str">
        <f t="shared" si="295"/>
        <v/>
      </c>
      <c r="V1037" s="32">
        <f t="shared" si="296"/>
        <v>1</v>
      </c>
      <c r="W1037" s="41">
        <f t="shared" si="293"/>
        <v>3.0619562413532813</v>
      </c>
      <c r="X1037" s="6">
        <f t="shared" si="294"/>
        <v>0</v>
      </c>
      <c r="Y1037" s="7">
        <f t="shared" si="297"/>
        <v>567</v>
      </c>
      <c r="AA1037" s="7">
        <f t="shared" si="298"/>
        <v>0</v>
      </c>
      <c r="AB1037" s="7" t="str">
        <f t="shared" si="299"/>
        <v/>
      </c>
      <c r="AC1037" s="7">
        <f t="shared" si="300"/>
        <v>0</v>
      </c>
      <c r="AD1037" s="7" t="str">
        <f t="shared" si="301"/>
        <v/>
      </c>
      <c r="AE1037" s="6">
        <f t="shared" si="302"/>
        <v>0</v>
      </c>
      <c r="AF1037" s="69">
        <f t="shared" si="303"/>
        <v>3.0619562413532813</v>
      </c>
      <c r="AG1037" s="6">
        <f t="shared" si="304"/>
        <v>0</v>
      </c>
      <c r="AH1037" s="6">
        <f t="shared" si="305"/>
        <v>604</v>
      </c>
    </row>
    <row r="1038" spans="8:34" x14ac:dyDescent="0.25">
      <c r="H1038" s="7">
        <v>1045</v>
      </c>
      <c r="I1038" s="7" t="s">
        <v>12</v>
      </c>
      <c r="J1038" s="8">
        <v>38232</v>
      </c>
      <c r="K1038" s="12" t="s">
        <v>20</v>
      </c>
      <c r="L1038" s="9">
        <v>46</v>
      </c>
      <c r="M1038" s="10">
        <v>139.82203886104327</v>
      </c>
      <c r="N1038" s="7" t="s">
        <v>22</v>
      </c>
      <c r="P1038" s="29" t="str">
        <f t="shared" si="288"/>
        <v/>
      </c>
      <c r="Q1038" s="29" t="str">
        <f t="shared" si="289"/>
        <v/>
      </c>
      <c r="R1038" s="29">
        <f t="shared" si="290"/>
        <v>1</v>
      </c>
      <c r="S1038" s="29" t="str">
        <f t="shared" si="291"/>
        <v/>
      </c>
      <c r="T1038" s="32" t="str">
        <f t="shared" si="292"/>
        <v/>
      </c>
      <c r="U1038" s="32" t="str">
        <f t="shared" si="295"/>
        <v/>
      </c>
      <c r="V1038" s="32" t="str">
        <f t="shared" si="296"/>
        <v/>
      </c>
      <c r="W1038" s="41">
        <f t="shared" si="293"/>
        <v>3.0396095404574623</v>
      </c>
      <c r="X1038" s="6">
        <f t="shared" si="294"/>
        <v>0</v>
      </c>
      <c r="Y1038" s="7">
        <f t="shared" si="297"/>
        <v>567</v>
      </c>
      <c r="AA1038" s="7">
        <f t="shared" si="298"/>
        <v>0</v>
      </c>
      <c r="AB1038" s="7" t="str">
        <f t="shared" si="299"/>
        <v/>
      </c>
      <c r="AC1038" s="7">
        <f t="shared" si="300"/>
        <v>0</v>
      </c>
      <c r="AD1038" s="7" t="str">
        <f t="shared" si="301"/>
        <v/>
      </c>
      <c r="AE1038" s="6">
        <f t="shared" si="302"/>
        <v>0</v>
      </c>
      <c r="AF1038" s="69">
        <f t="shared" si="303"/>
        <v>3.0396095404574623</v>
      </c>
      <c r="AG1038" s="6">
        <f t="shared" si="304"/>
        <v>139.82203886104327</v>
      </c>
      <c r="AH1038" s="6">
        <f t="shared" si="305"/>
        <v>299</v>
      </c>
    </row>
    <row r="1039" spans="8:34" x14ac:dyDescent="0.25">
      <c r="H1039" s="7">
        <v>1046</v>
      </c>
      <c r="I1039" s="7" t="s">
        <v>15</v>
      </c>
      <c r="J1039" s="8">
        <v>38023</v>
      </c>
      <c r="K1039" s="12" t="s">
        <v>17</v>
      </c>
      <c r="L1039" s="9">
        <v>28</v>
      </c>
      <c r="M1039" s="10">
        <v>85.913586896960894</v>
      </c>
      <c r="N1039" s="7" t="s">
        <v>22</v>
      </c>
      <c r="P1039" s="29">
        <f t="shared" si="288"/>
        <v>1</v>
      </c>
      <c r="Q1039" s="29" t="str">
        <f t="shared" si="289"/>
        <v/>
      </c>
      <c r="R1039" s="29" t="str">
        <f t="shared" si="290"/>
        <v/>
      </c>
      <c r="S1039" s="29" t="str">
        <f t="shared" si="291"/>
        <v/>
      </c>
      <c r="T1039" s="32" t="str">
        <f t="shared" si="292"/>
        <v/>
      </c>
      <c r="U1039" s="32" t="str">
        <f t="shared" si="295"/>
        <v/>
      </c>
      <c r="V1039" s="32" t="str">
        <f t="shared" si="296"/>
        <v/>
      </c>
      <c r="W1039" s="41">
        <f t="shared" si="293"/>
        <v>3.0683423891771748</v>
      </c>
      <c r="X1039" s="6">
        <f t="shared" si="294"/>
        <v>0</v>
      </c>
      <c r="Y1039" s="7">
        <f t="shared" si="297"/>
        <v>567</v>
      </c>
      <c r="AA1039" s="7">
        <f t="shared" si="298"/>
        <v>0</v>
      </c>
      <c r="AB1039" s="7" t="str">
        <f t="shared" si="299"/>
        <v/>
      </c>
      <c r="AC1039" s="7">
        <f t="shared" si="300"/>
        <v>0</v>
      </c>
      <c r="AD1039" s="7" t="str">
        <f t="shared" si="301"/>
        <v/>
      </c>
      <c r="AE1039" s="6">
        <f t="shared" si="302"/>
        <v>0</v>
      </c>
      <c r="AF1039" s="69">
        <f t="shared" si="303"/>
        <v>3.0683423891771748</v>
      </c>
      <c r="AG1039" s="6">
        <f t="shared" si="304"/>
        <v>85.913586896960894</v>
      </c>
      <c r="AH1039" s="6">
        <f t="shared" si="305"/>
        <v>411</v>
      </c>
    </row>
    <row r="1040" spans="8:34" x14ac:dyDescent="0.25">
      <c r="H1040" s="7">
        <v>1047</v>
      </c>
      <c r="I1040" s="7" t="s">
        <v>15</v>
      </c>
      <c r="J1040" s="8">
        <v>38386</v>
      </c>
      <c r="K1040" s="12" t="s">
        <v>19</v>
      </c>
      <c r="L1040" s="9">
        <v>58</v>
      </c>
      <c r="M1040" s="10">
        <v>176.38262351251041</v>
      </c>
      <c r="N1040" s="7" t="s">
        <v>21</v>
      </c>
      <c r="P1040" s="29" t="str">
        <f t="shared" si="288"/>
        <v/>
      </c>
      <c r="Q1040" s="29" t="str">
        <f t="shared" si="289"/>
        <v/>
      </c>
      <c r="R1040" s="29" t="str">
        <f t="shared" si="290"/>
        <v/>
      </c>
      <c r="S1040" s="29" t="str">
        <f t="shared" si="291"/>
        <v/>
      </c>
      <c r="T1040" s="32" t="str">
        <f t="shared" si="292"/>
        <v/>
      </c>
      <c r="U1040" s="32">
        <f t="shared" si="295"/>
        <v>1</v>
      </c>
      <c r="V1040" s="32" t="str">
        <f t="shared" si="296"/>
        <v/>
      </c>
      <c r="W1040" s="41">
        <f t="shared" si="293"/>
        <v>3.0410797157329381</v>
      </c>
      <c r="X1040" s="6">
        <f t="shared" si="294"/>
        <v>176.38262351251041</v>
      </c>
      <c r="Y1040" s="7">
        <f t="shared" si="297"/>
        <v>213</v>
      </c>
      <c r="AA1040" s="7">
        <f t="shared" si="298"/>
        <v>1</v>
      </c>
      <c r="AB1040" s="7">
        <f t="shared" si="299"/>
        <v>58</v>
      </c>
      <c r="AC1040" s="7">
        <f t="shared" si="300"/>
        <v>0</v>
      </c>
      <c r="AD1040" s="7" t="str">
        <f t="shared" si="301"/>
        <v/>
      </c>
      <c r="AE1040" s="6">
        <f t="shared" si="302"/>
        <v>0</v>
      </c>
      <c r="AF1040" s="69">
        <f t="shared" si="303"/>
        <v>3.0410797157329381</v>
      </c>
      <c r="AG1040" s="6">
        <f t="shared" si="304"/>
        <v>0</v>
      </c>
      <c r="AH1040" s="6">
        <f t="shared" si="305"/>
        <v>604</v>
      </c>
    </row>
    <row r="1041" spans="8:34" x14ac:dyDescent="0.25">
      <c r="H1041" s="7">
        <v>1048</v>
      </c>
      <c r="I1041" s="7" t="s">
        <v>13</v>
      </c>
      <c r="J1041" s="8">
        <v>38672</v>
      </c>
      <c r="K1041" s="12" t="s">
        <v>17</v>
      </c>
      <c r="L1041" s="9">
        <v>19</v>
      </c>
      <c r="M1041" s="10">
        <v>59.083968230358913</v>
      </c>
      <c r="N1041" s="7" t="s">
        <v>21</v>
      </c>
      <c r="P1041" s="29" t="str">
        <f t="shared" si="288"/>
        <v/>
      </c>
      <c r="Q1041" s="29" t="str">
        <f t="shared" si="289"/>
        <v/>
      </c>
      <c r="R1041" s="29" t="str">
        <f t="shared" si="290"/>
        <v/>
      </c>
      <c r="S1041" s="29" t="str">
        <f t="shared" si="291"/>
        <v/>
      </c>
      <c r="T1041" s="32">
        <f t="shared" si="292"/>
        <v>1</v>
      </c>
      <c r="U1041" s="32">
        <f t="shared" si="295"/>
        <v>1</v>
      </c>
      <c r="V1041" s="32" t="str">
        <f t="shared" si="296"/>
        <v/>
      </c>
      <c r="W1041" s="41">
        <f t="shared" si="293"/>
        <v>3.1096825384399427</v>
      </c>
      <c r="X1041" s="6">
        <f t="shared" si="294"/>
        <v>59.083968230358913</v>
      </c>
      <c r="Y1041" s="7">
        <f t="shared" si="297"/>
        <v>443</v>
      </c>
      <c r="AA1041" s="7">
        <f t="shared" si="298"/>
        <v>0</v>
      </c>
      <c r="AB1041" s="7" t="str">
        <f t="shared" si="299"/>
        <v/>
      </c>
      <c r="AC1041" s="7">
        <f t="shared" si="300"/>
        <v>1</v>
      </c>
      <c r="AD1041" s="7">
        <f t="shared" si="301"/>
        <v>19</v>
      </c>
      <c r="AE1041" s="6">
        <f t="shared" si="302"/>
        <v>0</v>
      </c>
      <c r="AF1041" s="69">
        <f t="shared" si="303"/>
        <v>3.1096825384399427</v>
      </c>
      <c r="AG1041" s="6">
        <f t="shared" si="304"/>
        <v>0</v>
      </c>
      <c r="AH1041" s="6">
        <f t="shared" si="305"/>
        <v>604</v>
      </c>
    </row>
    <row r="1042" spans="8:34" x14ac:dyDescent="0.25">
      <c r="H1042" s="7">
        <v>1049</v>
      </c>
      <c r="I1042" s="7" t="s">
        <v>11</v>
      </c>
      <c r="J1042" s="8">
        <v>38210</v>
      </c>
      <c r="K1042" s="12" t="s">
        <v>17</v>
      </c>
      <c r="L1042" s="9">
        <v>79</v>
      </c>
      <c r="M1042" s="10">
        <v>238.63617965265877</v>
      </c>
      <c r="N1042" s="7" t="s">
        <v>24</v>
      </c>
      <c r="P1042" s="29" t="str">
        <f t="shared" si="288"/>
        <v/>
      </c>
      <c r="Q1042" s="29" t="str">
        <f t="shared" si="289"/>
        <v/>
      </c>
      <c r="R1042" s="29">
        <f t="shared" si="290"/>
        <v>1</v>
      </c>
      <c r="S1042" s="29" t="str">
        <f t="shared" si="291"/>
        <v/>
      </c>
      <c r="T1042" s="32" t="str">
        <f t="shared" si="292"/>
        <v/>
      </c>
      <c r="U1042" s="32" t="str">
        <f t="shared" si="295"/>
        <v/>
      </c>
      <c r="V1042" s="32" t="str">
        <f t="shared" si="296"/>
        <v/>
      </c>
      <c r="W1042" s="41">
        <f t="shared" si="293"/>
        <v>3.0207111348437818</v>
      </c>
      <c r="X1042" s="6">
        <f t="shared" si="294"/>
        <v>0</v>
      </c>
      <c r="Y1042" s="7">
        <f t="shared" si="297"/>
        <v>567</v>
      </c>
      <c r="AA1042" s="7">
        <f t="shared" si="298"/>
        <v>0</v>
      </c>
      <c r="AB1042" s="7" t="str">
        <f t="shared" si="299"/>
        <v/>
      </c>
      <c r="AC1042" s="7">
        <f t="shared" si="300"/>
        <v>0</v>
      </c>
      <c r="AD1042" s="7" t="str">
        <f t="shared" si="301"/>
        <v/>
      </c>
      <c r="AE1042" s="6">
        <f t="shared" si="302"/>
        <v>0</v>
      </c>
      <c r="AF1042" s="69">
        <f t="shared" si="303"/>
        <v>3.0207111348437818</v>
      </c>
      <c r="AG1042" s="6">
        <f t="shared" si="304"/>
        <v>238.63617965265877</v>
      </c>
      <c r="AH1042" s="6">
        <f t="shared" si="305"/>
        <v>99</v>
      </c>
    </row>
    <row r="1043" spans="8:34" x14ac:dyDescent="0.25">
      <c r="H1043" s="7">
        <v>1050</v>
      </c>
      <c r="I1043" s="7" t="s">
        <v>7</v>
      </c>
      <c r="J1043" s="8">
        <v>38331</v>
      </c>
      <c r="K1043" s="12" t="s">
        <v>20</v>
      </c>
      <c r="L1043" s="9">
        <v>31</v>
      </c>
      <c r="M1043" s="10">
        <v>94.124548214467538</v>
      </c>
      <c r="N1043" s="7" t="s">
        <v>22</v>
      </c>
      <c r="P1043" s="29" t="str">
        <f t="shared" si="288"/>
        <v/>
      </c>
      <c r="Q1043" s="29" t="str">
        <f t="shared" si="289"/>
        <v/>
      </c>
      <c r="R1043" s="29" t="str">
        <f t="shared" si="290"/>
        <v/>
      </c>
      <c r="S1043" s="29">
        <f t="shared" si="291"/>
        <v>1</v>
      </c>
      <c r="T1043" s="32" t="str">
        <f t="shared" si="292"/>
        <v/>
      </c>
      <c r="U1043" s="32" t="str">
        <f t="shared" si="295"/>
        <v/>
      </c>
      <c r="V1043" s="32" t="str">
        <f t="shared" si="296"/>
        <v/>
      </c>
      <c r="W1043" s="41">
        <f t="shared" si="293"/>
        <v>3.0362757488537917</v>
      </c>
      <c r="X1043" s="6">
        <f t="shared" si="294"/>
        <v>0</v>
      </c>
      <c r="Y1043" s="7">
        <f t="shared" si="297"/>
        <v>567</v>
      </c>
      <c r="AA1043" s="7">
        <f t="shared" si="298"/>
        <v>0</v>
      </c>
      <c r="AB1043" s="7" t="str">
        <f t="shared" si="299"/>
        <v/>
      </c>
      <c r="AC1043" s="7">
        <f t="shared" si="300"/>
        <v>0</v>
      </c>
      <c r="AD1043" s="7" t="str">
        <f t="shared" si="301"/>
        <v/>
      </c>
      <c r="AE1043" s="6">
        <f t="shared" si="302"/>
        <v>0</v>
      </c>
      <c r="AF1043" s="69">
        <f t="shared" si="303"/>
        <v>3.0362757488537917</v>
      </c>
      <c r="AG1043" s="6">
        <f t="shared" si="304"/>
        <v>94.124548214467538</v>
      </c>
      <c r="AH1043" s="6">
        <f t="shared" si="305"/>
        <v>389</v>
      </c>
    </row>
    <row r="1044" spans="8:34" x14ac:dyDescent="0.25">
      <c r="H1044" s="7">
        <v>1051</v>
      </c>
      <c r="I1044" s="7" t="s">
        <v>15</v>
      </c>
      <c r="J1044" s="8">
        <v>38672</v>
      </c>
      <c r="K1044" s="12" t="s">
        <v>16</v>
      </c>
      <c r="L1044" s="9">
        <v>4</v>
      </c>
      <c r="M1044" s="10">
        <v>14.292798170188892</v>
      </c>
      <c r="N1044" s="7" t="s">
        <v>21</v>
      </c>
      <c r="P1044" s="29" t="str">
        <f t="shared" si="288"/>
        <v/>
      </c>
      <c r="Q1044" s="29" t="str">
        <f t="shared" si="289"/>
        <v/>
      </c>
      <c r="R1044" s="29" t="str">
        <f t="shared" si="290"/>
        <v/>
      </c>
      <c r="S1044" s="29" t="str">
        <f t="shared" si="291"/>
        <v/>
      </c>
      <c r="T1044" s="32">
        <f t="shared" si="292"/>
        <v>1</v>
      </c>
      <c r="U1044" s="32">
        <f t="shared" si="295"/>
        <v>1</v>
      </c>
      <c r="V1044" s="32" t="str">
        <f t="shared" si="296"/>
        <v/>
      </c>
      <c r="W1044" s="41">
        <f t="shared" si="293"/>
        <v>3.5731995425472229</v>
      </c>
      <c r="X1044" s="6">
        <f t="shared" si="294"/>
        <v>14.292798170188892</v>
      </c>
      <c r="Y1044" s="7">
        <f t="shared" si="297"/>
        <v>536</v>
      </c>
      <c r="AA1044" s="7">
        <f t="shared" si="298"/>
        <v>0</v>
      </c>
      <c r="AB1044" s="7" t="str">
        <f t="shared" si="299"/>
        <v/>
      </c>
      <c r="AC1044" s="7">
        <f t="shared" si="300"/>
        <v>1</v>
      </c>
      <c r="AD1044" s="7">
        <f t="shared" si="301"/>
        <v>4</v>
      </c>
      <c r="AE1044" s="6">
        <f t="shared" si="302"/>
        <v>0</v>
      </c>
      <c r="AF1044" s="69">
        <f t="shared" si="303"/>
        <v>3.5731995425472229</v>
      </c>
      <c r="AG1044" s="6">
        <f t="shared" si="304"/>
        <v>0</v>
      </c>
      <c r="AH1044" s="6">
        <f t="shared" si="305"/>
        <v>604</v>
      </c>
    </row>
    <row r="1045" spans="8:34" x14ac:dyDescent="0.25">
      <c r="H1045" s="7">
        <v>1052</v>
      </c>
      <c r="I1045" s="7" t="s">
        <v>11</v>
      </c>
      <c r="J1045" s="8">
        <v>38804</v>
      </c>
      <c r="K1045" s="12" t="s">
        <v>18</v>
      </c>
      <c r="L1045" s="9">
        <v>91</v>
      </c>
      <c r="M1045" s="10">
        <v>275.5094232943423</v>
      </c>
      <c r="N1045" s="7" t="s">
        <v>22</v>
      </c>
      <c r="P1045" s="29" t="str">
        <f t="shared" si="288"/>
        <v/>
      </c>
      <c r="Q1045" s="29" t="str">
        <f t="shared" si="289"/>
        <v/>
      </c>
      <c r="R1045" s="29" t="str">
        <f t="shared" si="290"/>
        <v/>
      </c>
      <c r="S1045" s="29" t="str">
        <f t="shared" si="291"/>
        <v/>
      </c>
      <c r="T1045" s="32" t="str">
        <f t="shared" si="292"/>
        <v/>
      </c>
      <c r="U1045" s="32" t="str">
        <f t="shared" si="295"/>
        <v/>
      </c>
      <c r="V1045" s="32">
        <f t="shared" si="296"/>
        <v>1</v>
      </c>
      <c r="W1045" s="41">
        <f t="shared" si="293"/>
        <v>3.0275760801576075</v>
      </c>
      <c r="X1045" s="6">
        <f t="shared" si="294"/>
        <v>0</v>
      </c>
      <c r="Y1045" s="7">
        <f t="shared" si="297"/>
        <v>567</v>
      </c>
      <c r="AA1045" s="7">
        <f t="shared" si="298"/>
        <v>0</v>
      </c>
      <c r="AB1045" s="7" t="str">
        <f t="shared" si="299"/>
        <v/>
      </c>
      <c r="AC1045" s="7">
        <f t="shared" si="300"/>
        <v>0</v>
      </c>
      <c r="AD1045" s="7" t="str">
        <f t="shared" si="301"/>
        <v/>
      </c>
      <c r="AE1045" s="6">
        <f t="shared" si="302"/>
        <v>0</v>
      </c>
      <c r="AF1045" s="69">
        <f t="shared" si="303"/>
        <v>3.0275760801576075</v>
      </c>
      <c r="AG1045" s="6">
        <f t="shared" si="304"/>
        <v>0</v>
      </c>
      <c r="AH1045" s="6">
        <f t="shared" si="305"/>
        <v>604</v>
      </c>
    </row>
    <row r="1046" spans="8:34" x14ac:dyDescent="0.25">
      <c r="H1046" s="7">
        <v>1053</v>
      </c>
      <c r="I1046" s="7" t="s">
        <v>8</v>
      </c>
      <c r="J1046" s="8">
        <v>38518</v>
      </c>
      <c r="K1046" s="12" t="s">
        <v>17</v>
      </c>
      <c r="L1046" s="9">
        <v>51</v>
      </c>
      <c r="M1046" s="10">
        <v>154.74630946716462</v>
      </c>
      <c r="N1046" s="7" t="s">
        <v>21</v>
      </c>
      <c r="P1046" s="29" t="str">
        <f t="shared" si="288"/>
        <v/>
      </c>
      <c r="Q1046" s="29" t="str">
        <f t="shared" si="289"/>
        <v/>
      </c>
      <c r="R1046" s="29" t="str">
        <f t="shared" si="290"/>
        <v/>
      </c>
      <c r="S1046" s="29" t="str">
        <f t="shared" si="291"/>
        <v/>
      </c>
      <c r="T1046" s="32" t="str">
        <f t="shared" si="292"/>
        <v/>
      </c>
      <c r="U1046" s="32">
        <f t="shared" si="295"/>
        <v>1</v>
      </c>
      <c r="V1046" s="32" t="str">
        <f t="shared" si="296"/>
        <v/>
      </c>
      <c r="W1046" s="41">
        <f t="shared" si="293"/>
        <v>3.0342413621012669</v>
      </c>
      <c r="X1046" s="6">
        <f t="shared" si="294"/>
        <v>154.74630946716462</v>
      </c>
      <c r="Y1046" s="7">
        <f t="shared" si="297"/>
        <v>258</v>
      </c>
      <c r="AA1046" s="7">
        <f t="shared" si="298"/>
        <v>0</v>
      </c>
      <c r="AB1046" s="7" t="str">
        <f t="shared" si="299"/>
        <v/>
      </c>
      <c r="AC1046" s="7">
        <f t="shared" si="300"/>
        <v>1</v>
      </c>
      <c r="AD1046" s="7">
        <f t="shared" si="301"/>
        <v>51</v>
      </c>
      <c r="AE1046" s="6">
        <f t="shared" si="302"/>
        <v>0</v>
      </c>
      <c r="AF1046" s="69">
        <f t="shared" si="303"/>
        <v>3.0342413621012669</v>
      </c>
      <c r="AG1046" s="6">
        <f t="shared" si="304"/>
        <v>0</v>
      </c>
      <c r="AH1046" s="6">
        <f t="shared" si="305"/>
        <v>604</v>
      </c>
    </row>
    <row r="1047" spans="8:34" x14ac:dyDescent="0.25">
      <c r="H1047" s="7">
        <v>1054</v>
      </c>
      <c r="I1047" s="7" t="s">
        <v>13</v>
      </c>
      <c r="J1047" s="8">
        <v>38001</v>
      </c>
      <c r="K1047" s="12" t="s">
        <v>16</v>
      </c>
      <c r="L1047" s="9">
        <v>2</v>
      </c>
      <c r="M1047" s="10">
        <v>8.3443048208269879</v>
      </c>
      <c r="N1047" s="7" t="s">
        <v>21</v>
      </c>
      <c r="P1047" s="29">
        <f t="shared" si="288"/>
        <v>1</v>
      </c>
      <c r="Q1047" s="29" t="str">
        <f t="shared" si="289"/>
        <v/>
      </c>
      <c r="R1047" s="29" t="str">
        <f t="shared" si="290"/>
        <v/>
      </c>
      <c r="S1047" s="29" t="str">
        <f t="shared" si="291"/>
        <v/>
      </c>
      <c r="T1047" s="32" t="str">
        <f t="shared" si="292"/>
        <v/>
      </c>
      <c r="U1047" s="32" t="str">
        <f t="shared" si="295"/>
        <v/>
      </c>
      <c r="V1047" s="32" t="str">
        <f t="shared" si="296"/>
        <v/>
      </c>
      <c r="W1047" s="41">
        <f t="shared" si="293"/>
        <v>4.1721524104134939</v>
      </c>
      <c r="X1047" s="6">
        <f t="shared" si="294"/>
        <v>0</v>
      </c>
      <c r="Y1047" s="7">
        <f t="shared" si="297"/>
        <v>567</v>
      </c>
      <c r="AA1047" s="7">
        <f t="shared" si="298"/>
        <v>0</v>
      </c>
      <c r="AB1047" s="7" t="str">
        <f t="shared" si="299"/>
        <v/>
      </c>
      <c r="AC1047" s="7">
        <f t="shared" si="300"/>
        <v>0</v>
      </c>
      <c r="AD1047" s="7" t="str">
        <f t="shared" si="301"/>
        <v/>
      </c>
      <c r="AE1047" s="6">
        <f t="shared" si="302"/>
        <v>0</v>
      </c>
      <c r="AF1047" s="69">
        <f t="shared" si="303"/>
        <v>4.1721524104134939</v>
      </c>
      <c r="AG1047" s="6">
        <f t="shared" si="304"/>
        <v>8.3443048208269879</v>
      </c>
      <c r="AH1047" s="6">
        <f t="shared" si="305"/>
        <v>587</v>
      </c>
    </row>
    <row r="1048" spans="8:34" x14ac:dyDescent="0.25">
      <c r="H1048" s="7">
        <v>1055</v>
      </c>
      <c r="I1048" s="7" t="s">
        <v>14</v>
      </c>
      <c r="J1048" s="8">
        <v>38540</v>
      </c>
      <c r="K1048" s="12" t="s">
        <v>19</v>
      </c>
      <c r="L1048" s="9">
        <v>42</v>
      </c>
      <c r="M1048" s="10">
        <v>127.68402675435583</v>
      </c>
      <c r="N1048" s="7" t="s">
        <v>23</v>
      </c>
      <c r="P1048" s="29" t="str">
        <f t="shared" si="288"/>
        <v/>
      </c>
      <c r="Q1048" s="29" t="str">
        <f t="shared" si="289"/>
        <v/>
      </c>
      <c r="R1048" s="29" t="str">
        <f t="shared" si="290"/>
        <v/>
      </c>
      <c r="S1048" s="29" t="str">
        <f t="shared" si="291"/>
        <v/>
      </c>
      <c r="T1048" s="32" t="str">
        <f t="shared" si="292"/>
        <v/>
      </c>
      <c r="U1048" s="32">
        <f t="shared" si="295"/>
        <v>1</v>
      </c>
      <c r="V1048" s="32" t="str">
        <f t="shared" si="296"/>
        <v/>
      </c>
      <c r="W1048" s="41">
        <f t="shared" si="293"/>
        <v>3.0400958751037104</v>
      </c>
      <c r="X1048" s="6">
        <f t="shared" si="294"/>
        <v>127.68402675435583</v>
      </c>
      <c r="Y1048" s="7">
        <f t="shared" si="297"/>
        <v>307</v>
      </c>
      <c r="AA1048" s="7">
        <f t="shared" si="298"/>
        <v>1</v>
      </c>
      <c r="AB1048" s="7">
        <f t="shared" si="299"/>
        <v>42</v>
      </c>
      <c r="AC1048" s="7">
        <f t="shared" si="300"/>
        <v>0</v>
      </c>
      <c r="AD1048" s="7" t="str">
        <f t="shared" si="301"/>
        <v/>
      </c>
      <c r="AE1048" s="6">
        <f t="shared" si="302"/>
        <v>0</v>
      </c>
      <c r="AF1048" s="69">
        <f t="shared" si="303"/>
        <v>3.0400958751037104</v>
      </c>
      <c r="AG1048" s="6">
        <f t="shared" si="304"/>
        <v>0</v>
      </c>
      <c r="AH1048" s="6">
        <f t="shared" si="305"/>
        <v>604</v>
      </c>
    </row>
    <row r="1049" spans="8:34" x14ac:dyDescent="0.25">
      <c r="H1049" s="7">
        <v>1056</v>
      </c>
      <c r="I1049" s="7" t="s">
        <v>7</v>
      </c>
      <c r="J1049" s="8">
        <v>38309</v>
      </c>
      <c r="K1049" s="12" t="s">
        <v>17</v>
      </c>
      <c r="L1049" s="9">
        <v>57</v>
      </c>
      <c r="M1049" s="10">
        <v>173.09988607692904</v>
      </c>
      <c r="N1049" s="7" t="s">
        <v>24</v>
      </c>
      <c r="P1049" s="29" t="str">
        <f t="shared" si="288"/>
        <v/>
      </c>
      <c r="Q1049" s="29" t="str">
        <f t="shared" si="289"/>
        <v/>
      </c>
      <c r="R1049" s="29" t="str">
        <f t="shared" si="290"/>
        <v/>
      </c>
      <c r="S1049" s="29">
        <f t="shared" si="291"/>
        <v>1</v>
      </c>
      <c r="T1049" s="32" t="str">
        <f t="shared" si="292"/>
        <v/>
      </c>
      <c r="U1049" s="32" t="str">
        <f t="shared" si="295"/>
        <v/>
      </c>
      <c r="V1049" s="32" t="str">
        <f t="shared" si="296"/>
        <v/>
      </c>
      <c r="W1049" s="41">
        <f t="shared" si="293"/>
        <v>3.0368401066127904</v>
      </c>
      <c r="X1049" s="6">
        <f t="shared" si="294"/>
        <v>0</v>
      </c>
      <c r="Y1049" s="7">
        <f t="shared" si="297"/>
        <v>567</v>
      </c>
      <c r="AA1049" s="7">
        <f t="shared" si="298"/>
        <v>0</v>
      </c>
      <c r="AB1049" s="7" t="str">
        <f t="shared" si="299"/>
        <v/>
      </c>
      <c r="AC1049" s="7">
        <f t="shared" si="300"/>
        <v>0</v>
      </c>
      <c r="AD1049" s="7" t="str">
        <f t="shared" si="301"/>
        <v/>
      </c>
      <c r="AE1049" s="6">
        <f t="shared" si="302"/>
        <v>0</v>
      </c>
      <c r="AF1049" s="69">
        <f t="shared" si="303"/>
        <v>3.0368401066127904</v>
      </c>
      <c r="AG1049" s="6">
        <f t="shared" si="304"/>
        <v>173.09988607692904</v>
      </c>
      <c r="AH1049" s="6">
        <f t="shared" si="305"/>
        <v>231</v>
      </c>
    </row>
    <row r="1050" spans="8:34" x14ac:dyDescent="0.25">
      <c r="H1050" s="7">
        <v>1057</v>
      </c>
      <c r="I1050" s="7" t="s">
        <v>11</v>
      </c>
      <c r="J1050" s="8">
        <v>38254</v>
      </c>
      <c r="K1050" s="12" t="s">
        <v>18</v>
      </c>
      <c r="L1050" s="9">
        <v>63</v>
      </c>
      <c r="M1050" s="10">
        <v>190.20945346469671</v>
      </c>
      <c r="N1050" s="7" t="s">
        <v>24</v>
      </c>
      <c r="P1050" s="29" t="str">
        <f t="shared" si="288"/>
        <v/>
      </c>
      <c r="Q1050" s="29" t="str">
        <f t="shared" si="289"/>
        <v/>
      </c>
      <c r="R1050" s="29">
        <f t="shared" si="290"/>
        <v>1</v>
      </c>
      <c r="S1050" s="29" t="str">
        <f t="shared" si="291"/>
        <v/>
      </c>
      <c r="T1050" s="32" t="str">
        <f t="shared" si="292"/>
        <v/>
      </c>
      <c r="U1050" s="32" t="str">
        <f t="shared" si="295"/>
        <v/>
      </c>
      <c r="V1050" s="32" t="str">
        <f t="shared" si="296"/>
        <v/>
      </c>
      <c r="W1050" s="41">
        <f t="shared" si="293"/>
        <v>3.0191976740428048</v>
      </c>
      <c r="X1050" s="6">
        <f t="shared" si="294"/>
        <v>0</v>
      </c>
      <c r="Y1050" s="7">
        <f t="shared" si="297"/>
        <v>567</v>
      </c>
      <c r="AA1050" s="7">
        <f t="shared" si="298"/>
        <v>0</v>
      </c>
      <c r="AB1050" s="7" t="str">
        <f t="shared" si="299"/>
        <v/>
      </c>
      <c r="AC1050" s="7">
        <f t="shared" si="300"/>
        <v>0</v>
      </c>
      <c r="AD1050" s="7" t="str">
        <f t="shared" si="301"/>
        <v/>
      </c>
      <c r="AE1050" s="6">
        <f t="shared" si="302"/>
        <v>0</v>
      </c>
      <c r="AF1050" s="69">
        <f t="shared" si="303"/>
        <v>3.0191976740428048</v>
      </c>
      <c r="AG1050" s="6">
        <f t="shared" si="304"/>
        <v>190.20945346469671</v>
      </c>
      <c r="AH1050" s="6">
        <f t="shared" si="305"/>
        <v>198</v>
      </c>
    </row>
    <row r="1051" spans="8:34" x14ac:dyDescent="0.25">
      <c r="H1051" s="7">
        <v>1058</v>
      </c>
      <c r="I1051" s="7" t="s">
        <v>7</v>
      </c>
      <c r="J1051" s="8">
        <v>38111</v>
      </c>
      <c r="K1051" s="12" t="s">
        <v>20</v>
      </c>
      <c r="L1051" s="9">
        <v>37</v>
      </c>
      <c r="M1051" s="10">
        <v>112.97090107811077</v>
      </c>
      <c r="N1051" s="7" t="s">
        <v>22</v>
      </c>
      <c r="P1051" s="29" t="str">
        <f t="shared" si="288"/>
        <v/>
      </c>
      <c r="Q1051" s="29">
        <f t="shared" si="289"/>
        <v>1</v>
      </c>
      <c r="R1051" s="29" t="str">
        <f t="shared" si="290"/>
        <v/>
      </c>
      <c r="S1051" s="29" t="str">
        <f t="shared" si="291"/>
        <v/>
      </c>
      <c r="T1051" s="32" t="str">
        <f t="shared" si="292"/>
        <v/>
      </c>
      <c r="U1051" s="32" t="str">
        <f t="shared" si="295"/>
        <v/>
      </c>
      <c r="V1051" s="32" t="str">
        <f t="shared" si="296"/>
        <v/>
      </c>
      <c r="W1051" s="41">
        <f t="shared" si="293"/>
        <v>3.0532675967056964</v>
      </c>
      <c r="X1051" s="6">
        <f t="shared" si="294"/>
        <v>0</v>
      </c>
      <c r="Y1051" s="7">
        <f t="shared" si="297"/>
        <v>567</v>
      </c>
      <c r="AA1051" s="7">
        <f t="shared" si="298"/>
        <v>0</v>
      </c>
      <c r="AB1051" s="7" t="str">
        <f t="shared" si="299"/>
        <v/>
      </c>
      <c r="AC1051" s="7">
        <f t="shared" si="300"/>
        <v>0</v>
      </c>
      <c r="AD1051" s="7" t="str">
        <f t="shared" si="301"/>
        <v/>
      </c>
      <c r="AE1051" s="6">
        <f t="shared" si="302"/>
        <v>0</v>
      </c>
      <c r="AF1051" s="69">
        <f t="shared" si="303"/>
        <v>3.0532675967056964</v>
      </c>
      <c r="AG1051" s="6">
        <f t="shared" si="304"/>
        <v>112.97090107811077</v>
      </c>
      <c r="AH1051" s="6">
        <f t="shared" si="305"/>
        <v>347</v>
      </c>
    </row>
    <row r="1052" spans="8:34" x14ac:dyDescent="0.25">
      <c r="H1052" s="7">
        <v>1059</v>
      </c>
      <c r="I1052" s="7" t="s">
        <v>7</v>
      </c>
      <c r="J1052" s="8">
        <v>38056</v>
      </c>
      <c r="K1052" s="12" t="s">
        <v>17</v>
      </c>
      <c r="L1052" s="9">
        <v>30</v>
      </c>
      <c r="M1052" s="10">
        <v>92.612099918838155</v>
      </c>
      <c r="N1052" s="7" t="s">
        <v>21</v>
      </c>
      <c r="P1052" s="29">
        <f t="shared" si="288"/>
        <v>1</v>
      </c>
      <c r="Q1052" s="29" t="str">
        <f t="shared" si="289"/>
        <v/>
      </c>
      <c r="R1052" s="29" t="str">
        <f t="shared" si="290"/>
        <v/>
      </c>
      <c r="S1052" s="29" t="str">
        <f t="shared" si="291"/>
        <v/>
      </c>
      <c r="T1052" s="32" t="str">
        <f t="shared" si="292"/>
        <v/>
      </c>
      <c r="U1052" s="32" t="str">
        <f t="shared" si="295"/>
        <v/>
      </c>
      <c r="V1052" s="32" t="str">
        <f t="shared" si="296"/>
        <v/>
      </c>
      <c r="W1052" s="41">
        <f t="shared" si="293"/>
        <v>3.0870699972946052</v>
      </c>
      <c r="X1052" s="6">
        <f t="shared" si="294"/>
        <v>0</v>
      </c>
      <c r="Y1052" s="7">
        <f t="shared" si="297"/>
        <v>567</v>
      </c>
      <c r="AA1052" s="7">
        <f t="shared" si="298"/>
        <v>0</v>
      </c>
      <c r="AB1052" s="7" t="str">
        <f t="shared" si="299"/>
        <v/>
      </c>
      <c r="AC1052" s="7">
        <f t="shared" si="300"/>
        <v>0</v>
      </c>
      <c r="AD1052" s="7" t="str">
        <f t="shared" si="301"/>
        <v/>
      </c>
      <c r="AE1052" s="6">
        <f t="shared" si="302"/>
        <v>0</v>
      </c>
      <c r="AF1052" s="69">
        <f t="shared" si="303"/>
        <v>3.0870699972946052</v>
      </c>
      <c r="AG1052" s="6">
        <f t="shared" si="304"/>
        <v>92.612099918838155</v>
      </c>
      <c r="AH1052" s="6">
        <f t="shared" si="305"/>
        <v>390</v>
      </c>
    </row>
    <row r="1053" spans="8:34" x14ac:dyDescent="0.25">
      <c r="H1053" s="7">
        <v>1060</v>
      </c>
      <c r="I1053" s="7" t="s">
        <v>8</v>
      </c>
      <c r="J1053" s="8">
        <v>38804</v>
      </c>
      <c r="K1053" s="12" t="s">
        <v>18</v>
      </c>
      <c r="L1053" s="9">
        <v>31</v>
      </c>
      <c r="M1053" s="10">
        <v>95.22083891239123</v>
      </c>
      <c r="N1053" s="7" t="s">
        <v>24</v>
      </c>
      <c r="P1053" s="29" t="str">
        <f t="shared" si="288"/>
        <v/>
      </c>
      <c r="Q1053" s="29" t="str">
        <f t="shared" si="289"/>
        <v/>
      </c>
      <c r="R1053" s="29" t="str">
        <f t="shared" si="290"/>
        <v/>
      </c>
      <c r="S1053" s="29" t="str">
        <f t="shared" si="291"/>
        <v/>
      </c>
      <c r="T1053" s="32" t="str">
        <f t="shared" si="292"/>
        <v/>
      </c>
      <c r="U1053" s="32" t="str">
        <f t="shared" si="295"/>
        <v/>
      </c>
      <c r="V1053" s="32">
        <f t="shared" si="296"/>
        <v>1</v>
      </c>
      <c r="W1053" s="41">
        <f t="shared" si="293"/>
        <v>3.0716399649158461</v>
      </c>
      <c r="X1053" s="6">
        <f t="shared" si="294"/>
        <v>0</v>
      </c>
      <c r="Y1053" s="7">
        <f t="shared" si="297"/>
        <v>567</v>
      </c>
      <c r="AA1053" s="7">
        <f t="shared" si="298"/>
        <v>0</v>
      </c>
      <c r="AB1053" s="7" t="str">
        <f t="shared" si="299"/>
        <v/>
      </c>
      <c r="AC1053" s="7">
        <f t="shared" si="300"/>
        <v>0</v>
      </c>
      <c r="AD1053" s="7" t="str">
        <f t="shared" si="301"/>
        <v/>
      </c>
      <c r="AE1053" s="6">
        <f t="shared" si="302"/>
        <v>0</v>
      </c>
      <c r="AF1053" s="69">
        <f t="shared" si="303"/>
        <v>3.0716399649158461</v>
      </c>
      <c r="AG1053" s="6">
        <f t="shared" si="304"/>
        <v>0</v>
      </c>
      <c r="AH1053" s="6">
        <f t="shared" si="305"/>
        <v>604</v>
      </c>
    </row>
    <row r="1054" spans="8:34" x14ac:dyDescent="0.25">
      <c r="H1054" s="7">
        <v>1061</v>
      </c>
      <c r="I1054" s="7" t="s">
        <v>12</v>
      </c>
      <c r="J1054" s="8">
        <v>38056</v>
      </c>
      <c r="K1054" s="12" t="s">
        <v>16</v>
      </c>
      <c r="L1054" s="9">
        <v>55</v>
      </c>
      <c r="M1054" s="10">
        <v>167.32540465961139</v>
      </c>
      <c r="N1054" s="7" t="s">
        <v>24</v>
      </c>
      <c r="P1054" s="29">
        <f t="shared" si="288"/>
        <v>1</v>
      </c>
      <c r="Q1054" s="29" t="str">
        <f t="shared" si="289"/>
        <v/>
      </c>
      <c r="R1054" s="29" t="str">
        <f t="shared" si="290"/>
        <v/>
      </c>
      <c r="S1054" s="29" t="str">
        <f t="shared" si="291"/>
        <v/>
      </c>
      <c r="T1054" s="32" t="str">
        <f t="shared" si="292"/>
        <v/>
      </c>
      <c r="U1054" s="32" t="str">
        <f t="shared" si="295"/>
        <v/>
      </c>
      <c r="V1054" s="32" t="str">
        <f t="shared" si="296"/>
        <v/>
      </c>
      <c r="W1054" s="41">
        <f t="shared" si="293"/>
        <v>3.0422800847202072</v>
      </c>
      <c r="X1054" s="6">
        <f t="shared" si="294"/>
        <v>0</v>
      </c>
      <c r="Y1054" s="7">
        <f t="shared" si="297"/>
        <v>567</v>
      </c>
      <c r="AA1054" s="7">
        <f t="shared" si="298"/>
        <v>0</v>
      </c>
      <c r="AB1054" s="7" t="str">
        <f t="shared" si="299"/>
        <v/>
      </c>
      <c r="AC1054" s="7">
        <f t="shared" si="300"/>
        <v>0</v>
      </c>
      <c r="AD1054" s="7" t="str">
        <f t="shared" si="301"/>
        <v/>
      </c>
      <c r="AE1054" s="6">
        <f t="shared" si="302"/>
        <v>0</v>
      </c>
      <c r="AF1054" s="69">
        <f t="shared" si="303"/>
        <v>3.0422800847202072</v>
      </c>
      <c r="AG1054" s="6">
        <f t="shared" si="304"/>
        <v>167.32540465961139</v>
      </c>
      <c r="AH1054" s="6">
        <f t="shared" si="305"/>
        <v>245</v>
      </c>
    </row>
    <row r="1055" spans="8:34" x14ac:dyDescent="0.25">
      <c r="H1055" s="7">
        <v>1062</v>
      </c>
      <c r="I1055" s="7" t="s">
        <v>14</v>
      </c>
      <c r="J1055" s="8">
        <v>38705</v>
      </c>
      <c r="K1055" s="12" t="s">
        <v>16</v>
      </c>
      <c r="L1055" s="9">
        <v>-5</v>
      </c>
      <c r="M1055" s="10">
        <v>-12.643881441117404</v>
      </c>
      <c r="N1055" s="7" t="s">
        <v>21</v>
      </c>
      <c r="P1055" s="29" t="str">
        <f t="shared" si="288"/>
        <v/>
      </c>
      <c r="Q1055" s="29" t="str">
        <f t="shared" si="289"/>
        <v/>
      </c>
      <c r="R1055" s="29" t="str">
        <f t="shared" si="290"/>
        <v/>
      </c>
      <c r="S1055" s="29" t="str">
        <f t="shared" si="291"/>
        <v/>
      </c>
      <c r="T1055" s="32">
        <f t="shared" si="292"/>
        <v>1</v>
      </c>
      <c r="U1055" s="32">
        <f t="shared" si="295"/>
        <v>1</v>
      </c>
      <c r="V1055" s="32" t="str">
        <f t="shared" si="296"/>
        <v/>
      </c>
      <c r="W1055" s="41" t="str">
        <f t="shared" si="293"/>
        <v/>
      </c>
      <c r="X1055" s="6">
        <f t="shared" si="294"/>
        <v>-12.643881441117404</v>
      </c>
      <c r="Y1055" s="7">
        <f t="shared" si="297"/>
        <v>1866</v>
      </c>
      <c r="AA1055" s="7">
        <f t="shared" si="298"/>
        <v>0</v>
      </c>
      <c r="AB1055" s="7" t="str">
        <f t="shared" si="299"/>
        <v/>
      </c>
      <c r="AC1055" s="7">
        <f t="shared" si="300"/>
        <v>1</v>
      </c>
      <c r="AD1055" s="7">
        <f t="shared" si="301"/>
        <v>-5</v>
      </c>
      <c r="AE1055" s="6">
        <f t="shared" si="302"/>
        <v>-5</v>
      </c>
      <c r="AF1055" s="69" t="str">
        <f t="shared" si="303"/>
        <v/>
      </c>
      <c r="AG1055" s="6">
        <f t="shared" si="304"/>
        <v>0</v>
      </c>
      <c r="AH1055" s="6">
        <f t="shared" si="305"/>
        <v>604</v>
      </c>
    </row>
    <row r="1056" spans="8:34" x14ac:dyDescent="0.25">
      <c r="H1056" s="7">
        <v>1063</v>
      </c>
      <c r="I1056" s="7" t="s">
        <v>10</v>
      </c>
      <c r="J1056" s="8">
        <v>38100</v>
      </c>
      <c r="K1056" s="12" t="s">
        <v>17</v>
      </c>
      <c r="L1056" s="9">
        <v>28</v>
      </c>
      <c r="M1056" s="10">
        <v>85.460904685258157</v>
      </c>
      <c r="N1056" s="7" t="s">
        <v>24</v>
      </c>
      <c r="P1056" s="29" t="str">
        <f t="shared" si="288"/>
        <v/>
      </c>
      <c r="Q1056" s="29">
        <f t="shared" si="289"/>
        <v>1</v>
      </c>
      <c r="R1056" s="29" t="str">
        <f t="shared" si="290"/>
        <v/>
      </c>
      <c r="S1056" s="29" t="str">
        <f t="shared" si="291"/>
        <v/>
      </c>
      <c r="T1056" s="32" t="str">
        <f t="shared" si="292"/>
        <v/>
      </c>
      <c r="U1056" s="32" t="str">
        <f t="shared" si="295"/>
        <v/>
      </c>
      <c r="V1056" s="32" t="str">
        <f t="shared" si="296"/>
        <v/>
      </c>
      <c r="W1056" s="41">
        <f t="shared" si="293"/>
        <v>3.0521751673306485</v>
      </c>
      <c r="X1056" s="6">
        <f t="shared" si="294"/>
        <v>0</v>
      </c>
      <c r="Y1056" s="7">
        <f t="shared" si="297"/>
        <v>567</v>
      </c>
      <c r="AA1056" s="7">
        <f t="shared" si="298"/>
        <v>0</v>
      </c>
      <c r="AB1056" s="7" t="str">
        <f t="shared" si="299"/>
        <v/>
      </c>
      <c r="AC1056" s="7">
        <f t="shared" si="300"/>
        <v>0</v>
      </c>
      <c r="AD1056" s="7" t="str">
        <f t="shared" si="301"/>
        <v/>
      </c>
      <c r="AE1056" s="6">
        <f t="shared" si="302"/>
        <v>0</v>
      </c>
      <c r="AF1056" s="69">
        <f t="shared" si="303"/>
        <v>3.0521751673306485</v>
      </c>
      <c r="AG1056" s="6">
        <f t="shared" si="304"/>
        <v>85.460904685258157</v>
      </c>
      <c r="AH1056" s="6">
        <f t="shared" si="305"/>
        <v>413</v>
      </c>
    </row>
    <row r="1057" spans="8:34" x14ac:dyDescent="0.25">
      <c r="H1057" s="7">
        <v>1064</v>
      </c>
      <c r="I1057" s="7" t="s">
        <v>13</v>
      </c>
      <c r="J1057" s="8">
        <v>38584</v>
      </c>
      <c r="K1057" s="12" t="s">
        <v>16</v>
      </c>
      <c r="L1057" s="9">
        <v>93</v>
      </c>
      <c r="M1057" s="10">
        <v>280.15032356040319</v>
      </c>
      <c r="N1057" s="7" t="s">
        <v>22</v>
      </c>
      <c r="P1057" s="29" t="str">
        <f t="shared" si="288"/>
        <v/>
      </c>
      <c r="Q1057" s="29" t="str">
        <f t="shared" si="289"/>
        <v/>
      </c>
      <c r="R1057" s="29" t="str">
        <f t="shared" si="290"/>
        <v/>
      </c>
      <c r="S1057" s="29" t="str">
        <f t="shared" si="291"/>
        <v/>
      </c>
      <c r="T1057" s="32" t="str">
        <f t="shared" si="292"/>
        <v/>
      </c>
      <c r="U1057" s="32">
        <f t="shared" si="295"/>
        <v>1</v>
      </c>
      <c r="V1057" s="32" t="str">
        <f t="shared" si="296"/>
        <v/>
      </c>
      <c r="W1057" s="41">
        <f t="shared" si="293"/>
        <v>3.0123690705419697</v>
      </c>
      <c r="X1057" s="6">
        <f t="shared" si="294"/>
        <v>280.15032356040319</v>
      </c>
      <c r="Y1057" s="7">
        <f t="shared" si="297"/>
        <v>28</v>
      </c>
      <c r="AA1057" s="7">
        <f t="shared" si="298"/>
        <v>1</v>
      </c>
      <c r="AB1057" s="7">
        <f t="shared" si="299"/>
        <v>93</v>
      </c>
      <c r="AC1057" s="7">
        <f t="shared" si="300"/>
        <v>0</v>
      </c>
      <c r="AD1057" s="7" t="str">
        <f t="shared" si="301"/>
        <v/>
      </c>
      <c r="AE1057" s="6">
        <f t="shared" si="302"/>
        <v>0</v>
      </c>
      <c r="AF1057" s="69">
        <f t="shared" si="303"/>
        <v>3.0123690705419697</v>
      </c>
      <c r="AG1057" s="6">
        <f t="shared" si="304"/>
        <v>0</v>
      </c>
      <c r="AH1057" s="6">
        <f t="shared" si="305"/>
        <v>604</v>
      </c>
    </row>
    <row r="1058" spans="8:34" x14ac:dyDescent="0.25">
      <c r="H1058" s="7">
        <v>1065</v>
      </c>
      <c r="I1058" s="7" t="s">
        <v>14</v>
      </c>
      <c r="J1058" s="8">
        <v>38639</v>
      </c>
      <c r="K1058" s="12" t="s">
        <v>19</v>
      </c>
      <c r="L1058" s="9">
        <v>13</v>
      </c>
      <c r="M1058" s="10">
        <v>40.969412971677201</v>
      </c>
      <c r="N1058" s="7" t="s">
        <v>22</v>
      </c>
      <c r="P1058" s="29" t="str">
        <f t="shared" si="288"/>
        <v/>
      </c>
      <c r="Q1058" s="29" t="str">
        <f t="shared" si="289"/>
        <v/>
      </c>
      <c r="R1058" s="29" t="str">
        <f t="shared" si="290"/>
        <v/>
      </c>
      <c r="S1058" s="29" t="str">
        <f t="shared" si="291"/>
        <v/>
      </c>
      <c r="T1058" s="32">
        <f t="shared" si="292"/>
        <v>1</v>
      </c>
      <c r="U1058" s="32">
        <f t="shared" si="295"/>
        <v>1</v>
      </c>
      <c r="V1058" s="32" t="str">
        <f t="shared" si="296"/>
        <v/>
      </c>
      <c r="W1058" s="41">
        <f t="shared" si="293"/>
        <v>3.1514933055136307</v>
      </c>
      <c r="X1058" s="6">
        <f t="shared" si="294"/>
        <v>40.969412971677201</v>
      </c>
      <c r="Y1058" s="7">
        <f t="shared" si="297"/>
        <v>478</v>
      </c>
      <c r="AA1058" s="7">
        <f t="shared" si="298"/>
        <v>0</v>
      </c>
      <c r="AB1058" s="7" t="str">
        <f t="shared" si="299"/>
        <v/>
      </c>
      <c r="AC1058" s="7">
        <f t="shared" si="300"/>
        <v>1</v>
      </c>
      <c r="AD1058" s="7">
        <f t="shared" si="301"/>
        <v>13</v>
      </c>
      <c r="AE1058" s="6">
        <f t="shared" si="302"/>
        <v>0</v>
      </c>
      <c r="AF1058" s="69">
        <f t="shared" si="303"/>
        <v>3.1514933055136307</v>
      </c>
      <c r="AG1058" s="6">
        <f t="shared" si="304"/>
        <v>0</v>
      </c>
      <c r="AH1058" s="6">
        <f t="shared" si="305"/>
        <v>604</v>
      </c>
    </row>
    <row r="1059" spans="8:34" x14ac:dyDescent="0.25">
      <c r="H1059" s="7">
        <v>1066</v>
      </c>
      <c r="I1059" s="7" t="s">
        <v>7</v>
      </c>
      <c r="J1059" s="8">
        <v>38782</v>
      </c>
      <c r="K1059" s="12" t="s">
        <v>18</v>
      </c>
      <c r="L1059" s="9">
        <v>94</v>
      </c>
      <c r="M1059" s="10">
        <v>283.90021520553751</v>
      </c>
      <c r="N1059" s="7" t="s">
        <v>24</v>
      </c>
      <c r="P1059" s="29" t="str">
        <f t="shared" si="288"/>
        <v/>
      </c>
      <c r="Q1059" s="29" t="str">
        <f t="shared" si="289"/>
        <v/>
      </c>
      <c r="R1059" s="29" t="str">
        <f t="shared" si="290"/>
        <v/>
      </c>
      <c r="S1059" s="29" t="str">
        <f t="shared" si="291"/>
        <v/>
      </c>
      <c r="T1059" s="32" t="str">
        <f t="shared" si="292"/>
        <v/>
      </c>
      <c r="U1059" s="32" t="str">
        <f t="shared" si="295"/>
        <v/>
      </c>
      <c r="V1059" s="32">
        <f t="shared" si="296"/>
        <v>1</v>
      </c>
      <c r="W1059" s="41">
        <f t="shared" si="293"/>
        <v>3.0202150553780585</v>
      </c>
      <c r="X1059" s="6">
        <f t="shared" si="294"/>
        <v>0</v>
      </c>
      <c r="Y1059" s="7">
        <f t="shared" si="297"/>
        <v>567</v>
      </c>
      <c r="AA1059" s="7">
        <f t="shared" si="298"/>
        <v>0</v>
      </c>
      <c r="AB1059" s="7" t="str">
        <f t="shared" si="299"/>
        <v/>
      </c>
      <c r="AC1059" s="7">
        <f t="shared" si="300"/>
        <v>0</v>
      </c>
      <c r="AD1059" s="7" t="str">
        <f t="shared" si="301"/>
        <v/>
      </c>
      <c r="AE1059" s="6">
        <f t="shared" si="302"/>
        <v>0</v>
      </c>
      <c r="AF1059" s="69">
        <f t="shared" si="303"/>
        <v>3.0202150553780585</v>
      </c>
      <c r="AG1059" s="6">
        <f t="shared" si="304"/>
        <v>0</v>
      </c>
      <c r="AH1059" s="6">
        <f t="shared" si="305"/>
        <v>604</v>
      </c>
    </row>
    <row r="1060" spans="8:34" x14ac:dyDescent="0.25">
      <c r="H1060" s="7">
        <v>1067</v>
      </c>
      <c r="I1060" s="7" t="s">
        <v>14</v>
      </c>
      <c r="J1060" s="8">
        <v>38430</v>
      </c>
      <c r="K1060" s="12" t="s">
        <v>18</v>
      </c>
      <c r="L1060" s="9">
        <v>1</v>
      </c>
      <c r="M1060" s="10">
        <v>4.8568701800652914</v>
      </c>
      <c r="N1060" s="7" t="s">
        <v>24</v>
      </c>
      <c r="P1060" s="29" t="str">
        <f t="shared" si="288"/>
        <v/>
      </c>
      <c r="Q1060" s="29" t="str">
        <f t="shared" si="289"/>
        <v/>
      </c>
      <c r="R1060" s="29" t="str">
        <f t="shared" si="290"/>
        <v/>
      </c>
      <c r="S1060" s="29" t="str">
        <f t="shared" si="291"/>
        <v/>
      </c>
      <c r="T1060" s="32" t="str">
        <f t="shared" si="292"/>
        <v/>
      </c>
      <c r="U1060" s="32">
        <f t="shared" si="295"/>
        <v>1</v>
      </c>
      <c r="V1060" s="32" t="str">
        <f t="shared" si="296"/>
        <v/>
      </c>
      <c r="W1060" s="41">
        <f t="shared" si="293"/>
        <v>4.8568701800652914</v>
      </c>
      <c r="X1060" s="6">
        <f t="shared" si="294"/>
        <v>4.8568701800652914</v>
      </c>
      <c r="Y1060" s="7">
        <f t="shared" si="297"/>
        <v>558</v>
      </c>
      <c r="AA1060" s="7">
        <f t="shared" si="298"/>
        <v>1</v>
      </c>
      <c r="AB1060" s="7">
        <f t="shared" si="299"/>
        <v>1</v>
      </c>
      <c r="AC1060" s="7">
        <f t="shared" si="300"/>
        <v>0</v>
      </c>
      <c r="AD1060" s="7" t="str">
        <f t="shared" si="301"/>
        <v/>
      </c>
      <c r="AE1060" s="6">
        <f t="shared" si="302"/>
        <v>0</v>
      </c>
      <c r="AF1060" s="69">
        <f t="shared" si="303"/>
        <v>4.8568701800652914</v>
      </c>
      <c r="AG1060" s="6">
        <f t="shared" si="304"/>
        <v>0</v>
      </c>
      <c r="AH1060" s="6">
        <f t="shared" si="305"/>
        <v>604</v>
      </c>
    </row>
    <row r="1061" spans="8:34" x14ac:dyDescent="0.25">
      <c r="H1061" s="7">
        <v>1068</v>
      </c>
      <c r="I1061" s="7" t="s">
        <v>15</v>
      </c>
      <c r="J1061" s="8">
        <v>38628</v>
      </c>
      <c r="K1061" s="12" t="s">
        <v>18</v>
      </c>
      <c r="L1061" s="9">
        <v>5</v>
      </c>
      <c r="M1061" s="10">
        <v>16.493067805841463</v>
      </c>
      <c r="N1061" s="7" t="s">
        <v>23</v>
      </c>
      <c r="P1061" s="29" t="str">
        <f t="shared" si="288"/>
        <v/>
      </c>
      <c r="Q1061" s="29" t="str">
        <f t="shared" si="289"/>
        <v/>
      </c>
      <c r="R1061" s="29" t="str">
        <f t="shared" si="290"/>
        <v/>
      </c>
      <c r="S1061" s="29" t="str">
        <f t="shared" si="291"/>
        <v/>
      </c>
      <c r="T1061" s="32">
        <f t="shared" si="292"/>
        <v>1</v>
      </c>
      <c r="U1061" s="32">
        <f t="shared" si="295"/>
        <v>1</v>
      </c>
      <c r="V1061" s="32" t="str">
        <f t="shared" si="296"/>
        <v/>
      </c>
      <c r="W1061" s="41">
        <f t="shared" si="293"/>
        <v>3.2986135611682927</v>
      </c>
      <c r="X1061" s="6">
        <f t="shared" si="294"/>
        <v>16.493067805841463</v>
      </c>
      <c r="Y1061" s="7">
        <f t="shared" si="297"/>
        <v>534</v>
      </c>
      <c r="AA1061" s="7">
        <f t="shared" si="298"/>
        <v>0</v>
      </c>
      <c r="AB1061" s="7" t="str">
        <f t="shared" si="299"/>
        <v/>
      </c>
      <c r="AC1061" s="7">
        <f t="shared" si="300"/>
        <v>1</v>
      </c>
      <c r="AD1061" s="7">
        <f t="shared" si="301"/>
        <v>5</v>
      </c>
      <c r="AE1061" s="6">
        <f t="shared" si="302"/>
        <v>0</v>
      </c>
      <c r="AF1061" s="69">
        <f t="shared" si="303"/>
        <v>3.2986135611682927</v>
      </c>
      <c r="AG1061" s="6">
        <f t="shared" si="304"/>
        <v>0</v>
      </c>
      <c r="AH1061" s="6">
        <f t="shared" si="305"/>
        <v>604</v>
      </c>
    </row>
    <row r="1062" spans="8:34" x14ac:dyDescent="0.25">
      <c r="H1062" s="7">
        <v>1069</v>
      </c>
      <c r="I1062" s="7" t="s">
        <v>11</v>
      </c>
      <c r="J1062" s="8">
        <v>38870</v>
      </c>
      <c r="K1062" s="12" t="s">
        <v>20</v>
      </c>
      <c r="L1062" s="9">
        <v>60</v>
      </c>
      <c r="M1062" s="10">
        <v>181.32960345577825</v>
      </c>
      <c r="N1062" s="7" t="s">
        <v>21</v>
      </c>
      <c r="P1062" s="29" t="str">
        <f t="shared" si="288"/>
        <v/>
      </c>
      <c r="Q1062" s="29" t="str">
        <f t="shared" si="289"/>
        <v/>
      </c>
      <c r="R1062" s="29" t="str">
        <f t="shared" si="290"/>
        <v/>
      </c>
      <c r="S1062" s="29" t="str">
        <f t="shared" si="291"/>
        <v/>
      </c>
      <c r="T1062" s="32" t="str">
        <f t="shared" si="292"/>
        <v/>
      </c>
      <c r="U1062" s="32" t="str">
        <f t="shared" si="295"/>
        <v/>
      </c>
      <c r="V1062" s="32">
        <f t="shared" si="296"/>
        <v>1</v>
      </c>
      <c r="W1062" s="41">
        <f t="shared" si="293"/>
        <v>3.0221600575963041</v>
      </c>
      <c r="X1062" s="6">
        <f t="shared" si="294"/>
        <v>0</v>
      </c>
      <c r="Y1062" s="7">
        <f t="shared" si="297"/>
        <v>567</v>
      </c>
      <c r="AA1062" s="7">
        <f t="shared" si="298"/>
        <v>0</v>
      </c>
      <c r="AB1062" s="7" t="str">
        <f t="shared" si="299"/>
        <v/>
      </c>
      <c r="AC1062" s="7">
        <f t="shared" si="300"/>
        <v>0</v>
      </c>
      <c r="AD1062" s="7" t="str">
        <f t="shared" si="301"/>
        <v/>
      </c>
      <c r="AE1062" s="6">
        <f t="shared" si="302"/>
        <v>0</v>
      </c>
      <c r="AF1062" s="69">
        <f t="shared" si="303"/>
        <v>3.0221600575963041</v>
      </c>
      <c r="AG1062" s="6">
        <f t="shared" si="304"/>
        <v>0</v>
      </c>
      <c r="AH1062" s="6">
        <f t="shared" si="305"/>
        <v>604</v>
      </c>
    </row>
    <row r="1063" spans="8:34" x14ac:dyDescent="0.25">
      <c r="H1063" s="7">
        <v>1070</v>
      </c>
      <c r="I1063" s="7" t="s">
        <v>8</v>
      </c>
      <c r="J1063" s="8">
        <v>38188</v>
      </c>
      <c r="K1063" s="12" t="s">
        <v>17</v>
      </c>
      <c r="L1063" s="9">
        <v>67</v>
      </c>
      <c r="M1063" s="10">
        <v>203.02085582320817</v>
      </c>
      <c r="N1063" s="7" t="s">
        <v>21</v>
      </c>
      <c r="P1063" s="29" t="str">
        <f t="shared" si="288"/>
        <v/>
      </c>
      <c r="Q1063" s="29" t="str">
        <f t="shared" si="289"/>
        <v/>
      </c>
      <c r="R1063" s="29">
        <f t="shared" si="290"/>
        <v>1</v>
      </c>
      <c r="S1063" s="29" t="str">
        <f t="shared" si="291"/>
        <v/>
      </c>
      <c r="T1063" s="32" t="str">
        <f t="shared" si="292"/>
        <v/>
      </c>
      <c r="U1063" s="32" t="str">
        <f t="shared" si="295"/>
        <v/>
      </c>
      <c r="V1063" s="32" t="str">
        <f t="shared" si="296"/>
        <v/>
      </c>
      <c r="W1063" s="41">
        <f t="shared" si="293"/>
        <v>3.0301620272120622</v>
      </c>
      <c r="X1063" s="6">
        <f t="shared" si="294"/>
        <v>0</v>
      </c>
      <c r="Y1063" s="7">
        <f t="shared" si="297"/>
        <v>567</v>
      </c>
      <c r="AA1063" s="7">
        <f t="shared" si="298"/>
        <v>0</v>
      </c>
      <c r="AB1063" s="7" t="str">
        <f t="shared" si="299"/>
        <v/>
      </c>
      <c r="AC1063" s="7">
        <f t="shared" si="300"/>
        <v>0</v>
      </c>
      <c r="AD1063" s="7" t="str">
        <f t="shared" si="301"/>
        <v/>
      </c>
      <c r="AE1063" s="6">
        <f t="shared" si="302"/>
        <v>0</v>
      </c>
      <c r="AF1063" s="69">
        <f t="shared" si="303"/>
        <v>3.0301620272120622</v>
      </c>
      <c r="AG1063" s="6">
        <f t="shared" si="304"/>
        <v>203.02085582320817</v>
      </c>
      <c r="AH1063" s="6">
        <f t="shared" si="305"/>
        <v>169</v>
      </c>
    </row>
    <row r="1064" spans="8:34" x14ac:dyDescent="0.25">
      <c r="H1064" s="7">
        <v>1071</v>
      </c>
      <c r="I1064" s="7" t="s">
        <v>8</v>
      </c>
      <c r="J1064" s="8">
        <v>38331</v>
      </c>
      <c r="K1064" s="12" t="s">
        <v>18</v>
      </c>
      <c r="L1064" s="9">
        <v>87</v>
      </c>
      <c r="M1064" s="10">
        <v>263.51929625786306</v>
      </c>
      <c r="N1064" s="7" t="s">
        <v>21</v>
      </c>
      <c r="P1064" s="29" t="str">
        <f t="shared" si="288"/>
        <v/>
      </c>
      <c r="Q1064" s="29" t="str">
        <f t="shared" si="289"/>
        <v/>
      </c>
      <c r="R1064" s="29" t="str">
        <f t="shared" si="290"/>
        <v/>
      </c>
      <c r="S1064" s="29">
        <f t="shared" si="291"/>
        <v>1</v>
      </c>
      <c r="T1064" s="32" t="str">
        <f t="shared" si="292"/>
        <v/>
      </c>
      <c r="U1064" s="32" t="str">
        <f t="shared" si="295"/>
        <v/>
      </c>
      <c r="V1064" s="32" t="str">
        <f t="shared" si="296"/>
        <v/>
      </c>
      <c r="W1064" s="41">
        <f t="shared" si="293"/>
        <v>3.0289574282512994</v>
      </c>
      <c r="X1064" s="6">
        <f t="shared" si="294"/>
        <v>0</v>
      </c>
      <c r="Y1064" s="7">
        <f t="shared" si="297"/>
        <v>567</v>
      </c>
      <c r="AA1064" s="7">
        <f t="shared" si="298"/>
        <v>0</v>
      </c>
      <c r="AB1064" s="7" t="str">
        <f t="shared" si="299"/>
        <v/>
      </c>
      <c r="AC1064" s="7">
        <f t="shared" si="300"/>
        <v>0</v>
      </c>
      <c r="AD1064" s="7" t="str">
        <f t="shared" si="301"/>
        <v/>
      </c>
      <c r="AE1064" s="6">
        <f t="shared" si="302"/>
        <v>0</v>
      </c>
      <c r="AF1064" s="69">
        <f t="shared" si="303"/>
        <v>3.0289574282512994</v>
      </c>
      <c r="AG1064" s="6">
        <f t="shared" si="304"/>
        <v>263.51929625786306</v>
      </c>
      <c r="AH1064" s="6">
        <f t="shared" si="305"/>
        <v>46</v>
      </c>
    </row>
    <row r="1065" spans="8:34" x14ac:dyDescent="0.25">
      <c r="H1065" s="7">
        <v>1072</v>
      </c>
      <c r="I1065" s="7" t="s">
        <v>8</v>
      </c>
      <c r="J1065" s="8">
        <v>38309</v>
      </c>
      <c r="K1065" s="12" t="s">
        <v>20</v>
      </c>
      <c r="L1065" s="9">
        <v>53</v>
      </c>
      <c r="M1065" s="10">
        <v>161.06925467832338</v>
      </c>
      <c r="N1065" s="7" t="s">
        <v>23</v>
      </c>
      <c r="P1065" s="29" t="str">
        <f t="shared" si="288"/>
        <v/>
      </c>
      <c r="Q1065" s="29" t="str">
        <f t="shared" si="289"/>
        <v/>
      </c>
      <c r="R1065" s="29" t="str">
        <f t="shared" si="290"/>
        <v/>
      </c>
      <c r="S1065" s="29">
        <f t="shared" si="291"/>
        <v>1</v>
      </c>
      <c r="T1065" s="32" t="str">
        <f t="shared" si="292"/>
        <v/>
      </c>
      <c r="U1065" s="32" t="str">
        <f t="shared" si="295"/>
        <v/>
      </c>
      <c r="V1065" s="32" t="str">
        <f t="shared" si="296"/>
        <v/>
      </c>
      <c r="W1065" s="41">
        <f t="shared" si="293"/>
        <v>3.0390425411004411</v>
      </c>
      <c r="X1065" s="6">
        <f t="shared" si="294"/>
        <v>0</v>
      </c>
      <c r="Y1065" s="7">
        <f t="shared" si="297"/>
        <v>567</v>
      </c>
      <c r="AA1065" s="7">
        <f t="shared" si="298"/>
        <v>0</v>
      </c>
      <c r="AB1065" s="7" t="str">
        <f t="shared" si="299"/>
        <v/>
      </c>
      <c r="AC1065" s="7">
        <f t="shared" si="300"/>
        <v>0</v>
      </c>
      <c r="AD1065" s="7" t="str">
        <f t="shared" si="301"/>
        <v/>
      </c>
      <c r="AE1065" s="6">
        <f t="shared" si="302"/>
        <v>0</v>
      </c>
      <c r="AF1065" s="69">
        <f t="shared" si="303"/>
        <v>3.0390425411004411</v>
      </c>
      <c r="AG1065" s="6">
        <f t="shared" si="304"/>
        <v>161.06925467832338</v>
      </c>
      <c r="AH1065" s="6">
        <f t="shared" si="305"/>
        <v>259</v>
      </c>
    </row>
    <row r="1066" spans="8:34" x14ac:dyDescent="0.25">
      <c r="H1066" s="7">
        <v>1073</v>
      </c>
      <c r="I1066" s="7" t="s">
        <v>14</v>
      </c>
      <c r="J1066" s="8">
        <v>38573</v>
      </c>
      <c r="K1066" s="12" t="s">
        <v>17</v>
      </c>
      <c r="L1066" s="9">
        <v>74</v>
      </c>
      <c r="M1066" s="10">
        <v>224.19731799549618</v>
      </c>
      <c r="N1066" s="7" t="s">
        <v>21</v>
      </c>
      <c r="P1066" s="29" t="str">
        <f t="shared" si="288"/>
        <v/>
      </c>
      <c r="Q1066" s="29" t="str">
        <f t="shared" si="289"/>
        <v/>
      </c>
      <c r="R1066" s="29" t="str">
        <f t="shared" si="290"/>
        <v/>
      </c>
      <c r="S1066" s="29" t="str">
        <f t="shared" si="291"/>
        <v/>
      </c>
      <c r="T1066" s="32" t="str">
        <f t="shared" si="292"/>
        <v/>
      </c>
      <c r="U1066" s="32">
        <f t="shared" si="295"/>
        <v>1</v>
      </c>
      <c r="V1066" s="32" t="str">
        <f t="shared" si="296"/>
        <v/>
      </c>
      <c r="W1066" s="41">
        <f t="shared" si="293"/>
        <v>3.0296934864256242</v>
      </c>
      <c r="X1066" s="6">
        <f t="shared" si="294"/>
        <v>224.19731799549618</v>
      </c>
      <c r="Y1066" s="7">
        <f t="shared" si="297"/>
        <v>133</v>
      </c>
      <c r="AA1066" s="7">
        <f t="shared" si="298"/>
        <v>1</v>
      </c>
      <c r="AB1066" s="7">
        <f t="shared" si="299"/>
        <v>74</v>
      </c>
      <c r="AC1066" s="7">
        <f t="shared" si="300"/>
        <v>0</v>
      </c>
      <c r="AD1066" s="7" t="str">
        <f t="shared" si="301"/>
        <v/>
      </c>
      <c r="AE1066" s="6">
        <f t="shared" si="302"/>
        <v>0</v>
      </c>
      <c r="AF1066" s="69">
        <f t="shared" si="303"/>
        <v>3.0296934864256242</v>
      </c>
      <c r="AG1066" s="6">
        <f t="shared" si="304"/>
        <v>0</v>
      </c>
      <c r="AH1066" s="6">
        <f t="shared" si="305"/>
        <v>604</v>
      </c>
    </row>
    <row r="1067" spans="8:34" x14ac:dyDescent="0.25">
      <c r="H1067" s="7">
        <v>1074</v>
      </c>
      <c r="I1067" s="7" t="s">
        <v>7</v>
      </c>
      <c r="J1067" s="8">
        <v>39035</v>
      </c>
      <c r="K1067" s="12" t="s">
        <v>17</v>
      </c>
      <c r="L1067" s="9">
        <v>83</v>
      </c>
      <c r="M1067" s="10">
        <v>251.40105252927455</v>
      </c>
      <c r="N1067" s="7" t="s">
        <v>24</v>
      </c>
      <c r="P1067" s="29" t="str">
        <f t="shared" si="288"/>
        <v/>
      </c>
      <c r="Q1067" s="29" t="str">
        <f t="shared" si="289"/>
        <v/>
      </c>
      <c r="R1067" s="29" t="str">
        <f t="shared" si="290"/>
        <v/>
      </c>
      <c r="S1067" s="29" t="str">
        <f t="shared" si="291"/>
        <v/>
      </c>
      <c r="T1067" s="32" t="str">
        <f t="shared" si="292"/>
        <v/>
      </c>
      <c r="U1067" s="32" t="str">
        <f t="shared" si="295"/>
        <v/>
      </c>
      <c r="V1067" s="32">
        <f t="shared" si="296"/>
        <v>1</v>
      </c>
      <c r="W1067" s="41">
        <f t="shared" si="293"/>
        <v>3.0289283437261996</v>
      </c>
      <c r="X1067" s="6">
        <f t="shared" si="294"/>
        <v>0</v>
      </c>
      <c r="Y1067" s="7">
        <f t="shared" si="297"/>
        <v>567</v>
      </c>
      <c r="AA1067" s="7">
        <f t="shared" si="298"/>
        <v>0</v>
      </c>
      <c r="AB1067" s="7" t="str">
        <f t="shared" si="299"/>
        <v/>
      </c>
      <c r="AC1067" s="7">
        <f t="shared" si="300"/>
        <v>0</v>
      </c>
      <c r="AD1067" s="7" t="str">
        <f t="shared" si="301"/>
        <v/>
      </c>
      <c r="AE1067" s="6">
        <f t="shared" si="302"/>
        <v>0</v>
      </c>
      <c r="AF1067" s="69">
        <f t="shared" si="303"/>
        <v>3.0289283437261996</v>
      </c>
      <c r="AG1067" s="6">
        <f t="shared" si="304"/>
        <v>0</v>
      </c>
      <c r="AH1067" s="6">
        <f t="shared" si="305"/>
        <v>604</v>
      </c>
    </row>
    <row r="1068" spans="8:34" x14ac:dyDescent="0.25">
      <c r="H1068" s="7">
        <v>1075</v>
      </c>
      <c r="I1068" s="7" t="s">
        <v>15</v>
      </c>
      <c r="J1068" s="8">
        <v>38639</v>
      </c>
      <c r="K1068" s="12" t="s">
        <v>20</v>
      </c>
      <c r="L1068" s="9">
        <v>45</v>
      </c>
      <c r="M1068" s="10">
        <v>136.79350682205418</v>
      </c>
      <c r="N1068" s="7" t="s">
        <v>22</v>
      </c>
      <c r="P1068" s="29" t="str">
        <f t="shared" si="288"/>
        <v/>
      </c>
      <c r="Q1068" s="29" t="str">
        <f t="shared" si="289"/>
        <v/>
      </c>
      <c r="R1068" s="29" t="str">
        <f t="shared" si="290"/>
        <v/>
      </c>
      <c r="S1068" s="29" t="str">
        <f t="shared" si="291"/>
        <v/>
      </c>
      <c r="T1068" s="32">
        <f t="shared" si="292"/>
        <v>1</v>
      </c>
      <c r="U1068" s="32">
        <f t="shared" si="295"/>
        <v>1</v>
      </c>
      <c r="V1068" s="32" t="str">
        <f t="shared" si="296"/>
        <v/>
      </c>
      <c r="W1068" s="41">
        <f t="shared" si="293"/>
        <v>3.0398557071567596</v>
      </c>
      <c r="X1068" s="6">
        <f t="shared" si="294"/>
        <v>136.79350682205418</v>
      </c>
      <c r="Y1068" s="7">
        <f t="shared" si="297"/>
        <v>297</v>
      </c>
      <c r="AA1068" s="7">
        <f t="shared" si="298"/>
        <v>0</v>
      </c>
      <c r="AB1068" s="7" t="str">
        <f t="shared" si="299"/>
        <v/>
      </c>
      <c r="AC1068" s="7">
        <f t="shared" si="300"/>
        <v>1</v>
      </c>
      <c r="AD1068" s="7">
        <f t="shared" si="301"/>
        <v>45</v>
      </c>
      <c r="AE1068" s="6">
        <f t="shared" si="302"/>
        <v>0</v>
      </c>
      <c r="AF1068" s="69">
        <f t="shared" si="303"/>
        <v>3.0398557071567596</v>
      </c>
      <c r="AG1068" s="6">
        <f t="shared" si="304"/>
        <v>0</v>
      </c>
      <c r="AH1068" s="6">
        <f t="shared" si="305"/>
        <v>604</v>
      </c>
    </row>
    <row r="1069" spans="8:34" x14ac:dyDescent="0.25">
      <c r="H1069" s="7">
        <v>1076</v>
      </c>
      <c r="I1069" s="7" t="s">
        <v>14</v>
      </c>
      <c r="J1069" s="8">
        <v>38166</v>
      </c>
      <c r="K1069" s="12" t="s">
        <v>17</v>
      </c>
      <c r="L1069" s="9">
        <v>36</v>
      </c>
      <c r="M1069" s="10">
        <v>109.96021821591992</v>
      </c>
      <c r="N1069" s="7" t="s">
        <v>24</v>
      </c>
      <c r="P1069" s="29" t="str">
        <f t="shared" si="288"/>
        <v/>
      </c>
      <c r="Q1069" s="29">
        <f t="shared" si="289"/>
        <v>1</v>
      </c>
      <c r="R1069" s="29" t="str">
        <f t="shared" si="290"/>
        <v/>
      </c>
      <c r="S1069" s="29" t="str">
        <f t="shared" si="291"/>
        <v/>
      </c>
      <c r="T1069" s="32" t="str">
        <f t="shared" si="292"/>
        <v/>
      </c>
      <c r="U1069" s="32" t="str">
        <f t="shared" si="295"/>
        <v/>
      </c>
      <c r="V1069" s="32" t="str">
        <f t="shared" si="296"/>
        <v/>
      </c>
      <c r="W1069" s="41">
        <f t="shared" si="293"/>
        <v>3.0544505059977758</v>
      </c>
      <c r="X1069" s="6">
        <f t="shared" si="294"/>
        <v>0</v>
      </c>
      <c r="Y1069" s="7">
        <f t="shared" si="297"/>
        <v>567</v>
      </c>
      <c r="AA1069" s="7">
        <f t="shared" si="298"/>
        <v>0</v>
      </c>
      <c r="AB1069" s="7" t="str">
        <f t="shared" si="299"/>
        <v/>
      </c>
      <c r="AC1069" s="7">
        <f t="shared" si="300"/>
        <v>0</v>
      </c>
      <c r="AD1069" s="7" t="str">
        <f t="shared" si="301"/>
        <v/>
      </c>
      <c r="AE1069" s="6">
        <f t="shared" si="302"/>
        <v>0</v>
      </c>
      <c r="AF1069" s="69">
        <f t="shared" si="303"/>
        <v>3.0544505059977758</v>
      </c>
      <c r="AG1069" s="6">
        <f t="shared" si="304"/>
        <v>109.96021821591992</v>
      </c>
      <c r="AH1069" s="6">
        <f t="shared" si="305"/>
        <v>354</v>
      </c>
    </row>
    <row r="1070" spans="8:34" x14ac:dyDescent="0.25">
      <c r="H1070" s="7">
        <v>1077</v>
      </c>
      <c r="I1070" s="7" t="s">
        <v>8</v>
      </c>
      <c r="J1070" s="8">
        <v>38705</v>
      </c>
      <c r="K1070" s="12" t="s">
        <v>18</v>
      </c>
      <c r="L1070" s="9">
        <v>82</v>
      </c>
      <c r="M1070" s="10">
        <v>248.19651758376037</v>
      </c>
      <c r="N1070" s="7" t="s">
        <v>22</v>
      </c>
      <c r="P1070" s="29" t="str">
        <f t="shared" si="288"/>
        <v/>
      </c>
      <c r="Q1070" s="29" t="str">
        <f t="shared" si="289"/>
        <v/>
      </c>
      <c r="R1070" s="29" t="str">
        <f t="shared" si="290"/>
        <v/>
      </c>
      <c r="S1070" s="29" t="str">
        <f t="shared" si="291"/>
        <v/>
      </c>
      <c r="T1070" s="32">
        <f t="shared" si="292"/>
        <v>1</v>
      </c>
      <c r="U1070" s="32">
        <f t="shared" si="295"/>
        <v>1</v>
      </c>
      <c r="V1070" s="32" t="str">
        <f t="shared" si="296"/>
        <v/>
      </c>
      <c r="W1070" s="41">
        <f t="shared" si="293"/>
        <v>3.0267867998019558</v>
      </c>
      <c r="X1070" s="6">
        <f t="shared" si="294"/>
        <v>248.19651758376037</v>
      </c>
      <c r="Y1070" s="7">
        <f t="shared" si="297"/>
        <v>85</v>
      </c>
      <c r="AA1070" s="7">
        <f t="shared" si="298"/>
        <v>0</v>
      </c>
      <c r="AB1070" s="7" t="str">
        <f t="shared" si="299"/>
        <v/>
      </c>
      <c r="AC1070" s="7">
        <f t="shared" si="300"/>
        <v>1</v>
      </c>
      <c r="AD1070" s="7">
        <f t="shared" si="301"/>
        <v>82</v>
      </c>
      <c r="AE1070" s="6">
        <f t="shared" si="302"/>
        <v>0</v>
      </c>
      <c r="AF1070" s="69">
        <f t="shared" si="303"/>
        <v>3.0267867998019558</v>
      </c>
      <c r="AG1070" s="6">
        <f t="shared" si="304"/>
        <v>0</v>
      </c>
      <c r="AH1070" s="6">
        <f t="shared" si="305"/>
        <v>604</v>
      </c>
    </row>
    <row r="1071" spans="8:34" x14ac:dyDescent="0.25">
      <c r="H1071" s="7">
        <v>1078</v>
      </c>
      <c r="I1071" s="7" t="s">
        <v>9</v>
      </c>
      <c r="J1071" s="8">
        <v>38958</v>
      </c>
      <c r="K1071" s="12" t="s">
        <v>18</v>
      </c>
      <c r="L1071" s="9">
        <v>18</v>
      </c>
      <c r="M1071" s="10">
        <v>56.505060708421091</v>
      </c>
      <c r="N1071" s="7" t="s">
        <v>24</v>
      </c>
      <c r="P1071" s="29" t="str">
        <f t="shared" si="288"/>
        <v/>
      </c>
      <c r="Q1071" s="29" t="str">
        <f t="shared" si="289"/>
        <v/>
      </c>
      <c r="R1071" s="29" t="str">
        <f t="shared" si="290"/>
        <v/>
      </c>
      <c r="S1071" s="29" t="str">
        <f t="shared" si="291"/>
        <v/>
      </c>
      <c r="T1071" s="32" t="str">
        <f t="shared" si="292"/>
        <v/>
      </c>
      <c r="U1071" s="32" t="str">
        <f t="shared" si="295"/>
        <v/>
      </c>
      <c r="V1071" s="32">
        <f t="shared" si="296"/>
        <v>1</v>
      </c>
      <c r="W1071" s="41">
        <f t="shared" si="293"/>
        <v>3.1391700393567272</v>
      </c>
      <c r="X1071" s="6">
        <f t="shared" si="294"/>
        <v>0</v>
      </c>
      <c r="Y1071" s="7">
        <f t="shared" si="297"/>
        <v>567</v>
      </c>
      <c r="AA1071" s="7">
        <f t="shared" si="298"/>
        <v>0</v>
      </c>
      <c r="AB1071" s="7" t="str">
        <f t="shared" si="299"/>
        <v/>
      </c>
      <c r="AC1071" s="7">
        <f t="shared" si="300"/>
        <v>0</v>
      </c>
      <c r="AD1071" s="7" t="str">
        <f t="shared" si="301"/>
        <v/>
      </c>
      <c r="AE1071" s="6">
        <f t="shared" si="302"/>
        <v>0</v>
      </c>
      <c r="AF1071" s="69">
        <f t="shared" si="303"/>
        <v>3.1391700393567272</v>
      </c>
      <c r="AG1071" s="6">
        <f t="shared" si="304"/>
        <v>0</v>
      </c>
      <c r="AH1071" s="6">
        <f t="shared" si="305"/>
        <v>604</v>
      </c>
    </row>
    <row r="1072" spans="8:34" x14ac:dyDescent="0.25">
      <c r="H1072" s="7">
        <v>1079</v>
      </c>
      <c r="I1072" s="7" t="s">
        <v>13</v>
      </c>
      <c r="J1072" s="8">
        <v>38089</v>
      </c>
      <c r="K1072" s="12" t="s">
        <v>18</v>
      </c>
      <c r="L1072" s="9">
        <v>21</v>
      </c>
      <c r="M1072" s="10">
        <v>64.56759924886002</v>
      </c>
      <c r="N1072" s="7" t="s">
        <v>21</v>
      </c>
      <c r="P1072" s="29" t="str">
        <f t="shared" si="288"/>
        <v/>
      </c>
      <c r="Q1072" s="29">
        <f t="shared" si="289"/>
        <v>1</v>
      </c>
      <c r="R1072" s="29" t="str">
        <f t="shared" si="290"/>
        <v/>
      </c>
      <c r="S1072" s="29" t="str">
        <f t="shared" si="291"/>
        <v/>
      </c>
      <c r="T1072" s="32" t="str">
        <f t="shared" si="292"/>
        <v/>
      </c>
      <c r="U1072" s="32" t="str">
        <f t="shared" si="295"/>
        <v/>
      </c>
      <c r="V1072" s="32" t="str">
        <f t="shared" si="296"/>
        <v/>
      </c>
      <c r="W1072" s="41">
        <f t="shared" si="293"/>
        <v>3.0746475832790487</v>
      </c>
      <c r="X1072" s="6">
        <f t="shared" si="294"/>
        <v>0</v>
      </c>
      <c r="Y1072" s="7">
        <f t="shared" si="297"/>
        <v>567</v>
      </c>
      <c r="AA1072" s="7">
        <f t="shared" si="298"/>
        <v>0</v>
      </c>
      <c r="AB1072" s="7" t="str">
        <f t="shared" si="299"/>
        <v/>
      </c>
      <c r="AC1072" s="7">
        <f t="shared" si="300"/>
        <v>0</v>
      </c>
      <c r="AD1072" s="7" t="str">
        <f t="shared" si="301"/>
        <v/>
      </c>
      <c r="AE1072" s="6">
        <f t="shared" si="302"/>
        <v>0</v>
      </c>
      <c r="AF1072" s="69">
        <f t="shared" si="303"/>
        <v>3.0746475832790487</v>
      </c>
      <c r="AG1072" s="6">
        <f t="shared" si="304"/>
        <v>64.56759924886002</v>
      </c>
      <c r="AH1072" s="6">
        <f t="shared" si="305"/>
        <v>454</v>
      </c>
    </row>
    <row r="1073" spans="8:34" x14ac:dyDescent="0.25">
      <c r="H1073" s="7">
        <v>1080</v>
      </c>
      <c r="I1073" s="7" t="s">
        <v>11</v>
      </c>
      <c r="J1073" s="8">
        <v>38529</v>
      </c>
      <c r="K1073" s="12" t="s">
        <v>18</v>
      </c>
      <c r="L1073" s="9">
        <v>56</v>
      </c>
      <c r="M1073" s="10">
        <v>170.16525129894848</v>
      </c>
      <c r="N1073" s="7" t="s">
        <v>21</v>
      </c>
      <c r="P1073" s="29" t="str">
        <f t="shared" si="288"/>
        <v/>
      </c>
      <c r="Q1073" s="29" t="str">
        <f t="shared" si="289"/>
        <v/>
      </c>
      <c r="R1073" s="29" t="str">
        <f t="shared" si="290"/>
        <v/>
      </c>
      <c r="S1073" s="29" t="str">
        <f t="shared" si="291"/>
        <v/>
      </c>
      <c r="T1073" s="32" t="str">
        <f t="shared" si="292"/>
        <v/>
      </c>
      <c r="U1073" s="32">
        <f t="shared" si="295"/>
        <v>1</v>
      </c>
      <c r="V1073" s="32" t="str">
        <f t="shared" si="296"/>
        <v/>
      </c>
      <c r="W1073" s="41">
        <f t="shared" si="293"/>
        <v>3.0386652017669369</v>
      </c>
      <c r="X1073" s="6">
        <f t="shared" si="294"/>
        <v>170.16525129894848</v>
      </c>
      <c r="Y1073" s="7">
        <f t="shared" si="297"/>
        <v>227</v>
      </c>
      <c r="AA1073" s="7">
        <f t="shared" si="298"/>
        <v>0</v>
      </c>
      <c r="AB1073" s="7" t="str">
        <f t="shared" si="299"/>
        <v/>
      </c>
      <c r="AC1073" s="7">
        <f t="shared" si="300"/>
        <v>1</v>
      </c>
      <c r="AD1073" s="7">
        <f t="shared" si="301"/>
        <v>56</v>
      </c>
      <c r="AE1073" s="6">
        <f t="shared" si="302"/>
        <v>0</v>
      </c>
      <c r="AF1073" s="69">
        <f t="shared" si="303"/>
        <v>3.0386652017669369</v>
      </c>
      <c r="AG1073" s="6">
        <f t="shared" si="304"/>
        <v>0</v>
      </c>
      <c r="AH1073" s="6">
        <f t="shared" si="305"/>
        <v>604</v>
      </c>
    </row>
    <row r="1074" spans="8:34" x14ac:dyDescent="0.25">
      <c r="H1074" s="7">
        <v>1081</v>
      </c>
      <c r="I1074" s="7" t="s">
        <v>15</v>
      </c>
      <c r="J1074" s="8">
        <v>38837</v>
      </c>
      <c r="K1074" s="12" t="s">
        <v>16</v>
      </c>
      <c r="L1074" s="9">
        <v>51</v>
      </c>
      <c r="M1074" s="10">
        <v>154.96390627719521</v>
      </c>
      <c r="N1074" s="7" t="s">
        <v>24</v>
      </c>
      <c r="P1074" s="29" t="str">
        <f t="shared" si="288"/>
        <v/>
      </c>
      <c r="Q1074" s="29" t="str">
        <f t="shared" si="289"/>
        <v/>
      </c>
      <c r="R1074" s="29" t="str">
        <f t="shared" si="290"/>
        <v/>
      </c>
      <c r="S1074" s="29" t="str">
        <f t="shared" si="291"/>
        <v/>
      </c>
      <c r="T1074" s="32" t="str">
        <f t="shared" si="292"/>
        <v/>
      </c>
      <c r="U1074" s="32" t="str">
        <f t="shared" si="295"/>
        <v/>
      </c>
      <c r="V1074" s="32">
        <f t="shared" si="296"/>
        <v>1</v>
      </c>
      <c r="W1074" s="41">
        <f t="shared" si="293"/>
        <v>3.0385079662195138</v>
      </c>
      <c r="X1074" s="6">
        <f t="shared" si="294"/>
        <v>0</v>
      </c>
      <c r="Y1074" s="7">
        <f t="shared" si="297"/>
        <v>567</v>
      </c>
      <c r="AA1074" s="7">
        <f t="shared" si="298"/>
        <v>0</v>
      </c>
      <c r="AB1074" s="7" t="str">
        <f t="shared" si="299"/>
        <v/>
      </c>
      <c r="AC1074" s="7">
        <f t="shared" si="300"/>
        <v>0</v>
      </c>
      <c r="AD1074" s="7" t="str">
        <f t="shared" si="301"/>
        <v/>
      </c>
      <c r="AE1074" s="6">
        <f t="shared" si="302"/>
        <v>0</v>
      </c>
      <c r="AF1074" s="69">
        <f t="shared" si="303"/>
        <v>3.0385079662195138</v>
      </c>
      <c r="AG1074" s="6">
        <f t="shared" si="304"/>
        <v>0</v>
      </c>
      <c r="AH1074" s="6">
        <f t="shared" si="305"/>
        <v>604</v>
      </c>
    </row>
    <row r="1075" spans="8:34" x14ac:dyDescent="0.25">
      <c r="H1075" s="7">
        <v>1082</v>
      </c>
      <c r="I1075" s="7" t="s">
        <v>12</v>
      </c>
      <c r="J1075" s="8">
        <v>38782</v>
      </c>
      <c r="K1075" s="12" t="s">
        <v>18</v>
      </c>
      <c r="L1075" s="9">
        <v>88</v>
      </c>
      <c r="M1075" s="10">
        <v>266.15496391241169</v>
      </c>
      <c r="N1075" s="7" t="s">
        <v>23</v>
      </c>
      <c r="P1075" s="29" t="str">
        <f t="shared" si="288"/>
        <v/>
      </c>
      <c r="Q1075" s="29" t="str">
        <f t="shared" si="289"/>
        <v/>
      </c>
      <c r="R1075" s="29" t="str">
        <f t="shared" si="290"/>
        <v/>
      </c>
      <c r="S1075" s="29" t="str">
        <f t="shared" si="291"/>
        <v/>
      </c>
      <c r="T1075" s="32" t="str">
        <f t="shared" si="292"/>
        <v/>
      </c>
      <c r="U1075" s="32" t="str">
        <f t="shared" si="295"/>
        <v/>
      </c>
      <c r="V1075" s="32">
        <f t="shared" si="296"/>
        <v>1</v>
      </c>
      <c r="W1075" s="41">
        <f t="shared" si="293"/>
        <v>3.0244882262774055</v>
      </c>
      <c r="X1075" s="6">
        <f t="shared" si="294"/>
        <v>0</v>
      </c>
      <c r="Y1075" s="7">
        <f t="shared" si="297"/>
        <v>567</v>
      </c>
      <c r="AA1075" s="7">
        <f t="shared" si="298"/>
        <v>0</v>
      </c>
      <c r="AB1075" s="7" t="str">
        <f t="shared" si="299"/>
        <v/>
      </c>
      <c r="AC1075" s="7">
        <f t="shared" si="300"/>
        <v>0</v>
      </c>
      <c r="AD1075" s="7" t="str">
        <f t="shared" si="301"/>
        <v/>
      </c>
      <c r="AE1075" s="6">
        <f t="shared" si="302"/>
        <v>0</v>
      </c>
      <c r="AF1075" s="69">
        <f t="shared" si="303"/>
        <v>3.0244882262774055</v>
      </c>
      <c r="AG1075" s="6">
        <f t="shared" si="304"/>
        <v>0</v>
      </c>
      <c r="AH1075" s="6">
        <f t="shared" si="305"/>
        <v>604</v>
      </c>
    </row>
    <row r="1076" spans="8:34" x14ac:dyDescent="0.25">
      <c r="H1076" s="7">
        <v>1083</v>
      </c>
      <c r="I1076" s="7" t="s">
        <v>13</v>
      </c>
      <c r="J1076" s="8">
        <v>38463</v>
      </c>
      <c r="K1076" s="12" t="s">
        <v>16</v>
      </c>
      <c r="L1076" s="9">
        <v>93</v>
      </c>
      <c r="M1076" s="10">
        <v>280.95785849203958</v>
      </c>
      <c r="N1076" s="7" t="s">
        <v>24</v>
      </c>
      <c r="P1076" s="29" t="str">
        <f t="shared" si="288"/>
        <v/>
      </c>
      <c r="Q1076" s="29" t="str">
        <f t="shared" si="289"/>
        <v/>
      </c>
      <c r="R1076" s="29" t="str">
        <f t="shared" si="290"/>
        <v/>
      </c>
      <c r="S1076" s="29" t="str">
        <f t="shared" si="291"/>
        <v/>
      </c>
      <c r="T1076" s="32" t="str">
        <f t="shared" si="292"/>
        <v/>
      </c>
      <c r="U1076" s="32">
        <f t="shared" si="295"/>
        <v>1</v>
      </c>
      <c r="V1076" s="32" t="str">
        <f t="shared" si="296"/>
        <v/>
      </c>
      <c r="W1076" s="41">
        <f t="shared" si="293"/>
        <v>3.0210522418498877</v>
      </c>
      <c r="X1076" s="6">
        <f t="shared" si="294"/>
        <v>280.95785849203958</v>
      </c>
      <c r="Y1076" s="7">
        <f t="shared" si="297"/>
        <v>19</v>
      </c>
      <c r="AA1076" s="7">
        <f t="shared" si="298"/>
        <v>0</v>
      </c>
      <c r="AB1076" s="7" t="str">
        <f t="shared" si="299"/>
        <v/>
      </c>
      <c r="AC1076" s="7">
        <f t="shared" si="300"/>
        <v>1</v>
      </c>
      <c r="AD1076" s="7">
        <f t="shared" si="301"/>
        <v>93</v>
      </c>
      <c r="AE1076" s="6">
        <f t="shared" si="302"/>
        <v>0</v>
      </c>
      <c r="AF1076" s="69">
        <f t="shared" si="303"/>
        <v>3.0210522418498877</v>
      </c>
      <c r="AG1076" s="6">
        <f t="shared" si="304"/>
        <v>0</v>
      </c>
      <c r="AH1076" s="6">
        <f t="shared" si="305"/>
        <v>604</v>
      </c>
    </row>
    <row r="1077" spans="8:34" x14ac:dyDescent="0.25">
      <c r="H1077" s="7">
        <v>1084</v>
      </c>
      <c r="I1077" s="7" t="s">
        <v>9</v>
      </c>
      <c r="J1077" s="8">
        <v>38254</v>
      </c>
      <c r="K1077" s="12" t="s">
        <v>17</v>
      </c>
      <c r="L1077" s="9">
        <v>-4</v>
      </c>
      <c r="M1077" s="10">
        <v>-9.79509378079055</v>
      </c>
      <c r="N1077" s="7" t="s">
        <v>23</v>
      </c>
      <c r="P1077" s="29" t="str">
        <f t="shared" si="288"/>
        <v/>
      </c>
      <c r="Q1077" s="29" t="str">
        <f t="shared" si="289"/>
        <v/>
      </c>
      <c r="R1077" s="29">
        <f t="shared" si="290"/>
        <v>1</v>
      </c>
      <c r="S1077" s="29" t="str">
        <f t="shared" si="291"/>
        <v/>
      </c>
      <c r="T1077" s="32" t="str">
        <f t="shared" si="292"/>
        <v/>
      </c>
      <c r="U1077" s="32" t="str">
        <f t="shared" si="295"/>
        <v/>
      </c>
      <c r="V1077" s="32" t="str">
        <f t="shared" si="296"/>
        <v/>
      </c>
      <c r="W1077" s="41" t="str">
        <f t="shared" si="293"/>
        <v/>
      </c>
      <c r="X1077" s="6">
        <f t="shared" si="294"/>
        <v>0</v>
      </c>
      <c r="Y1077" s="7">
        <f t="shared" si="297"/>
        <v>567</v>
      </c>
      <c r="AA1077" s="7">
        <f t="shared" si="298"/>
        <v>0</v>
      </c>
      <c r="AB1077" s="7" t="str">
        <f t="shared" si="299"/>
        <v/>
      </c>
      <c r="AC1077" s="7">
        <f t="shared" si="300"/>
        <v>0</v>
      </c>
      <c r="AD1077" s="7" t="str">
        <f t="shared" si="301"/>
        <v/>
      </c>
      <c r="AE1077" s="6">
        <f t="shared" si="302"/>
        <v>-4</v>
      </c>
      <c r="AF1077" s="69" t="str">
        <f t="shared" si="303"/>
        <v/>
      </c>
      <c r="AG1077" s="6">
        <f t="shared" si="304"/>
        <v>0</v>
      </c>
      <c r="AH1077" s="6">
        <f t="shared" si="305"/>
        <v>604</v>
      </c>
    </row>
    <row r="1078" spans="8:34" x14ac:dyDescent="0.25">
      <c r="H1078" s="7">
        <v>1085</v>
      </c>
      <c r="I1078" s="7" t="s">
        <v>11</v>
      </c>
      <c r="J1078" s="8">
        <v>38463</v>
      </c>
      <c r="K1078" s="12" t="s">
        <v>16</v>
      </c>
      <c r="L1078" s="9">
        <v>30</v>
      </c>
      <c r="M1078" s="10">
        <v>91.838519584417725</v>
      </c>
      <c r="N1078" s="7" t="s">
        <v>21</v>
      </c>
      <c r="P1078" s="29" t="str">
        <f t="shared" si="288"/>
        <v/>
      </c>
      <c r="Q1078" s="29" t="str">
        <f t="shared" si="289"/>
        <v/>
      </c>
      <c r="R1078" s="29" t="str">
        <f t="shared" si="290"/>
        <v/>
      </c>
      <c r="S1078" s="29" t="str">
        <f t="shared" si="291"/>
        <v/>
      </c>
      <c r="T1078" s="32" t="str">
        <f t="shared" si="292"/>
        <v/>
      </c>
      <c r="U1078" s="32">
        <f t="shared" si="295"/>
        <v>1</v>
      </c>
      <c r="V1078" s="32" t="str">
        <f t="shared" si="296"/>
        <v/>
      </c>
      <c r="W1078" s="41">
        <f t="shared" si="293"/>
        <v>3.0612839861472576</v>
      </c>
      <c r="X1078" s="6">
        <f t="shared" si="294"/>
        <v>91.838519584417725</v>
      </c>
      <c r="Y1078" s="7">
        <f t="shared" si="297"/>
        <v>374</v>
      </c>
      <c r="AA1078" s="7">
        <f t="shared" si="298"/>
        <v>0</v>
      </c>
      <c r="AB1078" s="7" t="str">
        <f t="shared" si="299"/>
        <v/>
      </c>
      <c r="AC1078" s="7">
        <f t="shared" si="300"/>
        <v>1</v>
      </c>
      <c r="AD1078" s="7">
        <f t="shared" si="301"/>
        <v>30</v>
      </c>
      <c r="AE1078" s="6">
        <f t="shared" si="302"/>
        <v>0</v>
      </c>
      <c r="AF1078" s="69">
        <f t="shared" si="303"/>
        <v>3.0612839861472576</v>
      </c>
      <c r="AG1078" s="6">
        <f t="shared" si="304"/>
        <v>0</v>
      </c>
      <c r="AH1078" s="6">
        <f t="shared" si="305"/>
        <v>604</v>
      </c>
    </row>
    <row r="1079" spans="8:34" x14ac:dyDescent="0.25">
      <c r="H1079" s="7">
        <v>1086</v>
      </c>
      <c r="I1079" s="7" t="s">
        <v>14</v>
      </c>
      <c r="J1079" s="8">
        <v>38705</v>
      </c>
      <c r="K1079" s="12" t="s">
        <v>18</v>
      </c>
      <c r="L1079" s="9">
        <v>81</v>
      </c>
      <c r="M1079" s="10">
        <v>245.61829415980108</v>
      </c>
      <c r="N1079" s="7" t="s">
        <v>21</v>
      </c>
      <c r="P1079" s="29" t="str">
        <f t="shared" si="288"/>
        <v/>
      </c>
      <c r="Q1079" s="29" t="str">
        <f t="shared" si="289"/>
        <v/>
      </c>
      <c r="R1079" s="29" t="str">
        <f t="shared" si="290"/>
        <v/>
      </c>
      <c r="S1079" s="29" t="str">
        <f t="shared" si="291"/>
        <v/>
      </c>
      <c r="T1079" s="32">
        <f t="shared" si="292"/>
        <v>1</v>
      </c>
      <c r="U1079" s="32">
        <f t="shared" si="295"/>
        <v>1</v>
      </c>
      <c r="V1079" s="32" t="str">
        <f t="shared" si="296"/>
        <v/>
      </c>
      <c r="W1079" s="41">
        <f t="shared" si="293"/>
        <v>3.0323246192568036</v>
      </c>
      <c r="X1079" s="6">
        <f t="shared" si="294"/>
        <v>245.61829415980108</v>
      </c>
      <c r="Y1079" s="7">
        <f t="shared" si="297"/>
        <v>90</v>
      </c>
      <c r="AA1079" s="7">
        <f t="shared" si="298"/>
        <v>0</v>
      </c>
      <c r="AB1079" s="7" t="str">
        <f t="shared" si="299"/>
        <v/>
      </c>
      <c r="AC1079" s="7">
        <f t="shared" si="300"/>
        <v>1</v>
      </c>
      <c r="AD1079" s="7">
        <f t="shared" si="301"/>
        <v>81</v>
      </c>
      <c r="AE1079" s="6">
        <f t="shared" si="302"/>
        <v>0</v>
      </c>
      <c r="AF1079" s="69">
        <f t="shared" si="303"/>
        <v>3.0323246192568036</v>
      </c>
      <c r="AG1079" s="6">
        <f t="shared" si="304"/>
        <v>0</v>
      </c>
      <c r="AH1079" s="6">
        <f t="shared" si="305"/>
        <v>604</v>
      </c>
    </row>
    <row r="1080" spans="8:34" x14ac:dyDescent="0.25">
      <c r="H1080" s="7">
        <v>1087</v>
      </c>
      <c r="I1080" s="7" t="s">
        <v>11</v>
      </c>
      <c r="J1080" s="8">
        <v>38463</v>
      </c>
      <c r="K1080" s="12" t="s">
        <v>18</v>
      </c>
      <c r="L1080" s="9">
        <v>58</v>
      </c>
      <c r="M1080" s="10">
        <v>175.7935070061545</v>
      </c>
      <c r="N1080" s="7" t="s">
        <v>22</v>
      </c>
      <c r="P1080" s="29" t="str">
        <f t="shared" si="288"/>
        <v/>
      </c>
      <c r="Q1080" s="29" t="str">
        <f t="shared" si="289"/>
        <v/>
      </c>
      <c r="R1080" s="29" t="str">
        <f t="shared" si="290"/>
        <v/>
      </c>
      <c r="S1080" s="29" t="str">
        <f t="shared" si="291"/>
        <v/>
      </c>
      <c r="T1080" s="32" t="str">
        <f t="shared" si="292"/>
        <v/>
      </c>
      <c r="U1080" s="32">
        <f t="shared" si="295"/>
        <v>1</v>
      </c>
      <c r="V1080" s="32" t="str">
        <f t="shared" si="296"/>
        <v/>
      </c>
      <c r="W1080" s="41">
        <f t="shared" si="293"/>
        <v>3.0309225345888708</v>
      </c>
      <c r="X1080" s="6">
        <f t="shared" si="294"/>
        <v>175.7935070061545</v>
      </c>
      <c r="Y1080" s="7">
        <f t="shared" si="297"/>
        <v>217</v>
      </c>
      <c r="AA1080" s="7">
        <f t="shared" si="298"/>
        <v>0</v>
      </c>
      <c r="AB1080" s="7" t="str">
        <f t="shared" si="299"/>
        <v/>
      </c>
      <c r="AC1080" s="7">
        <f t="shared" si="300"/>
        <v>1</v>
      </c>
      <c r="AD1080" s="7">
        <f t="shared" si="301"/>
        <v>58</v>
      </c>
      <c r="AE1080" s="6">
        <f t="shared" si="302"/>
        <v>0</v>
      </c>
      <c r="AF1080" s="69">
        <f t="shared" si="303"/>
        <v>3.0309225345888708</v>
      </c>
      <c r="AG1080" s="6">
        <f t="shared" si="304"/>
        <v>0</v>
      </c>
      <c r="AH1080" s="6">
        <f t="shared" si="305"/>
        <v>604</v>
      </c>
    </row>
    <row r="1081" spans="8:34" x14ac:dyDescent="0.25">
      <c r="H1081" s="7">
        <v>1088</v>
      </c>
      <c r="I1081" s="7" t="s">
        <v>9</v>
      </c>
      <c r="J1081" s="8">
        <v>37990</v>
      </c>
      <c r="K1081" s="12" t="s">
        <v>20</v>
      </c>
      <c r="L1081" s="9">
        <v>50</v>
      </c>
      <c r="M1081" s="10">
        <v>151.96180824733827</v>
      </c>
      <c r="N1081" s="7" t="s">
        <v>22</v>
      </c>
      <c r="P1081" s="29">
        <f t="shared" si="288"/>
        <v>1</v>
      </c>
      <c r="Q1081" s="29" t="str">
        <f t="shared" si="289"/>
        <v/>
      </c>
      <c r="R1081" s="29" t="str">
        <f t="shared" si="290"/>
        <v/>
      </c>
      <c r="S1081" s="29" t="str">
        <f t="shared" si="291"/>
        <v/>
      </c>
      <c r="T1081" s="32" t="str">
        <f t="shared" si="292"/>
        <v/>
      </c>
      <c r="U1081" s="32" t="str">
        <f t="shared" si="295"/>
        <v/>
      </c>
      <c r="V1081" s="32" t="str">
        <f t="shared" si="296"/>
        <v/>
      </c>
      <c r="W1081" s="41">
        <f t="shared" si="293"/>
        <v>3.0392361649467654</v>
      </c>
      <c r="X1081" s="6">
        <f t="shared" si="294"/>
        <v>0</v>
      </c>
      <c r="Y1081" s="7">
        <f t="shared" si="297"/>
        <v>567</v>
      </c>
      <c r="AA1081" s="7">
        <f t="shared" si="298"/>
        <v>0</v>
      </c>
      <c r="AB1081" s="7" t="str">
        <f t="shared" si="299"/>
        <v/>
      </c>
      <c r="AC1081" s="7">
        <f t="shared" si="300"/>
        <v>0</v>
      </c>
      <c r="AD1081" s="7" t="str">
        <f t="shared" si="301"/>
        <v/>
      </c>
      <c r="AE1081" s="6">
        <f t="shared" si="302"/>
        <v>0</v>
      </c>
      <c r="AF1081" s="69">
        <f t="shared" si="303"/>
        <v>3.0392361649467654</v>
      </c>
      <c r="AG1081" s="6">
        <f t="shared" si="304"/>
        <v>151.96180824733827</v>
      </c>
      <c r="AH1081" s="6">
        <f t="shared" si="305"/>
        <v>271</v>
      </c>
    </row>
    <row r="1082" spans="8:34" x14ac:dyDescent="0.25">
      <c r="H1082" s="7">
        <v>1089</v>
      </c>
      <c r="I1082" s="7" t="s">
        <v>10</v>
      </c>
      <c r="J1082" s="8">
        <v>38166</v>
      </c>
      <c r="K1082" s="12" t="s">
        <v>17</v>
      </c>
      <c r="L1082" s="9">
        <v>92</v>
      </c>
      <c r="M1082" s="10">
        <v>277.64731000872155</v>
      </c>
      <c r="N1082" s="7" t="s">
        <v>21</v>
      </c>
      <c r="P1082" s="29" t="str">
        <f t="shared" si="288"/>
        <v/>
      </c>
      <c r="Q1082" s="29">
        <f t="shared" si="289"/>
        <v>1</v>
      </c>
      <c r="R1082" s="29" t="str">
        <f t="shared" si="290"/>
        <v/>
      </c>
      <c r="S1082" s="29" t="str">
        <f t="shared" si="291"/>
        <v/>
      </c>
      <c r="T1082" s="32" t="str">
        <f t="shared" si="292"/>
        <v/>
      </c>
      <c r="U1082" s="32" t="str">
        <f t="shared" si="295"/>
        <v/>
      </c>
      <c r="V1082" s="32" t="str">
        <f t="shared" si="296"/>
        <v/>
      </c>
      <c r="W1082" s="41">
        <f t="shared" si="293"/>
        <v>3.0179055435730602</v>
      </c>
      <c r="X1082" s="6">
        <f t="shared" si="294"/>
        <v>0</v>
      </c>
      <c r="Y1082" s="7">
        <f t="shared" si="297"/>
        <v>567</v>
      </c>
      <c r="AA1082" s="7">
        <f t="shared" si="298"/>
        <v>0</v>
      </c>
      <c r="AB1082" s="7" t="str">
        <f t="shared" si="299"/>
        <v/>
      </c>
      <c r="AC1082" s="7">
        <f t="shared" si="300"/>
        <v>0</v>
      </c>
      <c r="AD1082" s="7" t="str">
        <f t="shared" si="301"/>
        <v/>
      </c>
      <c r="AE1082" s="6">
        <f t="shared" si="302"/>
        <v>0</v>
      </c>
      <c r="AF1082" s="69">
        <f t="shared" si="303"/>
        <v>3.0179055435730602</v>
      </c>
      <c r="AG1082" s="6">
        <f t="shared" si="304"/>
        <v>277.64731000872155</v>
      </c>
      <c r="AH1082" s="6">
        <f t="shared" si="305"/>
        <v>21</v>
      </c>
    </row>
    <row r="1083" spans="8:34" x14ac:dyDescent="0.25">
      <c r="H1083" s="7">
        <v>1090</v>
      </c>
      <c r="I1083" s="7" t="s">
        <v>9</v>
      </c>
      <c r="J1083" s="8">
        <v>39035</v>
      </c>
      <c r="K1083" s="12" t="s">
        <v>18</v>
      </c>
      <c r="L1083" s="9">
        <v>27</v>
      </c>
      <c r="M1083" s="10">
        <v>82.124904169698794</v>
      </c>
      <c r="N1083" s="7" t="s">
        <v>21</v>
      </c>
      <c r="P1083" s="29" t="str">
        <f t="shared" si="288"/>
        <v/>
      </c>
      <c r="Q1083" s="29" t="str">
        <f t="shared" si="289"/>
        <v/>
      </c>
      <c r="R1083" s="29" t="str">
        <f t="shared" si="290"/>
        <v/>
      </c>
      <c r="S1083" s="29" t="str">
        <f t="shared" si="291"/>
        <v/>
      </c>
      <c r="T1083" s="32" t="str">
        <f t="shared" si="292"/>
        <v/>
      </c>
      <c r="U1083" s="32" t="str">
        <f t="shared" si="295"/>
        <v/>
      </c>
      <c r="V1083" s="32">
        <f t="shared" si="296"/>
        <v>1</v>
      </c>
      <c r="W1083" s="41">
        <f t="shared" si="293"/>
        <v>3.0416631173962516</v>
      </c>
      <c r="X1083" s="6">
        <f t="shared" si="294"/>
        <v>0</v>
      </c>
      <c r="Y1083" s="7">
        <f t="shared" si="297"/>
        <v>567</v>
      </c>
      <c r="AA1083" s="7">
        <f t="shared" si="298"/>
        <v>0</v>
      </c>
      <c r="AB1083" s="7" t="str">
        <f t="shared" si="299"/>
        <v/>
      </c>
      <c r="AC1083" s="7">
        <f t="shared" si="300"/>
        <v>0</v>
      </c>
      <c r="AD1083" s="7" t="str">
        <f t="shared" si="301"/>
        <v/>
      </c>
      <c r="AE1083" s="6">
        <f t="shared" si="302"/>
        <v>0</v>
      </c>
      <c r="AF1083" s="69">
        <f t="shared" si="303"/>
        <v>3.0416631173962516</v>
      </c>
      <c r="AG1083" s="6">
        <f t="shared" si="304"/>
        <v>0</v>
      </c>
      <c r="AH1083" s="6">
        <f t="shared" si="305"/>
        <v>604</v>
      </c>
    </row>
    <row r="1084" spans="8:34" x14ac:dyDescent="0.25">
      <c r="H1084" s="7">
        <v>1091</v>
      </c>
      <c r="I1084" s="7" t="s">
        <v>10</v>
      </c>
      <c r="J1084" s="8">
        <v>38221</v>
      </c>
      <c r="K1084" s="12" t="s">
        <v>18</v>
      </c>
      <c r="L1084" s="9">
        <v>61</v>
      </c>
      <c r="M1084" s="10">
        <v>184.45390394551416</v>
      </c>
      <c r="N1084" s="7" t="s">
        <v>21</v>
      </c>
      <c r="P1084" s="29" t="str">
        <f t="shared" si="288"/>
        <v/>
      </c>
      <c r="Q1084" s="29" t="str">
        <f t="shared" si="289"/>
        <v/>
      </c>
      <c r="R1084" s="29">
        <f t="shared" si="290"/>
        <v>1</v>
      </c>
      <c r="S1084" s="29" t="str">
        <f t="shared" si="291"/>
        <v/>
      </c>
      <c r="T1084" s="32" t="str">
        <f t="shared" si="292"/>
        <v/>
      </c>
      <c r="U1084" s="32" t="str">
        <f t="shared" si="295"/>
        <v/>
      </c>
      <c r="V1084" s="32" t="str">
        <f t="shared" si="296"/>
        <v/>
      </c>
      <c r="W1084" s="41">
        <f t="shared" si="293"/>
        <v>3.0238344909100681</v>
      </c>
      <c r="X1084" s="6">
        <f t="shared" si="294"/>
        <v>0</v>
      </c>
      <c r="Y1084" s="7">
        <f t="shared" si="297"/>
        <v>567</v>
      </c>
      <c r="AA1084" s="7">
        <f t="shared" si="298"/>
        <v>0</v>
      </c>
      <c r="AB1084" s="7" t="str">
        <f t="shared" si="299"/>
        <v/>
      </c>
      <c r="AC1084" s="7">
        <f t="shared" si="300"/>
        <v>0</v>
      </c>
      <c r="AD1084" s="7" t="str">
        <f t="shared" si="301"/>
        <v/>
      </c>
      <c r="AE1084" s="6">
        <f t="shared" si="302"/>
        <v>0</v>
      </c>
      <c r="AF1084" s="69">
        <f t="shared" si="303"/>
        <v>3.0238344909100681</v>
      </c>
      <c r="AG1084" s="6">
        <f t="shared" si="304"/>
        <v>184.45390394551416</v>
      </c>
      <c r="AH1084" s="6">
        <f t="shared" si="305"/>
        <v>216</v>
      </c>
    </row>
    <row r="1085" spans="8:34" x14ac:dyDescent="0.25">
      <c r="H1085" s="7">
        <v>1092</v>
      </c>
      <c r="I1085" s="7" t="s">
        <v>11</v>
      </c>
      <c r="J1085" s="8">
        <v>38925</v>
      </c>
      <c r="K1085" s="12" t="s">
        <v>20</v>
      </c>
      <c r="L1085" s="9">
        <v>7</v>
      </c>
      <c r="M1085" s="10">
        <v>23.198272342782062</v>
      </c>
      <c r="N1085" s="7" t="s">
        <v>21</v>
      </c>
      <c r="P1085" s="29" t="str">
        <f t="shared" si="288"/>
        <v/>
      </c>
      <c r="Q1085" s="29" t="str">
        <f t="shared" si="289"/>
        <v/>
      </c>
      <c r="R1085" s="29" t="str">
        <f t="shared" si="290"/>
        <v/>
      </c>
      <c r="S1085" s="29" t="str">
        <f t="shared" si="291"/>
        <v/>
      </c>
      <c r="T1085" s="32" t="str">
        <f t="shared" si="292"/>
        <v/>
      </c>
      <c r="U1085" s="32" t="str">
        <f t="shared" si="295"/>
        <v/>
      </c>
      <c r="V1085" s="32">
        <f t="shared" si="296"/>
        <v>1</v>
      </c>
      <c r="W1085" s="41">
        <f t="shared" si="293"/>
        <v>3.314038906111723</v>
      </c>
      <c r="X1085" s="6">
        <f t="shared" si="294"/>
        <v>0</v>
      </c>
      <c r="Y1085" s="7">
        <f t="shared" si="297"/>
        <v>567</v>
      </c>
      <c r="AA1085" s="7">
        <f t="shared" si="298"/>
        <v>0</v>
      </c>
      <c r="AB1085" s="7" t="str">
        <f t="shared" si="299"/>
        <v/>
      </c>
      <c r="AC1085" s="7">
        <f t="shared" si="300"/>
        <v>0</v>
      </c>
      <c r="AD1085" s="7" t="str">
        <f t="shared" si="301"/>
        <v/>
      </c>
      <c r="AE1085" s="6">
        <f t="shared" si="302"/>
        <v>0</v>
      </c>
      <c r="AF1085" s="69">
        <f t="shared" si="303"/>
        <v>3.314038906111723</v>
      </c>
      <c r="AG1085" s="6">
        <f t="shared" si="304"/>
        <v>0</v>
      </c>
      <c r="AH1085" s="6">
        <f t="shared" si="305"/>
        <v>604</v>
      </c>
    </row>
    <row r="1086" spans="8:34" x14ac:dyDescent="0.25">
      <c r="H1086" s="7">
        <v>1093</v>
      </c>
      <c r="I1086" s="7" t="s">
        <v>7</v>
      </c>
      <c r="J1086" s="8">
        <v>38331</v>
      </c>
      <c r="K1086" s="12" t="s">
        <v>17</v>
      </c>
      <c r="L1086" s="9">
        <v>25</v>
      </c>
      <c r="M1086" s="10">
        <v>76.517978614258837</v>
      </c>
      <c r="N1086" s="7" t="s">
        <v>22</v>
      </c>
      <c r="P1086" s="29" t="str">
        <f t="shared" si="288"/>
        <v/>
      </c>
      <c r="Q1086" s="29" t="str">
        <f t="shared" si="289"/>
        <v/>
      </c>
      <c r="R1086" s="29" t="str">
        <f t="shared" si="290"/>
        <v/>
      </c>
      <c r="S1086" s="29">
        <f t="shared" si="291"/>
        <v>1</v>
      </c>
      <c r="T1086" s="32" t="str">
        <f t="shared" si="292"/>
        <v/>
      </c>
      <c r="U1086" s="32" t="str">
        <f t="shared" si="295"/>
        <v/>
      </c>
      <c r="V1086" s="32" t="str">
        <f t="shared" si="296"/>
        <v/>
      </c>
      <c r="W1086" s="41">
        <f t="shared" si="293"/>
        <v>3.0607191445703537</v>
      </c>
      <c r="X1086" s="6">
        <f t="shared" si="294"/>
        <v>0</v>
      </c>
      <c r="Y1086" s="7">
        <f t="shared" si="297"/>
        <v>567</v>
      </c>
      <c r="AA1086" s="7">
        <f t="shared" si="298"/>
        <v>0</v>
      </c>
      <c r="AB1086" s="7" t="str">
        <f t="shared" si="299"/>
        <v/>
      </c>
      <c r="AC1086" s="7">
        <f t="shared" si="300"/>
        <v>0</v>
      </c>
      <c r="AD1086" s="7" t="str">
        <f t="shared" si="301"/>
        <v/>
      </c>
      <c r="AE1086" s="6">
        <f t="shared" si="302"/>
        <v>0</v>
      </c>
      <c r="AF1086" s="69">
        <f t="shared" si="303"/>
        <v>3.0607191445703537</v>
      </c>
      <c r="AG1086" s="6">
        <f t="shared" si="304"/>
        <v>76.517978614258837</v>
      </c>
      <c r="AH1086" s="6">
        <f t="shared" si="305"/>
        <v>433</v>
      </c>
    </row>
    <row r="1087" spans="8:34" x14ac:dyDescent="0.25">
      <c r="H1087" s="7">
        <v>1094</v>
      </c>
      <c r="I1087" s="7" t="s">
        <v>9</v>
      </c>
      <c r="J1087" s="8">
        <v>38221</v>
      </c>
      <c r="K1087" s="12" t="s">
        <v>17</v>
      </c>
      <c r="L1087" s="9">
        <v>84</v>
      </c>
      <c r="M1087" s="10">
        <v>254.21310769001889</v>
      </c>
      <c r="N1087" s="7" t="s">
        <v>21</v>
      </c>
      <c r="P1087" s="29" t="str">
        <f t="shared" si="288"/>
        <v/>
      </c>
      <c r="Q1087" s="29" t="str">
        <f t="shared" si="289"/>
        <v/>
      </c>
      <c r="R1087" s="29">
        <f t="shared" si="290"/>
        <v>1</v>
      </c>
      <c r="S1087" s="29" t="str">
        <f t="shared" si="291"/>
        <v/>
      </c>
      <c r="T1087" s="32" t="str">
        <f t="shared" si="292"/>
        <v/>
      </c>
      <c r="U1087" s="32" t="str">
        <f t="shared" si="295"/>
        <v/>
      </c>
      <c r="V1087" s="32" t="str">
        <f t="shared" si="296"/>
        <v/>
      </c>
      <c r="W1087" s="41">
        <f t="shared" si="293"/>
        <v>3.0263465201192723</v>
      </c>
      <c r="X1087" s="6">
        <f t="shared" si="294"/>
        <v>0</v>
      </c>
      <c r="Y1087" s="7">
        <f t="shared" si="297"/>
        <v>567</v>
      </c>
      <c r="AA1087" s="7">
        <f t="shared" si="298"/>
        <v>0</v>
      </c>
      <c r="AB1087" s="7" t="str">
        <f t="shared" si="299"/>
        <v/>
      </c>
      <c r="AC1087" s="7">
        <f t="shared" si="300"/>
        <v>0</v>
      </c>
      <c r="AD1087" s="7" t="str">
        <f t="shared" si="301"/>
        <v/>
      </c>
      <c r="AE1087" s="6">
        <f t="shared" si="302"/>
        <v>0</v>
      </c>
      <c r="AF1087" s="69">
        <f t="shared" si="303"/>
        <v>3.0263465201192723</v>
      </c>
      <c r="AG1087" s="6">
        <f t="shared" si="304"/>
        <v>254.21310769001889</v>
      </c>
      <c r="AH1087" s="6">
        <f t="shared" si="305"/>
        <v>60</v>
      </c>
    </row>
    <row r="1088" spans="8:34" x14ac:dyDescent="0.25">
      <c r="H1088" s="7">
        <v>1095</v>
      </c>
      <c r="I1088" s="7" t="s">
        <v>7</v>
      </c>
      <c r="J1088" s="8">
        <v>38078</v>
      </c>
      <c r="K1088" s="12" t="s">
        <v>16</v>
      </c>
      <c r="L1088" s="9">
        <v>66</v>
      </c>
      <c r="M1088" s="10">
        <v>199.92451734594025</v>
      </c>
      <c r="N1088" s="7" t="s">
        <v>23</v>
      </c>
      <c r="P1088" s="29" t="str">
        <f t="shared" si="288"/>
        <v/>
      </c>
      <c r="Q1088" s="29">
        <f t="shared" si="289"/>
        <v>1</v>
      </c>
      <c r="R1088" s="29" t="str">
        <f t="shared" si="290"/>
        <v/>
      </c>
      <c r="S1088" s="29" t="str">
        <f t="shared" si="291"/>
        <v/>
      </c>
      <c r="T1088" s="32" t="str">
        <f t="shared" si="292"/>
        <v/>
      </c>
      <c r="U1088" s="32" t="str">
        <f t="shared" si="295"/>
        <v/>
      </c>
      <c r="V1088" s="32" t="str">
        <f t="shared" si="296"/>
        <v/>
      </c>
      <c r="W1088" s="41">
        <f t="shared" si="293"/>
        <v>3.0291593537263672</v>
      </c>
      <c r="X1088" s="6">
        <f t="shared" si="294"/>
        <v>0</v>
      </c>
      <c r="Y1088" s="7">
        <f t="shared" si="297"/>
        <v>567</v>
      </c>
      <c r="AA1088" s="7">
        <f t="shared" si="298"/>
        <v>0</v>
      </c>
      <c r="AB1088" s="7" t="str">
        <f t="shared" si="299"/>
        <v/>
      </c>
      <c r="AC1088" s="7">
        <f t="shared" si="300"/>
        <v>0</v>
      </c>
      <c r="AD1088" s="7" t="str">
        <f t="shared" si="301"/>
        <v/>
      </c>
      <c r="AE1088" s="6">
        <f t="shared" si="302"/>
        <v>0</v>
      </c>
      <c r="AF1088" s="69">
        <f t="shared" si="303"/>
        <v>3.0291593537263672</v>
      </c>
      <c r="AG1088" s="6">
        <f t="shared" si="304"/>
        <v>199.92451734594025</v>
      </c>
      <c r="AH1088" s="6">
        <f t="shared" si="305"/>
        <v>175</v>
      </c>
    </row>
    <row r="1089" spans="8:34" x14ac:dyDescent="0.25">
      <c r="H1089" s="7">
        <v>1096</v>
      </c>
      <c r="I1089" s="7" t="s">
        <v>13</v>
      </c>
      <c r="J1089" s="8">
        <v>38111</v>
      </c>
      <c r="K1089" s="12" t="s">
        <v>16</v>
      </c>
      <c r="L1089" s="9">
        <v>89</v>
      </c>
      <c r="M1089" s="10">
        <v>269.23471780277339</v>
      </c>
      <c r="N1089" s="7" t="s">
        <v>24</v>
      </c>
      <c r="P1089" s="29" t="str">
        <f t="shared" si="288"/>
        <v/>
      </c>
      <c r="Q1089" s="29">
        <f t="shared" si="289"/>
        <v>1</v>
      </c>
      <c r="R1089" s="29" t="str">
        <f t="shared" si="290"/>
        <v/>
      </c>
      <c r="S1089" s="29" t="str">
        <f t="shared" si="291"/>
        <v/>
      </c>
      <c r="T1089" s="32" t="str">
        <f t="shared" si="292"/>
        <v/>
      </c>
      <c r="U1089" s="32" t="str">
        <f t="shared" si="295"/>
        <v/>
      </c>
      <c r="V1089" s="32" t="str">
        <f t="shared" si="296"/>
        <v/>
      </c>
      <c r="W1089" s="41">
        <f t="shared" si="293"/>
        <v>3.0251091887952066</v>
      </c>
      <c r="X1089" s="6">
        <f t="shared" si="294"/>
        <v>0</v>
      </c>
      <c r="Y1089" s="7">
        <f t="shared" si="297"/>
        <v>567</v>
      </c>
      <c r="AA1089" s="7">
        <f t="shared" si="298"/>
        <v>0</v>
      </c>
      <c r="AB1089" s="7" t="str">
        <f t="shared" si="299"/>
        <v/>
      </c>
      <c r="AC1089" s="7">
        <f t="shared" si="300"/>
        <v>0</v>
      </c>
      <c r="AD1089" s="7" t="str">
        <f t="shared" si="301"/>
        <v/>
      </c>
      <c r="AE1089" s="6">
        <f t="shared" si="302"/>
        <v>0</v>
      </c>
      <c r="AF1089" s="69">
        <f t="shared" si="303"/>
        <v>3.0251091887952066</v>
      </c>
      <c r="AG1089" s="6">
        <f t="shared" si="304"/>
        <v>269.23471780277339</v>
      </c>
      <c r="AH1089" s="6">
        <f t="shared" si="305"/>
        <v>35</v>
      </c>
    </row>
    <row r="1090" spans="8:34" x14ac:dyDescent="0.25">
      <c r="H1090" s="7">
        <v>1097</v>
      </c>
      <c r="I1090" s="7" t="s">
        <v>12</v>
      </c>
      <c r="J1090" s="8">
        <v>38485</v>
      </c>
      <c r="K1090" s="12" t="s">
        <v>18</v>
      </c>
      <c r="L1090" s="9">
        <v>32</v>
      </c>
      <c r="M1090" s="10">
        <v>97.883310582745409</v>
      </c>
      <c r="N1090" s="7" t="s">
        <v>22</v>
      </c>
      <c r="P1090" s="29" t="str">
        <f t="shared" si="288"/>
        <v/>
      </c>
      <c r="Q1090" s="29" t="str">
        <f t="shared" si="289"/>
        <v/>
      </c>
      <c r="R1090" s="29" t="str">
        <f t="shared" si="290"/>
        <v/>
      </c>
      <c r="S1090" s="29" t="str">
        <f t="shared" si="291"/>
        <v/>
      </c>
      <c r="T1090" s="32" t="str">
        <f t="shared" si="292"/>
        <v/>
      </c>
      <c r="U1090" s="32">
        <f t="shared" si="295"/>
        <v>1</v>
      </c>
      <c r="V1090" s="32" t="str">
        <f t="shared" si="296"/>
        <v/>
      </c>
      <c r="W1090" s="41">
        <f t="shared" si="293"/>
        <v>3.058853455710794</v>
      </c>
      <c r="X1090" s="6">
        <f t="shared" si="294"/>
        <v>97.883310582745409</v>
      </c>
      <c r="Y1090" s="7">
        <f t="shared" si="297"/>
        <v>365</v>
      </c>
      <c r="AA1090" s="7">
        <f t="shared" si="298"/>
        <v>0</v>
      </c>
      <c r="AB1090" s="7" t="str">
        <f t="shared" si="299"/>
        <v/>
      </c>
      <c r="AC1090" s="7">
        <f t="shared" si="300"/>
        <v>1</v>
      </c>
      <c r="AD1090" s="7">
        <f t="shared" si="301"/>
        <v>32</v>
      </c>
      <c r="AE1090" s="6">
        <f t="shared" si="302"/>
        <v>0</v>
      </c>
      <c r="AF1090" s="69">
        <f t="shared" si="303"/>
        <v>3.058853455710794</v>
      </c>
      <c r="AG1090" s="6">
        <f t="shared" si="304"/>
        <v>0</v>
      </c>
      <c r="AH1090" s="6">
        <f t="shared" si="305"/>
        <v>604</v>
      </c>
    </row>
    <row r="1091" spans="8:34" x14ac:dyDescent="0.25">
      <c r="H1091" s="7">
        <v>1098</v>
      </c>
      <c r="I1091" s="7" t="s">
        <v>12</v>
      </c>
      <c r="J1091" s="8">
        <v>38903</v>
      </c>
      <c r="K1091" s="12" t="s">
        <v>17</v>
      </c>
      <c r="L1091" s="9">
        <v>78</v>
      </c>
      <c r="M1091" s="10">
        <v>236.26032561473036</v>
      </c>
      <c r="N1091" s="7" t="s">
        <v>22</v>
      </c>
      <c r="P1091" s="29" t="str">
        <f t="shared" ref="P1091:P1154" si="306">IF(AND((MONTH(J1091))&lt;4,YEAR(J1091)=2004),1,"")</f>
        <v/>
      </c>
      <c r="Q1091" s="29" t="str">
        <f t="shared" ref="Q1091:Q1154" si="307">IF(AND(3&lt;(MONTH(J1091)),(MONTH(J1091)&lt;7),YEAR(J1091)=2004),1,"")</f>
        <v/>
      </c>
      <c r="R1091" s="29" t="str">
        <f t="shared" ref="R1091:R1154" si="308">IF(AND(6&lt;(MONTH(J1091)),(MONTH(J1091)&lt;10),YEAR(J1091)=2004),1,"")</f>
        <v/>
      </c>
      <c r="S1091" s="29" t="str">
        <f t="shared" ref="S1091:S1154" si="309">IF(AND(9&lt;(MONTH(J1091)),(MONTH(J1091)&lt;13),YEAR(J1091)=2004),1,"")</f>
        <v/>
      </c>
      <c r="T1091" s="32" t="str">
        <f t="shared" ref="T1091:T1154" si="310">IF(AND((9&lt;MONTH(J1091)),YEAR(J1091)=2005),1,"")</f>
        <v/>
      </c>
      <c r="U1091" s="32" t="str">
        <f t="shared" si="295"/>
        <v/>
      </c>
      <c r="V1091" s="32">
        <f t="shared" si="296"/>
        <v>1</v>
      </c>
      <c r="W1091" s="41">
        <f t="shared" ref="W1091:W1154" si="311">IF(L1091&gt;0,M1091/L1091,"")</f>
        <v>3.0289785335221842</v>
      </c>
      <c r="X1091" s="6">
        <f t="shared" ref="X1091:X1154" si="312">IF(U1091=1,M1091,0)</f>
        <v>0</v>
      </c>
      <c r="Y1091" s="7">
        <f t="shared" si="297"/>
        <v>567</v>
      </c>
      <c r="AA1091" s="7">
        <f t="shared" si="298"/>
        <v>0</v>
      </c>
      <c r="AB1091" s="7" t="str">
        <f t="shared" si="299"/>
        <v/>
      </c>
      <c r="AC1091" s="7">
        <f t="shared" si="300"/>
        <v>0</v>
      </c>
      <c r="AD1091" s="7" t="str">
        <f t="shared" si="301"/>
        <v/>
      </c>
      <c r="AE1091" s="6">
        <f t="shared" si="302"/>
        <v>0</v>
      </c>
      <c r="AF1091" s="69">
        <f t="shared" si="303"/>
        <v>3.0289785335221842</v>
      </c>
      <c r="AG1091" s="6">
        <f t="shared" si="304"/>
        <v>0</v>
      </c>
      <c r="AH1091" s="6">
        <f t="shared" si="305"/>
        <v>604</v>
      </c>
    </row>
    <row r="1092" spans="8:34" x14ac:dyDescent="0.25">
      <c r="H1092" s="7">
        <v>1099</v>
      </c>
      <c r="I1092" s="7" t="s">
        <v>13</v>
      </c>
      <c r="J1092" s="8">
        <v>38793</v>
      </c>
      <c r="K1092" s="12" t="s">
        <v>19</v>
      </c>
      <c r="L1092" s="9">
        <v>56</v>
      </c>
      <c r="M1092" s="10">
        <v>169.98666558680949</v>
      </c>
      <c r="N1092" s="7" t="s">
        <v>23</v>
      </c>
      <c r="P1092" s="29" t="str">
        <f t="shared" si="306"/>
        <v/>
      </c>
      <c r="Q1092" s="29" t="str">
        <f t="shared" si="307"/>
        <v/>
      </c>
      <c r="R1092" s="29" t="str">
        <f t="shared" si="308"/>
        <v/>
      </c>
      <c r="S1092" s="29" t="str">
        <f t="shared" si="309"/>
        <v/>
      </c>
      <c r="T1092" s="32" t="str">
        <f t="shared" si="310"/>
        <v/>
      </c>
      <c r="U1092" s="32" t="str">
        <f t="shared" ref="U1092:U1155" si="313">IF(YEAR(J1092)=2005,1,"")</f>
        <v/>
      </c>
      <c r="V1092" s="32">
        <f t="shared" ref="V1092:V1155" si="314">IF(YEAR(J1092)=2006,1,"")</f>
        <v>1</v>
      </c>
      <c r="W1092" s="41">
        <f t="shared" si="311"/>
        <v>3.0354761711930265</v>
      </c>
      <c r="X1092" s="6">
        <f t="shared" si="312"/>
        <v>0</v>
      </c>
      <c r="Y1092" s="7">
        <f t="shared" ref="Y1092:Y1155" si="315">RANK(X1092,$X$3:$X$1893)</f>
        <v>567</v>
      </c>
      <c r="AA1092" s="7">
        <f t="shared" ref="AA1092:AA1155" si="316">IF(AND(OR((MONTH(J1092))=1,(MONTH(J1092))=2,(MONTH(J1092))=3,(MONTH(J1092))=7,(MONTH(J1092))=8,(MONTH(J1092))=9),YEAR(J1092)=2005),1,0)</f>
        <v>0</v>
      </c>
      <c r="AB1092" s="7" t="str">
        <f t="shared" ref="AB1092:AB1155" si="317">IF(AA1092=1,L1092,"")</f>
        <v/>
      </c>
      <c r="AC1092" s="7">
        <f t="shared" ref="AC1092:AC1155" si="318">IF(AND(OR((MONTH(J1092))=4,(MONTH(J1092))=5,(MONTH(J1092))=6,(MONTH(J1092))=10,(MONTH(J1092))=11,(MONTH(J1092))=12),YEAR(J1092)=2005),1,0)</f>
        <v>0</v>
      </c>
      <c r="AD1092" s="7" t="str">
        <f t="shared" ref="AD1092:AD1155" si="319">IF(AC1092=1,L1092,"")</f>
        <v/>
      </c>
      <c r="AE1092" s="6">
        <f t="shared" ref="AE1092:AE1155" si="320">IF(L1092&lt;0,L1092,0)</f>
        <v>0</v>
      </c>
      <c r="AF1092" s="69">
        <f t="shared" ref="AF1092:AF1155" si="321">IF(L1092&gt;0,W1092,"")</f>
        <v>3.0354761711930265</v>
      </c>
      <c r="AG1092" s="6">
        <f t="shared" ref="AG1092:AG1155" si="322">IF(AND((M1092&gt;0),(YEAR(J1092)=2004)),M1092,0)</f>
        <v>0</v>
      </c>
      <c r="AH1092" s="6">
        <f t="shared" ref="AH1092:AH1155" si="323">RANK(AG1092,$AG$3:$AG$1893)</f>
        <v>604</v>
      </c>
    </row>
    <row r="1093" spans="8:34" x14ac:dyDescent="0.25">
      <c r="H1093" s="7">
        <v>1100</v>
      </c>
      <c r="I1093" s="7" t="s">
        <v>11</v>
      </c>
      <c r="J1093" s="8">
        <v>39079</v>
      </c>
      <c r="K1093" s="12" t="s">
        <v>18</v>
      </c>
      <c r="L1093" s="9">
        <v>80</v>
      </c>
      <c r="M1093" s="10">
        <v>241.53786763068013</v>
      </c>
      <c r="N1093" s="7" t="s">
        <v>22</v>
      </c>
      <c r="P1093" s="29" t="str">
        <f t="shared" si="306"/>
        <v/>
      </c>
      <c r="Q1093" s="29" t="str">
        <f t="shared" si="307"/>
        <v/>
      </c>
      <c r="R1093" s="29" t="str">
        <f t="shared" si="308"/>
        <v/>
      </c>
      <c r="S1093" s="29" t="str">
        <f t="shared" si="309"/>
        <v/>
      </c>
      <c r="T1093" s="32" t="str">
        <f t="shared" si="310"/>
        <v/>
      </c>
      <c r="U1093" s="32" t="str">
        <f t="shared" si="313"/>
        <v/>
      </c>
      <c r="V1093" s="32">
        <f t="shared" si="314"/>
        <v>1</v>
      </c>
      <c r="W1093" s="41">
        <f t="shared" si="311"/>
        <v>3.0192233453835016</v>
      </c>
      <c r="X1093" s="6">
        <f t="shared" si="312"/>
        <v>0</v>
      </c>
      <c r="Y1093" s="7">
        <f t="shared" si="315"/>
        <v>567</v>
      </c>
      <c r="AA1093" s="7">
        <f t="shared" si="316"/>
        <v>0</v>
      </c>
      <c r="AB1093" s="7" t="str">
        <f t="shared" si="317"/>
        <v/>
      </c>
      <c r="AC1093" s="7">
        <f t="shared" si="318"/>
        <v>0</v>
      </c>
      <c r="AD1093" s="7" t="str">
        <f t="shared" si="319"/>
        <v/>
      </c>
      <c r="AE1093" s="6">
        <f t="shared" si="320"/>
        <v>0</v>
      </c>
      <c r="AF1093" s="69">
        <f t="shared" si="321"/>
        <v>3.0192233453835016</v>
      </c>
      <c r="AG1093" s="6">
        <f t="shared" si="322"/>
        <v>0</v>
      </c>
      <c r="AH1093" s="6">
        <f t="shared" si="323"/>
        <v>604</v>
      </c>
    </row>
    <row r="1094" spans="8:34" x14ac:dyDescent="0.25">
      <c r="H1094" s="7">
        <v>1101</v>
      </c>
      <c r="I1094" s="7" t="s">
        <v>15</v>
      </c>
      <c r="J1094" s="8">
        <v>38386</v>
      </c>
      <c r="K1094" s="12" t="s">
        <v>20</v>
      </c>
      <c r="L1094" s="9">
        <v>72</v>
      </c>
      <c r="M1094" s="10">
        <v>218.32896513434619</v>
      </c>
      <c r="N1094" s="7" t="s">
        <v>22</v>
      </c>
      <c r="P1094" s="29" t="str">
        <f t="shared" si="306"/>
        <v/>
      </c>
      <c r="Q1094" s="29" t="str">
        <f t="shared" si="307"/>
        <v/>
      </c>
      <c r="R1094" s="29" t="str">
        <f t="shared" si="308"/>
        <v/>
      </c>
      <c r="S1094" s="29" t="str">
        <f t="shared" si="309"/>
        <v/>
      </c>
      <c r="T1094" s="32" t="str">
        <f t="shared" si="310"/>
        <v/>
      </c>
      <c r="U1094" s="32">
        <f t="shared" si="313"/>
        <v>1</v>
      </c>
      <c r="V1094" s="32" t="str">
        <f t="shared" si="314"/>
        <v/>
      </c>
      <c r="W1094" s="41">
        <f t="shared" si="311"/>
        <v>3.0323467379770306</v>
      </c>
      <c r="X1094" s="6">
        <f t="shared" si="312"/>
        <v>218.32896513434619</v>
      </c>
      <c r="Y1094" s="7">
        <f t="shared" si="315"/>
        <v>142</v>
      </c>
      <c r="AA1094" s="7">
        <f t="shared" si="316"/>
        <v>1</v>
      </c>
      <c r="AB1094" s="7">
        <f t="shared" si="317"/>
        <v>72</v>
      </c>
      <c r="AC1094" s="7">
        <f t="shared" si="318"/>
        <v>0</v>
      </c>
      <c r="AD1094" s="7" t="str">
        <f t="shared" si="319"/>
        <v/>
      </c>
      <c r="AE1094" s="6">
        <f t="shared" si="320"/>
        <v>0</v>
      </c>
      <c r="AF1094" s="69">
        <f t="shared" si="321"/>
        <v>3.0323467379770306</v>
      </c>
      <c r="AG1094" s="6">
        <f t="shared" si="322"/>
        <v>0</v>
      </c>
      <c r="AH1094" s="6">
        <f t="shared" si="323"/>
        <v>604</v>
      </c>
    </row>
    <row r="1095" spans="8:34" x14ac:dyDescent="0.25">
      <c r="H1095" s="7">
        <v>1102</v>
      </c>
      <c r="I1095" s="7" t="s">
        <v>10</v>
      </c>
      <c r="J1095" s="8">
        <v>38672</v>
      </c>
      <c r="K1095" s="12" t="s">
        <v>17</v>
      </c>
      <c r="L1095" s="9">
        <v>23</v>
      </c>
      <c r="M1095" s="10">
        <v>71.298686579104526</v>
      </c>
      <c r="N1095" s="7" t="s">
        <v>24</v>
      </c>
      <c r="P1095" s="29" t="str">
        <f t="shared" si="306"/>
        <v/>
      </c>
      <c r="Q1095" s="29" t="str">
        <f t="shared" si="307"/>
        <v/>
      </c>
      <c r="R1095" s="29" t="str">
        <f t="shared" si="308"/>
        <v/>
      </c>
      <c r="S1095" s="29" t="str">
        <f t="shared" si="309"/>
        <v/>
      </c>
      <c r="T1095" s="32">
        <f t="shared" si="310"/>
        <v>1</v>
      </c>
      <c r="U1095" s="32">
        <f t="shared" si="313"/>
        <v>1</v>
      </c>
      <c r="V1095" s="32" t="str">
        <f t="shared" si="314"/>
        <v/>
      </c>
      <c r="W1095" s="41">
        <f t="shared" si="311"/>
        <v>3.0999428947436751</v>
      </c>
      <c r="X1095" s="6">
        <f t="shared" si="312"/>
        <v>71.298686579104526</v>
      </c>
      <c r="Y1095" s="7">
        <f t="shared" si="315"/>
        <v>425</v>
      </c>
      <c r="AA1095" s="7">
        <f t="shared" si="316"/>
        <v>0</v>
      </c>
      <c r="AB1095" s="7" t="str">
        <f t="shared" si="317"/>
        <v/>
      </c>
      <c r="AC1095" s="7">
        <f t="shared" si="318"/>
        <v>1</v>
      </c>
      <c r="AD1095" s="7">
        <f t="shared" si="319"/>
        <v>23</v>
      </c>
      <c r="AE1095" s="6">
        <f t="shared" si="320"/>
        <v>0</v>
      </c>
      <c r="AF1095" s="69">
        <f t="shared" si="321"/>
        <v>3.0999428947436751</v>
      </c>
      <c r="AG1095" s="6">
        <f t="shared" si="322"/>
        <v>0</v>
      </c>
      <c r="AH1095" s="6">
        <f t="shared" si="323"/>
        <v>604</v>
      </c>
    </row>
    <row r="1096" spans="8:34" x14ac:dyDescent="0.25">
      <c r="H1096" s="7">
        <v>1103</v>
      </c>
      <c r="I1096" s="7" t="s">
        <v>15</v>
      </c>
      <c r="J1096" s="8">
        <v>38782</v>
      </c>
      <c r="K1096" s="12" t="s">
        <v>20</v>
      </c>
      <c r="L1096" s="9">
        <v>-2</v>
      </c>
      <c r="M1096" s="10">
        <v>-3.6886090441469834</v>
      </c>
      <c r="N1096" s="7" t="s">
        <v>23</v>
      </c>
      <c r="P1096" s="29" t="str">
        <f t="shared" si="306"/>
        <v/>
      </c>
      <c r="Q1096" s="29" t="str">
        <f t="shared" si="307"/>
        <v/>
      </c>
      <c r="R1096" s="29" t="str">
        <f t="shared" si="308"/>
        <v/>
      </c>
      <c r="S1096" s="29" t="str">
        <f t="shared" si="309"/>
        <v/>
      </c>
      <c r="T1096" s="32" t="str">
        <f t="shared" si="310"/>
        <v/>
      </c>
      <c r="U1096" s="32" t="str">
        <f t="shared" si="313"/>
        <v/>
      </c>
      <c r="V1096" s="32">
        <f t="shared" si="314"/>
        <v>1</v>
      </c>
      <c r="W1096" s="41" t="str">
        <f t="shared" si="311"/>
        <v/>
      </c>
      <c r="X1096" s="6">
        <f t="shared" si="312"/>
        <v>0</v>
      </c>
      <c r="Y1096" s="7">
        <f t="shared" si="315"/>
        <v>567</v>
      </c>
      <c r="AA1096" s="7">
        <f t="shared" si="316"/>
        <v>0</v>
      </c>
      <c r="AB1096" s="7" t="str">
        <f t="shared" si="317"/>
        <v/>
      </c>
      <c r="AC1096" s="7">
        <f t="shared" si="318"/>
        <v>0</v>
      </c>
      <c r="AD1096" s="7" t="str">
        <f t="shared" si="319"/>
        <v/>
      </c>
      <c r="AE1096" s="6">
        <f t="shared" si="320"/>
        <v>-2</v>
      </c>
      <c r="AF1096" s="69" t="str">
        <f t="shared" si="321"/>
        <v/>
      </c>
      <c r="AG1096" s="6">
        <f t="shared" si="322"/>
        <v>0</v>
      </c>
      <c r="AH1096" s="6">
        <f t="shared" si="323"/>
        <v>604</v>
      </c>
    </row>
    <row r="1097" spans="8:34" x14ac:dyDescent="0.25">
      <c r="H1097" s="7">
        <v>1104</v>
      </c>
      <c r="I1097" s="7" t="s">
        <v>11</v>
      </c>
      <c r="J1097" s="8">
        <v>38265</v>
      </c>
      <c r="K1097" s="12" t="s">
        <v>17</v>
      </c>
      <c r="L1097" s="9">
        <v>81</v>
      </c>
      <c r="M1097" s="10">
        <v>245.36857839567088</v>
      </c>
      <c r="N1097" s="7" t="s">
        <v>21</v>
      </c>
      <c r="P1097" s="29" t="str">
        <f t="shared" si="306"/>
        <v/>
      </c>
      <c r="Q1097" s="29" t="str">
        <f t="shared" si="307"/>
        <v/>
      </c>
      <c r="R1097" s="29" t="str">
        <f t="shared" si="308"/>
        <v/>
      </c>
      <c r="S1097" s="29">
        <f t="shared" si="309"/>
        <v>1</v>
      </c>
      <c r="T1097" s="32" t="str">
        <f t="shared" si="310"/>
        <v/>
      </c>
      <c r="U1097" s="32" t="str">
        <f t="shared" si="313"/>
        <v/>
      </c>
      <c r="V1097" s="32" t="str">
        <f t="shared" si="314"/>
        <v/>
      </c>
      <c r="W1097" s="41">
        <f t="shared" si="311"/>
        <v>3.0292417085885295</v>
      </c>
      <c r="X1097" s="6">
        <f t="shared" si="312"/>
        <v>0</v>
      </c>
      <c r="Y1097" s="7">
        <f t="shared" si="315"/>
        <v>567</v>
      </c>
      <c r="AA1097" s="7">
        <f t="shared" si="316"/>
        <v>0</v>
      </c>
      <c r="AB1097" s="7" t="str">
        <f t="shared" si="317"/>
        <v/>
      </c>
      <c r="AC1097" s="7">
        <f t="shared" si="318"/>
        <v>0</v>
      </c>
      <c r="AD1097" s="7" t="str">
        <f t="shared" si="319"/>
        <v/>
      </c>
      <c r="AE1097" s="6">
        <f t="shared" si="320"/>
        <v>0</v>
      </c>
      <c r="AF1097" s="69">
        <f t="shared" si="321"/>
        <v>3.0292417085885295</v>
      </c>
      <c r="AG1097" s="6">
        <f t="shared" si="322"/>
        <v>245.36857839567088</v>
      </c>
      <c r="AH1097" s="6">
        <f t="shared" si="323"/>
        <v>74</v>
      </c>
    </row>
    <row r="1098" spans="8:34" x14ac:dyDescent="0.25">
      <c r="H1098" s="7">
        <v>1105</v>
      </c>
      <c r="I1098" s="7" t="s">
        <v>13</v>
      </c>
      <c r="J1098" s="8">
        <v>38661</v>
      </c>
      <c r="K1098" s="12" t="s">
        <v>19</v>
      </c>
      <c r="L1098" s="9">
        <v>-4</v>
      </c>
      <c r="M1098" s="10">
        <v>-10.626598892969428</v>
      </c>
      <c r="N1098" s="7" t="s">
        <v>23</v>
      </c>
      <c r="P1098" s="29" t="str">
        <f t="shared" si="306"/>
        <v/>
      </c>
      <c r="Q1098" s="29" t="str">
        <f t="shared" si="307"/>
        <v/>
      </c>
      <c r="R1098" s="29" t="str">
        <f t="shared" si="308"/>
        <v/>
      </c>
      <c r="S1098" s="29" t="str">
        <f t="shared" si="309"/>
        <v/>
      </c>
      <c r="T1098" s="32">
        <f t="shared" si="310"/>
        <v>1</v>
      </c>
      <c r="U1098" s="32">
        <f t="shared" si="313"/>
        <v>1</v>
      </c>
      <c r="V1098" s="32" t="str">
        <f t="shared" si="314"/>
        <v/>
      </c>
      <c r="W1098" s="41" t="str">
        <f t="shared" si="311"/>
        <v/>
      </c>
      <c r="X1098" s="6">
        <f t="shared" si="312"/>
        <v>-10.626598892969428</v>
      </c>
      <c r="Y1098" s="7">
        <f t="shared" si="315"/>
        <v>1863</v>
      </c>
      <c r="AA1098" s="7">
        <f t="shared" si="316"/>
        <v>0</v>
      </c>
      <c r="AB1098" s="7" t="str">
        <f t="shared" si="317"/>
        <v/>
      </c>
      <c r="AC1098" s="7">
        <f t="shared" si="318"/>
        <v>1</v>
      </c>
      <c r="AD1098" s="7">
        <f t="shared" si="319"/>
        <v>-4</v>
      </c>
      <c r="AE1098" s="6">
        <f t="shared" si="320"/>
        <v>-4</v>
      </c>
      <c r="AF1098" s="69" t="str">
        <f t="shared" si="321"/>
        <v/>
      </c>
      <c r="AG1098" s="6">
        <f t="shared" si="322"/>
        <v>0</v>
      </c>
      <c r="AH1098" s="6">
        <f t="shared" si="323"/>
        <v>604</v>
      </c>
    </row>
    <row r="1099" spans="8:34" x14ac:dyDescent="0.25">
      <c r="H1099" s="7">
        <v>1106</v>
      </c>
      <c r="I1099" s="7" t="s">
        <v>7</v>
      </c>
      <c r="J1099" s="8">
        <v>38353</v>
      </c>
      <c r="K1099" s="12" t="s">
        <v>20</v>
      </c>
      <c r="L1099" s="9">
        <v>81</v>
      </c>
      <c r="M1099" s="10">
        <v>245.47079100584946</v>
      </c>
      <c r="N1099" s="7" t="s">
        <v>21</v>
      </c>
      <c r="P1099" s="29" t="str">
        <f t="shared" si="306"/>
        <v/>
      </c>
      <c r="Q1099" s="29" t="str">
        <f t="shared" si="307"/>
        <v/>
      </c>
      <c r="R1099" s="29" t="str">
        <f t="shared" si="308"/>
        <v/>
      </c>
      <c r="S1099" s="29" t="str">
        <f t="shared" si="309"/>
        <v/>
      </c>
      <c r="T1099" s="32" t="str">
        <f t="shared" si="310"/>
        <v/>
      </c>
      <c r="U1099" s="32">
        <f t="shared" si="313"/>
        <v>1</v>
      </c>
      <c r="V1099" s="32" t="str">
        <f t="shared" si="314"/>
        <v/>
      </c>
      <c r="W1099" s="41">
        <f t="shared" si="311"/>
        <v>3.0305035926648083</v>
      </c>
      <c r="X1099" s="6">
        <f t="shared" si="312"/>
        <v>245.47079100584946</v>
      </c>
      <c r="Y1099" s="7">
        <f t="shared" si="315"/>
        <v>92</v>
      </c>
      <c r="AA1099" s="7">
        <f t="shared" si="316"/>
        <v>1</v>
      </c>
      <c r="AB1099" s="7">
        <f t="shared" si="317"/>
        <v>81</v>
      </c>
      <c r="AC1099" s="7">
        <f t="shared" si="318"/>
        <v>0</v>
      </c>
      <c r="AD1099" s="7" t="str">
        <f t="shared" si="319"/>
        <v/>
      </c>
      <c r="AE1099" s="6">
        <f t="shared" si="320"/>
        <v>0</v>
      </c>
      <c r="AF1099" s="69">
        <f t="shared" si="321"/>
        <v>3.0305035926648083</v>
      </c>
      <c r="AG1099" s="6">
        <f t="shared" si="322"/>
        <v>0</v>
      </c>
      <c r="AH1099" s="6">
        <f t="shared" si="323"/>
        <v>604</v>
      </c>
    </row>
    <row r="1100" spans="8:34" x14ac:dyDescent="0.25">
      <c r="H1100" s="7">
        <v>1107</v>
      </c>
      <c r="I1100" s="7" t="s">
        <v>11</v>
      </c>
      <c r="J1100" s="8">
        <v>38056</v>
      </c>
      <c r="K1100" s="12" t="s">
        <v>19</v>
      </c>
      <c r="L1100" s="9">
        <v>-9</v>
      </c>
      <c r="M1100" s="10">
        <v>-24.901607770449246</v>
      </c>
      <c r="N1100" s="7" t="s">
        <v>22</v>
      </c>
      <c r="P1100" s="29">
        <f t="shared" si="306"/>
        <v>1</v>
      </c>
      <c r="Q1100" s="29" t="str">
        <f t="shared" si="307"/>
        <v/>
      </c>
      <c r="R1100" s="29" t="str">
        <f t="shared" si="308"/>
        <v/>
      </c>
      <c r="S1100" s="29" t="str">
        <f t="shared" si="309"/>
        <v/>
      </c>
      <c r="T1100" s="32" t="str">
        <f t="shared" si="310"/>
        <v/>
      </c>
      <c r="U1100" s="32" t="str">
        <f t="shared" si="313"/>
        <v/>
      </c>
      <c r="V1100" s="32" t="str">
        <f t="shared" si="314"/>
        <v/>
      </c>
      <c r="W1100" s="41" t="str">
        <f t="shared" si="311"/>
        <v/>
      </c>
      <c r="X1100" s="6">
        <f t="shared" si="312"/>
        <v>0</v>
      </c>
      <c r="Y1100" s="7">
        <f t="shared" si="315"/>
        <v>567</v>
      </c>
      <c r="AA1100" s="7">
        <f t="shared" si="316"/>
        <v>0</v>
      </c>
      <c r="AB1100" s="7" t="str">
        <f t="shared" si="317"/>
        <v/>
      </c>
      <c r="AC1100" s="7">
        <f t="shared" si="318"/>
        <v>0</v>
      </c>
      <c r="AD1100" s="7" t="str">
        <f t="shared" si="319"/>
        <v/>
      </c>
      <c r="AE1100" s="6">
        <f t="shared" si="320"/>
        <v>-9</v>
      </c>
      <c r="AF1100" s="69" t="str">
        <f t="shared" si="321"/>
        <v/>
      </c>
      <c r="AG1100" s="6">
        <f t="shared" si="322"/>
        <v>0</v>
      </c>
      <c r="AH1100" s="6">
        <f t="shared" si="323"/>
        <v>604</v>
      </c>
    </row>
    <row r="1101" spans="8:34" x14ac:dyDescent="0.25">
      <c r="H1101" s="7">
        <v>1108</v>
      </c>
      <c r="I1101" s="7" t="s">
        <v>8</v>
      </c>
      <c r="J1101" s="8">
        <v>38419</v>
      </c>
      <c r="K1101" s="12" t="s">
        <v>16</v>
      </c>
      <c r="L1101" s="9">
        <v>67</v>
      </c>
      <c r="M1101" s="10">
        <v>203.3886615347389</v>
      </c>
      <c r="N1101" s="7" t="s">
        <v>23</v>
      </c>
      <c r="P1101" s="29" t="str">
        <f t="shared" si="306"/>
        <v/>
      </c>
      <c r="Q1101" s="29" t="str">
        <f t="shared" si="307"/>
        <v/>
      </c>
      <c r="R1101" s="29" t="str">
        <f t="shared" si="308"/>
        <v/>
      </c>
      <c r="S1101" s="29" t="str">
        <f t="shared" si="309"/>
        <v/>
      </c>
      <c r="T1101" s="32" t="str">
        <f t="shared" si="310"/>
        <v/>
      </c>
      <c r="U1101" s="32">
        <f t="shared" si="313"/>
        <v>1</v>
      </c>
      <c r="V1101" s="32" t="str">
        <f t="shared" si="314"/>
        <v/>
      </c>
      <c r="W1101" s="41">
        <f t="shared" si="311"/>
        <v>3.0356516646975957</v>
      </c>
      <c r="X1101" s="6">
        <f t="shared" si="312"/>
        <v>203.3886615347389</v>
      </c>
      <c r="Y1101" s="7">
        <f t="shared" si="315"/>
        <v>172</v>
      </c>
      <c r="AA1101" s="7">
        <f t="shared" si="316"/>
        <v>1</v>
      </c>
      <c r="AB1101" s="7">
        <f t="shared" si="317"/>
        <v>67</v>
      </c>
      <c r="AC1101" s="7">
        <f t="shared" si="318"/>
        <v>0</v>
      </c>
      <c r="AD1101" s="7" t="str">
        <f t="shared" si="319"/>
        <v/>
      </c>
      <c r="AE1101" s="6">
        <f t="shared" si="320"/>
        <v>0</v>
      </c>
      <c r="AF1101" s="69">
        <f t="shared" si="321"/>
        <v>3.0356516646975957</v>
      </c>
      <c r="AG1101" s="6">
        <f t="shared" si="322"/>
        <v>0</v>
      </c>
      <c r="AH1101" s="6">
        <f t="shared" si="323"/>
        <v>604</v>
      </c>
    </row>
    <row r="1102" spans="8:34" x14ac:dyDescent="0.25">
      <c r="H1102" s="7">
        <v>1109</v>
      </c>
      <c r="I1102" s="7" t="s">
        <v>7</v>
      </c>
      <c r="J1102" s="8">
        <v>38386</v>
      </c>
      <c r="K1102" s="12" t="s">
        <v>20</v>
      </c>
      <c r="L1102" s="9">
        <v>27</v>
      </c>
      <c r="M1102" s="10">
        <v>83.259650238493791</v>
      </c>
      <c r="N1102" s="7" t="s">
        <v>23</v>
      </c>
      <c r="P1102" s="29" t="str">
        <f t="shared" si="306"/>
        <v/>
      </c>
      <c r="Q1102" s="29" t="str">
        <f t="shared" si="307"/>
        <v/>
      </c>
      <c r="R1102" s="29" t="str">
        <f t="shared" si="308"/>
        <v/>
      </c>
      <c r="S1102" s="29" t="str">
        <f t="shared" si="309"/>
        <v/>
      </c>
      <c r="T1102" s="32" t="str">
        <f t="shared" si="310"/>
        <v/>
      </c>
      <c r="U1102" s="32">
        <f t="shared" si="313"/>
        <v>1</v>
      </c>
      <c r="V1102" s="32" t="str">
        <f t="shared" si="314"/>
        <v/>
      </c>
      <c r="W1102" s="41">
        <f t="shared" si="311"/>
        <v>3.0836907495738441</v>
      </c>
      <c r="X1102" s="6">
        <f t="shared" si="312"/>
        <v>83.259650238493791</v>
      </c>
      <c r="Y1102" s="7">
        <f t="shared" si="315"/>
        <v>395</v>
      </c>
      <c r="AA1102" s="7">
        <f t="shared" si="316"/>
        <v>1</v>
      </c>
      <c r="AB1102" s="7">
        <f t="shared" si="317"/>
        <v>27</v>
      </c>
      <c r="AC1102" s="7">
        <f t="shared" si="318"/>
        <v>0</v>
      </c>
      <c r="AD1102" s="7" t="str">
        <f t="shared" si="319"/>
        <v/>
      </c>
      <c r="AE1102" s="6">
        <f t="shared" si="320"/>
        <v>0</v>
      </c>
      <c r="AF1102" s="69">
        <f t="shared" si="321"/>
        <v>3.0836907495738441</v>
      </c>
      <c r="AG1102" s="6">
        <f t="shared" si="322"/>
        <v>0</v>
      </c>
      <c r="AH1102" s="6">
        <f t="shared" si="323"/>
        <v>604</v>
      </c>
    </row>
    <row r="1103" spans="8:34" x14ac:dyDescent="0.25">
      <c r="H1103" s="7">
        <v>1110</v>
      </c>
      <c r="I1103" s="7" t="s">
        <v>11</v>
      </c>
      <c r="J1103" s="8">
        <v>38782</v>
      </c>
      <c r="K1103" s="12" t="s">
        <v>20</v>
      </c>
      <c r="L1103" s="9">
        <v>-1</v>
      </c>
      <c r="M1103" s="10">
        <v>-1.4486502930593175</v>
      </c>
      <c r="N1103" s="7" t="s">
        <v>24</v>
      </c>
      <c r="P1103" s="29" t="str">
        <f t="shared" si="306"/>
        <v/>
      </c>
      <c r="Q1103" s="29" t="str">
        <f t="shared" si="307"/>
        <v/>
      </c>
      <c r="R1103" s="29" t="str">
        <f t="shared" si="308"/>
        <v/>
      </c>
      <c r="S1103" s="29" t="str">
        <f t="shared" si="309"/>
        <v/>
      </c>
      <c r="T1103" s="32" t="str">
        <f t="shared" si="310"/>
        <v/>
      </c>
      <c r="U1103" s="32" t="str">
        <f t="shared" si="313"/>
        <v/>
      </c>
      <c r="V1103" s="32">
        <f t="shared" si="314"/>
        <v>1</v>
      </c>
      <c r="W1103" s="41" t="str">
        <f t="shared" si="311"/>
        <v/>
      </c>
      <c r="X1103" s="6">
        <f t="shared" si="312"/>
        <v>0</v>
      </c>
      <c r="Y1103" s="7">
        <f t="shared" si="315"/>
        <v>567</v>
      </c>
      <c r="AA1103" s="7">
        <f t="shared" si="316"/>
        <v>0</v>
      </c>
      <c r="AB1103" s="7" t="str">
        <f t="shared" si="317"/>
        <v/>
      </c>
      <c r="AC1103" s="7">
        <f t="shared" si="318"/>
        <v>0</v>
      </c>
      <c r="AD1103" s="7" t="str">
        <f t="shared" si="319"/>
        <v/>
      </c>
      <c r="AE1103" s="6">
        <f t="shared" si="320"/>
        <v>-1</v>
      </c>
      <c r="AF1103" s="69" t="str">
        <f t="shared" si="321"/>
        <v/>
      </c>
      <c r="AG1103" s="6">
        <f t="shared" si="322"/>
        <v>0</v>
      </c>
      <c r="AH1103" s="6">
        <f t="shared" si="323"/>
        <v>604</v>
      </c>
    </row>
    <row r="1104" spans="8:34" x14ac:dyDescent="0.25">
      <c r="H1104" s="7">
        <v>1111</v>
      </c>
      <c r="I1104" s="7" t="s">
        <v>9</v>
      </c>
      <c r="J1104" s="8">
        <v>38595</v>
      </c>
      <c r="K1104" s="12" t="s">
        <v>20</v>
      </c>
      <c r="L1104" s="9">
        <v>24</v>
      </c>
      <c r="M1104" s="10">
        <v>74.448442468444156</v>
      </c>
      <c r="N1104" s="7" t="s">
        <v>24</v>
      </c>
      <c r="P1104" s="29" t="str">
        <f t="shared" si="306"/>
        <v/>
      </c>
      <c r="Q1104" s="29" t="str">
        <f t="shared" si="307"/>
        <v/>
      </c>
      <c r="R1104" s="29" t="str">
        <f t="shared" si="308"/>
        <v/>
      </c>
      <c r="S1104" s="29" t="str">
        <f t="shared" si="309"/>
        <v/>
      </c>
      <c r="T1104" s="32" t="str">
        <f t="shared" si="310"/>
        <v/>
      </c>
      <c r="U1104" s="32">
        <f t="shared" si="313"/>
        <v>1</v>
      </c>
      <c r="V1104" s="32" t="str">
        <f t="shared" si="314"/>
        <v/>
      </c>
      <c r="W1104" s="41">
        <f t="shared" si="311"/>
        <v>3.102018436185173</v>
      </c>
      <c r="X1104" s="6">
        <f t="shared" si="312"/>
        <v>74.448442468444156</v>
      </c>
      <c r="Y1104" s="7">
        <f t="shared" si="315"/>
        <v>417</v>
      </c>
      <c r="AA1104" s="7">
        <f t="shared" si="316"/>
        <v>1</v>
      </c>
      <c r="AB1104" s="7">
        <f t="shared" si="317"/>
        <v>24</v>
      </c>
      <c r="AC1104" s="7">
        <f t="shared" si="318"/>
        <v>0</v>
      </c>
      <c r="AD1104" s="7" t="str">
        <f t="shared" si="319"/>
        <v/>
      </c>
      <c r="AE1104" s="6">
        <f t="shared" si="320"/>
        <v>0</v>
      </c>
      <c r="AF1104" s="69">
        <f t="shared" si="321"/>
        <v>3.102018436185173</v>
      </c>
      <c r="AG1104" s="6">
        <f t="shared" si="322"/>
        <v>0</v>
      </c>
      <c r="AH1104" s="6">
        <f t="shared" si="323"/>
        <v>604</v>
      </c>
    </row>
    <row r="1105" spans="8:34" x14ac:dyDescent="0.25">
      <c r="H1105" s="7">
        <v>1112</v>
      </c>
      <c r="I1105" s="7" t="s">
        <v>8</v>
      </c>
      <c r="J1105" s="8">
        <v>38749</v>
      </c>
      <c r="K1105" s="12" t="s">
        <v>16</v>
      </c>
      <c r="L1105" s="9">
        <v>80</v>
      </c>
      <c r="M1105" s="10">
        <v>241.96811222876255</v>
      </c>
      <c r="N1105" s="7" t="s">
        <v>24</v>
      </c>
      <c r="P1105" s="29" t="str">
        <f t="shared" si="306"/>
        <v/>
      </c>
      <c r="Q1105" s="29" t="str">
        <f t="shared" si="307"/>
        <v/>
      </c>
      <c r="R1105" s="29" t="str">
        <f t="shared" si="308"/>
        <v/>
      </c>
      <c r="S1105" s="29" t="str">
        <f t="shared" si="309"/>
        <v/>
      </c>
      <c r="T1105" s="32" t="str">
        <f t="shared" si="310"/>
        <v/>
      </c>
      <c r="U1105" s="32" t="str">
        <f t="shared" si="313"/>
        <v/>
      </c>
      <c r="V1105" s="32">
        <f t="shared" si="314"/>
        <v>1</v>
      </c>
      <c r="W1105" s="41">
        <f t="shared" si="311"/>
        <v>3.0246014028595321</v>
      </c>
      <c r="X1105" s="6">
        <f t="shared" si="312"/>
        <v>0</v>
      </c>
      <c r="Y1105" s="7">
        <f t="shared" si="315"/>
        <v>567</v>
      </c>
      <c r="AA1105" s="7">
        <f t="shared" si="316"/>
        <v>0</v>
      </c>
      <c r="AB1105" s="7" t="str">
        <f t="shared" si="317"/>
        <v/>
      </c>
      <c r="AC1105" s="7">
        <f t="shared" si="318"/>
        <v>0</v>
      </c>
      <c r="AD1105" s="7" t="str">
        <f t="shared" si="319"/>
        <v/>
      </c>
      <c r="AE1105" s="6">
        <f t="shared" si="320"/>
        <v>0</v>
      </c>
      <c r="AF1105" s="69">
        <f t="shared" si="321"/>
        <v>3.0246014028595321</v>
      </c>
      <c r="AG1105" s="6">
        <f t="shared" si="322"/>
        <v>0</v>
      </c>
      <c r="AH1105" s="6">
        <f t="shared" si="323"/>
        <v>604</v>
      </c>
    </row>
    <row r="1106" spans="8:34" x14ac:dyDescent="0.25">
      <c r="H1106" s="7">
        <v>1113</v>
      </c>
      <c r="I1106" s="7" t="s">
        <v>10</v>
      </c>
      <c r="J1106" s="8">
        <v>38265</v>
      </c>
      <c r="K1106" s="12" t="s">
        <v>17</v>
      </c>
      <c r="L1106" s="9">
        <v>82</v>
      </c>
      <c r="M1106" s="10">
        <v>248.20917526875209</v>
      </c>
      <c r="N1106" s="7" t="s">
        <v>21</v>
      </c>
      <c r="P1106" s="29" t="str">
        <f t="shared" si="306"/>
        <v/>
      </c>
      <c r="Q1106" s="29" t="str">
        <f t="shared" si="307"/>
        <v/>
      </c>
      <c r="R1106" s="29" t="str">
        <f t="shared" si="308"/>
        <v/>
      </c>
      <c r="S1106" s="29">
        <f t="shared" si="309"/>
        <v>1</v>
      </c>
      <c r="T1106" s="32" t="str">
        <f t="shared" si="310"/>
        <v/>
      </c>
      <c r="U1106" s="32" t="str">
        <f t="shared" si="313"/>
        <v/>
      </c>
      <c r="V1106" s="32" t="str">
        <f t="shared" si="314"/>
        <v/>
      </c>
      <c r="W1106" s="41">
        <f t="shared" si="311"/>
        <v>3.02694116181405</v>
      </c>
      <c r="X1106" s="6">
        <f t="shared" si="312"/>
        <v>0</v>
      </c>
      <c r="Y1106" s="7">
        <f t="shared" si="315"/>
        <v>567</v>
      </c>
      <c r="AA1106" s="7">
        <f t="shared" si="316"/>
        <v>0</v>
      </c>
      <c r="AB1106" s="7" t="str">
        <f t="shared" si="317"/>
        <v/>
      </c>
      <c r="AC1106" s="7">
        <f t="shared" si="318"/>
        <v>0</v>
      </c>
      <c r="AD1106" s="7" t="str">
        <f t="shared" si="319"/>
        <v/>
      </c>
      <c r="AE1106" s="6">
        <f t="shared" si="320"/>
        <v>0</v>
      </c>
      <c r="AF1106" s="69">
        <f t="shared" si="321"/>
        <v>3.02694116181405</v>
      </c>
      <c r="AG1106" s="6">
        <f t="shared" si="322"/>
        <v>248.20917526875209</v>
      </c>
      <c r="AH1106" s="6">
        <f t="shared" si="323"/>
        <v>69</v>
      </c>
    </row>
    <row r="1107" spans="8:34" x14ac:dyDescent="0.25">
      <c r="H1107" s="7">
        <v>1114</v>
      </c>
      <c r="I1107" s="7" t="s">
        <v>14</v>
      </c>
      <c r="J1107" s="8">
        <v>38716</v>
      </c>
      <c r="K1107" s="12" t="s">
        <v>18</v>
      </c>
      <c r="L1107" s="9">
        <v>1</v>
      </c>
      <c r="M1107" s="10">
        <v>5.5518623429739176</v>
      </c>
      <c r="N1107" s="7" t="s">
        <v>24</v>
      </c>
      <c r="P1107" s="29" t="str">
        <f t="shared" si="306"/>
        <v/>
      </c>
      <c r="Q1107" s="29" t="str">
        <f t="shared" si="307"/>
        <v/>
      </c>
      <c r="R1107" s="29" t="str">
        <f t="shared" si="308"/>
        <v/>
      </c>
      <c r="S1107" s="29" t="str">
        <f t="shared" si="309"/>
        <v/>
      </c>
      <c r="T1107" s="32">
        <f t="shared" si="310"/>
        <v>1</v>
      </c>
      <c r="U1107" s="32">
        <f t="shared" si="313"/>
        <v>1</v>
      </c>
      <c r="V1107" s="32" t="str">
        <f t="shared" si="314"/>
        <v/>
      </c>
      <c r="W1107" s="41">
        <f t="shared" si="311"/>
        <v>5.5518623429739176</v>
      </c>
      <c r="X1107" s="6">
        <f t="shared" si="312"/>
        <v>5.5518623429739176</v>
      </c>
      <c r="Y1107" s="7">
        <f t="shared" si="315"/>
        <v>555</v>
      </c>
      <c r="AA1107" s="7">
        <f t="shared" si="316"/>
        <v>0</v>
      </c>
      <c r="AB1107" s="7" t="str">
        <f t="shared" si="317"/>
        <v/>
      </c>
      <c r="AC1107" s="7">
        <f t="shared" si="318"/>
        <v>1</v>
      </c>
      <c r="AD1107" s="7">
        <f t="shared" si="319"/>
        <v>1</v>
      </c>
      <c r="AE1107" s="6">
        <f t="shared" si="320"/>
        <v>0</v>
      </c>
      <c r="AF1107" s="69">
        <f t="shared" si="321"/>
        <v>5.5518623429739176</v>
      </c>
      <c r="AG1107" s="6">
        <f t="shared" si="322"/>
        <v>0</v>
      </c>
      <c r="AH1107" s="6">
        <f t="shared" si="323"/>
        <v>604</v>
      </c>
    </row>
    <row r="1108" spans="8:34" x14ac:dyDescent="0.25">
      <c r="H1108" s="7">
        <v>1115</v>
      </c>
      <c r="I1108" s="7" t="s">
        <v>12</v>
      </c>
      <c r="J1108" s="8">
        <v>38089</v>
      </c>
      <c r="K1108" s="12" t="s">
        <v>18</v>
      </c>
      <c r="L1108" s="9">
        <v>11</v>
      </c>
      <c r="M1108" s="10">
        <v>35.277547883231819</v>
      </c>
      <c r="N1108" s="7" t="s">
        <v>23</v>
      </c>
      <c r="P1108" s="29" t="str">
        <f t="shared" si="306"/>
        <v/>
      </c>
      <c r="Q1108" s="29">
        <f t="shared" si="307"/>
        <v>1</v>
      </c>
      <c r="R1108" s="29" t="str">
        <f t="shared" si="308"/>
        <v/>
      </c>
      <c r="S1108" s="29" t="str">
        <f t="shared" si="309"/>
        <v/>
      </c>
      <c r="T1108" s="32" t="str">
        <f t="shared" si="310"/>
        <v/>
      </c>
      <c r="U1108" s="32" t="str">
        <f t="shared" si="313"/>
        <v/>
      </c>
      <c r="V1108" s="32" t="str">
        <f t="shared" si="314"/>
        <v/>
      </c>
      <c r="W1108" s="41">
        <f t="shared" si="311"/>
        <v>3.2070498075665288</v>
      </c>
      <c r="X1108" s="6">
        <f t="shared" si="312"/>
        <v>0</v>
      </c>
      <c r="Y1108" s="7">
        <f t="shared" si="315"/>
        <v>567</v>
      </c>
      <c r="AA1108" s="7">
        <f t="shared" si="316"/>
        <v>0</v>
      </c>
      <c r="AB1108" s="7" t="str">
        <f t="shared" si="317"/>
        <v/>
      </c>
      <c r="AC1108" s="7">
        <f t="shared" si="318"/>
        <v>0</v>
      </c>
      <c r="AD1108" s="7" t="str">
        <f t="shared" si="319"/>
        <v/>
      </c>
      <c r="AE1108" s="6">
        <f t="shared" si="320"/>
        <v>0</v>
      </c>
      <c r="AF1108" s="69">
        <f t="shared" si="321"/>
        <v>3.2070498075665288</v>
      </c>
      <c r="AG1108" s="6">
        <f t="shared" si="322"/>
        <v>35.277547883231819</v>
      </c>
      <c r="AH1108" s="6">
        <f t="shared" si="323"/>
        <v>517</v>
      </c>
    </row>
    <row r="1109" spans="8:34" x14ac:dyDescent="0.25">
      <c r="H1109" s="7">
        <v>1116</v>
      </c>
      <c r="I1109" s="7" t="s">
        <v>7</v>
      </c>
      <c r="J1109" s="8">
        <v>38914</v>
      </c>
      <c r="K1109" s="12" t="s">
        <v>20</v>
      </c>
      <c r="L1109" s="9">
        <v>12</v>
      </c>
      <c r="M1109" s="10">
        <v>37.331388811713445</v>
      </c>
      <c r="N1109" s="7" t="s">
        <v>24</v>
      </c>
      <c r="P1109" s="29" t="str">
        <f t="shared" si="306"/>
        <v/>
      </c>
      <c r="Q1109" s="29" t="str">
        <f t="shared" si="307"/>
        <v/>
      </c>
      <c r="R1109" s="29" t="str">
        <f t="shared" si="308"/>
        <v/>
      </c>
      <c r="S1109" s="29" t="str">
        <f t="shared" si="309"/>
        <v/>
      </c>
      <c r="T1109" s="32" t="str">
        <f t="shared" si="310"/>
        <v/>
      </c>
      <c r="U1109" s="32" t="str">
        <f t="shared" si="313"/>
        <v/>
      </c>
      <c r="V1109" s="32">
        <f t="shared" si="314"/>
        <v>1</v>
      </c>
      <c r="W1109" s="41">
        <f t="shared" si="311"/>
        <v>3.1109490676427871</v>
      </c>
      <c r="X1109" s="6">
        <f t="shared" si="312"/>
        <v>0</v>
      </c>
      <c r="Y1109" s="7">
        <f t="shared" si="315"/>
        <v>567</v>
      </c>
      <c r="AA1109" s="7">
        <f t="shared" si="316"/>
        <v>0</v>
      </c>
      <c r="AB1109" s="7" t="str">
        <f t="shared" si="317"/>
        <v/>
      </c>
      <c r="AC1109" s="7">
        <f t="shared" si="318"/>
        <v>0</v>
      </c>
      <c r="AD1109" s="7" t="str">
        <f t="shared" si="319"/>
        <v/>
      </c>
      <c r="AE1109" s="6">
        <f t="shared" si="320"/>
        <v>0</v>
      </c>
      <c r="AF1109" s="69">
        <f t="shared" si="321"/>
        <v>3.1109490676427871</v>
      </c>
      <c r="AG1109" s="6">
        <f t="shared" si="322"/>
        <v>0</v>
      </c>
      <c r="AH1109" s="6">
        <f t="shared" si="323"/>
        <v>604</v>
      </c>
    </row>
    <row r="1110" spans="8:34" x14ac:dyDescent="0.25">
      <c r="H1110" s="7">
        <v>1117</v>
      </c>
      <c r="I1110" s="7" t="s">
        <v>15</v>
      </c>
      <c r="J1110" s="8">
        <v>38331</v>
      </c>
      <c r="K1110" s="12" t="s">
        <v>16</v>
      </c>
      <c r="L1110" s="9">
        <v>54</v>
      </c>
      <c r="M1110" s="10">
        <v>164.38171569287022</v>
      </c>
      <c r="N1110" s="7" t="s">
        <v>24</v>
      </c>
      <c r="P1110" s="29" t="str">
        <f t="shared" si="306"/>
        <v/>
      </c>
      <c r="Q1110" s="29" t="str">
        <f t="shared" si="307"/>
        <v/>
      </c>
      <c r="R1110" s="29" t="str">
        <f t="shared" si="308"/>
        <v/>
      </c>
      <c r="S1110" s="29">
        <f t="shared" si="309"/>
        <v>1</v>
      </c>
      <c r="T1110" s="32" t="str">
        <f t="shared" si="310"/>
        <v/>
      </c>
      <c r="U1110" s="32" t="str">
        <f t="shared" si="313"/>
        <v/>
      </c>
      <c r="V1110" s="32" t="str">
        <f t="shared" si="314"/>
        <v/>
      </c>
      <c r="W1110" s="41">
        <f t="shared" si="311"/>
        <v>3.0441058461642632</v>
      </c>
      <c r="X1110" s="6">
        <f t="shared" si="312"/>
        <v>0</v>
      </c>
      <c r="Y1110" s="7">
        <f t="shared" si="315"/>
        <v>567</v>
      </c>
      <c r="AA1110" s="7">
        <f t="shared" si="316"/>
        <v>0</v>
      </c>
      <c r="AB1110" s="7" t="str">
        <f t="shared" si="317"/>
        <v/>
      </c>
      <c r="AC1110" s="7">
        <f t="shared" si="318"/>
        <v>0</v>
      </c>
      <c r="AD1110" s="7" t="str">
        <f t="shared" si="319"/>
        <v/>
      </c>
      <c r="AE1110" s="6">
        <f t="shared" si="320"/>
        <v>0</v>
      </c>
      <c r="AF1110" s="69">
        <f t="shared" si="321"/>
        <v>3.0441058461642632</v>
      </c>
      <c r="AG1110" s="6">
        <f t="shared" si="322"/>
        <v>164.38171569287022</v>
      </c>
      <c r="AH1110" s="6">
        <f t="shared" si="323"/>
        <v>251</v>
      </c>
    </row>
    <row r="1111" spans="8:34" x14ac:dyDescent="0.25">
      <c r="H1111" s="7">
        <v>1118</v>
      </c>
      <c r="I1111" s="7" t="s">
        <v>14</v>
      </c>
      <c r="J1111" s="8">
        <v>39024</v>
      </c>
      <c r="K1111" s="12" t="s">
        <v>20</v>
      </c>
      <c r="L1111" s="9">
        <v>78</v>
      </c>
      <c r="M1111" s="10">
        <v>236.65619273355256</v>
      </c>
      <c r="N1111" s="7" t="s">
        <v>23</v>
      </c>
      <c r="P1111" s="29" t="str">
        <f t="shared" si="306"/>
        <v/>
      </c>
      <c r="Q1111" s="29" t="str">
        <f t="shared" si="307"/>
        <v/>
      </c>
      <c r="R1111" s="29" t="str">
        <f t="shared" si="308"/>
        <v/>
      </c>
      <c r="S1111" s="29" t="str">
        <f t="shared" si="309"/>
        <v/>
      </c>
      <c r="T1111" s="32" t="str">
        <f t="shared" si="310"/>
        <v/>
      </c>
      <c r="U1111" s="32" t="str">
        <f t="shared" si="313"/>
        <v/>
      </c>
      <c r="V1111" s="32">
        <f t="shared" si="314"/>
        <v>1</v>
      </c>
      <c r="W1111" s="41">
        <f t="shared" si="311"/>
        <v>3.0340537529942635</v>
      </c>
      <c r="X1111" s="6">
        <f t="shared" si="312"/>
        <v>0</v>
      </c>
      <c r="Y1111" s="7">
        <f t="shared" si="315"/>
        <v>567</v>
      </c>
      <c r="AA1111" s="7">
        <f t="shared" si="316"/>
        <v>0</v>
      </c>
      <c r="AB1111" s="7" t="str">
        <f t="shared" si="317"/>
        <v/>
      </c>
      <c r="AC1111" s="7">
        <f t="shared" si="318"/>
        <v>0</v>
      </c>
      <c r="AD1111" s="7" t="str">
        <f t="shared" si="319"/>
        <v/>
      </c>
      <c r="AE1111" s="6">
        <f t="shared" si="320"/>
        <v>0</v>
      </c>
      <c r="AF1111" s="69">
        <f t="shared" si="321"/>
        <v>3.0340537529942635</v>
      </c>
      <c r="AG1111" s="6">
        <f t="shared" si="322"/>
        <v>0</v>
      </c>
      <c r="AH1111" s="6">
        <f t="shared" si="323"/>
        <v>604</v>
      </c>
    </row>
    <row r="1112" spans="8:34" x14ac:dyDescent="0.25">
      <c r="H1112" s="7">
        <v>1119</v>
      </c>
      <c r="I1112" s="7" t="s">
        <v>15</v>
      </c>
      <c r="J1112" s="8">
        <v>38023</v>
      </c>
      <c r="K1112" s="12" t="s">
        <v>20</v>
      </c>
      <c r="L1112" s="9">
        <v>-8</v>
      </c>
      <c r="M1112" s="10">
        <v>-21.770000035096253</v>
      </c>
      <c r="N1112" s="7" t="s">
        <v>23</v>
      </c>
      <c r="P1112" s="29">
        <f t="shared" si="306"/>
        <v>1</v>
      </c>
      <c r="Q1112" s="29" t="str">
        <f t="shared" si="307"/>
        <v/>
      </c>
      <c r="R1112" s="29" t="str">
        <f t="shared" si="308"/>
        <v/>
      </c>
      <c r="S1112" s="29" t="str">
        <f t="shared" si="309"/>
        <v/>
      </c>
      <c r="T1112" s="32" t="str">
        <f t="shared" si="310"/>
        <v/>
      </c>
      <c r="U1112" s="32" t="str">
        <f t="shared" si="313"/>
        <v/>
      </c>
      <c r="V1112" s="32" t="str">
        <f t="shared" si="314"/>
        <v/>
      </c>
      <c r="W1112" s="41" t="str">
        <f t="shared" si="311"/>
        <v/>
      </c>
      <c r="X1112" s="6">
        <f t="shared" si="312"/>
        <v>0</v>
      </c>
      <c r="Y1112" s="7">
        <f t="shared" si="315"/>
        <v>567</v>
      </c>
      <c r="AA1112" s="7">
        <f t="shared" si="316"/>
        <v>0</v>
      </c>
      <c r="AB1112" s="7" t="str">
        <f t="shared" si="317"/>
        <v/>
      </c>
      <c r="AC1112" s="7">
        <f t="shared" si="318"/>
        <v>0</v>
      </c>
      <c r="AD1112" s="7" t="str">
        <f t="shared" si="319"/>
        <v/>
      </c>
      <c r="AE1112" s="6">
        <f t="shared" si="320"/>
        <v>-8</v>
      </c>
      <c r="AF1112" s="69" t="str">
        <f t="shared" si="321"/>
        <v/>
      </c>
      <c r="AG1112" s="6">
        <f t="shared" si="322"/>
        <v>0</v>
      </c>
      <c r="AH1112" s="6">
        <f t="shared" si="323"/>
        <v>604</v>
      </c>
    </row>
    <row r="1113" spans="8:34" x14ac:dyDescent="0.25">
      <c r="H1113" s="7">
        <v>1120</v>
      </c>
      <c r="I1113" s="7" t="s">
        <v>7</v>
      </c>
      <c r="J1113" s="8">
        <v>38034</v>
      </c>
      <c r="K1113" s="12" t="s">
        <v>16</v>
      </c>
      <c r="L1113" s="9">
        <v>6</v>
      </c>
      <c r="M1113" s="10">
        <v>19.844298491399009</v>
      </c>
      <c r="N1113" s="7" t="s">
        <v>21</v>
      </c>
      <c r="P1113" s="29">
        <f t="shared" si="306"/>
        <v>1</v>
      </c>
      <c r="Q1113" s="29" t="str">
        <f t="shared" si="307"/>
        <v/>
      </c>
      <c r="R1113" s="29" t="str">
        <f t="shared" si="308"/>
        <v/>
      </c>
      <c r="S1113" s="29" t="str">
        <f t="shared" si="309"/>
        <v/>
      </c>
      <c r="T1113" s="32" t="str">
        <f t="shared" si="310"/>
        <v/>
      </c>
      <c r="U1113" s="32" t="str">
        <f t="shared" si="313"/>
        <v/>
      </c>
      <c r="V1113" s="32" t="str">
        <f t="shared" si="314"/>
        <v/>
      </c>
      <c r="W1113" s="41">
        <f t="shared" si="311"/>
        <v>3.3073830818998347</v>
      </c>
      <c r="X1113" s="6">
        <f t="shared" si="312"/>
        <v>0</v>
      </c>
      <c r="Y1113" s="7">
        <f t="shared" si="315"/>
        <v>567</v>
      </c>
      <c r="AA1113" s="7">
        <f t="shared" si="316"/>
        <v>0</v>
      </c>
      <c r="AB1113" s="7" t="str">
        <f t="shared" si="317"/>
        <v/>
      </c>
      <c r="AC1113" s="7">
        <f t="shared" si="318"/>
        <v>0</v>
      </c>
      <c r="AD1113" s="7" t="str">
        <f t="shared" si="319"/>
        <v/>
      </c>
      <c r="AE1113" s="6">
        <f t="shared" si="320"/>
        <v>0</v>
      </c>
      <c r="AF1113" s="69">
        <f t="shared" si="321"/>
        <v>3.3073830818998347</v>
      </c>
      <c r="AG1113" s="6">
        <f t="shared" si="322"/>
        <v>19.844298491399009</v>
      </c>
      <c r="AH1113" s="6">
        <f t="shared" si="323"/>
        <v>563</v>
      </c>
    </row>
    <row r="1114" spans="8:34" x14ac:dyDescent="0.25">
      <c r="H1114" s="7">
        <v>1121</v>
      </c>
      <c r="I1114" s="7" t="s">
        <v>10</v>
      </c>
      <c r="J1114" s="8">
        <v>38265</v>
      </c>
      <c r="K1114" s="12" t="s">
        <v>18</v>
      </c>
      <c r="L1114" s="9">
        <v>30</v>
      </c>
      <c r="M1114" s="10">
        <v>91.748243472806891</v>
      </c>
      <c r="N1114" s="7" t="s">
        <v>23</v>
      </c>
      <c r="P1114" s="29" t="str">
        <f t="shared" si="306"/>
        <v/>
      </c>
      <c r="Q1114" s="29" t="str">
        <f t="shared" si="307"/>
        <v/>
      </c>
      <c r="R1114" s="29" t="str">
        <f t="shared" si="308"/>
        <v/>
      </c>
      <c r="S1114" s="29">
        <f t="shared" si="309"/>
        <v>1</v>
      </c>
      <c r="T1114" s="32" t="str">
        <f t="shared" si="310"/>
        <v/>
      </c>
      <c r="U1114" s="32" t="str">
        <f t="shared" si="313"/>
        <v/>
      </c>
      <c r="V1114" s="32" t="str">
        <f t="shared" si="314"/>
        <v/>
      </c>
      <c r="W1114" s="41">
        <f t="shared" si="311"/>
        <v>3.0582747824268965</v>
      </c>
      <c r="X1114" s="6">
        <f t="shared" si="312"/>
        <v>0</v>
      </c>
      <c r="Y1114" s="7">
        <f t="shared" si="315"/>
        <v>567</v>
      </c>
      <c r="AA1114" s="7">
        <f t="shared" si="316"/>
        <v>0</v>
      </c>
      <c r="AB1114" s="7" t="str">
        <f t="shared" si="317"/>
        <v/>
      </c>
      <c r="AC1114" s="7">
        <f t="shared" si="318"/>
        <v>0</v>
      </c>
      <c r="AD1114" s="7" t="str">
        <f t="shared" si="319"/>
        <v/>
      </c>
      <c r="AE1114" s="6">
        <f t="shared" si="320"/>
        <v>0</v>
      </c>
      <c r="AF1114" s="69">
        <f t="shared" si="321"/>
        <v>3.0582747824268965</v>
      </c>
      <c r="AG1114" s="6">
        <f t="shared" si="322"/>
        <v>91.748243472806891</v>
      </c>
      <c r="AH1114" s="6">
        <f t="shared" si="323"/>
        <v>396</v>
      </c>
    </row>
    <row r="1115" spans="8:34" x14ac:dyDescent="0.25">
      <c r="H1115" s="7">
        <v>1122</v>
      </c>
      <c r="I1115" s="7" t="s">
        <v>11</v>
      </c>
      <c r="J1115" s="8">
        <v>38749</v>
      </c>
      <c r="K1115" s="12" t="s">
        <v>17</v>
      </c>
      <c r="L1115" s="9">
        <v>55</v>
      </c>
      <c r="M1115" s="10">
        <v>166.81449022634519</v>
      </c>
      <c r="N1115" s="7" t="s">
        <v>21</v>
      </c>
      <c r="P1115" s="29" t="str">
        <f t="shared" si="306"/>
        <v/>
      </c>
      <c r="Q1115" s="29" t="str">
        <f t="shared" si="307"/>
        <v/>
      </c>
      <c r="R1115" s="29" t="str">
        <f t="shared" si="308"/>
        <v/>
      </c>
      <c r="S1115" s="29" t="str">
        <f t="shared" si="309"/>
        <v/>
      </c>
      <c r="T1115" s="32" t="str">
        <f t="shared" si="310"/>
        <v/>
      </c>
      <c r="U1115" s="32" t="str">
        <f t="shared" si="313"/>
        <v/>
      </c>
      <c r="V1115" s="32">
        <f t="shared" si="314"/>
        <v>1</v>
      </c>
      <c r="W1115" s="41">
        <f t="shared" si="311"/>
        <v>3.0329907313880944</v>
      </c>
      <c r="X1115" s="6">
        <f t="shared" si="312"/>
        <v>0</v>
      </c>
      <c r="Y1115" s="7">
        <f t="shared" si="315"/>
        <v>567</v>
      </c>
      <c r="AA1115" s="7">
        <f t="shared" si="316"/>
        <v>0</v>
      </c>
      <c r="AB1115" s="7" t="str">
        <f t="shared" si="317"/>
        <v/>
      </c>
      <c r="AC1115" s="7">
        <f t="shared" si="318"/>
        <v>0</v>
      </c>
      <c r="AD1115" s="7" t="str">
        <f t="shared" si="319"/>
        <v/>
      </c>
      <c r="AE1115" s="6">
        <f t="shared" si="320"/>
        <v>0</v>
      </c>
      <c r="AF1115" s="69">
        <f t="shared" si="321"/>
        <v>3.0329907313880944</v>
      </c>
      <c r="AG1115" s="6">
        <f t="shared" si="322"/>
        <v>0</v>
      </c>
      <c r="AH1115" s="6">
        <f t="shared" si="323"/>
        <v>604</v>
      </c>
    </row>
    <row r="1116" spans="8:34" x14ac:dyDescent="0.25">
      <c r="H1116" s="7">
        <v>1123</v>
      </c>
      <c r="I1116" s="7" t="s">
        <v>15</v>
      </c>
      <c r="J1116" s="8">
        <v>38804</v>
      </c>
      <c r="K1116" s="12" t="s">
        <v>16</v>
      </c>
      <c r="L1116" s="9">
        <v>53</v>
      </c>
      <c r="M1116" s="10">
        <v>161.24130416457103</v>
      </c>
      <c r="N1116" s="7" t="s">
        <v>24</v>
      </c>
      <c r="P1116" s="29" t="str">
        <f t="shared" si="306"/>
        <v/>
      </c>
      <c r="Q1116" s="29" t="str">
        <f t="shared" si="307"/>
        <v/>
      </c>
      <c r="R1116" s="29" t="str">
        <f t="shared" si="308"/>
        <v/>
      </c>
      <c r="S1116" s="29" t="str">
        <f t="shared" si="309"/>
        <v/>
      </c>
      <c r="T1116" s="32" t="str">
        <f t="shared" si="310"/>
        <v/>
      </c>
      <c r="U1116" s="32" t="str">
        <f t="shared" si="313"/>
        <v/>
      </c>
      <c r="V1116" s="32">
        <f t="shared" si="314"/>
        <v>1</v>
      </c>
      <c r="W1116" s="41">
        <f t="shared" si="311"/>
        <v>3.042288757822095</v>
      </c>
      <c r="X1116" s="6">
        <f t="shared" si="312"/>
        <v>0</v>
      </c>
      <c r="Y1116" s="7">
        <f t="shared" si="315"/>
        <v>567</v>
      </c>
      <c r="AA1116" s="7">
        <f t="shared" si="316"/>
        <v>0</v>
      </c>
      <c r="AB1116" s="7" t="str">
        <f t="shared" si="317"/>
        <v/>
      </c>
      <c r="AC1116" s="7">
        <f t="shared" si="318"/>
        <v>0</v>
      </c>
      <c r="AD1116" s="7" t="str">
        <f t="shared" si="319"/>
        <v/>
      </c>
      <c r="AE1116" s="6">
        <f t="shared" si="320"/>
        <v>0</v>
      </c>
      <c r="AF1116" s="69">
        <f t="shared" si="321"/>
        <v>3.042288757822095</v>
      </c>
      <c r="AG1116" s="6">
        <f t="shared" si="322"/>
        <v>0</v>
      </c>
      <c r="AH1116" s="6">
        <f t="shared" si="323"/>
        <v>604</v>
      </c>
    </row>
    <row r="1117" spans="8:34" x14ac:dyDescent="0.25">
      <c r="H1117" s="7">
        <v>1124</v>
      </c>
      <c r="I1117" s="7" t="s">
        <v>9</v>
      </c>
      <c r="J1117" s="8">
        <v>38397</v>
      </c>
      <c r="K1117" s="12" t="s">
        <v>20</v>
      </c>
      <c r="L1117" s="9">
        <v>29</v>
      </c>
      <c r="M1117" s="10">
        <v>88.931035912155679</v>
      </c>
      <c r="N1117" s="7" t="s">
        <v>24</v>
      </c>
      <c r="P1117" s="29" t="str">
        <f t="shared" si="306"/>
        <v/>
      </c>
      <c r="Q1117" s="29" t="str">
        <f t="shared" si="307"/>
        <v/>
      </c>
      <c r="R1117" s="29" t="str">
        <f t="shared" si="308"/>
        <v/>
      </c>
      <c r="S1117" s="29" t="str">
        <f t="shared" si="309"/>
        <v/>
      </c>
      <c r="T1117" s="32" t="str">
        <f t="shared" si="310"/>
        <v/>
      </c>
      <c r="U1117" s="32">
        <f t="shared" si="313"/>
        <v>1</v>
      </c>
      <c r="V1117" s="32" t="str">
        <f t="shared" si="314"/>
        <v/>
      </c>
      <c r="W1117" s="41">
        <f t="shared" si="311"/>
        <v>3.0665874452467476</v>
      </c>
      <c r="X1117" s="6">
        <f t="shared" si="312"/>
        <v>88.931035912155679</v>
      </c>
      <c r="Y1117" s="7">
        <f t="shared" si="315"/>
        <v>382</v>
      </c>
      <c r="AA1117" s="7">
        <f t="shared" si="316"/>
        <v>1</v>
      </c>
      <c r="AB1117" s="7">
        <f t="shared" si="317"/>
        <v>29</v>
      </c>
      <c r="AC1117" s="7">
        <f t="shared" si="318"/>
        <v>0</v>
      </c>
      <c r="AD1117" s="7" t="str">
        <f t="shared" si="319"/>
        <v/>
      </c>
      <c r="AE1117" s="6">
        <f t="shared" si="320"/>
        <v>0</v>
      </c>
      <c r="AF1117" s="69">
        <f t="shared" si="321"/>
        <v>3.0665874452467476</v>
      </c>
      <c r="AG1117" s="6">
        <f t="shared" si="322"/>
        <v>0</v>
      </c>
      <c r="AH1117" s="6">
        <f t="shared" si="323"/>
        <v>604</v>
      </c>
    </row>
    <row r="1118" spans="8:34" x14ac:dyDescent="0.25">
      <c r="H1118" s="7">
        <v>1125</v>
      </c>
      <c r="I1118" s="7" t="s">
        <v>7</v>
      </c>
      <c r="J1118" s="8">
        <v>38089</v>
      </c>
      <c r="K1118" s="12" t="s">
        <v>17</v>
      </c>
      <c r="L1118" s="9">
        <v>75</v>
      </c>
      <c r="M1118" s="10">
        <v>227.03788190973427</v>
      </c>
      <c r="N1118" s="7" t="s">
        <v>22</v>
      </c>
      <c r="P1118" s="29" t="str">
        <f t="shared" si="306"/>
        <v/>
      </c>
      <c r="Q1118" s="29">
        <f t="shared" si="307"/>
        <v>1</v>
      </c>
      <c r="R1118" s="29" t="str">
        <f t="shared" si="308"/>
        <v/>
      </c>
      <c r="S1118" s="29" t="str">
        <f t="shared" si="309"/>
        <v/>
      </c>
      <c r="T1118" s="32" t="str">
        <f t="shared" si="310"/>
        <v/>
      </c>
      <c r="U1118" s="32" t="str">
        <f t="shared" si="313"/>
        <v/>
      </c>
      <c r="V1118" s="32" t="str">
        <f t="shared" si="314"/>
        <v/>
      </c>
      <c r="W1118" s="41">
        <f t="shared" si="311"/>
        <v>3.0271717587964568</v>
      </c>
      <c r="X1118" s="6">
        <f t="shared" si="312"/>
        <v>0</v>
      </c>
      <c r="Y1118" s="7">
        <f t="shared" si="315"/>
        <v>567</v>
      </c>
      <c r="AA1118" s="7">
        <f t="shared" si="316"/>
        <v>0</v>
      </c>
      <c r="AB1118" s="7" t="str">
        <f t="shared" si="317"/>
        <v/>
      </c>
      <c r="AC1118" s="7">
        <f t="shared" si="318"/>
        <v>0</v>
      </c>
      <c r="AD1118" s="7" t="str">
        <f t="shared" si="319"/>
        <v/>
      </c>
      <c r="AE1118" s="6">
        <f t="shared" si="320"/>
        <v>0</v>
      </c>
      <c r="AF1118" s="69">
        <f t="shared" si="321"/>
        <v>3.0271717587964568</v>
      </c>
      <c r="AG1118" s="6">
        <f t="shared" si="322"/>
        <v>227.03788190973427</v>
      </c>
      <c r="AH1118" s="6">
        <f t="shared" si="323"/>
        <v>122</v>
      </c>
    </row>
    <row r="1119" spans="8:34" x14ac:dyDescent="0.25">
      <c r="H1119" s="7">
        <v>1126</v>
      </c>
      <c r="I1119" s="7" t="s">
        <v>9</v>
      </c>
      <c r="J1119" s="8">
        <v>38320</v>
      </c>
      <c r="K1119" s="12" t="s">
        <v>18</v>
      </c>
      <c r="L1119" s="9">
        <v>78</v>
      </c>
      <c r="M1119" s="10">
        <v>235.68084148847547</v>
      </c>
      <c r="N1119" s="7" t="s">
        <v>21</v>
      </c>
      <c r="P1119" s="29" t="str">
        <f t="shared" si="306"/>
        <v/>
      </c>
      <c r="Q1119" s="29" t="str">
        <f t="shared" si="307"/>
        <v/>
      </c>
      <c r="R1119" s="29" t="str">
        <f t="shared" si="308"/>
        <v/>
      </c>
      <c r="S1119" s="29">
        <f t="shared" si="309"/>
        <v>1</v>
      </c>
      <c r="T1119" s="32" t="str">
        <f t="shared" si="310"/>
        <v/>
      </c>
      <c r="U1119" s="32" t="str">
        <f t="shared" si="313"/>
        <v/>
      </c>
      <c r="V1119" s="32" t="str">
        <f t="shared" si="314"/>
        <v/>
      </c>
      <c r="W1119" s="41">
        <f t="shared" si="311"/>
        <v>3.0215492498522494</v>
      </c>
      <c r="X1119" s="6">
        <f t="shared" si="312"/>
        <v>0</v>
      </c>
      <c r="Y1119" s="7">
        <f t="shared" si="315"/>
        <v>567</v>
      </c>
      <c r="AA1119" s="7">
        <f t="shared" si="316"/>
        <v>0</v>
      </c>
      <c r="AB1119" s="7" t="str">
        <f t="shared" si="317"/>
        <v/>
      </c>
      <c r="AC1119" s="7">
        <f t="shared" si="318"/>
        <v>0</v>
      </c>
      <c r="AD1119" s="7" t="str">
        <f t="shared" si="319"/>
        <v/>
      </c>
      <c r="AE1119" s="6">
        <f t="shared" si="320"/>
        <v>0</v>
      </c>
      <c r="AF1119" s="69">
        <f t="shared" si="321"/>
        <v>3.0215492498522494</v>
      </c>
      <c r="AG1119" s="6">
        <f t="shared" si="322"/>
        <v>235.68084148847547</v>
      </c>
      <c r="AH1119" s="6">
        <f t="shared" si="323"/>
        <v>107</v>
      </c>
    </row>
    <row r="1120" spans="8:34" x14ac:dyDescent="0.25">
      <c r="H1120" s="7">
        <v>1127</v>
      </c>
      <c r="I1120" s="7" t="s">
        <v>10</v>
      </c>
      <c r="J1120" s="8">
        <v>38980</v>
      </c>
      <c r="K1120" s="12" t="s">
        <v>18</v>
      </c>
      <c r="L1120" s="9">
        <v>6</v>
      </c>
      <c r="M1120" s="10">
        <v>20.386126115237083</v>
      </c>
      <c r="N1120" s="7" t="s">
        <v>21</v>
      </c>
      <c r="P1120" s="29" t="str">
        <f t="shared" si="306"/>
        <v/>
      </c>
      <c r="Q1120" s="29" t="str">
        <f t="shared" si="307"/>
        <v/>
      </c>
      <c r="R1120" s="29" t="str">
        <f t="shared" si="308"/>
        <v/>
      </c>
      <c r="S1120" s="29" t="str">
        <f t="shared" si="309"/>
        <v/>
      </c>
      <c r="T1120" s="32" t="str">
        <f t="shared" si="310"/>
        <v/>
      </c>
      <c r="U1120" s="32" t="str">
        <f t="shared" si="313"/>
        <v/>
      </c>
      <c r="V1120" s="32">
        <f t="shared" si="314"/>
        <v>1</v>
      </c>
      <c r="W1120" s="41">
        <f t="shared" si="311"/>
        <v>3.3976876858728473</v>
      </c>
      <c r="X1120" s="6">
        <f t="shared" si="312"/>
        <v>0</v>
      </c>
      <c r="Y1120" s="7">
        <f t="shared" si="315"/>
        <v>567</v>
      </c>
      <c r="AA1120" s="7">
        <f t="shared" si="316"/>
        <v>0</v>
      </c>
      <c r="AB1120" s="7" t="str">
        <f t="shared" si="317"/>
        <v/>
      </c>
      <c r="AC1120" s="7">
        <f t="shared" si="318"/>
        <v>0</v>
      </c>
      <c r="AD1120" s="7" t="str">
        <f t="shared" si="319"/>
        <v/>
      </c>
      <c r="AE1120" s="6">
        <f t="shared" si="320"/>
        <v>0</v>
      </c>
      <c r="AF1120" s="69">
        <f t="shared" si="321"/>
        <v>3.3976876858728473</v>
      </c>
      <c r="AG1120" s="6">
        <f t="shared" si="322"/>
        <v>0</v>
      </c>
      <c r="AH1120" s="6">
        <f t="shared" si="323"/>
        <v>604</v>
      </c>
    </row>
    <row r="1121" spans="8:34" x14ac:dyDescent="0.25">
      <c r="H1121" s="7">
        <v>1128</v>
      </c>
      <c r="I1121" s="7" t="s">
        <v>11</v>
      </c>
      <c r="J1121" s="8">
        <v>38562</v>
      </c>
      <c r="K1121" s="12" t="s">
        <v>17</v>
      </c>
      <c r="L1121" s="9">
        <v>57</v>
      </c>
      <c r="M1121" s="10">
        <v>172.66966829976792</v>
      </c>
      <c r="N1121" s="7" t="s">
        <v>23</v>
      </c>
      <c r="P1121" s="29" t="str">
        <f t="shared" si="306"/>
        <v/>
      </c>
      <c r="Q1121" s="29" t="str">
        <f t="shared" si="307"/>
        <v/>
      </c>
      <c r="R1121" s="29" t="str">
        <f t="shared" si="308"/>
        <v/>
      </c>
      <c r="S1121" s="29" t="str">
        <f t="shared" si="309"/>
        <v/>
      </c>
      <c r="T1121" s="32" t="str">
        <f t="shared" si="310"/>
        <v/>
      </c>
      <c r="U1121" s="32">
        <f t="shared" si="313"/>
        <v>1</v>
      </c>
      <c r="V1121" s="32" t="str">
        <f t="shared" si="314"/>
        <v/>
      </c>
      <c r="W1121" s="41">
        <f t="shared" si="311"/>
        <v>3.0292924263117178</v>
      </c>
      <c r="X1121" s="6">
        <f t="shared" si="312"/>
        <v>172.66966829976792</v>
      </c>
      <c r="Y1121" s="7">
        <f t="shared" si="315"/>
        <v>223</v>
      </c>
      <c r="AA1121" s="7">
        <f t="shared" si="316"/>
        <v>1</v>
      </c>
      <c r="AB1121" s="7">
        <f t="shared" si="317"/>
        <v>57</v>
      </c>
      <c r="AC1121" s="7">
        <f t="shared" si="318"/>
        <v>0</v>
      </c>
      <c r="AD1121" s="7" t="str">
        <f t="shared" si="319"/>
        <v/>
      </c>
      <c r="AE1121" s="6">
        <f t="shared" si="320"/>
        <v>0</v>
      </c>
      <c r="AF1121" s="69">
        <f t="shared" si="321"/>
        <v>3.0292924263117178</v>
      </c>
      <c r="AG1121" s="6">
        <f t="shared" si="322"/>
        <v>0</v>
      </c>
      <c r="AH1121" s="6">
        <f t="shared" si="323"/>
        <v>604</v>
      </c>
    </row>
    <row r="1122" spans="8:34" x14ac:dyDescent="0.25">
      <c r="H1122" s="7">
        <v>1129</v>
      </c>
      <c r="I1122" s="7" t="s">
        <v>8</v>
      </c>
      <c r="J1122" s="8">
        <v>38452</v>
      </c>
      <c r="K1122" s="12" t="s">
        <v>16</v>
      </c>
      <c r="L1122" s="9">
        <v>35</v>
      </c>
      <c r="M1122" s="10">
        <v>106.52782470569326</v>
      </c>
      <c r="N1122" s="7" t="s">
        <v>21</v>
      </c>
      <c r="P1122" s="29" t="str">
        <f t="shared" si="306"/>
        <v/>
      </c>
      <c r="Q1122" s="29" t="str">
        <f t="shared" si="307"/>
        <v/>
      </c>
      <c r="R1122" s="29" t="str">
        <f t="shared" si="308"/>
        <v/>
      </c>
      <c r="S1122" s="29" t="str">
        <f t="shared" si="309"/>
        <v/>
      </c>
      <c r="T1122" s="32" t="str">
        <f t="shared" si="310"/>
        <v/>
      </c>
      <c r="U1122" s="32">
        <f t="shared" si="313"/>
        <v>1</v>
      </c>
      <c r="V1122" s="32" t="str">
        <f t="shared" si="314"/>
        <v/>
      </c>
      <c r="W1122" s="41">
        <f t="shared" si="311"/>
        <v>3.0436521344483789</v>
      </c>
      <c r="X1122" s="6">
        <f t="shared" si="312"/>
        <v>106.52782470569326</v>
      </c>
      <c r="Y1122" s="7">
        <f t="shared" si="315"/>
        <v>347</v>
      </c>
      <c r="AA1122" s="7">
        <f t="shared" si="316"/>
        <v>0</v>
      </c>
      <c r="AB1122" s="7" t="str">
        <f t="shared" si="317"/>
        <v/>
      </c>
      <c r="AC1122" s="7">
        <f t="shared" si="318"/>
        <v>1</v>
      </c>
      <c r="AD1122" s="7">
        <f t="shared" si="319"/>
        <v>35</v>
      </c>
      <c r="AE1122" s="6">
        <f t="shared" si="320"/>
        <v>0</v>
      </c>
      <c r="AF1122" s="69">
        <f t="shared" si="321"/>
        <v>3.0436521344483789</v>
      </c>
      <c r="AG1122" s="6">
        <f t="shared" si="322"/>
        <v>0</v>
      </c>
      <c r="AH1122" s="6">
        <f t="shared" si="323"/>
        <v>604</v>
      </c>
    </row>
    <row r="1123" spans="8:34" x14ac:dyDescent="0.25">
      <c r="H1123" s="7">
        <v>1130</v>
      </c>
      <c r="I1123" s="7" t="s">
        <v>15</v>
      </c>
      <c r="J1123" s="8">
        <v>39035</v>
      </c>
      <c r="K1123" s="12" t="s">
        <v>16</v>
      </c>
      <c r="L1123" s="9">
        <v>72</v>
      </c>
      <c r="M1123" s="10">
        <v>217.3653218325137</v>
      </c>
      <c r="N1123" s="7" t="s">
        <v>22</v>
      </c>
      <c r="P1123" s="29" t="str">
        <f t="shared" si="306"/>
        <v/>
      </c>
      <c r="Q1123" s="29" t="str">
        <f t="shared" si="307"/>
        <v/>
      </c>
      <c r="R1123" s="29" t="str">
        <f t="shared" si="308"/>
        <v/>
      </c>
      <c r="S1123" s="29" t="str">
        <f t="shared" si="309"/>
        <v/>
      </c>
      <c r="T1123" s="32" t="str">
        <f t="shared" si="310"/>
        <v/>
      </c>
      <c r="U1123" s="32" t="str">
        <f t="shared" si="313"/>
        <v/>
      </c>
      <c r="V1123" s="32">
        <f t="shared" si="314"/>
        <v>1</v>
      </c>
      <c r="W1123" s="41">
        <f t="shared" si="311"/>
        <v>3.018962803229357</v>
      </c>
      <c r="X1123" s="6">
        <f t="shared" si="312"/>
        <v>0</v>
      </c>
      <c r="Y1123" s="7">
        <f t="shared" si="315"/>
        <v>567</v>
      </c>
      <c r="AA1123" s="7">
        <f t="shared" si="316"/>
        <v>0</v>
      </c>
      <c r="AB1123" s="7" t="str">
        <f t="shared" si="317"/>
        <v/>
      </c>
      <c r="AC1123" s="7">
        <f t="shared" si="318"/>
        <v>0</v>
      </c>
      <c r="AD1123" s="7" t="str">
        <f t="shared" si="319"/>
        <v/>
      </c>
      <c r="AE1123" s="6">
        <f t="shared" si="320"/>
        <v>0</v>
      </c>
      <c r="AF1123" s="69">
        <f t="shared" si="321"/>
        <v>3.018962803229357</v>
      </c>
      <c r="AG1123" s="6">
        <f t="shared" si="322"/>
        <v>0</v>
      </c>
      <c r="AH1123" s="6">
        <f t="shared" si="323"/>
        <v>604</v>
      </c>
    </row>
    <row r="1124" spans="8:34" x14ac:dyDescent="0.25">
      <c r="H1124" s="7">
        <v>1131</v>
      </c>
      <c r="I1124" s="7" t="s">
        <v>14</v>
      </c>
      <c r="J1124" s="8">
        <v>38155</v>
      </c>
      <c r="K1124" s="12" t="s">
        <v>20</v>
      </c>
      <c r="L1124" s="9">
        <v>79</v>
      </c>
      <c r="M1124" s="10">
        <v>238.31546571286182</v>
      </c>
      <c r="N1124" s="7" t="s">
        <v>21</v>
      </c>
      <c r="P1124" s="29" t="str">
        <f t="shared" si="306"/>
        <v/>
      </c>
      <c r="Q1124" s="29">
        <f t="shared" si="307"/>
        <v>1</v>
      </c>
      <c r="R1124" s="29" t="str">
        <f t="shared" si="308"/>
        <v/>
      </c>
      <c r="S1124" s="29" t="str">
        <f t="shared" si="309"/>
        <v/>
      </c>
      <c r="T1124" s="32" t="str">
        <f t="shared" si="310"/>
        <v/>
      </c>
      <c r="U1124" s="32" t="str">
        <f t="shared" si="313"/>
        <v/>
      </c>
      <c r="V1124" s="32" t="str">
        <f t="shared" si="314"/>
        <v/>
      </c>
      <c r="W1124" s="41">
        <f t="shared" si="311"/>
        <v>3.0166514647197697</v>
      </c>
      <c r="X1124" s="6">
        <f t="shared" si="312"/>
        <v>0</v>
      </c>
      <c r="Y1124" s="7">
        <f t="shared" si="315"/>
        <v>567</v>
      </c>
      <c r="AA1124" s="7">
        <f t="shared" si="316"/>
        <v>0</v>
      </c>
      <c r="AB1124" s="7" t="str">
        <f t="shared" si="317"/>
        <v/>
      </c>
      <c r="AC1124" s="7">
        <f t="shared" si="318"/>
        <v>0</v>
      </c>
      <c r="AD1124" s="7" t="str">
        <f t="shared" si="319"/>
        <v/>
      </c>
      <c r="AE1124" s="6">
        <f t="shared" si="320"/>
        <v>0</v>
      </c>
      <c r="AF1124" s="69">
        <f t="shared" si="321"/>
        <v>3.0166514647197697</v>
      </c>
      <c r="AG1124" s="6">
        <f t="shared" si="322"/>
        <v>238.31546571286182</v>
      </c>
      <c r="AH1124" s="6">
        <f t="shared" si="323"/>
        <v>100</v>
      </c>
    </row>
    <row r="1125" spans="8:34" x14ac:dyDescent="0.25">
      <c r="H1125" s="7">
        <v>1132</v>
      </c>
      <c r="I1125" s="7" t="s">
        <v>15</v>
      </c>
      <c r="J1125" s="8">
        <v>38463</v>
      </c>
      <c r="K1125" s="12" t="s">
        <v>17</v>
      </c>
      <c r="L1125" s="9">
        <v>89</v>
      </c>
      <c r="M1125" s="10">
        <v>269.0186169961018</v>
      </c>
      <c r="N1125" s="7" t="s">
        <v>23</v>
      </c>
      <c r="P1125" s="29" t="str">
        <f t="shared" si="306"/>
        <v/>
      </c>
      <c r="Q1125" s="29" t="str">
        <f t="shared" si="307"/>
        <v/>
      </c>
      <c r="R1125" s="29" t="str">
        <f t="shared" si="308"/>
        <v/>
      </c>
      <c r="S1125" s="29" t="str">
        <f t="shared" si="309"/>
        <v/>
      </c>
      <c r="T1125" s="32" t="str">
        <f t="shared" si="310"/>
        <v/>
      </c>
      <c r="U1125" s="32">
        <f t="shared" si="313"/>
        <v>1</v>
      </c>
      <c r="V1125" s="32" t="str">
        <f t="shared" si="314"/>
        <v/>
      </c>
      <c r="W1125" s="41">
        <f t="shared" si="311"/>
        <v>3.0226810898438403</v>
      </c>
      <c r="X1125" s="6">
        <f t="shared" si="312"/>
        <v>269.0186169961018</v>
      </c>
      <c r="Y1125" s="7">
        <f t="shared" si="315"/>
        <v>49</v>
      </c>
      <c r="AA1125" s="7">
        <f t="shared" si="316"/>
        <v>0</v>
      </c>
      <c r="AB1125" s="7" t="str">
        <f t="shared" si="317"/>
        <v/>
      </c>
      <c r="AC1125" s="7">
        <f t="shared" si="318"/>
        <v>1</v>
      </c>
      <c r="AD1125" s="7">
        <f t="shared" si="319"/>
        <v>89</v>
      </c>
      <c r="AE1125" s="6">
        <f t="shared" si="320"/>
        <v>0</v>
      </c>
      <c r="AF1125" s="69">
        <f t="shared" si="321"/>
        <v>3.0226810898438403</v>
      </c>
      <c r="AG1125" s="6">
        <f t="shared" si="322"/>
        <v>0</v>
      </c>
      <c r="AH1125" s="6">
        <f t="shared" si="323"/>
        <v>604</v>
      </c>
    </row>
    <row r="1126" spans="8:34" x14ac:dyDescent="0.25">
      <c r="H1126" s="7">
        <v>1133</v>
      </c>
      <c r="I1126" s="7" t="s">
        <v>14</v>
      </c>
      <c r="J1126" s="8">
        <v>38474</v>
      </c>
      <c r="K1126" s="12" t="s">
        <v>16</v>
      </c>
      <c r="L1126" s="9">
        <v>84</v>
      </c>
      <c r="M1126" s="10">
        <v>252.58494974261927</v>
      </c>
      <c r="N1126" s="7" t="s">
        <v>24</v>
      </c>
      <c r="P1126" s="29" t="str">
        <f t="shared" si="306"/>
        <v/>
      </c>
      <c r="Q1126" s="29" t="str">
        <f t="shared" si="307"/>
        <v/>
      </c>
      <c r="R1126" s="29" t="str">
        <f t="shared" si="308"/>
        <v/>
      </c>
      <c r="S1126" s="29" t="str">
        <f t="shared" si="309"/>
        <v/>
      </c>
      <c r="T1126" s="32" t="str">
        <f t="shared" si="310"/>
        <v/>
      </c>
      <c r="U1126" s="32">
        <f t="shared" si="313"/>
        <v>1</v>
      </c>
      <c r="V1126" s="32" t="str">
        <f t="shared" si="314"/>
        <v/>
      </c>
      <c r="W1126" s="41">
        <f t="shared" si="311"/>
        <v>3.0069636874121342</v>
      </c>
      <c r="X1126" s="6">
        <f t="shared" si="312"/>
        <v>252.58494974261927</v>
      </c>
      <c r="Y1126" s="7">
        <f t="shared" si="315"/>
        <v>76</v>
      </c>
      <c r="AA1126" s="7">
        <f t="shared" si="316"/>
        <v>0</v>
      </c>
      <c r="AB1126" s="7" t="str">
        <f t="shared" si="317"/>
        <v/>
      </c>
      <c r="AC1126" s="7">
        <f t="shared" si="318"/>
        <v>1</v>
      </c>
      <c r="AD1126" s="7">
        <f t="shared" si="319"/>
        <v>84</v>
      </c>
      <c r="AE1126" s="6">
        <f t="shared" si="320"/>
        <v>0</v>
      </c>
      <c r="AF1126" s="69">
        <f t="shared" si="321"/>
        <v>3.0069636874121342</v>
      </c>
      <c r="AG1126" s="6">
        <f t="shared" si="322"/>
        <v>0</v>
      </c>
      <c r="AH1126" s="6">
        <f t="shared" si="323"/>
        <v>604</v>
      </c>
    </row>
    <row r="1127" spans="8:34" x14ac:dyDescent="0.25">
      <c r="H1127" s="7">
        <v>1134</v>
      </c>
      <c r="I1127" s="7" t="s">
        <v>12</v>
      </c>
      <c r="J1127" s="8">
        <v>38969</v>
      </c>
      <c r="K1127" s="12" t="s">
        <v>20</v>
      </c>
      <c r="L1127" s="9">
        <v>43</v>
      </c>
      <c r="M1127" s="10">
        <v>130.65515170314279</v>
      </c>
      <c r="N1127" s="7" t="s">
        <v>23</v>
      </c>
      <c r="P1127" s="29" t="str">
        <f t="shared" si="306"/>
        <v/>
      </c>
      <c r="Q1127" s="29" t="str">
        <f t="shared" si="307"/>
        <v/>
      </c>
      <c r="R1127" s="29" t="str">
        <f t="shared" si="308"/>
        <v/>
      </c>
      <c r="S1127" s="29" t="str">
        <f t="shared" si="309"/>
        <v/>
      </c>
      <c r="T1127" s="32" t="str">
        <f t="shared" si="310"/>
        <v/>
      </c>
      <c r="U1127" s="32" t="str">
        <f t="shared" si="313"/>
        <v/>
      </c>
      <c r="V1127" s="32">
        <f t="shared" si="314"/>
        <v>1</v>
      </c>
      <c r="W1127" s="41">
        <f t="shared" si="311"/>
        <v>3.0384919000730881</v>
      </c>
      <c r="X1127" s="6">
        <f t="shared" si="312"/>
        <v>0</v>
      </c>
      <c r="Y1127" s="7">
        <f t="shared" si="315"/>
        <v>567</v>
      </c>
      <c r="AA1127" s="7">
        <f t="shared" si="316"/>
        <v>0</v>
      </c>
      <c r="AB1127" s="7" t="str">
        <f t="shared" si="317"/>
        <v/>
      </c>
      <c r="AC1127" s="7">
        <f t="shared" si="318"/>
        <v>0</v>
      </c>
      <c r="AD1127" s="7" t="str">
        <f t="shared" si="319"/>
        <v/>
      </c>
      <c r="AE1127" s="6">
        <f t="shared" si="320"/>
        <v>0</v>
      </c>
      <c r="AF1127" s="69">
        <f t="shared" si="321"/>
        <v>3.0384919000730881</v>
      </c>
      <c r="AG1127" s="6">
        <f t="shared" si="322"/>
        <v>0</v>
      </c>
      <c r="AH1127" s="6">
        <f t="shared" si="323"/>
        <v>604</v>
      </c>
    </row>
    <row r="1128" spans="8:34" x14ac:dyDescent="0.25">
      <c r="H1128" s="7">
        <v>1135</v>
      </c>
      <c r="I1128" s="7" t="s">
        <v>13</v>
      </c>
      <c r="J1128" s="8">
        <v>38738</v>
      </c>
      <c r="K1128" s="12" t="s">
        <v>17</v>
      </c>
      <c r="L1128" s="9">
        <v>-4</v>
      </c>
      <c r="M1128" s="10">
        <v>-9.965195042789297</v>
      </c>
      <c r="N1128" s="7" t="s">
        <v>22</v>
      </c>
      <c r="P1128" s="29" t="str">
        <f t="shared" si="306"/>
        <v/>
      </c>
      <c r="Q1128" s="29" t="str">
        <f t="shared" si="307"/>
        <v/>
      </c>
      <c r="R1128" s="29" t="str">
        <f t="shared" si="308"/>
        <v/>
      </c>
      <c r="S1128" s="29" t="str">
        <f t="shared" si="309"/>
        <v/>
      </c>
      <c r="T1128" s="32" t="str">
        <f t="shared" si="310"/>
        <v/>
      </c>
      <c r="U1128" s="32" t="str">
        <f t="shared" si="313"/>
        <v/>
      </c>
      <c r="V1128" s="32">
        <f t="shared" si="314"/>
        <v>1</v>
      </c>
      <c r="W1128" s="41" t="str">
        <f t="shared" si="311"/>
        <v/>
      </c>
      <c r="X1128" s="6">
        <f t="shared" si="312"/>
        <v>0</v>
      </c>
      <c r="Y1128" s="7">
        <f t="shared" si="315"/>
        <v>567</v>
      </c>
      <c r="AA1128" s="7">
        <f t="shared" si="316"/>
        <v>0</v>
      </c>
      <c r="AB1128" s="7" t="str">
        <f t="shared" si="317"/>
        <v/>
      </c>
      <c r="AC1128" s="7">
        <f t="shared" si="318"/>
        <v>0</v>
      </c>
      <c r="AD1128" s="7" t="str">
        <f t="shared" si="319"/>
        <v/>
      </c>
      <c r="AE1128" s="6">
        <f t="shared" si="320"/>
        <v>-4</v>
      </c>
      <c r="AF1128" s="69" t="str">
        <f t="shared" si="321"/>
        <v/>
      </c>
      <c r="AG1128" s="6">
        <f t="shared" si="322"/>
        <v>0</v>
      </c>
      <c r="AH1128" s="6">
        <f t="shared" si="323"/>
        <v>604</v>
      </c>
    </row>
    <row r="1129" spans="8:34" x14ac:dyDescent="0.25">
      <c r="H1129" s="7">
        <v>1136</v>
      </c>
      <c r="I1129" s="7" t="s">
        <v>13</v>
      </c>
      <c r="J1129" s="8">
        <v>38364</v>
      </c>
      <c r="K1129" s="12" t="s">
        <v>18</v>
      </c>
      <c r="L1129" s="9">
        <v>51</v>
      </c>
      <c r="M1129" s="10">
        <v>154.66031011925435</v>
      </c>
      <c r="N1129" s="7" t="s">
        <v>23</v>
      </c>
      <c r="P1129" s="29" t="str">
        <f t="shared" si="306"/>
        <v/>
      </c>
      <c r="Q1129" s="29" t="str">
        <f t="shared" si="307"/>
        <v/>
      </c>
      <c r="R1129" s="29" t="str">
        <f t="shared" si="308"/>
        <v/>
      </c>
      <c r="S1129" s="29" t="str">
        <f t="shared" si="309"/>
        <v/>
      </c>
      <c r="T1129" s="32" t="str">
        <f t="shared" si="310"/>
        <v/>
      </c>
      <c r="U1129" s="32">
        <f t="shared" si="313"/>
        <v>1</v>
      </c>
      <c r="V1129" s="32" t="str">
        <f t="shared" si="314"/>
        <v/>
      </c>
      <c r="W1129" s="41">
        <f t="shared" si="311"/>
        <v>3.0325551003775364</v>
      </c>
      <c r="X1129" s="6">
        <f t="shared" si="312"/>
        <v>154.66031011925435</v>
      </c>
      <c r="Y1129" s="7">
        <f t="shared" si="315"/>
        <v>259</v>
      </c>
      <c r="AA1129" s="7">
        <f t="shared" si="316"/>
        <v>1</v>
      </c>
      <c r="AB1129" s="7">
        <f t="shared" si="317"/>
        <v>51</v>
      </c>
      <c r="AC1129" s="7">
        <f t="shared" si="318"/>
        <v>0</v>
      </c>
      <c r="AD1129" s="7" t="str">
        <f t="shared" si="319"/>
        <v/>
      </c>
      <c r="AE1129" s="6">
        <f t="shared" si="320"/>
        <v>0</v>
      </c>
      <c r="AF1129" s="69">
        <f t="shared" si="321"/>
        <v>3.0325551003775364</v>
      </c>
      <c r="AG1129" s="6">
        <f t="shared" si="322"/>
        <v>0</v>
      </c>
      <c r="AH1129" s="6">
        <f t="shared" si="323"/>
        <v>604</v>
      </c>
    </row>
    <row r="1130" spans="8:34" x14ac:dyDescent="0.25">
      <c r="H1130" s="7">
        <v>1137</v>
      </c>
      <c r="I1130" s="7" t="s">
        <v>7</v>
      </c>
      <c r="J1130" s="8">
        <v>38859</v>
      </c>
      <c r="K1130" s="12" t="s">
        <v>17</v>
      </c>
      <c r="L1130" s="9">
        <v>17</v>
      </c>
      <c r="M1130" s="10">
        <v>53.072576846761372</v>
      </c>
      <c r="N1130" s="7" t="s">
        <v>23</v>
      </c>
      <c r="P1130" s="29" t="str">
        <f t="shared" si="306"/>
        <v/>
      </c>
      <c r="Q1130" s="29" t="str">
        <f t="shared" si="307"/>
        <v/>
      </c>
      <c r="R1130" s="29" t="str">
        <f t="shared" si="308"/>
        <v/>
      </c>
      <c r="S1130" s="29" t="str">
        <f t="shared" si="309"/>
        <v/>
      </c>
      <c r="T1130" s="32" t="str">
        <f t="shared" si="310"/>
        <v/>
      </c>
      <c r="U1130" s="32" t="str">
        <f t="shared" si="313"/>
        <v/>
      </c>
      <c r="V1130" s="32">
        <f t="shared" si="314"/>
        <v>1</v>
      </c>
      <c r="W1130" s="41">
        <f t="shared" si="311"/>
        <v>3.1219162851036102</v>
      </c>
      <c r="X1130" s="6">
        <f t="shared" si="312"/>
        <v>0</v>
      </c>
      <c r="Y1130" s="7">
        <f t="shared" si="315"/>
        <v>567</v>
      </c>
      <c r="AA1130" s="7">
        <f t="shared" si="316"/>
        <v>0</v>
      </c>
      <c r="AB1130" s="7" t="str">
        <f t="shared" si="317"/>
        <v/>
      </c>
      <c r="AC1130" s="7">
        <f t="shared" si="318"/>
        <v>0</v>
      </c>
      <c r="AD1130" s="7" t="str">
        <f t="shared" si="319"/>
        <v/>
      </c>
      <c r="AE1130" s="6">
        <f t="shared" si="320"/>
        <v>0</v>
      </c>
      <c r="AF1130" s="69">
        <f t="shared" si="321"/>
        <v>3.1219162851036102</v>
      </c>
      <c r="AG1130" s="6">
        <f t="shared" si="322"/>
        <v>0</v>
      </c>
      <c r="AH1130" s="6">
        <f t="shared" si="323"/>
        <v>604</v>
      </c>
    </row>
    <row r="1131" spans="8:34" x14ac:dyDescent="0.25">
      <c r="H1131" s="7">
        <v>1138</v>
      </c>
      <c r="I1131" s="7" t="s">
        <v>8</v>
      </c>
      <c r="J1131" s="8">
        <v>39035</v>
      </c>
      <c r="K1131" s="12" t="s">
        <v>20</v>
      </c>
      <c r="L1131" s="9">
        <v>51</v>
      </c>
      <c r="M1131" s="10">
        <v>155.23584686430669</v>
      </c>
      <c r="N1131" s="7" t="s">
        <v>23</v>
      </c>
      <c r="P1131" s="29" t="str">
        <f t="shared" si="306"/>
        <v/>
      </c>
      <c r="Q1131" s="29" t="str">
        <f t="shared" si="307"/>
        <v/>
      </c>
      <c r="R1131" s="29" t="str">
        <f t="shared" si="308"/>
        <v/>
      </c>
      <c r="S1131" s="29" t="str">
        <f t="shared" si="309"/>
        <v/>
      </c>
      <c r="T1131" s="32" t="str">
        <f t="shared" si="310"/>
        <v/>
      </c>
      <c r="U1131" s="32" t="str">
        <f t="shared" si="313"/>
        <v/>
      </c>
      <c r="V1131" s="32">
        <f t="shared" si="314"/>
        <v>1</v>
      </c>
      <c r="W1131" s="41">
        <f t="shared" si="311"/>
        <v>3.043840134594249</v>
      </c>
      <c r="X1131" s="6">
        <f t="shared" si="312"/>
        <v>0</v>
      </c>
      <c r="Y1131" s="7">
        <f t="shared" si="315"/>
        <v>567</v>
      </c>
      <c r="AA1131" s="7">
        <f t="shared" si="316"/>
        <v>0</v>
      </c>
      <c r="AB1131" s="7" t="str">
        <f t="shared" si="317"/>
        <v/>
      </c>
      <c r="AC1131" s="7">
        <f t="shared" si="318"/>
        <v>0</v>
      </c>
      <c r="AD1131" s="7" t="str">
        <f t="shared" si="319"/>
        <v/>
      </c>
      <c r="AE1131" s="6">
        <f t="shared" si="320"/>
        <v>0</v>
      </c>
      <c r="AF1131" s="69">
        <f t="shared" si="321"/>
        <v>3.043840134594249</v>
      </c>
      <c r="AG1131" s="6">
        <f t="shared" si="322"/>
        <v>0</v>
      </c>
      <c r="AH1131" s="6">
        <f t="shared" si="323"/>
        <v>604</v>
      </c>
    </row>
    <row r="1132" spans="8:34" x14ac:dyDescent="0.25">
      <c r="H1132" s="7">
        <v>1139</v>
      </c>
      <c r="I1132" s="7" t="s">
        <v>14</v>
      </c>
      <c r="J1132" s="8">
        <v>38782</v>
      </c>
      <c r="K1132" s="12" t="s">
        <v>16</v>
      </c>
      <c r="L1132" s="9">
        <v>14</v>
      </c>
      <c r="M1132" s="10">
        <v>44.195651647644979</v>
      </c>
      <c r="N1132" s="7" t="s">
        <v>23</v>
      </c>
      <c r="P1132" s="29" t="str">
        <f t="shared" si="306"/>
        <v/>
      </c>
      <c r="Q1132" s="29" t="str">
        <f t="shared" si="307"/>
        <v/>
      </c>
      <c r="R1132" s="29" t="str">
        <f t="shared" si="308"/>
        <v/>
      </c>
      <c r="S1132" s="29" t="str">
        <f t="shared" si="309"/>
        <v/>
      </c>
      <c r="T1132" s="32" t="str">
        <f t="shared" si="310"/>
        <v/>
      </c>
      <c r="U1132" s="32" t="str">
        <f t="shared" si="313"/>
        <v/>
      </c>
      <c r="V1132" s="32">
        <f t="shared" si="314"/>
        <v>1</v>
      </c>
      <c r="W1132" s="41">
        <f t="shared" si="311"/>
        <v>3.1568322605460701</v>
      </c>
      <c r="X1132" s="6">
        <f t="shared" si="312"/>
        <v>0</v>
      </c>
      <c r="Y1132" s="7">
        <f t="shared" si="315"/>
        <v>567</v>
      </c>
      <c r="AA1132" s="7">
        <f t="shared" si="316"/>
        <v>0</v>
      </c>
      <c r="AB1132" s="7" t="str">
        <f t="shared" si="317"/>
        <v/>
      </c>
      <c r="AC1132" s="7">
        <f t="shared" si="318"/>
        <v>0</v>
      </c>
      <c r="AD1132" s="7" t="str">
        <f t="shared" si="319"/>
        <v/>
      </c>
      <c r="AE1132" s="6">
        <f t="shared" si="320"/>
        <v>0</v>
      </c>
      <c r="AF1132" s="69">
        <f t="shared" si="321"/>
        <v>3.1568322605460701</v>
      </c>
      <c r="AG1132" s="6">
        <f t="shared" si="322"/>
        <v>0</v>
      </c>
      <c r="AH1132" s="6">
        <f t="shared" si="323"/>
        <v>604</v>
      </c>
    </row>
    <row r="1133" spans="8:34" x14ac:dyDescent="0.25">
      <c r="H1133" s="7">
        <v>1140</v>
      </c>
      <c r="I1133" s="7" t="s">
        <v>9</v>
      </c>
      <c r="J1133" s="8">
        <v>39068</v>
      </c>
      <c r="K1133" s="12" t="s">
        <v>17</v>
      </c>
      <c r="L1133" s="9">
        <v>60</v>
      </c>
      <c r="M1133" s="10">
        <v>181.87259058007896</v>
      </c>
      <c r="N1133" s="7" t="s">
        <v>24</v>
      </c>
      <c r="P1133" s="29" t="str">
        <f t="shared" si="306"/>
        <v/>
      </c>
      <c r="Q1133" s="29" t="str">
        <f t="shared" si="307"/>
        <v/>
      </c>
      <c r="R1133" s="29" t="str">
        <f t="shared" si="308"/>
        <v/>
      </c>
      <c r="S1133" s="29" t="str">
        <f t="shared" si="309"/>
        <v/>
      </c>
      <c r="T1133" s="32" t="str">
        <f t="shared" si="310"/>
        <v/>
      </c>
      <c r="U1133" s="32" t="str">
        <f t="shared" si="313"/>
        <v/>
      </c>
      <c r="V1133" s="32">
        <f t="shared" si="314"/>
        <v>1</v>
      </c>
      <c r="W1133" s="41">
        <f t="shared" si="311"/>
        <v>3.0312098430013159</v>
      </c>
      <c r="X1133" s="6">
        <f t="shared" si="312"/>
        <v>0</v>
      </c>
      <c r="Y1133" s="7">
        <f t="shared" si="315"/>
        <v>567</v>
      </c>
      <c r="AA1133" s="7">
        <f t="shared" si="316"/>
        <v>0</v>
      </c>
      <c r="AB1133" s="7" t="str">
        <f t="shared" si="317"/>
        <v/>
      </c>
      <c r="AC1133" s="7">
        <f t="shared" si="318"/>
        <v>0</v>
      </c>
      <c r="AD1133" s="7" t="str">
        <f t="shared" si="319"/>
        <v/>
      </c>
      <c r="AE1133" s="6">
        <f t="shared" si="320"/>
        <v>0</v>
      </c>
      <c r="AF1133" s="69">
        <f t="shared" si="321"/>
        <v>3.0312098430013159</v>
      </c>
      <c r="AG1133" s="6">
        <f t="shared" si="322"/>
        <v>0</v>
      </c>
      <c r="AH1133" s="6">
        <f t="shared" si="323"/>
        <v>604</v>
      </c>
    </row>
    <row r="1134" spans="8:34" x14ac:dyDescent="0.25">
      <c r="H1134" s="7">
        <v>1141</v>
      </c>
      <c r="I1134" s="7" t="s">
        <v>15</v>
      </c>
      <c r="J1134" s="8">
        <v>38309</v>
      </c>
      <c r="K1134" s="12" t="s">
        <v>20</v>
      </c>
      <c r="L1134" s="9">
        <v>-8</v>
      </c>
      <c r="M1134" s="10">
        <v>-21.981669305596434</v>
      </c>
      <c r="N1134" s="7" t="s">
        <v>23</v>
      </c>
      <c r="P1134" s="29" t="str">
        <f t="shared" si="306"/>
        <v/>
      </c>
      <c r="Q1134" s="29" t="str">
        <f t="shared" si="307"/>
        <v/>
      </c>
      <c r="R1134" s="29" t="str">
        <f t="shared" si="308"/>
        <v/>
      </c>
      <c r="S1134" s="29">
        <f t="shared" si="309"/>
        <v>1</v>
      </c>
      <c r="T1134" s="32" t="str">
        <f t="shared" si="310"/>
        <v/>
      </c>
      <c r="U1134" s="32" t="str">
        <f t="shared" si="313"/>
        <v/>
      </c>
      <c r="V1134" s="32" t="str">
        <f t="shared" si="314"/>
        <v/>
      </c>
      <c r="W1134" s="41" t="str">
        <f t="shared" si="311"/>
        <v/>
      </c>
      <c r="X1134" s="6">
        <f t="shared" si="312"/>
        <v>0</v>
      </c>
      <c r="Y1134" s="7">
        <f t="shared" si="315"/>
        <v>567</v>
      </c>
      <c r="AA1134" s="7">
        <f t="shared" si="316"/>
        <v>0</v>
      </c>
      <c r="AB1134" s="7" t="str">
        <f t="shared" si="317"/>
        <v/>
      </c>
      <c r="AC1134" s="7">
        <f t="shared" si="318"/>
        <v>0</v>
      </c>
      <c r="AD1134" s="7" t="str">
        <f t="shared" si="319"/>
        <v/>
      </c>
      <c r="AE1134" s="6">
        <f t="shared" si="320"/>
        <v>-8</v>
      </c>
      <c r="AF1134" s="69" t="str">
        <f t="shared" si="321"/>
        <v/>
      </c>
      <c r="AG1134" s="6">
        <f t="shared" si="322"/>
        <v>0</v>
      </c>
      <c r="AH1134" s="6">
        <f t="shared" si="323"/>
        <v>604</v>
      </c>
    </row>
    <row r="1135" spans="8:34" x14ac:dyDescent="0.25">
      <c r="H1135" s="7">
        <v>1142</v>
      </c>
      <c r="I1135" s="7" t="s">
        <v>11</v>
      </c>
      <c r="J1135" s="8">
        <v>38529</v>
      </c>
      <c r="K1135" s="12" t="s">
        <v>18</v>
      </c>
      <c r="L1135" s="9">
        <v>95</v>
      </c>
      <c r="M1135" s="10">
        <v>286.66171116702549</v>
      </c>
      <c r="N1135" s="7" t="s">
        <v>21</v>
      </c>
      <c r="P1135" s="29" t="str">
        <f t="shared" si="306"/>
        <v/>
      </c>
      <c r="Q1135" s="29" t="str">
        <f t="shared" si="307"/>
        <v/>
      </c>
      <c r="R1135" s="29" t="str">
        <f t="shared" si="308"/>
        <v/>
      </c>
      <c r="S1135" s="29" t="str">
        <f t="shared" si="309"/>
        <v/>
      </c>
      <c r="T1135" s="32" t="str">
        <f t="shared" si="310"/>
        <v/>
      </c>
      <c r="U1135" s="32">
        <f t="shared" si="313"/>
        <v>1</v>
      </c>
      <c r="V1135" s="32" t="str">
        <f t="shared" si="314"/>
        <v/>
      </c>
      <c r="W1135" s="41">
        <f t="shared" si="311"/>
        <v>3.0174916964950049</v>
      </c>
      <c r="X1135" s="6">
        <f t="shared" si="312"/>
        <v>286.66171116702549</v>
      </c>
      <c r="Y1135" s="7">
        <f t="shared" si="315"/>
        <v>5</v>
      </c>
      <c r="AA1135" s="7">
        <f t="shared" si="316"/>
        <v>0</v>
      </c>
      <c r="AB1135" s="7" t="str">
        <f t="shared" si="317"/>
        <v/>
      </c>
      <c r="AC1135" s="7">
        <f t="shared" si="318"/>
        <v>1</v>
      </c>
      <c r="AD1135" s="7">
        <f t="shared" si="319"/>
        <v>95</v>
      </c>
      <c r="AE1135" s="6">
        <f t="shared" si="320"/>
        <v>0</v>
      </c>
      <c r="AF1135" s="69">
        <f t="shared" si="321"/>
        <v>3.0174916964950049</v>
      </c>
      <c r="AG1135" s="6">
        <f t="shared" si="322"/>
        <v>0</v>
      </c>
      <c r="AH1135" s="6">
        <f t="shared" si="323"/>
        <v>604</v>
      </c>
    </row>
    <row r="1136" spans="8:34" x14ac:dyDescent="0.25">
      <c r="H1136" s="7">
        <v>1143</v>
      </c>
      <c r="I1136" s="7" t="s">
        <v>10</v>
      </c>
      <c r="J1136" s="8">
        <v>38749</v>
      </c>
      <c r="K1136" s="12" t="s">
        <v>18</v>
      </c>
      <c r="L1136" s="9">
        <v>66</v>
      </c>
      <c r="M1136" s="10">
        <v>199.59386136754239</v>
      </c>
      <c r="N1136" s="7" t="s">
        <v>24</v>
      </c>
      <c r="P1136" s="29" t="str">
        <f t="shared" si="306"/>
        <v/>
      </c>
      <c r="Q1136" s="29" t="str">
        <f t="shared" si="307"/>
        <v/>
      </c>
      <c r="R1136" s="29" t="str">
        <f t="shared" si="308"/>
        <v/>
      </c>
      <c r="S1136" s="29" t="str">
        <f t="shared" si="309"/>
        <v/>
      </c>
      <c r="T1136" s="32" t="str">
        <f t="shared" si="310"/>
        <v/>
      </c>
      <c r="U1136" s="32" t="str">
        <f t="shared" si="313"/>
        <v/>
      </c>
      <c r="V1136" s="32">
        <f t="shared" si="314"/>
        <v>1</v>
      </c>
      <c r="W1136" s="41">
        <f t="shared" si="311"/>
        <v>3.0241494146597332</v>
      </c>
      <c r="X1136" s="6">
        <f t="shared" si="312"/>
        <v>0</v>
      </c>
      <c r="Y1136" s="7">
        <f t="shared" si="315"/>
        <v>567</v>
      </c>
      <c r="AA1136" s="7">
        <f t="shared" si="316"/>
        <v>0</v>
      </c>
      <c r="AB1136" s="7" t="str">
        <f t="shared" si="317"/>
        <v/>
      </c>
      <c r="AC1136" s="7">
        <f t="shared" si="318"/>
        <v>0</v>
      </c>
      <c r="AD1136" s="7" t="str">
        <f t="shared" si="319"/>
        <v/>
      </c>
      <c r="AE1136" s="6">
        <f t="shared" si="320"/>
        <v>0</v>
      </c>
      <c r="AF1136" s="69">
        <f t="shared" si="321"/>
        <v>3.0241494146597332</v>
      </c>
      <c r="AG1136" s="6">
        <f t="shared" si="322"/>
        <v>0</v>
      </c>
      <c r="AH1136" s="6">
        <f t="shared" si="323"/>
        <v>604</v>
      </c>
    </row>
    <row r="1137" spans="8:34" x14ac:dyDescent="0.25">
      <c r="H1137" s="7">
        <v>1144</v>
      </c>
      <c r="I1137" s="7" t="s">
        <v>10</v>
      </c>
      <c r="J1137" s="8">
        <v>38342</v>
      </c>
      <c r="K1137" s="12" t="s">
        <v>17</v>
      </c>
      <c r="L1137" s="9">
        <v>77</v>
      </c>
      <c r="M1137" s="10">
        <v>232.62615004199816</v>
      </c>
      <c r="N1137" s="7" t="s">
        <v>22</v>
      </c>
      <c r="P1137" s="29" t="str">
        <f t="shared" si="306"/>
        <v/>
      </c>
      <c r="Q1137" s="29" t="str">
        <f t="shared" si="307"/>
        <v/>
      </c>
      <c r="R1137" s="29" t="str">
        <f t="shared" si="308"/>
        <v/>
      </c>
      <c r="S1137" s="29">
        <f t="shared" si="309"/>
        <v>1</v>
      </c>
      <c r="T1137" s="32" t="str">
        <f t="shared" si="310"/>
        <v/>
      </c>
      <c r="U1137" s="32" t="str">
        <f t="shared" si="313"/>
        <v/>
      </c>
      <c r="V1137" s="32" t="str">
        <f t="shared" si="314"/>
        <v/>
      </c>
      <c r="W1137" s="41">
        <f t="shared" si="311"/>
        <v>3.0211188317142619</v>
      </c>
      <c r="X1137" s="6">
        <f t="shared" si="312"/>
        <v>0</v>
      </c>
      <c r="Y1137" s="7">
        <f t="shared" si="315"/>
        <v>567</v>
      </c>
      <c r="AA1137" s="7">
        <f t="shared" si="316"/>
        <v>0</v>
      </c>
      <c r="AB1137" s="7" t="str">
        <f t="shared" si="317"/>
        <v/>
      </c>
      <c r="AC1137" s="7">
        <f t="shared" si="318"/>
        <v>0</v>
      </c>
      <c r="AD1137" s="7" t="str">
        <f t="shared" si="319"/>
        <v/>
      </c>
      <c r="AE1137" s="6">
        <f t="shared" si="320"/>
        <v>0</v>
      </c>
      <c r="AF1137" s="69">
        <f t="shared" si="321"/>
        <v>3.0211188317142619</v>
      </c>
      <c r="AG1137" s="6">
        <f t="shared" si="322"/>
        <v>232.62615004199816</v>
      </c>
      <c r="AH1137" s="6">
        <f t="shared" si="323"/>
        <v>114</v>
      </c>
    </row>
    <row r="1138" spans="8:34" x14ac:dyDescent="0.25">
      <c r="H1138" s="7">
        <v>1145</v>
      </c>
      <c r="I1138" s="7" t="s">
        <v>8</v>
      </c>
      <c r="J1138" s="8">
        <v>38331</v>
      </c>
      <c r="K1138" s="12" t="s">
        <v>16</v>
      </c>
      <c r="L1138" s="9">
        <v>65</v>
      </c>
      <c r="M1138" s="10">
        <v>197.3309600781289</v>
      </c>
      <c r="N1138" s="7" t="s">
        <v>24</v>
      </c>
      <c r="P1138" s="29" t="str">
        <f t="shared" si="306"/>
        <v/>
      </c>
      <c r="Q1138" s="29" t="str">
        <f t="shared" si="307"/>
        <v/>
      </c>
      <c r="R1138" s="29" t="str">
        <f t="shared" si="308"/>
        <v/>
      </c>
      <c r="S1138" s="29">
        <f t="shared" si="309"/>
        <v>1</v>
      </c>
      <c r="T1138" s="32" t="str">
        <f t="shared" si="310"/>
        <v/>
      </c>
      <c r="U1138" s="32" t="str">
        <f t="shared" si="313"/>
        <v/>
      </c>
      <c r="V1138" s="32" t="str">
        <f t="shared" si="314"/>
        <v/>
      </c>
      <c r="W1138" s="41">
        <f t="shared" si="311"/>
        <v>3.0358609242789063</v>
      </c>
      <c r="X1138" s="6">
        <f t="shared" si="312"/>
        <v>0</v>
      </c>
      <c r="Y1138" s="7">
        <f t="shared" si="315"/>
        <v>567</v>
      </c>
      <c r="AA1138" s="7">
        <f t="shared" si="316"/>
        <v>0</v>
      </c>
      <c r="AB1138" s="7" t="str">
        <f t="shared" si="317"/>
        <v/>
      </c>
      <c r="AC1138" s="7">
        <f t="shared" si="318"/>
        <v>0</v>
      </c>
      <c r="AD1138" s="7" t="str">
        <f t="shared" si="319"/>
        <v/>
      </c>
      <c r="AE1138" s="6">
        <f t="shared" si="320"/>
        <v>0</v>
      </c>
      <c r="AF1138" s="69">
        <f t="shared" si="321"/>
        <v>3.0358609242789063</v>
      </c>
      <c r="AG1138" s="6">
        <f t="shared" si="322"/>
        <v>197.3309600781289</v>
      </c>
      <c r="AH1138" s="6">
        <f t="shared" si="323"/>
        <v>180</v>
      </c>
    </row>
    <row r="1139" spans="8:34" x14ac:dyDescent="0.25">
      <c r="H1139" s="7">
        <v>1146</v>
      </c>
      <c r="I1139" s="7" t="s">
        <v>8</v>
      </c>
      <c r="J1139" s="8">
        <v>38463</v>
      </c>
      <c r="K1139" s="12" t="s">
        <v>20</v>
      </c>
      <c r="L1139" s="9">
        <v>29</v>
      </c>
      <c r="M1139" s="10">
        <v>89.184247826635968</v>
      </c>
      <c r="N1139" s="7" t="s">
        <v>22</v>
      </c>
      <c r="P1139" s="29" t="str">
        <f t="shared" si="306"/>
        <v/>
      </c>
      <c r="Q1139" s="29" t="str">
        <f t="shared" si="307"/>
        <v/>
      </c>
      <c r="R1139" s="29" t="str">
        <f t="shared" si="308"/>
        <v/>
      </c>
      <c r="S1139" s="29" t="str">
        <f t="shared" si="309"/>
        <v/>
      </c>
      <c r="T1139" s="32" t="str">
        <f t="shared" si="310"/>
        <v/>
      </c>
      <c r="U1139" s="32">
        <f t="shared" si="313"/>
        <v>1</v>
      </c>
      <c r="V1139" s="32" t="str">
        <f t="shared" si="314"/>
        <v/>
      </c>
      <c r="W1139" s="41">
        <f t="shared" si="311"/>
        <v>3.0753188905736542</v>
      </c>
      <c r="X1139" s="6">
        <f t="shared" si="312"/>
        <v>89.184247826635968</v>
      </c>
      <c r="Y1139" s="7">
        <f t="shared" si="315"/>
        <v>377</v>
      </c>
      <c r="AA1139" s="7">
        <f t="shared" si="316"/>
        <v>0</v>
      </c>
      <c r="AB1139" s="7" t="str">
        <f t="shared" si="317"/>
        <v/>
      </c>
      <c r="AC1139" s="7">
        <f t="shared" si="318"/>
        <v>1</v>
      </c>
      <c r="AD1139" s="7">
        <f t="shared" si="319"/>
        <v>29</v>
      </c>
      <c r="AE1139" s="6">
        <f t="shared" si="320"/>
        <v>0</v>
      </c>
      <c r="AF1139" s="69">
        <f t="shared" si="321"/>
        <v>3.0753188905736542</v>
      </c>
      <c r="AG1139" s="6">
        <f t="shared" si="322"/>
        <v>0</v>
      </c>
      <c r="AH1139" s="6">
        <f t="shared" si="323"/>
        <v>604</v>
      </c>
    </row>
    <row r="1140" spans="8:34" x14ac:dyDescent="0.25">
      <c r="H1140" s="7">
        <v>1147</v>
      </c>
      <c r="I1140" s="7" t="s">
        <v>10</v>
      </c>
      <c r="J1140" s="8">
        <v>38177</v>
      </c>
      <c r="K1140" s="12" t="s">
        <v>19</v>
      </c>
      <c r="L1140" s="9">
        <v>8</v>
      </c>
      <c r="M1140" s="10">
        <v>26.088167418036129</v>
      </c>
      <c r="N1140" s="7" t="s">
        <v>24</v>
      </c>
      <c r="P1140" s="29" t="str">
        <f t="shared" si="306"/>
        <v/>
      </c>
      <c r="Q1140" s="29" t="str">
        <f t="shared" si="307"/>
        <v/>
      </c>
      <c r="R1140" s="29">
        <f t="shared" si="308"/>
        <v>1</v>
      </c>
      <c r="S1140" s="29" t="str">
        <f t="shared" si="309"/>
        <v/>
      </c>
      <c r="T1140" s="32" t="str">
        <f t="shared" si="310"/>
        <v/>
      </c>
      <c r="U1140" s="32" t="str">
        <f t="shared" si="313"/>
        <v/>
      </c>
      <c r="V1140" s="32" t="str">
        <f t="shared" si="314"/>
        <v/>
      </c>
      <c r="W1140" s="41">
        <f t="shared" si="311"/>
        <v>3.2610209272545161</v>
      </c>
      <c r="X1140" s="6">
        <f t="shared" si="312"/>
        <v>0</v>
      </c>
      <c r="Y1140" s="7">
        <f t="shared" si="315"/>
        <v>567</v>
      </c>
      <c r="AA1140" s="7">
        <f t="shared" si="316"/>
        <v>0</v>
      </c>
      <c r="AB1140" s="7" t="str">
        <f t="shared" si="317"/>
        <v/>
      </c>
      <c r="AC1140" s="7">
        <f t="shared" si="318"/>
        <v>0</v>
      </c>
      <c r="AD1140" s="7" t="str">
        <f t="shared" si="319"/>
        <v/>
      </c>
      <c r="AE1140" s="6">
        <f t="shared" si="320"/>
        <v>0</v>
      </c>
      <c r="AF1140" s="69">
        <f t="shared" si="321"/>
        <v>3.2610209272545161</v>
      </c>
      <c r="AG1140" s="6">
        <f t="shared" si="322"/>
        <v>26.088167418036129</v>
      </c>
      <c r="AH1140" s="6">
        <f t="shared" si="323"/>
        <v>541</v>
      </c>
    </row>
    <row r="1141" spans="8:34" x14ac:dyDescent="0.25">
      <c r="H1141" s="7">
        <v>1148</v>
      </c>
      <c r="I1141" s="7" t="s">
        <v>9</v>
      </c>
      <c r="J1141" s="8">
        <v>38727</v>
      </c>
      <c r="K1141" s="12" t="s">
        <v>19</v>
      </c>
      <c r="L1141" s="9">
        <v>42</v>
      </c>
      <c r="M1141" s="10">
        <v>127.86858054734927</v>
      </c>
      <c r="N1141" s="7" t="s">
        <v>24</v>
      </c>
      <c r="P1141" s="29" t="str">
        <f t="shared" si="306"/>
        <v/>
      </c>
      <c r="Q1141" s="29" t="str">
        <f t="shared" si="307"/>
        <v/>
      </c>
      <c r="R1141" s="29" t="str">
        <f t="shared" si="308"/>
        <v/>
      </c>
      <c r="S1141" s="29" t="str">
        <f t="shared" si="309"/>
        <v/>
      </c>
      <c r="T1141" s="32" t="str">
        <f t="shared" si="310"/>
        <v/>
      </c>
      <c r="U1141" s="32" t="str">
        <f t="shared" si="313"/>
        <v/>
      </c>
      <c r="V1141" s="32">
        <f t="shared" si="314"/>
        <v>1</v>
      </c>
      <c r="W1141" s="41">
        <f t="shared" si="311"/>
        <v>3.0444900130321253</v>
      </c>
      <c r="X1141" s="6">
        <f t="shared" si="312"/>
        <v>0</v>
      </c>
      <c r="Y1141" s="7">
        <f t="shared" si="315"/>
        <v>567</v>
      </c>
      <c r="AA1141" s="7">
        <f t="shared" si="316"/>
        <v>0</v>
      </c>
      <c r="AB1141" s="7" t="str">
        <f t="shared" si="317"/>
        <v/>
      </c>
      <c r="AC1141" s="7">
        <f t="shared" si="318"/>
        <v>0</v>
      </c>
      <c r="AD1141" s="7" t="str">
        <f t="shared" si="319"/>
        <v/>
      </c>
      <c r="AE1141" s="6">
        <f t="shared" si="320"/>
        <v>0</v>
      </c>
      <c r="AF1141" s="69">
        <f t="shared" si="321"/>
        <v>3.0444900130321253</v>
      </c>
      <c r="AG1141" s="6">
        <f t="shared" si="322"/>
        <v>0</v>
      </c>
      <c r="AH1141" s="6">
        <f t="shared" si="323"/>
        <v>604</v>
      </c>
    </row>
    <row r="1142" spans="8:34" x14ac:dyDescent="0.25">
      <c r="H1142" s="7">
        <v>1149</v>
      </c>
      <c r="I1142" s="7" t="s">
        <v>7</v>
      </c>
      <c r="J1142" s="8">
        <v>38045</v>
      </c>
      <c r="K1142" s="12" t="s">
        <v>18</v>
      </c>
      <c r="L1142" s="9">
        <v>93</v>
      </c>
      <c r="M1142" s="10">
        <v>280.72118754503384</v>
      </c>
      <c r="N1142" s="7" t="s">
        <v>22</v>
      </c>
      <c r="P1142" s="29">
        <f t="shared" si="306"/>
        <v>1</v>
      </c>
      <c r="Q1142" s="29" t="str">
        <f t="shared" si="307"/>
        <v/>
      </c>
      <c r="R1142" s="29" t="str">
        <f t="shared" si="308"/>
        <v/>
      </c>
      <c r="S1142" s="29" t="str">
        <f t="shared" si="309"/>
        <v/>
      </c>
      <c r="T1142" s="32" t="str">
        <f t="shared" si="310"/>
        <v/>
      </c>
      <c r="U1142" s="32" t="str">
        <f t="shared" si="313"/>
        <v/>
      </c>
      <c r="V1142" s="32" t="str">
        <f t="shared" si="314"/>
        <v/>
      </c>
      <c r="W1142" s="41">
        <f t="shared" si="311"/>
        <v>3.0185073929573529</v>
      </c>
      <c r="X1142" s="6">
        <f t="shared" si="312"/>
        <v>0</v>
      </c>
      <c r="Y1142" s="7">
        <f t="shared" si="315"/>
        <v>567</v>
      </c>
      <c r="AA1142" s="7">
        <f t="shared" si="316"/>
        <v>0</v>
      </c>
      <c r="AB1142" s="7" t="str">
        <f t="shared" si="317"/>
        <v/>
      </c>
      <c r="AC1142" s="7">
        <f t="shared" si="318"/>
        <v>0</v>
      </c>
      <c r="AD1142" s="7" t="str">
        <f t="shared" si="319"/>
        <v/>
      </c>
      <c r="AE1142" s="6">
        <f t="shared" si="320"/>
        <v>0</v>
      </c>
      <c r="AF1142" s="69">
        <f t="shared" si="321"/>
        <v>3.0185073929573529</v>
      </c>
      <c r="AG1142" s="6">
        <f t="shared" si="322"/>
        <v>280.72118754503384</v>
      </c>
      <c r="AH1142" s="6">
        <f t="shared" si="323"/>
        <v>16</v>
      </c>
    </row>
    <row r="1143" spans="8:34" x14ac:dyDescent="0.25">
      <c r="H1143" s="7">
        <v>1150</v>
      </c>
      <c r="I1143" s="7" t="s">
        <v>10</v>
      </c>
      <c r="J1143" s="8">
        <v>38144</v>
      </c>
      <c r="K1143" s="12" t="s">
        <v>18</v>
      </c>
      <c r="L1143" s="9">
        <v>69</v>
      </c>
      <c r="M1143" s="10">
        <v>209.153628171767</v>
      </c>
      <c r="N1143" s="7" t="s">
        <v>21</v>
      </c>
      <c r="P1143" s="29" t="str">
        <f t="shared" si="306"/>
        <v/>
      </c>
      <c r="Q1143" s="29">
        <f t="shared" si="307"/>
        <v>1</v>
      </c>
      <c r="R1143" s="29" t="str">
        <f t="shared" si="308"/>
        <v/>
      </c>
      <c r="S1143" s="29" t="str">
        <f t="shared" si="309"/>
        <v/>
      </c>
      <c r="T1143" s="32" t="str">
        <f t="shared" si="310"/>
        <v/>
      </c>
      <c r="U1143" s="32" t="str">
        <f t="shared" si="313"/>
        <v/>
      </c>
      <c r="V1143" s="32" t="str">
        <f t="shared" si="314"/>
        <v/>
      </c>
      <c r="W1143" s="41">
        <f t="shared" si="311"/>
        <v>3.0312120024893767</v>
      </c>
      <c r="X1143" s="6">
        <f t="shared" si="312"/>
        <v>0</v>
      </c>
      <c r="Y1143" s="7">
        <f t="shared" si="315"/>
        <v>567</v>
      </c>
      <c r="AA1143" s="7">
        <f t="shared" si="316"/>
        <v>0</v>
      </c>
      <c r="AB1143" s="7" t="str">
        <f t="shared" si="317"/>
        <v/>
      </c>
      <c r="AC1143" s="7">
        <f t="shared" si="318"/>
        <v>0</v>
      </c>
      <c r="AD1143" s="7" t="str">
        <f t="shared" si="319"/>
        <v/>
      </c>
      <c r="AE1143" s="6">
        <f t="shared" si="320"/>
        <v>0</v>
      </c>
      <c r="AF1143" s="69">
        <f t="shared" si="321"/>
        <v>3.0312120024893767</v>
      </c>
      <c r="AG1143" s="6">
        <f t="shared" si="322"/>
        <v>209.153628171767</v>
      </c>
      <c r="AH1143" s="6">
        <f t="shared" si="323"/>
        <v>157</v>
      </c>
    </row>
    <row r="1144" spans="8:34" x14ac:dyDescent="0.25">
      <c r="H1144" s="7">
        <v>1151</v>
      </c>
      <c r="I1144" s="7" t="s">
        <v>11</v>
      </c>
      <c r="J1144" s="8">
        <v>38903</v>
      </c>
      <c r="K1144" s="12" t="s">
        <v>20</v>
      </c>
      <c r="L1144" s="9">
        <v>91</v>
      </c>
      <c r="M1144" s="10">
        <v>274.80447122686729</v>
      </c>
      <c r="N1144" s="7" t="s">
        <v>21</v>
      </c>
      <c r="P1144" s="29" t="str">
        <f t="shared" si="306"/>
        <v/>
      </c>
      <c r="Q1144" s="29" t="str">
        <f t="shared" si="307"/>
        <v/>
      </c>
      <c r="R1144" s="29" t="str">
        <f t="shared" si="308"/>
        <v/>
      </c>
      <c r="S1144" s="29" t="str">
        <f t="shared" si="309"/>
        <v/>
      </c>
      <c r="T1144" s="32" t="str">
        <f t="shared" si="310"/>
        <v/>
      </c>
      <c r="U1144" s="32" t="str">
        <f t="shared" si="313"/>
        <v/>
      </c>
      <c r="V1144" s="32">
        <f t="shared" si="314"/>
        <v>1</v>
      </c>
      <c r="W1144" s="41">
        <f t="shared" si="311"/>
        <v>3.019829354141399</v>
      </c>
      <c r="X1144" s="6">
        <f t="shared" si="312"/>
        <v>0</v>
      </c>
      <c r="Y1144" s="7">
        <f t="shared" si="315"/>
        <v>567</v>
      </c>
      <c r="AA1144" s="7">
        <f t="shared" si="316"/>
        <v>0</v>
      </c>
      <c r="AB1144" s="7" t="str">
        <f t="shared" si="317"/>
        <v/>
      </c>
      <c r="AC1144" s="7">
        <f t="shared" si="318"/>
        <v>0</v>
      </c>
      <c r="AD1144" s="7" t="str">
        <f t="shared" si="319"/>
        <v/>
      </c>
      <c r="AE1144" s="6">
        <f t="shared" si="320"/>
        <v>0</v>
      </c>
      <c r="AF1144" s="69">
        <f t="shared" si="321"/>
        <v>3.019829354141399</v>
      </c>
      <c r="AG1144" s="6">
        <f t="shared" si="322"/>
        <v>0</v>
      </c>
      <c r="AH1144" s="6">
        <f t="shared" si="323"/>
        <v>604</v>
      </c>
    </row>
    <row r="1145" spans="8:34" x14ac:dyDescent="0.25">
      <c r="H1145" s="7">
        <v>1152</v>
      </c>
      <c r="I1145" s="7" t="s">
        <v>8</v>
      </c>
      <c r="J1145" s="8">
        <v>38386</v>
      </c>
      <c r="K1145" s="12" t="s">
        <v>16</v>
      </c>
      <c r="L1145" s="9">
        <v>11</v>
      </c>
      <c r="M1145" s="10">
        <v>34.520998663564384</v>
      </c>
      <c r="N1145" s="7" t="s">
        <v>21</v>
      </c>
      <c r="P1145" s="29" t="str">
        <f t="shared" si="306"/>
        <v/>
      </c>
      <c r="Q1145" s="29" t="str">
        <f t="shared" si="307"/>
        <v/>
      </c>
      <c r="R1145" s="29" t="str">
        <f t="shared" si="308"/>
        <v/>
      </c>
      <c r="S1145" s="29" t="str">
        <f t="shared" si="309"/>
        <v/>
      </c>
      <c r="T1145" s="32" t="str">
        <f t="shared" si="310"/>
        <v/>
      </c>
      <c r="U1145" s="32">
        <f t="shared" si="313"/>
        <v>1</v>
      </c>
      <c r="V1145" s="32" t="str">
        <f t="shared" si="314"/>
        <v/>
      </c>
      <c r="W1145" s="41">
        <f t="shared" si="311"/>
        <v>3.1382726057785804</v>
      </c>
      <c r="X1145" s="6">
        <f t="shared" si="312"/>
        <v>34.520998663564384</v>
      </c>
      <c r="Y1145" s="7">
        <f t="shared" si="315"/>
        <v>494</v>
      </c>
      <c r="AA1145" s="7">
        <f t="shared" si="316"/>
        <v>1</v>
      </c>
      <c r="AB1145" s="7">
        <f t="shared" si="317"/>
        <v>11</v>
      </c>
      <c r="AC1145" s="7">
        <f t="shared" si="318"/>
        <v>0</v>
      </c>
      <c r="AD1145" s="7" t="str">
        <f t="shared" si="319"/>
        <v/>
      </c>
      <c r="AE1145" s="6">
        <f t="shared" si="320"/>
        <v>0</v>
      </c>
      <c r="AF1145" s="69">
        <f t="shared" si="321"/>
        <v>3.1382726057785804</v>
      </c>
      <c r="AG1145" s="6">
        <f t="shared" si="322"/>
        <v>0</v>
      </c>
      <c r="AH1145" s="6">
        <f t="shared" si="323"/>
        <v>604</v>
      </c>
    </row>
    <row r="1146" spans="8:34" x14ac:dyDescent="0.25">
      <c r="H1146" s="7">
        <v>1153</v>
      </c>
      <c r="I1146" s="7" t="s">
        <v>8</v>
      </c>
      <c r="J1146" s="8">
        <v>38353</v>
      </c>
      <c r="K1146" s="12" t="s">
        <v>17</v>
      </c>
      <c r="L1146" s="9">
        <v>-1</v>
      </c>
      <c r="M1146" s="10">
        <v>-1.5629041843202898</v>
      </c>
      <c r="N1146" s="7" t="s">
        <v>22</v>
      </c>
      <c r="P1146" s="29" t="str">
        <f t="shared" si="306"/>
        <v/>
      </c>
      <c r="Q1146" s="29" t="str">
        <f t="shared" si="307"/>
        <v/>
      </c>
      <c r="R1146" s="29" t="str">
        <f t="shared" si="308"/>
        <v/>
      </c>
      <c r="S1146" s="29" t="str">
        <f t="shared" si="309"/>
        <v/>
      </c>
      <c r="T1146" s="32" t="str">
        <f t="shared" si="310"/>
        <v/>
      </c>
      <c r="U1146" s="32">
        <f t="shared" si="313"/>
        <v>1</v>
      </c>
      <c r="V1146" s="32" t="str">
        <f t="shared" si="314"/>
        <v/>
      </c>
      <c r="W1146" s="41" t="str">
        <f t="shared" si="311"/>
        <v/>
      </c>
      <c r="X1146" s="6">
        <f t="shared" si="312"/>
        <v>-1.5629041843202898</v>
      </c>
      <c r="Y1146" s="7">
        <f t="shared" si="315"/>
        <v>1846</v>
      </c>
      <c r="AA1146" s="7">
        <f t="shared" si="316"/>
        <v>1</v>
      </c>
      <c r="AB1146" s="7">
        <f t="shared" si="317"/>
        <v>-1</v>
      </c>
      <c r="AC1146" s="7">
        <f t="shared" si="318"/>
        <v>0</v>
      </c>
      <c r="AD1146" s="7" t="str">
        <f t="shared" si="319"/>
        <v/>
      </c>
      <c r="AE1146" s="6">
        <f t="shared" si="320"/>
        <v>-1</v>
      </c>
      <c r="AF1146" s="69" t="str">
        <f t="shared" si="321"/>
        <v/>
      </c>
      <c r="AG1146" s="6">
        <f t="shared" si="322"/>
        <v>0</v>
      </c>
      <c r="AH1146" s="6">
        <f t="shared" si="323"/>
        <v>604</v>
      </c>
    </row>
    <row r="1147" spans="8:34" x14ac:dyDescent="0.25">
      <c r="H1147" s="7">
        <v>1154</v>
      </c>
      <c r="I1147" s="7" t="s">
        <v>14</v>
      </c>
      <c r="J1147" s="8">
        <v>38342</v>
      </c>
      <c r="K1147" s="12" t="s">
        <v>20</v>
      </c>
      <c r="L1147" s="9">
        <v>52</v>
      </c>
      <c r="M1147" s="10">
        <v>158.21071487768182</v>
      </c>
      <c r="N1147" s="7" t="s">
        <v>21</v>
      </c>
      <c r="P1147" s="29" t="str">
        <f t="shared" si="306"/>
        <v/>
      </c>
      <c r="Q1147" s="29" t="str">
        <f t="shared" si="307"/>
        <v/>
      </c>
      <c r="R1147" s="29" t="str">
        <f t="shared" si="308"/>
        <v/>
      </c>
      <c r="S1147" s="29">
        <f t="shared" si="309"/>
        <v>1</v>
      </c>
      <c r="T1147" s="32" t="str">
        <f t="shared" si="310"/>
        <v/>
      </c>
      <c r="U1147" s="32" t="str">
        <f t="shared" si="313"/>
        <v/>
      </c>
      <c r="V1147" s="32" t="str">
        <f t="shared" si="314"/>
        <v/>
      </c>
      <c r="W1147" s="41">
        <f t="shared" si="311"/>
        <v>3.0425137476477273</v>
      </c>
      <c r="X1147" s="6">
        <f t="shared" si="312"/>
        <v>0</v>
      </c>
      <c r="Y1147" s="7">
        <f t="shared" si="315"/>
        <v>567</v>
      </c>
      <c r="AA1147" s="7">
        <f t="shared" si="316"/>
        <v>0</v>
      </c>
      <c r="AB1147" s="7" t="str">
        <f t="shared" si="317"/>
        <v/>
      </c>
      <c r="AC1147" s="7">
        <f t="shared" si="318"/>
        <v>0</v>
      </c>
      <c r="AD1147" s="7" t="str">
        <f t="shared" si="319"/>
        <v/>
      </c>
      <c r="AE1147" s="6">
        <f t="shared" si="320"/>
        <v>0</v>
      </c>
      <c r="AF1147" s="69">
        <f t="shared" si="321"/>
        <v>3.0425137476477273</v>
      </c>
      <c r="AG1147" s="6">
        <f t="shared" si="322"/>
        <v>158.21071487768182</v>
      </c>
      <c r="AH1147" s="6">
        <f t="shared" si="323"/>
        <v>262</v>
      </c>
    </row>
    <row r="1148" spans="8:34" x14ac:dyDescent="0.25">
      <c r="H1148" s="7">
        <v>1155</v>
      </c>
      <c r="I1148" s="7" t="s">
        <v>7</v>
      </c>
      <c r="J1148" s="8">
        <v>38782</v>
      </c>
      <c r="K1148" s="12" t="s">
        <v>19</v>
      </c>
      <c r="L1148" s="9">
        <v>-10</v>
      </c>
      <c r="M1148" s="10">
        <v>-28.635014383965792</v>
      </c>
      <c r="N1148" s="7" t="s">
        <v>21</v>
      </c>
      <c r="P1148" s="29" t="str">
        <f t="shared" si="306"/>
        <v/>
      </c>
      <c r="Q1148" s="29" t="str">
        <f t="shared" si="307"/>
        <v/>
      </c>
      <c r="R1148" s="29" t="str">
        <f t="shared" si="308"/>
        <v/>
      </c>
      <c r="S1148" s="29" t="str">
        <f t="shared" si="309"/>
        <v/>
      </c>
      <c r="T1148" s="32" t="str">
        <f t="shared" si="310"/>
        <v/>
      </c>
      <c r="U1148" s="32" t="str">
        <f t="shared" si="313"/>
        <v/>
      </c>
      <c r="V1148" s="32">
        <f t="shared" si="314"/>
        <v>1</v>
      </c>
      <c r="W1148" s="41" t="str">
        <f t="shared" si="311"/>
        <v/>
      </c>
      <c r="X1148" s="6">
        <f t="shared" si="312"/>
        <v>0</v>
      </c>
      <c r="Y1148" s="7">
        <f t="shared" si="315"/>
        <v>567</v>
      </c>
      <c r="AA1148" s="7">
        <f t="shared" si="316"/>
        <v>0</v>
      </c>
      <c r="AB1148" s="7" t="str">
        <f t="shared" si="317"/>
        <v/>
      </c>
      <c r="AC1148" s="7">
        <f t="shared" si="318"/>
        <v>0</v>
      </c>
      <c r="AD1148" s="7" t="str">
        <f t="shared" si="319"/>
        <v/>
      </c>
      <c r="AE1148" s="6">
        <f t="shared" si="320"/>
        <v>-10</v>
      </c>
      <c r="AF1148" s="69" t="str">
        <f t="shared" si="321"/>
        <v/>
      </c>
      <c r="AG1148" s="6">
        <f t="shared" si="322"/>
        <v>0</v>
      </c>
      <c r="AH1148" s="6">
        <f t="shared" si="323"/>
        <v>604</v>
      </c>
    </row>
    <row r="1149" spans="8:34" x14ac:dyDescent="0.25">
      <c r="H1149" s="7">
        <v>1156</v>
      </c>
      <c r="I1149" s="7" t="s">
        <v>10</v>
      </c>
      <c r="J1149" s="8">
        <v>39046</v>
      </c>
      <c r="K1149" s="12" t="s">
        <v>20</v>
      </c>
      <c r="L1149" s="9">
        <v>33</v>
      </c>
      <c r="M1149" s="10">
        <v>100.50696775814504</v>
      </c>
      <c r="N1149" s="7" t="s">
        <v>21</v>
      </c>
      <c r="P1149" s="29" t="str">
        <f t="shared" si="306"/>
        <v/>
      </c>
      <c r="Q1149" s="29" t="str">
        <f t="shared" si="307"/>
        <v/>
      </c>
      <c r="R1149" s="29" t="str">
        <f t="shared" si="308"/>
        <v/>
      </c>
      <c r="S1149" s="29" t="str">
        <f t="shared" si="309"/>
        <v/>
      </c>
      <c r="T1149" s="32" t="str">
        <f t="shared" si="310"/>
        <v/>
      </c>
      <c r="U1149" s="32" t="str">
        <f t="shared" si="313"/>
        <v/>
      </c>
      <c r="V1149" s="32">
        <f t="shared" si="314"/>
        <v>1</v>
      </c>
      <c r="W1149" s="41">
        <f t="shared" si="311"/>
        <v>3.0456656896407588</v>
      </c>
      <c r="X1149" s="6">
        <f t="shared" si="312"/>
        <v>0</v>
      </c>
      <c r="Y1149" s="7">
        <f t="shared" si="315"/>
        <v>567</v>
      </c>
      <c r="AA1149" s="7">
        <f t="shared" si="316"/>
        <v>0</v>
      </c>
      <c r="AB1149" s="7" t="str">
        <f t="shared" si="317"/>
        <v/>
      </c>
      <c r="AC1149" s="7">
        <f t="shared" si="318"/>
        <v>0</v>
      </c>
      <c r="AD1149" s="7" t="str">
        <f t="shared" si="319"/>
        <v/>
      </c>
      <c r="AE1149" s="6">
        <f t="shared" si="320"/>
        <v>0</v>
      </c>
      <c r="AF1149" s="69">
        <f t="shared" si="321"/>
        <v>3.0456656896407588</v>
      </c>
      <c r="AG1149" s="6">
        <f t="shared" si="322"/>
        <v>0</v>
      </c>
      <c r="AH1149" s="6">
        <f t="shared" si="323"/>
        <v>604</v>
      </c>
    </row>
    <row r="1150" spans="8:34" x14ac:dyDescent="0.25">
      <c r="H1150" s="7">
        <v>1157</v>
      </c>
      <c r="I1150" s="7" t="s">
        <v>7</v>
      </c>
      <c r="J1150" s="8">
        <v>38265</v>
      </c>
      <c r="K1150" s="12" t="s">
        <v>19</v>
      </c>
      <c r="L1150" s="9">
        <v>-1</v>
      </c>
      <c r="M1150" s="10">
        <v>-1.1155837084126869</v>
      </c>
      <c r="N1150" s="7" t="s">
        <v>23</v>
      </c>
      <c r="P1150" s="29" t="str">
        <f t="shared" si="306"/>
        <v/>
      </c>
      <c r="Q1150" s="29" t="str">
        <f t="shared" si="307"/>
        <v/>
      </c>
      <c r="R1150" s="29" t="str">
        <f t="shared" si="308"/>
        <v/>
      </c>
      <c r="S1150" s="29">
        <f t="shared" si="309"/>
        <v>1</v>
      </c>
      <c r="T1150" s="32" t="str">
        <f t="shared" si="310"/>
        <v/>
      </c>
      <c r="U1150" s="32" t="str">
        <f t="shared" si="313"/>
        <v/>
      </c>
      <c r="V1150" s="32" t="str">
        <f t="shared" si="314"/>
        <v/>
      </c>
      <c r="W1150" s="41" t="str">
        <f t="shared" si="311"/>
        <v/>
      </c>
      <c r="X1150" s="6">
        <f t="shared" si="312"/>
        <v>0</v>
      </c>
      <c r="Y1150" s="7">
        <f t="shared" si="315"/>
        <v>567</v>
      </c>
      <c r="AA1150" s="7">
        <f t="shared" si="316"/>
        <v>0</v>
      </c>
      <c r="AB1150" s="7" t="str">
        <f t="shared" si="317"/>
        <v/>
      </c>
      <c r="AC1150" s="7">
        <f t="shared" si="318"/>
        <v>0</v>
      </c>
      <c r="AD1150" s="7" t="str">
        <f t="shared" si="319"/>
        <v/>
      </c>
      <c r="AE1150" s="6">
        <f t="shared" si="320"/>
        <v>-1</v>
      </c>
      <c r="AF1150" s="69" t="str">
        <f t="shared" si="321"/>
        <v/>
      </c>
      <c r="AG1150" s="6">
        <f t="shared" si="322"/>
        <v>0</v>
      </c>
      <c r="AH1150" s="6">
        <f t="shared" si="323"/>
        <v>604</v>
      </c>
    </row>
    <row r="1151" spans="8:34" x14ac:dyDescent="0.25">
      <c r="H1151" s="7">
        <v>1158</v>
      </c>
      <c r="I1151" s="7" t="s">
        <v>11</v>
      </c>
      <c r="J1151" s="8">
        <v>38958</v>
      </c>
      <c r="K1151" s="12" t="s">
        <v>20</v>
      </c>
      <c r="L1151" s="9">
        <v>24</v>
      </c>
      <c r="M1151" s="10">
        <v>73.541516730294589</v>
      </c>
      <c r="N1151" s="7" t="s">
        <v>23</v>
      </c>
      <c r="P1151" s="29" t="str">
        <f t="shared" si="306"/>
        <v/>
      </c>
      <c r="Q1151" s="29" t="str">
        <f t="shared" si="307"/>
        <v/>
      </c>
      <c r="R1151" s="29" t="str">
        <f t="shared" si="308"/>
        <v/>
      </c>
      <c r="S1151" s="29" t="str">
        <f t="shared" si="309"/>
        <v/>
      </c>
      <c r="T1151" s="32" t="str">
        <f t="shared" si="310"/>
        <v/>
      </c>
      <c r="U1151" s="32" t="str">
        <f t="shared" si="313"/>
        <v/>
      </c>
      <c r="V1151" s="32">
        <f t="shared" si="314"/>
        <v>1</v>
      </c>
      <c r="W1151" s="41">
        <f t="shared" si="311"/>
        <v>3.0642298637622747</v>
      </c>
      <c r="X1151" s="6">
        <f t="shared" si="312"/>
        <v>0</v>
      </c>
      <c r="Y1151" s="7">
        <f t="shared" si="315"/>
        <v>567</v>
      </c>
      <c r="AA1151" s="7">
        <f t="shared" si="316"/>
        <v>0</v>
      </c>
      <c r="AB1151" s="7" t="str">
        <f t="shared" si="317"/>
        <v/>
      </c>
      <c r="AC1151" s="7">
        <f t="shared" si="318"/>
        <v>0</v>
      </c>
      <c r="AD1151" s="7" t="str">
        <f t="shared" si="319"/>
        <v/>
      </c>
      <c r="AE1151" s="6">
        <f t="shared" si="320"/>
        <v>0</v>
      </c>
      <c r="AF1151" s="69">
        <f t="shared" si="321"/>
        <v>3.0642298637622747</v>
      </c>
      <c r="AG1151" s="6">
        <f t="shared" si="322"/>
        <v>0</v>
      </c>
      <c r="AH1151" s="6">
        <f t="shared" si="323"/>
        <v>604</v>
      </c>
    </row>
    <row r="1152" spans="8:34" x14ac:dyDescent="0.25">
      <c r="H1152" s="7">
        <v>1159</v>
      </c>
      <c r="I1152" s="7" t="s">
        <v>14</v>
      </c>
      <c r="J1152" s="8">
        <v>38122</v>
      </c>
      <c r="K1152" s="12" t="s">
        <v>18</v>
      </c>
      <c r="L1152" s="9">
        <v>71</v>
      </c>
      <c r="M1152" s="10">
        <v>214.70316225183416</v>
      </c>
      <c r="N1152" s="7" t="s">
        <v>22</v>
      </c>
      <c r="P1152" s="29" t="str">
        <f t="shared" si="306"/>
        <v/>
      </c>
      <c r="Q1152" s="29">
        <f t="shared" si="307"/>
        <v>1</v>
      </c>
      <c r="R1152" s="29" t="str">
        <f t="shared" si="308"/>
        <v/>
      </c>
      <c r="S1152" s="29" t="str">
        <f t="shared" si="309"/>
        <v/>
      </c>
      <c r="T1152" s="32" t="str">
        <f t="shared" si="310"/>
        <v/>
      </c>
      <c r="U1152" s="32" t="str">
        <f t="shared" si="313"/>
        <v/>
      </c>
      <c r="V1152" s="32" t="str">
        <f t="shared" si="314"/>
        <v/>
      </c>
      <c r="W1152" s="41">
        <f t="shared" si="311"/>
        <v>3.0239882007300585</v>
      </c>
      <c r="X1152" s="6">
        <f t="shared" si="312"/>
        <v>0</v>
      </c>
      <c r="Y1152" s="7">
        <f t="shared" si="315"/>
        <v>567</v>
      </c>
      <c r="AA1152" s="7">
        <f t="shared" si="316"/>
        <v>0</v>
      </c>
      <c r="AB1152" s="7" t="str">
        <f t="shared" si="317"/>
        <v/>
      </c>
      <c r="AC1152" s="7">
        <f t="shared" si="318"/>
        <v>0</v>
      </c>
      <c r="AD1152" s="7" t="str">
        <f t="shared" si="319"/>
        <v/>
      </c>
      <c r="AE1152" s="6">
        <f t="shared" si="320"/>
        <v>0</v>
      </c>
      <c r="AF1152" s="69">
        <f t="shared" si="321"/>
        <v>3.0239882007300585</v>
      </c>
      <c r="AG1152" s="6">
        <f t="shared" si="322"/>
        <v>214.70316225183416</v>
      </c>
      <c r="AH1152" s="6">
        <f t="shared" si="323"/>
        <v>149</v>
      </c>
    </row>
    <row r="1153" spans="8:34" x14ac:dyDescent="0.25">
      <c r="H1153" s="7">
        <v>1160</v>
      </c>
      <c r="I1153" s="7" t="s">
        <v>8</v>
      </c>
      <c r="J1153" s="8">
        <v>38309</v>
      </c>
      <c r="K1153" s="12" t="s">
        <v>17</v>
      </c>
      <c r="L1153" s="9">
        <v>88</v>
      </c>
      <c r="M1153" s="10">
        <v>265.86483001134803</v>
      </c>
      <c r="N1153" s="7" t="s">
        <v>21</v>
      </c>
      <c r="P1153" s="29" t="str">
        <f t="shared" si="306"/>
        <v/>
      </c>
      <c r="Q1153" s="29" t="str">
        <f t="shared" si="307"/>
        <v/>
      </c>
      <c r="R1153" s="29" t="str">
        <f t="shared" si="308"/>
        <v/>
      </c>
      <c r="S1153" s="29">
        <f t="shared" si="309"/>
        <v>1</v>
      </c>
      <c r="T1153" s="32" t="str">
        <f t="shared" si="310"/>
        <v/>
      </c>
      <c r="U1153" s="32" t="str">
        <f t="shared" si="313"/>
        <v/>
      </c>
      <c r="V1153" s="32" t="str">
        <f t="shared" si="314"/>
        <v/>
      </c>
      <c r="W1153" s="41">
        <f t="shared" si="311"/>
        <v>3.0211912501289548</v>
      </c>
      <c r="X1153" s="6">
        <f t="shared" si="312"/>
        <v>0</v>
      </c>
      <c r="Y1153" s="7">
        <f t="shared" si="315"/>
        <v>567</v>
      </c>
      <c r="AA1153" s="7">
        <f t="shared" si="316"/>
        <v>0</v>
      </c>
      <c r="AB1153" s="7" t="str">
        <f t="shared" si="317"/>
        <v/>
      </c>
      <c r="AC1153" s="7">
        <f t="shared" si="318"/>
        <v>0</v>
      </c>
      <c r="AD1153" s="7" t="str">
        <f t="shared" si="319"/>
        <v/>
      </c>
      <c r="AE1153" s="6">
        <f t="shared" si="320"/>
        <v>0</v>
      </c>
      <c r="AF1153" s="69">
        <f t="shared" si="321"/>
        <v>3.0211912501289548</v>
      </c>
      <c r="AG1153" s="6">
        <f t="shared" si="322"/>
        <v>265.86483001134803</v>
      </c>
      <c r="AH1153" s="6">
        <f t="shared" si="323"/>
        <v>40</v>
      </c>
    </row>
    <row r="1154" spans="8:34" x14ac:dyDescent="0.25">
      <c r="H1154" s="7">
        <v>1161</v>
      </c>
      <c r="I1154" s="7" t="s">
        <v>7</v>
      </c>
      <c r="J1154" s="8">
        <v>38562</v>
      </c>
      <c r="K1154" s="12" t="s">
        <v>17</v>
      </c>
      <c r="L1154" s="9">
        <v>16</v>
      </c>
      <c r="M1154" s="10">
        <v>49.990501805612737</v>
      </c>
      <c r="N1154" s="7" t="s">
        <v>23</v>
      </c>
      <c r="P1154" s="29" t="str">
        <f t="shared" si="306"/>
        <v/>
      </c>
      <c r="Q1154" s="29" t="str">
        <f t="shared" si="307"/>
        <v/>
      </c>
      <c r="R1154" s="29" t="str">
        <f t="shared" si="308"/>
        <v/>
      </c>
      <c r="S1154" s="29" t="str">
        <f t="shared" si="309"/>
        <v/>
      </c>
      <c r="T1154" s="32" t="str">
        <f t="shared" si="310"/>
        <v/>
      </c>
      <c r="U1154" s="32">
        <f t="shared" si="313"/>
        <v>1</v>
      </c>
      <c r="V1154" s="32" t="str">
        <f t="shared" si="314"/>
        <v/>
      </c>
      <c r="W1154" s="41">
        <f t="shared" si="311"/>
        <v>3.1244063628507961</v>
      </c>
      <c r="X1154" s="6">
        <f t="shared" si="312"/>
        <v>49.990501805612737</v>
      </c>
      <c r="Y1154" s="7">
        <f t="shared" si="315"/>
        <v>459</v>
      </c>
      <c r="AA1154" s="7">
        <f t="shared" si="316"/>
        <v>1</v>
      </c>
      <c r="AB1154" s="7">
        <f t="shared" si="317"/>
        <v>16</v>
      </c>
      <c r="AC1154" s="7">
        <f t="shared" si="318"/>
        <v>0</v>
      </c>
      <c r="AD1154" s="7" t="str">
        <f t="shared" si="319"/>
        <v/>
      </c>
      <c r="AE1154" s="6">
        <f t="shared" si="320"/>
        <v>0</v>
      </c>
      <c r="AF1154" s="69">
        <f t="shared" si="321"/>
        <v>3.1244063628507961</v>
      </c>
      <c r="AG1154" s="6">
        <f t="shared" si="322"/>
        <v>0</v>
      </c>
      <c r="AH1154" s="6">
        <f t="shared" si="323"/>
        <v>604</v>
      </c>
    </row>
    <row r="1155" spans="8:34" x14ac:dyDescent="0.25">
      <c r="H1155" s="7">
        <v>1162</v>
      </c>
      <c r="I1155" s="7" t="s">
        <v>15</v>
      </c>
      <c r="J1155" s="8">
        <v>38518</v>
      </c>
      <c r="K1155" s="12" t="s">
        <v>18</v>
      </c>
      <c r="L1155" s="9">
        <v>7</v>
      </c>
      <c r="M1155" s="10">
        <v>23.192150694784473</v>
      </c>
      <c r="N1155" s="7" t="s">
        <v>24</v>
      </c>
      <c r="P1155" s="29" t="str">
        <f t="shared" ref="P1155:P1218" si="324">IF(AND((MONTH(J1155))&lt;4,YEAR(J1155)=2004),1,"")</f>
        <v/>
      </c>
      <c r="Q1155" s="29" t="str">
        <f t="shared" ref="Q1155:Q1218" si="325">IF(AND(3&lt;(MONTH(J1155)),(MONTH(J1155)&lt;7),YEAR(J1155)=2004),1,"")</f>
        <v/>
      </c>
      <c r="R1155" s="29" t="str">
        <f t="shared" ref="R1155:R1218" si="326">IF(AND(6&lt;(MONTH(J1155)),(MONTH(J1155)&lt;10),YEAR(J1155)=2004),1,"")</f>
        <v/>
      </c>
      <c r="S1155" s="29" t="str">
        <f t="shared" ref="S1155:S1218" si="327">IF(AND(9&lt;(MONTH(J1155)),(MONTH(J1155)&lt;13),YEAR(J1155)=2004),1,"")</f>
        <v/>
      </c>
      <c r="T1155" s="32" t="str">
        <f t="shared" ref="T1155:T1218" si="328">IF(AND((9&lt;MONTH(J1155)),YEAR(J1155)=2005),1,"")</f>
        <v/>
      </c>
      <c r="U1155" s="32">
        <f t="shared" si="313"/>
        <v>1</v>
      </c>
      <c r="V1155" s="32" t="str">
        <f t="shared" si="314"/>
        <v/>
      </c>
      <c r="W1155" s="41">
        <f t="shared" ref="W1155:W1218" si="329">IF(L1155&gt;0,M1155/L1155,"")</f>
        <v>3.3131643849692103</v>
      </c>
      <c r="X1155" s="6">
        <f t="shared" ref="X1155:X1218" si="330">IF(U1155=1,M1155,0)</f>
        <v>23.192150694784473</v>
      </c>
      <c r="Y1155" s="7">
        <f t="shared" si="315"/>
        <v>517</v>
      </c>
      <c r="AA1155" s="7">
        <f t="shared" si="316"/>
        <v>0</v>
      </c>
      <c r="AB1155" s="7" t="str">
        <f t="shared" si="317"/>
        <v/>
      </c>
      <c r="AC1155" s="7">
        <f t="shared" si="318"/>
        <v>1</v>
      </c>
      <c r="AD1155" s="7">
        <f t="shared" si="319"/>
        <v>7</v>
      </c>
      <c r="AE1155" s="6">
        <f t="shared" si="320"/>
        <v>0</v>
      </c>
      <c r="AF1155" s="69">
        <f t="shared" si="321"/>
        <v>3.3131643849692103</v>
      </c>
      <c r="AG1155" s="6">
        <f t="shared" si="322"/>
        <v>0</v>
      </c>
      <c r="AH1155" s="6">
        <f t="shared" si="323"/>
        <v>604</v>
      </c>
    </row>
    <row r="1156" spans="8:34" x14ac:dyDescent="0.25">
      <c r="H1156" s="7">
        <v>1163</v>
      </c>
      <c r="I1156" s="7" t="s">
        <v>13</v>
      </c>
      <c r="J1156" s="8">
        <v>38254</v>
      </c>
      <c r="K1156" s="12" t="s">
        <v>20</v>
      </c>
      <c r="L1156" s="9">
        <v>46</v>
      </c>
      <c r="M1156" s="10">
        <v>140.4791075192903</v>
      </c>
      <c r="N1156" s="7" t="s">
        <v>21</v>
      </c>
      <c r="P1156" s="29" t="str">
        <f t="shared" si="324"/>
        <v/>
      </c>
      <c r="Q1156" s="29" t="str">
        <f t="shared" si="325"/>
        <v/>
      </c>
      <c r="R1156" s="29">
        <f t="shared" si="326"/>
        <v>1</v>
      </c>
      <c r="S1156" s="29" t="str">
        <f t="shared" si="327"/>
        <v/>
      </c>
      <c r="T1156" s="32" t="str">
        <f t="shared" si="328"/>
        <v/>
      </c>
      <c r="U1156" s="32" t="str">
        <f t="shared" ref="U1156:U1219" si="331">IF(YEAR(J1156)=2005,1,"")</f>
        <v/>
      </c>
      <c r="V1156" s="32" t="str">
        <f t="shared" ref="V1156:V1219" si="332">IF(YEAR(J1156)=2006,1,"")</f>
        <v/>
      </c>
      <c r="W1156" s="41">
        <f t="shared" si="329"/>
        <v>3.0538936417237021</v>
      </c>
      <c r="X1156" s="6">
        <f t="shared" si="330"/>
        <v>0</v>
      </c>
      <c r="Y1156" s="7">
        <f t="shared" ref="Y1156:Y1219" si="333">RANK(X1156,$X$3:$X$1893)</f>
        <v>567</v>
      </c>
      <c r="AA1156" s="7">
        <f t="shared" ref="AA1156:AA1219" si="334">IF(AND(OR((MONTH(J1156))=1,(MONTH(J1156))=2,(MONTH(J1156))=3,(MONTH(J1156))=7,(MONTH(J1156))=8,(MONTH(J1156))=9),YEAR(J1156)=2005),1,0)</f>
        <v>0</v>
      </c>
      <c r="AB1156" s="7" t="str">
        <f t="shared" ref="AB1156:AB1219" si="335">IF(AA1156=1,L1156,"")</f>
        <v/>
      </c>
      <c r="AC1156" s="7">
        <f t="shared" ref="AC1156:AC1219" si="336">IF(AND(OR((MONTH(J1156))=4,(MONTH(J1156))=5,(MONTH(J1156))=6,(MONTH(J1156))=10,(MONTH(J1156))=11,(MONTH(J1156))=12),YEAR(J1156)=2005),1,0)</f>
        <v>0</v>
      </c>
      <c r="AD1156" s="7" t="str">
        <f t="shared" ref="AD1156:AD1219" si="337">IF(AC1156=1,L1156,"")</f>
        <v/>
      </c>
      <c r="AE1156" s="6">
        <f t="shared" ref="AE1156:AE1219" si="338">IF(L1156&lt;0,L1156,0)</f>
        <v>0</v>
      </c>
      <c r="AF1156" s="69">
        <f t="shared" ref="AF1156:AF1219" si="339">IF(L1156&gt;0,W1156,"")</f>
        <v>3.0538936417237021</v>
      </c>
      <c r="AG1156" s="6">
        <f t="shared" ref="AG1156:AG1219" si="340">IF(AND((M1156&gt;0),(YEAR(J1156)=2004)),M1156,0)</f>
        <v>140.4791075192903</v>
      </c>
      <c r="AH1156" s="6">
        <f t="shared" ref="AH1156:AH1219" si="341">RANK(AG1156,$AG$3:$AG$1893)</f>
        <v>295</v>
      </c>
    </row>
    <row r="1157" spans="8:34" x14ac:dyDescent="0.25">
      <c r="H1157" s="7">
        <v>1164</v>
      </c>
      <c r="I1157" s="7" t="s">
        <v>9</v>
      </c>
      <c r="J1157" s="8">
        <v>38320</v>
      </c>
      <c r="K1157" s="12" t="s">
        <v>18</v>
      </c>
      <c r="L1157" s="9">
        <v>-10</v>
      </c>
      <c r="M1157" s="10">
        <v>-27.584277375696701</v>
      </c>
      <c r="N1157" s="7" t="s">
        <v>22</v>
      </c>
      <c r="P1157" s="29" t="str">
        <f t="shared" si="324"/>
        <v/>
      </c>
      <c r="Q1157" s="29" t="str">
        <f t="shared" si="325"/>
        <v/>
      </c>
      <c r="R1157" s="29" t="str">
        <f t="shared" si="326"/>
        <v/>
      </c>
      <c r="S1157" s="29">
        <f t="shared" si="327"/>
        <v>1</v>
      </c>
      <c r="T1157" s="32" t="str">
        <f t="shared" si="328"/>
        <v/>
      </c>
      <c r="U1157" s="32" t="str">
        <f t="shared" si="331"/>
        <v/>
      </c>
      <c r="V1157" s="32" t="str">
        <f t="shared" si="332"/>
        <v/>
      </c>
      <c r="W1157" s="41" t="str">
        <f t="shared" si="329"/>
        <v/>
      </c>
      <c r="X1157" s="6">
        <f t="shared" si="330"/>
        <v>0</v>
      </c>
      <c r="Y1157" s="7">
        <f t="shared" si="333"/>
        <v>567</v>
      </c>
      <c r="AA1157" s="7">
        <f t="shared" si="334"/>
        <v>0</v>
      </c>
      <c r="AB1157" s="7" t="str">
        <f t="shared" si="335"/>
        <v/>
      </c>
      <c r="AC1157" s="7">
        <f t="shared" si="336"/>
        <v>0</v>
      </c>
      <c r="AD1157" s="7" t="str">
        <f t="shared" si="337"/>
        <v/>
      </c>
      <c r="AE1157" s="6">
        <f t="shared" si="338"/>
        <v>-10</v>
      </c>
      <c r="AF1157" s="69" t="str">
        <f t="shared" si="339"/>
        <v/>
      </c>
      <c r="AG1157" s="6">
        <f t="shared" si="340"/>
        <v>0</v>
      </c>
      <c r="AH1157" s="6">
        <f t="shared" si="341"/>
        <v>604</v>
      </c>
    </row>
    <row r="1158" spans="8:34" x14ac:dyDescent="0.25">
      <c r="H1158" s="7">
        <v>1165</v>
      </c>
      <c r="I1158" s="7" t="s">
        <v>8</v>
      </c>
      <c r="J1158" s="8">
        <v>38892</v>
      </c>
      <c r="K1158" s="12" t="s">
        <v>17</v>
      </c>
      <c r="L1158" s="9">
        <v>83</v>
      </c>
      <c r="M1158" s="10">
        <v>251.13323611062162</v>
      </c>
      <c r="N1158" s="7" t="s">
        <v>23</v>
      </c>
      <c r="P1158" s="29" t="str">
        <f t="shared" si="324"/>
        <v/>
      </c>
      <c r="Q1158" s="29" t="str">
        <f t="shared" si="325"/>
        <v/>
      </c>
      <c r="R1158" s="29" t="str">
        <f t="shared" si="326"/>
        <v/>
      </c>
      <c r="S1158" s="29" t="str">
        <f t="shared" si="327"/>
        <v/>
      </c>
      <c r="T1158" s="32" t="str">
        <f t="shared" si="328"/>
        <v/>
      </c>
      <c r="U1158" s="32" t="str">
        <f t="shared" si="331"/>
        <v/>
      </c>
      <c r="V1158" s="32">
        <f t="shared" si="332"/>
        <v>1</v>
      </c>
      <c r="W1158" s="41">
        <f t="shared" si="329"/>
        <v>3.0257016398870076</v>
      </c>
      <c r="X1158" s="6">
        <f t="shared" si="330"/>
        <v>0</v>
      </c>
      <c r="Y1158" s="7">
        <f t="shared" si="333"/>
        <v>567</v>
      </c>
      <c r="AA1158" s="7">
        <f t="shared" si="334"/>
        <v>0</v>
      </c>
      <c r="AB1158" s="7" t="str">
        <f t="shared" si="335"/>
        <v/>
      </c>
      <c r="AC1158" s="7">
        <f t="shared" si="336"/>
        <v>0</v>
      </c>
      <c r="AD1158" s="7" t="str">
        <f t="shared" si="337"/>
        <v/>
      </c>
      <c r="AE1158" s="6">
        <f t="shared" si="338"/>
        <v>0</v>
      </c>
      <c r="AF1158" s="69">
        <f t="shared" si="339"/>
        <v>3.0257016398870076</v>
      </c>
      <c r="AG1158" s="6">
        <f t="shared" si="340"/>
        <v>0</v>
      </c>
      <c r="AH1158" s="6">
        <f t="shared" si="341"/>
        <v>604</v>
      </c>
    </row>
    <row r="1159" spans="8:34" x14ac:dyDescent="0.25">
      <c r="H1159" s="7">
        <v>1166</v>
      </c>
      <c r="I1159" s="7" t="s">
        <v>14</v>
      </c>
      <c r="J1159" s="8">
        <v>38793</v>
      </c>
      <c r="K1159" s="12" t="s">
        <v>17</v>
      </c>
      <c r="L1159" s="9">
        <v>85</v>
      </c>
      <c r="M1159" s="10">
        <v>256.22552874700915</v>
      </c>
      <c r="N1159" s="7" t="s">
        <v>21</v>
      </c>
      <c r="P1159" s="29" t="str">
        <f t="shared" si="324"/>
        <v/>
      </c>
      <c r="Q1159" s="29" t="str">
        <f t="shared" si="325"/>
        <v/>
      </c>
      <c r="R1159" s="29" t="str">
        <f t="shared" si="326"/>
        <v/>
      </c>
      <c r="S1159" s="29" t="str">
        <f t="shared" si="327"/>
        <v/>
      </c>
      <c r="T1159" s="32" t="str">
        <f t="shared" si="328"/>
        <v/>
      </c>
      <c r="U1159" s="32" t="str">
        <f t="shared" si="331"/>
        <v/>
      </c>
      <c r="V1159" s="32">
        <f t="shared" si="332"/>
        <v>1</v>
      </c>
      <c r="W1159" s="41">
        <f t="shared" si="329"/>
        <v>3.0144179852589312</v>
      </c>
      <c r="X1159" s="6">
        <f t="shared" si="330"/>
        <v>0</v>
      </c>
      <c r="Y1159" s="7">
        <f t="shared" si="333"/>
        <v>567</v>
      </c>
      <c r="AA1159" s="7">
        <f t="shared" si="334"/>
        <v>0</v>
      </c>
      <c r="AB1159" s="7" t="str">
        <f t="shared" si="335"/>
        <v/>
      </c>
      <c r="AC1159" s="7">
        <f t="shared" si="336"/>
        <v>0</v>
      </c>
      <c r="AD1159" s="7" t="str">
        <f t="shared" si="337"/>
        <v/>
      </c>
      <c r="AE1159" s="6">
        <f t="shared" si="338"/>
        <v>0</v>
      </c>
      <c r="AF1159" s="69">
        <f t="shared" si="339"/>
        <v>3.0144179852589312</v>
      </c>
      <c r="AG1159" s="6">
        <f t="shared" si="340"/>
        <v>0</v>
      </c>
      <c r="AH1159" s="6">
        <f t="shared" si="341"/>
        <v>604</v>
      </c>
    </row>
    <row r="1160" spans="8:34" x14ac:dyDescent="0.25">
      <c r="H1160" s="7">
        <v>1167</v>
      </c>
      <c r="I1160" s="7" t="s">
        <v>10</v>
      </c>
      <c r="J1160" s="8">
        <v>38606</v>
      </c>
      <c r="K1160" s="12" t="s">
        <v>16</v>
      </c>
      <c r="L1160" s="9">
        <v>18</v>
      </c>
      <c r="M1160" s="10">
        <v>56.221796879126835</v>
      </c>
      <c r="N1160" s="7" t="s">
        <v>22</v>
      </c>
      <c r="P1160" s="29" t="str">
        <f t="shared" si="324"/>
        <v/>
      </c>
      <c r="Q1160" s="29" t="str">
        <f t="shared" si="325"/>
        <v/>
      </c>
      <c r="R1160" s="29" t="str">
        <f t="shared" si="326"/>
        <v/>
      </c>
      <c r="S1160" s="29" t="str">
        <f t="shared" si="327"/>
        <v/>
      </c>
      <c r="T1160" s="32" t="str">
        <f t="shared" si="328"/>
        <v/>
      </c>
      <c r="U1160" s="32">
        <f t="shared" si="331"/>
        <v>1</v>
      </c>
      <c r="V1160" s="32" t="str">
        <f t="shared" si="332"/>
        <v/>
      </c>
      <c r="W1160" s="41">
        <f t="shared" si="329"/>
        <v>3.1234331599514906</v>
      </c>
      <c r="X1160" s="6">
        <f t="shared" si="330"/>
        <v>56.221796879126835</v>
      </c>
      <c r="Y1160" s="7">
        <f t="shared" si="333"/>
        <v>450</v>
      </c>
      <c r="AA1160" s="7">
        <f t="shared" si="334"/>
        <v>1</v>
      </c>
      <c r="AB1160" s="7">
        <f t="shared" si="335"/>
        <v>18</v>
      </c>
      <c r="AC1160" s="7">
        <f t="shared" si="336"/>
        <v>0</v>
      </c>
      <c r="AD1160" s="7" t="str">
        <f t="shared" si="337"/>
        <v/>
      </c>
      <c r="AE1160" s="6">
        <f t="shared" si="338"/>
        <v>0</v>
      </c>
      <c r="AF1160" s="69">
        <f t="shared" si="339"/>
        <v>3.1234331599514906</v>
      </c>
      <c r="AG1160" s="6">
        <f t="shared" si="340"/>
        <v>0</v>
      </c>
      <c r="AH1160" s="6">
        <f t="shared" si="341"/>
        <v>604</v>
      </c>
    </row>
    <row r="1161" spans="8:34" x14ac:dyDescent="0.25">
      <c r="H1161" s="7">
        <v>1168</v>
      </c>
      <c r="I1161" s="7" t="s">
        <v>12</v>
      </c>
      <c r="J1161" s="8">
        <v>38254</v>
      </c>
      <c r="K1161" s="12" t="s">
        <v>19</v>
      </c>
      <c r="L1161" s="9">
        <v>83</v>
      </c>
      <c r="M1161" s="10">
        <v>251.40375169999851</v>
      </c>
      <c r="N1161" s="7" t="s">
        <v>22</v>
      </c>
      <c r="P1161" s="29" t="str">
        <f t="shared" si="324"/>
        <v/>
      </c>
      <c r="Q1161" s="29" t="str">
        <f t="shared" si="325"/>
        <v/>
      </c>
      <c r="R1161" s="29">
        <f t="shared" si="326"/>
        <v>1</v>
      </c>
      <c r="S1161" s="29" t="str">
        <f t="shared" si="327"/>
        <v/>
      </c>
      <c r="T1161" s="32" t="str">
        <f t="shared" si="328"/>
        <v/>
      </c>
      <c r="U1161" s="32" t="str">
        <f t="shared" si="331"/>
        <v/>
      </c>
      <c r="V1161" s="32" t="str">
        <f t="shared" si="332"/>
        <v/>
      </c>
      <c r="W1161" s="41">
        <f t="shared" si="329"/>
        <v>3.0289608638554038</v>
      </c>
      <c r="X1161" s="6">
        <f t="shared" si="330"/>
        <v>0</v>
      </c>
      <c r="Y1161" s="7">
        <f t="shared" si="333"/>
        <v>567</v>
      </c>
      <c r="AA1161" s="7">
        <f t="shared" si="334"/>
        <v>0</v>
      </c>
      <c r="AB1161" s="7" t="str">
        <f t="shared" si="335"/>
        <v/>
      </c>
      <c r="AC1161" s="7">
        <f t="shared" si="336"/>
        <v>0</v>
      </c>
      <c r="AD1161" s="7" t="str">
        <f t="shared" si="337"/>
        <v/>
      </c>
      <c r="AE1161" s="6">
        <f t="shared" si="338"/>
        <v>0</v>
      </c>
      <c r="AF1161" s="69">
        <f t="shared" si="339"/>
        <v>3.0289608638554038</v>
      </c>
      <c r="AG1161" s="6">
        <f t="shared" si="340"/>
        <v>251.40375169999851</v>
      </c>
      <c r="AH1161" s="6">
        <f t="shared" si="341"/>
        <v>64</v>
      </c>
    </row>
    <row r="1162" spans="8:34" x14ac:dyDescent="0.25">
      <c r="H1162" s="7">
        <v>1169</v>
      </c>
      <c r="I1162" s="7" t="s">
        <v>15</v>
      </c>
      <c r="J1162" s="8">
        <v>39046</v>
      </c>
      <c r="K1162" s="12" t="s">
        <v>17</v>
      </c>
      <c r="L1162" s="9">
        <v>71</v>
      </c>
      <c r="M1162" s="10">
        <v>214.72037779298833</v>
      </c>
      <c r="N1162" s="7" t="s">
        <v>21</v>
      </c>
      <c r="P1162" s="29" t="str">
        <f t="shared" si="324"/>
        <v/>
      </c>
      <c r="Q1162" s="29" t="str">
        <f t="shared" si="325"/>
        <v/>
      </c>
      <c r="R1162" s="29" t="str">
        <f t="shared" si="326"/>
        <v/>
      </c>
      <c r="S1162" s="29" t="str">
        <f t="shared" si="327"/>
        <v/>
      </c>
      <c r="T1162" s="32" t="str">
        <f t="shared" si="328"/>
        <v/>
      </c>
      <c r="U1162" s="32" t="str">
        <f t="shared" si="331"/>
        <v/>
      </c>
      <c r="V1162" s="32">
        <f t="shared" si="332"/>
        <v>1</v>
      </c>
      <c r="W1162" s="41">
        <f t="shared" si="329"/>
        <v>3.0242306731406807</v>
      </c>
      <c r="X1162" s="6">
        <f t="shared" si="330"/>
        <v>0</v>
      </c>
      <c r="Y1162" s="7">
        <f t="shared" si="333"/>
        <v>567</v>
      </c>
      <c r="AA1162" s="7">
        <f t="shared" si="334"/>
        <v>0</v>
      </c>
      <c r="AB1162" s="7" t="str">
        <f t="shared" si="335"/>
        <v/>
      </c>
      <c r="AC1162" s="7">
        <f t="shared" si="336"/>
        <v>0</v>
      </c>
      <c r="AD1162" s="7" t="str">
        <f t="shared" si="337"/>
        <v/>
      </c>
      <c r="AE1162" s="6">
        <f t="shared" si="338"/>
        <v>0</v>
      </c>
      <c r="AF1162" s="69">
        <f t="shared" si="339"/>
        <v>3.0242306731406807</v>
      </c>
      <c r="AG1162" s="6">
        <f t="shared" si="340"/>
        <v>0</v>
      </c>
      <c r="AH1162" s="6">
        <f t="shared" si="341"/>
        <v>604</v>
      </c>
    </row>
    <row r="1163" spans="8:34" x14ac:dyDescent="0.25">
      <c r="H1163" s="7">
        <v>1170</v>
      </c>
      <c r="I1163" s="7" t="s">
        <v>13</v>
      </c>
      <c r="J1163" s="8">
        <v>38232</v>
      </c>
      <c r="K1163" s="12" t="s">
        <v>16</v>
      </c>
      <c r="L1163" s="9">
        <v>2</v>
      </c>
      <c r="M1163" s="10">
        <v>7.9324854406454115</v>
      </c>
      <c r="N1163" s="7" t="s">
        <v>24</v>
      </c>
      <c r="P1163" s="29" t="str">
        <f t="shared" si="324"/>
        <v/>
      </c>
      <c r="Q1163" s="29" t="str">
        <f t="shared" si="325"/>
        <v/>
      </c>
      <c r="R1163" s="29">
        <f t="shared" si="326"/>
        <v>1</v>
      </c>
      <c r="S1163" s="29" t="str">
        <f t="shared" si="327"/>
        <v/>
      </c>
      <c r="T1163" s="32" t="str">
        <f t="shared" si="328"/>
        <v/>
      </c>
      <c r="U1163" s="32" t="str">
        <f t="shared" si="331"/>
        <v/>
      </c>
      <c r="V1163" s="32" t="str">
        <f t="shared" si="332"/>
        <v/>
      </c>
      <c r="W1163" s="41">
        <f t="shared" si="329"/>
        <v>3.9662427203227058</v>
      </c>
      <c r="X1163" s="6">
        <f t="shared" si="330"/>
        <v>0</v>
      </c>
      <c r="Y1163" s="7">
        <f t="shared" si="333"/>
        <v>567</v>
      </c>
      <c r="AA1163" s="7">
        <f t="shared" si="334"/>
        <v>0</v>
      </c>
      <c r="AB1163" s="7" t="str">
        <f t="shared" si="335"/>
        <v/>
      </c>
      <c r="AC1163" s="7">
        <f t="shared" si="336"/>
        <v>0</v>
      </c>
      <c r="AD1163" s="7" t="str">
        <f t="shared" si="337"/>
        <v/>
      </c>
      <c r="AE1163" s="6">
        <f t="shared" si="338"/>
        <v>0</v>
      </c>
      <c r="AF1163" s="69">
        <f t="shared" si="339"/>
        <v>3.9662427203227058</v>
      </c>
      <c r="AG1163" s="6">
        <f t="shared" si="340"/>
        <v>7.9324854406454115</v>
      </c>
      <c r="AH1163" s="6">
        <f t="shared" si="341"/>
        <v>589</v>
      </c>
    </row>
    <row r="1164" spans="8:34" x14ac:dyDescent="0.25">
      <c r="H1164" s="7">
        <v>1171</v>
      </c>
      <c r="I1164" s="7" t="s">
        <v>7</v>
      </c>
      <c r="J1164" s="8">
        <v>39035</v>
      </c>
      <c r="K1164" s="12" t="s">
        <v>18</v>
      </c>
      <c r="L1164" s="9">
        <v>71</v>
      </c>
      <c r="M1164" s="10">
        <v>215.03086098171244</v>
      </c>
      <c r="N1164" s="7" t="s">
        <v>23</v>
      </c>
      <c r="P1164" s="29" t="str">
        <f t="shared" si="324"/>
        <v/>
      </c>
      <c r="Q1164" s="29" t="str">
        <f t="shared" si="325"/>
        <v/>
      </c>
      <c r="R1164" s="29" t="str">
        <f t="shared" si="326"/>
        <v/>
      </c>
      <c r="S1164" s="29" t="str">
        <f t="shared" si="327"/>
        <v/>
      </c>
      <c r="T1164" s="32" t="str">
        <f t="shared" si="328"/>
        <v/>
      </c>
      <c r="U1164" s="32" t="str">
        <f t="shared" si="331"/>
        <v/>
      </c>
      <c r="V1164" s="32">
        <f t="shared" si="332"/>
        <v>1</v>
      </c>
      <c r="W1164" s="41">
        <f t="shared" si="329"/>
        <v>3.0286036757987667</v>
      </c>
      <c r="X1164" s="6">
        <f t="shared" si="330"/>
        <v>0</v>
      </c>
      <c r="Y1164" s="7">
        <f t="shared" si="333"/>
        <v>567</v>
      </c>
      <c r="AA1164" s="7">
        <f t="shared" si="334"/>
        <v>0</v>
      </c>
      <c r="AB1164" s="7" t="str">
        <f t="shared" si="335"/>
        <v/>
      </c>
      <c r="AC1164" s="7">
        <f t="shared" si="336"/>
        <v>0</v>
      </c>
      <c r="AD1164" s="7" t="str">
        <f t="shared" si="337"/>
        <v/>
      </c>
      <c r="AE1164" s="6">
        <f t="shared" si="338"/>
        <v>0</v>
      </c>
      <c r="AF1164" s="69">
        <f t="shared" si="339"/>
        <v>3.0286036757987667</v>
      </c>
      <c r="AG1164" s="6">
        <f t="shared" si="340"/>
        <v>0</v>
      </c>
      <c r="AH1164" s="6">
        <f t="shared" si="341"/>
        <v>604</v>
      </c>
    </row>
    <row r="1165" spans="8:34" x14ac:dyDescent="0.25">
      <c r="H1165" s="7">
        <v>1172</v>
      </c>
      <c r="I1165" s="7" t="s">
        <v>10</v>
      </c>
      <c r="J1165" s="8">
        <v>38617</v>
      </c>
      <c r="K1165" s="12" t="s">
        <v>19</v>
      </c>
      <c r="L1165" s="9">
        <v>68</v>
      </c>
      <c r="M1165" s="10">
        <v>206.20589088795145</v>
      </c>
      <c r="N1165" s="7" t="s">
        <v>21</v>
      </c>
      <c r="P1165" s="29" t="str">
        <f t="shared" si="324"/>
        <v/>
      </c>
      <c r="Q1165" s="29" t="str">
        <f t="shared" si="325"/>
        <v/>
      </c>
      <c r="R1165" s="29" t="str">
        <f t="shared" si="326"/>
        <v/>
      </c>
      <c r="S1165" s="29" t="str">
        <f t="shared" si="327"/>
        <v/>
      </c>
      <c r="T1165" s="32" t="str">
        <f t="shared" si="328"/>
        <v/>
      </c>
      <c r="U1165" s="32">
        <f t="shared" si="331"/>
        <v>1</v>
      </c>
      <c r="V1165" s="32" t="str">
        <f t="shared" si="332"/>
        <v/>
      </c>
      <c r="W1165" s="41">
        <f t="shared" si="329"/>
        <v>3.032439571881639</v>
      </c>
      <c r="X1165" s="6">
        <f t="shared" si="330"/>
        <v>206.20589088795145</v>
      </c>
      <c r="Y1165" s="7">
        <f t="shared" si="333"/>
        <v>167</v>
      </c>
      <c r="AA1165" s="7">
        <f t="shared" si="334"/>
        <v>1</v>
      </c>
      <c r="AB1165" s="7">
        <f t="shared" si="335"/>
        <v>68</v>
      </c>
      <c r="AC1165" s="7">
        <f t="shared" si="336"/>
        <v>0</v>
      </c>
      <c r="AD1165" s="7" t="str">
        <f t="shared" si="337"/>
        <v/>
      </c>
      <c r="AE1165" s="6">
        <f t="shared" si="338"/>
        <v>0</v>
      </c>
      <c r="AF1165" s="69">
        <f t="shared" si="339"/>
        <v>3.032439571881639</v>
      </c>
      <c r="AG1165" s="6">
        <f t="shared" si="340"/>
        <v>0</v>
      </c>
      <c r="AH1165" s="6">
        <f t="shared" si="341"/>
        <v>604</v>
      </c>
    </row>
    <row r="1166" spans="8:34" x14ac:dyDescent="0.25">
      <c r="H1166" s="7">
        <v>1173</v>
      </c>
      <c r="I1166" s="7" t="s">
        <v>13</v>
      </c>
      <c r="J1166" s="8">
        <v>38298</v>
      </c>
      <c r="K1166" s="12" t="s">
        <v>16</v>
      </c>
      <c r="L1166" s="9">
        <v>30</v>
      </c>
      <c r="M1166" s="10">
        <v>92.33205932019861</v>
      </c>
      <c r="N1166" s="7" t="s">
        <v>24</v>
      </c>
      <c r="P1166" s="29" t="str">
        <f t="shared" si="324"/>
        <v/>
      </c>
      <c r="Q1166" s="29" t="str">
        <f t="shared" si="325"/>
        <v/>
      </c>
      <c r="R1166" s="29" t="str">
        <f t="shared" si="326"/>
        <v/>
      </c>
      <c r="S1166" s="29">
        <f t="shared" si="327"/>
        <v>1</v>
      </c>
      <c r="T1166" s="32" t="str">
        <f t="shared" si="328"/>
        <v/>
      </c>
      <c r="U1166" s="32" t="str">
        <f t="shared" si="331"/>
        <v/>
      </c>
      <c r="V1166" s="32" t="str">
        <f t="shared" si="332"/>
        <v/>
      </c>
      <c r="W1166" s="41">
        <f t="shared" si="329"/>
        <v>3.0777353106732872</v>
      </c>
      <c r="X1166" s="6">
        <f t="shared" si="330"/>
        <v>0</v>
      </c>
      <c r="Y1166" s="7">
        <f t="shared" si="333"/>
        <v>567</v>
      </c>
      <c r="AA1166" s="7">
        <f t="shared" si="334"/>
        <v>0</v>
      </c>
      <c r="AB1166" s="7" t="str">
        <f t="shared" si="335"/>
        <v/>
      </c>
      <c r="AC1166" s="7">
        <f t="shared" si="336"/>
        <v>0</v>
      </c>
      <c r="AD1166" s="7" t="str">
        <f t="shared" si="337"/>
        <v/>
      </c>
      <c r="AE1166" s="6">
        <f t="shared" si="338"/>
        <v>0</v>
      </c>
      <c r="AF1166" s="69">
        <f t="shared" si="339"/>
        <v>3.0777353106732872</v>
      </c>
      <c r="AG1166" s="6">
        <f t="shared" si="340"/>
        <v>92.33205932019861</v>
      </c>
      <c r="AH1166" s="6">
        <f t="shared" si="341"/>
        <v>391</v>
      </c>
    </row>
    <row r="1167" spans="8:34" x14ac:dyDescent="0.25">
      <c r="H1167" s="7">
        <v>1174</v>
      </c>
      <c r="I1167" s="7" t="s">
        <v>8</v>
      </c>
      <c r="J1167" s="8">
        <v>38749</v>
      </c>
      <c r="K1167" s="12" t="s">
        <v>19</v>
      </c>
      <c r="L1167" s="9">
        <v>72</v>
      </c>
      <c r="M1167" s="10">
        <v>217.8071938981364</v>
      </c>
      <c r="N1167" s="7" t="s">
        <v>23</v>
      </c>
      <c r="P1167" s="29" t="str">
        <f t="shared" si="324"/>
        <v/>
      </c>
      <c r="Q1167" s="29" t="str">
        <f t="shared" si="325"/>
        <v/>
      </c>
      <c r="R1167" s="29" t="str">
        <f t="shared" si="326"/>
        <v/>
      </c>
      <c r="S1167" s="29" t="str">
        <f t="shared" si="327"/>
        <v/>
      </c>
      <c r="T1167" s="32" t="str">
        <f t="shared" si="328"/>
        <v/>
      </c>
      <c r="U1167" s="32" t="str">
        <f t="shared" si="331"/>
        <v/>
      </c>
      <c r="V1167" s="32">
        <f t="shared" si="332"/>
        <v>1</v>
      </c>
      <c r="W1167" s="41">
        <f t="shared" si="329"/>
        <v>3.0250999152518947</v>
      </c>
      <c r="X1167" s="6">
        <f t="shared" si="330"/>
        <v>0</v>
      </c>
      <c r="Y1167" s="7">
        <f t="shared" si="333"/>
        <v>567</v>
      </c>
      <c r="AA1167" s="7">
        <f t="shared" si="334"/>
        <v>0</v>
      </c>
      <c r="AB1167" s="7" t="str">
        <f t="shared" si="335"/>
        <v/>
      </c>
      <c r="AC1167" s="7">
        <f t="shared" si="336"/>
        <v>0</v>
      </c>
      <c r="AD1167" s="7" t="str">
        <f t="shared" si="337"/>
        <v/>
      </c>
      <c r="AE1167" s="6">
        <f t="shared" si="338"/>
        <v>0</v>
      </c>
      <c r="AF1167" s="69">
        <f t="shared" si="339"/>
        <v>3.0250999152518947</v>
      </c>
      <c r="AG1167" s="6">
        <f t="shared" si="340"/>
        <v>0</v>
      </c>
      <c r="AH1167" s="6">
        <f t="shared" si="341"/>
        <v>604</v>
      </c>
    </row>
    <row r="1168" spans="8:34" x14ac:dyDescent="0.25">
      <c r="H1168" s="7">
        <v>1175</v>
      </c>
      <c r="I1168" s="7" t="s">
        <v>14</v>
      </c>
      <c r="J1168" s="8">
        <v>38221</v>
      </c>
      <c r="K1168" s="12" t="s">
        <v>16</v>
      </c>
      <c r="L1168" s="9">
        <v>73</v>
      </c>
      <c r="M1168" s="10">
        <v>221.36652611293488</v>
      </c>
      <c r="N1168" s="7" t="s">
        <v>24</v>
      </c>
      <c r="P1168" s="29" t="str">
        <f t="shared" si="324"/>
        <v/>
      </c>
      <c r="Q1168" s="29" t="str">
        <f t="shared" si="325"/>
        <v/>
      </c>
      <c r="R1168" s="29">
        <f t="shared" si="326"/>
        <v>1</v>
      </c>
      <c r="S1168" s="29" t="str">
        <f t="shared" si="327"/>
        <v/>
      </c>
      <c r="T1168" s="32" t="str">
        <f t="shared" si="328"/>
        <v/>
      </c>
      <c r="U1168" s="32" t="str">
        <f t="shared" si="331"/>
        <v/>
      </c>
      <c r="V1168" s="32" t="str">
        <f t="shared" si="332"/>
        <v/>
      </c>
      <c r="W1168" s="41">
        <f t="shared" si="329"/>
        <v>3.0324181659306149</v>
      </c>
      <c r="X1168" s="6">
        <f t="shared" si="330"/>
        <v>0</v>
      </c>
      <c r="Y1168" s="7">
        <f t="shared" si="333"/>
        <v>567</v>
      </c>
      <c r="AA1168" s="7">
        <f t="shared" si="334"/>
        <v>0</v>
      </c>
      <c r="AB1168" s="7" t="str">
        <f t="shared" si="335"/>
        <v/>
      </c>
      <c r="AC1168" s="7">
        <f t="shared" si="336"/>
        <v>0</v>
      </c>
      <c r="AD1168" s="7" t="str">
        <f t="shared" si="337"/>
        <v/>
      </c>
      <c r="AE1168" s="6">
        <f t="shared" si="338"/>
        <v>0</v>
      </c>
      <c r="AF1168" s="69">
        <f t="shared" si="339"/>
        <v>3.0324181659306149</v>
      </c>
      <c r="AG1168" s="6">
        <f t="shared" si="340"/>
        <v>221.36652611293488</v>
      </c>
      <c r="AH1168" s="6">
        <f t="shared" si="341"/>
        <v>130</v>
      </c>
    </row>
    <row r="1169" spans="8:34" x14ac:dyDescent="0.25">
      <c r="H1169" s="7">
        <v>1176</v>
      </c>
      <c r="I1169" s="7" t="s">
        <v>7</v>
      </c>
      <c r="J1169" s="8">
        <v>38738</v>
      </c>
      <c r="K1169" s="12" t="s">
        <v>17</v>
      </c>
      <c r="L1169" s="9">
        <v>28</v>
      </c>
      <c r="M1169" s="10">
        <v>86.468421123864729</v>
      </c>
      <c r="N1169" s="7" t="s">
        <v>24</v>
      </c>
      <c r="P1169" s="29" t="str">
        <f t="shared" si="324"/>
        <v/>
      </c>
      <c r="Q1169" s="29" t="str">
        <f t="shared" si="325"/>
        <v/>
      </c>
      <c r="R1169" s="29" t="str">
        <f t="shared" si="326"/>
        <v/>
      </c>
      <c r="S1169" s="29" t="str">
        <f t="shared" si="327"/>
        <v/>
      </c>
      <c r="T1169" s="32" t="str">
        <f t="shared" si="328"/>
        <v/>
      </c>
      <c r="U1169" s="32" t="str">
        <f t="shared" si="331"/>
        <v/>
      </c>
      <c r="V1169" s="32">
        <f t="shared" si="332"/>
        <v>1</v>
      </c>
      <c r="W1169" s="41">
        <f t="shared" si="329"/>
        <v>3.0881578972808832</v>
      </c>
      <c r="X1169" s="6">
        <f t="shared" si="330"/>
        <v>0</v>
      </c>
      <c r="Y1169" s="7">
        <f t="shared" si="333"/>
        <v>567</v>
      </c>
      <c r="AA1169" s="7">
        <f t="shared" si="334"/>
        <v>0</v>
      </c>
      <c r="AB1169" s="7" t="str">
        <f t="shared" si="335"/>
        <v/>
      </c>
      <c r="AC1169" s="7">
        <f t="shared" si="336"/>
        <v>0</v>
      </c>
      <c r="AD1169" s="7" t="str">
        <f t="shared" si="337"/>
        <v/>
      </c>
      <c r="AE1169" s="6">
        <f t="shared" si="338"/>
        <v>0</v>
      </c>
      <c r="AF1169" s="69">
        <f t="shared" si="339"/>
        <v>3.0881578972808832</v>
      </c>
      <c r="AG1169" s="6">
        <f t="shared" si="340"/>
        <v>0</v>
      </c>
      <c r="AH1169" s="6">
        <f t="shared" si="341"/>
        <v>604</v>
      </c>
    </row>
    <row r="1170" spans="8:34" x14ac:dyDescent="0.25">
      <c r="H1170" s="7">
        <v>1177</v>
      </c>
      <c r="I1170" s="7" t="s">
        <v>15</v>
      </c>
      <c r="J1170" s="8">
        <v>38793</v>
      </c>
      <c r="K1170" s="12" t="s">
        <v>20</v>
      </c>
      <c r="L1170" s="9">
        <v>40</v>
      </c>
      <c r="M1170" s="10">
        <v>122.63642805944112</v>
      </c>
      <c r="N1170" s="7" t="s">
        <v>22</v>
      </c>
      <c r="P1170" s="29" t="str">
        <f t="shared" si="324"/>
        <v/>
      </c>
      <c r="Q1170" s="29" t="str">
        <f t="shared" si="325"/>
        <v/>
      </c>
      <c r="R1170" s="29" t="str">
        <f t="shared" si="326"/>
        <v/>
      </c>
      <c r="S1170" s="29" t="str">
        <f t="shared" si="327"/>
        <v/>
      </c>
      <c r="T1170" s="32" t="str">
        <f t="shared" si="328"/>
        <v/>
      </c>
      <c r="U1170" s="32" t="str">
        <f t="shared" si="331"/>
        <v/>
      </c>
      <c r="V1170" s="32">
        <f t="shared" si="332"/>
        <v>1</v>
      </c>
      <c r="W1170" s="41">
        <f t="shared" si="329"/>
        <v>3.0659107014860281</v>
      </c>
      <c r="X1170" s="6">
        <f t="shared" si="330"/>
        <v>0</v>
      </c>
      <c r="Y1170" s="7">
        <f t="shared" si="333"/>
        <v>567</v>
      </c>
      <c r="AA1170" s="7">
        <f t="shared" si="334"/>
        <v>0</v>
      </c>
      <c r="AB1170" s="7" t="str">
        <f t="shared" si="335"/>
        <v/>
      </c>
      <c r="AC1170" s="7">
        <f t="shared" si="336"/>
        <v>0</v>
      </c>
      <c r="AD1170" s="7" t="str">
        <f t="shared" si="337"/>
        <v/>
      </c>
      <c r="AE1170" s="6">
        <f t="shared" si="338"/>
        <v>0</v>
      </c>
      <c r="AF1170" s="69">
        <f t="shared" si="339"/>
        <v>3.0659107014860281</v>
      </c>
      <c r="AG1170" s="6">
        <f t="shared" si="340"/>
        <v>0</v>
      </c>
      <c r="AH1170" s="6">
        <f t="shared" si="341"/>
        <v>604</v>
      </c>
    </row>
    <row r="1171" spans="8:34" x14ac:dyDescent="0.25">
      <c r="H1171" s="7">
        <v>1178</v>
      </c>
      <c r="I1171" s="7" t="s">
        <v>13</v>
      </c>
      <c r="J1171" s="8">
        <v>39057</v>
      </c>
      <c r="K1171" s="12" t="s">
        <v>18</v>
      </c>
      <c r="L1171" s="9">
        <v>-8</v>
      </c>
      <c r="M1171" s="10">
        <v>-22.295514644563095</v>
      </c>
      <c r="N1171" s="7" t="s">
        <v>23</v>
      </c>
      <c r="P1171" s="29" t="str">
        <f t="shared" si="324"/>
        <v/>
      </c>
      <c r="Q1171" s="29" t="str">
        <f t="shared" si="325"/>
        <v/>
      </c>
      <c r="R1171" s="29" t="str">
        <f t="shared" si="326"/>
        <v/>
      </c>
      <c r="S1171" s="29" t="str">
        <f t="shared" si="327"/>
        <v/>
      </c>
      <c r="T1171" s="32" t="str">
        <f t="shared" si="328"/>
        <v/>
      </c>
      <c r="U1171" s="32" t="str">
        <f t="shared" si="331"/>
        <v/>
      </c>
      <c r="V1171" s="32">
        <f t="shared" si="332"/>
        <v>1</v>
      </c>
      <c r="W1171" s="41" t="str">
        <f t="shared" si="329"/>
        <v/>
      </c>
      <c r="X1171" s="6">
        <f t="shared" si="330"/>
        <v>0</v>
      </c>
      <c r="Y1171" s="7">
        <f t="shared" si="333"/>
        <v>567</v>
      </c>
      <c r="AA1171" s="7">
        <f t="shared" si="334"/>
        <v>0</v>
      </c>
      <c r="AB1171" s="7" t="str">
        <f t="shared" si="335"/>
        <v/>
      </c>
      <c r="AC1171" s="7">
        <f t="shared" si="336"/>
        <v>0</v>
      </c>
      <c r="AD1171" s="7" t="str">
        <f t="shared" si="337"/>
        <v/>
      </c>
      <c r="AE1171" s="6">
        <f t="shared" si="338"/>
        <v>-8</v>
      </c>
      <c r="AF1171" s="69" t="str">
        <f t="shared" si="339"/>
        <v/>
      </c>
      <c r="AG1171" s="6">
        <f t="shared" si="340"/>
        <v>0</v>
      </c>
      <c r="AH1171" s="6">
        <f t="shared" si="341"/>
        <v>604</v>
      </c>
    </row>
    <row r="1172" spans="8:34" x14ac:dyDescent="0.25">
      <c r="H1172" s="7">
        <v>1179</v>
      </c>
      <c r="I1172" s="7" t="s">
        <v>9</v>
      </c>
      <c r="J1172" s="8">
        <v>38452</v>
      </c>
      <c r="K1172" s="12" t="s">
        <v>19</v>
      </c>
      <c r="L1172" s="9">
        <v>70</v>
      </c>
      <c r="M1172" s="10">
        <v>211.69145448851842</v>
      </c>
      <c r="N1172" s="7" t="s">
        <v>24</v>
      </c>
      <c r="P1172" s="29" t="str">
        <f t="shared" si="324"/>
        <v/>
      </c>
      <c r="Q1172" s="29" t="str">
        <f t="shared" si="325"/>
        <v/>
      </c>
      <c r="R1172" s="29" t="str">
        <f t="shared" si="326"/>
        <v/>
      </c>
      <c r="S1172" s="29" t="str">
        <f t="shared" si="327"/>
        <v/>
      </c>
      <c r="T1172" s="32" t="str">
        <f t="shared" si="328"/>
        <v/>
      </c>
      <c r="U1172" s="32">
        <f t="shared" si="331"/>
        <v>1</v>
      </c>
      <c r="V1172" s="32" t="str">
        <f t="shared" si="332"/>
        <v/>
      </c>
      <c r="W1172" s="41">
        <f t="shared" si="329"/>
        <v>3.0241636355502632</v>
      </c>
      <c r="X1172" s="6">
        <f t="shared" si="330"/>
        <v>211.69145448851842</v>
      </c>
      <c r="Y1172" s="7">
        <f t="shared" si="333"/>
        <v>162</v>
      </c>
      <c r="AA1172" s="7">
        <f t="shared" si="334"/>
        <v>0</v>
      </c>
      <c r="AB1172" s="7" t="str">
        <f t="shared" si="335"/>
        <v/>
      </c>
      <c r="AC1172" s="7">
        <f t="shared" si="336"/>
        <v>1</v>
      </c>
      <c r="AD1172" s="7">
        <f t="shared" si="337"/>
        <v>70</v>
      </c>
      <c r="AE1172" s="6">
        <f t="shared" si="338"/>
        <v>0</v>
      </c>
      <c r="AF1172" s="69">
        <f t="shared" si="339"/>
        <v>3.0241636355502632</v>
      </c>
      <c r="AG1172" s="6">
        <f t="shared" si="340"/>
        <v>0</v>
      </c>
      <c r="AH1172" s="6">
        <f t="shared" si="341"/>
        <v>604</v>
      </c>
    </row>
    <row r="1173" spans="8:34" x14ac:dyDescent="0.25">
      <c r="H1173" s="7">
        <v>1180</v>
      </c>
      <c r="I1173" s="7" t="s">
        <v>7</v>
      </c>
      <c r="J1173" s="8">
        <v>38705</v>
      </c>
      <c r="K1173" s="12" t="s">
        <v>16</v>
      </c>
      <c r="L1173" s="9">
        <v>3</v>
      </c>
      <c r="M1173" s="10">
        <v>10.721781338210716</v>
      </c>
      <c r="N1173" s="7" t="s">
        <v>22</v>
      </c>
      <c r="P1173" s="29" t="str">
        <f t="shared" si="324"/>
        <v/>
      </c>
      <c r="Q1173" s="29" t="str">
        <f t="shared" si="325"/>
        <v/>
      </c>
      <c r="R1173" s="29" t="str">
        <f t="shared" si="326"/>
        <v/>
      </c>
      <c r="S1173" s="29" t="str">
        <f t="shared" si="327"/>
        <v/>
      </c>
      <c r="T1173" s="32">
        <f t="shared" si="328"/>
        <v>1</v>
      </c>
      <c r="U1173" s="32">
        <f t="shared" si="331"/>
        <v>1</v>
      </c>
      <c r="V1173" s="32" t="str">
        <f t="shared" si="332"/>
        <v/>
      </c>
      <c r="W1173" s="41">
        <f t="shared" si="329"/>
        <v>3.5739271127369054</v>
      </c>
      <c r="X1173" s="6">
        <f t="shared" si="330"/>
        <v>10.721781338210716</v>
      </c>
      <c r="Y1173" s="7">
        <f t="shared" si="333"/>
        <v>542</v>
      </c>
      <c r="AA1173" s="7">
        <f t="shared" si="334"/>
        <v>0</v>
      </c>
      <c r="AB1173" s="7" t="str">
        <f t="shared" si="335"/>
        <v/>
      </c>
      <c r="AC1173" s="7">
        <f t="shared" si="336"/>
        <v>1</v>
      </c>
      <c r="AD1173" s="7">
        <f t="shared" si="337"/>
        <v>3</v>
      </c>
      <c r="AE1173" s="6">
        <f t="shared" si="338"/>
        <v>0</v>
      </c>
      <c r="AF1173" s="69">
        <f t="shared" si="339"/>
        <v>3.5739271127369054</v>
      </c>
      <c r="AG1173" s="6">
        <f t="shared" si="340"/>
        <v>0</v>
      </c>
      <c r="AH1173" s="6">
        <f t="shared" si="341"/>
        <v>604</v>
      </c>
    </row>
    <row r="1174" spans="8:34" x14ac:dyDescent="0.25">
      <c r="H1174" s="7">
        <v>1181</v>
      </c>
      <c r="I1174" s="7" t="s">
        <v>7</v>
      </c>
      <c r="J1174" s="8">
        <v>38331</v>
      </c>
      <c r="K1174" s="12" t="s">
        <v>16</v>
      </c>
      <c r="L1174" s="9">
        <v>33</v>
      </c>
      <c r="M1174" s="10">
        <v>100.68258329871269</v>
      </c>
      <c r="N1174" s="7" t="s">
        <v>22</v>
      </c>
      <c r="P1174" s="29" t="str">
        <f t="shared" si="324"/>
        <v/>
      </c>
      <c r="Q1174" s="29" t="str">
        <f t="shared" si="325"/>
        <v/>
      </c>
      <c r="R1174" s="29" t="str">
        <f t="shared" si="326"/>
        <v/>
      </c>
      <c r="S1174" s="29">
        <f t="shared" si="327"/>
        <v>1</v>
      </c>
      <c r="T1174" s="32" t="str">
        <f t="shared" si="328"/>
        <v/>
      </c>
      <c r="U1174" s="32" t="str">
        <f t="shared" si="331"/>
        <v/>
      </c>
      <c r="V1174" s="32" t="str">
        <f t="shared" si="332"/>
        <v/>
      </c>
      <c r="W1174" s="41">
        <f t="shared" si="329"/>
        <v>3.050987372688263</v>
      </c>
      <c r="X1174" s="6">
        <f t="shared" si="330"/>
        <v>0</v>
      </c>
      <c r="Y1174" s="7">
        <f t="shared" si="333"/>
        <v>567</v>
      </c>
      <c r="AA1174" s="7">
        <f t="shared" si="334"/>
        <v>0</v>
      </c>
      <c r="AB1174" s="7" t="str">
        <f t="shared" si="335"/>
        <v/>
      </c>
      <c r="AC1174" s="7">
        <f t="shared" si="336"/>
        <v>0</v>
      </c>
      <c r="AD1174" s="7" t="str">
        <f t="shared" si="337"/>
        <v/>
      </c>
      <c r="AE1174" s="6">
        <f t="shared" si="338"/>
        <v>0</v>
      </c>
      <c r="AF1174" s="69">
        <f t="shared" si="339"/>
        <v>3.050987372688263</v>
      </c>
      <c r="AG1174" s="6">
        <f t="shared" si="340"/>
        <v>100.68258329871269</v>
      </c>
      <c r="AH1174" s="6">
        <f t="shared" si="341"/>
        <v>373</v>
      </c>
    </row>
    <row r="1175" spans="8:34" x14ac:dyDescent="0.25">
      <c r="H1175" s="7">
        <v>1182</v>
      </c>
      <c r="I1175" s="7" t="s">
        <v>11</v>
      </c>
      <c r="J1175" s="8">
        <v>38221</v>
      </c>
      <c r="K1175" s="12" t="s">
        <v>17</v>
      </c>
      <c r="L1175" s="9">
        <v>88</v>
      </c>
      <c r="M1175" s="10">
        <v>265.74766319973446</v>
      </c>
      <c r="N1175" s="7" t="s">
        <v>24</v>
      </c>
      <c r="P1175" s="29" t="str">
        <f t="shared" si="324"/>
        <v/>
      </c>
      <c r="Q1175" s="29" t="str">
        <f t="shared" si="325"/>
        <v/>
      </c>
      <c r="R1175" s="29">
        <f t="shared" si="326"/>
        <v>1</v>
      </c>
      <c r="S1175" s="29" t="str">
        <f t="shared" si="327"/>
        <v/>
      </c>
      <c r="T1175" s="32" t="str">
        <f t="shared" si="328"/>
        <v/>
      </c>
      <c r="U1175" s="32" t="str">
        <f t="shared" si="331"/>
        <v/>
      </c>
      <c r="V1175" s="32" t="str">
        <f t="shared" si="332"/>
        <v/>
      </c>
      <c r="W1175" s="41">
        <f t="shared" si="329"/>
        <v>3.0198598090878916</v>
      </c>
      <c r="X1175" s="6">
        <f t="shared" si="330"/>
        <v>0</v>
      </c>
      <c r="Y1175" s="7">
        <f t="shared" si="333"/>
        <v>567</v>
      </c>
      <c r="AA1175" s="7">
        <f t="shared" si="334"/>
        <v>0</v>
      </c>
      <c r="AB1175" s="7" t="str">
        <f t="shared" si="335"/>
        <v/>
      </c>
      <c r="AC1175" s="7">
        <f t="shared" si="336"/>
        <v>0</v>
      </c>
      <c r="AD1175" s="7" t="str">
        <f t="shared" si="337"/>
        <v/>
      </c>
      <c r="AE1175" s="6">
        <f t="shared" si="338"/>
        <v>0</v>
      </c>
      <c r="AF1175" s="69">
        <f t="shared" si="339"/>
        <v>3.0198598090878916</v>
      </c>
      <c r="AG1175" s="6">
        <f t="shared" si="340"/>
        <v>265.74766319973446</v>
      </c>
      <c r="AH1175" s="6">
        <f t="shared" si="341"/>
        <v>41</v>
      </c>
    </row>
    <row r="1176" spans="8:34" x14ac:dyDescent="0.25">
      <c r="H1176" s="7">
        <v>1183</v>
      </c>
      <c r="I1176" s="7" t="s">
        <v>13</v>
      </c>
      <c r="J1176" s="8">
        <v>38353</v>
      </c>
      <c r="K1176" s="12" t="s">
        <v>20</v>
      </c>
      <c r="L1176" s="9">
        <v>39</v>
      </c>
      <c r="M1176" s="10">
        <v>119.1661098521913</v>
      </c>
      <c r="N1176" s="7" t="s">
        <v>24</v>
      </c>
      <c r="P1176" s="29" t="str">
        <f t="shared" si="324"/>
        <v/>
      </c>
      <c r="Q1176" s="29" t="str">
        <f t="shared" si="325"/>
        <v/>
      </c>
      <c r="R1176" s="29" t="str">
        <f t="shared" si="326"/>
        <v/>
      </c>
      <c r="S1176" s="29" t="str">
        <f t="shared" si="327"/>
        <v/>
      </c>
      <c r="T1176" s="32" t="str">
        <f t="shared" si="328"/>
        <v/>
      </c>
      <c r="U1176" s="32">
        <f t="shared" si="331"/>
        <v>1</v>
      </c>
      <c r="V1176" s="32" t="str">
        <f t="shared" si="332"/>
        <v/>
      </c>
      <c r="W1176" s="41">
        <f t="shared" si="329"/>
        <v>3.0555412782613152</v>
      </c>
      <c r="X1176" s="6">
        <f t="shared" si="330"/>
        <v>119.1661098521913</v>
      </c>
      <c r="Y1176" s="7">
        <f t="shared" si="333"/>
        <v>320</v>
      </c>
      <c r="AA1176" s="7">
        <f t="shared" si="334"/>
        <v>1</v>
      </c>
      <c r="AB1176" s="7">
        <f t="shared" si="335"/>
        <v>39</v>
      </c>
      <c r="AC1176" s="7">
        <f t="shared" si="336"/>
        <v>0</v>
      </c>
      <c r="AD1176" s="7" t="str">
        <f t="shared" si="337"/>
        <v/>
      </c>
      <c r="AE1176" s="6">
        <f t="shared" si="338"/>
        <v>0</v>
      </c>
      <c r="AF1176" s="69">
        <f t="shared" si="339"/>
        <v>3.0555412782613152</v>
      </c>
      <c r="AG1176" s="6">
        <f t="shared" si="340"/>
        <v>0</v>
      </c>
      <c r="AH1176" s="6">
        <f t="shared" si="341"/>
        <v>604</v>
      </c>
    </row>
    <row r="1177" spans="8:34" x14ac:dyDescent="0.25">
      <c r="H1177" s="7">
        <v>1184</v>
      </c>
      <c r="I1177" s="7" t="s">
        <v>15</v>
      </c>
      <c r="J1177" s="8">
        <v>38529</v>
      </c>
      <c r="K1177" s="12" t="s">
        <v>19</v>
      </c>
      <c r="L1177" s="9">
        <v>64</v>
      </c>
      <c r="M1177" s="10">
        <v>193.63735378454803</v>
      </c>
      <c r="N1177" s="7" t="s">
        <v>22</v>
      </c>
      <c r="P1177" s="29" t="str">
        <f t="shared" si="324"/>
        <v/>
      </c>
      <c r="Q1177" s="29" t="str">
        <f t="shared" si="325"/>
        <v/>
      </c>
      <c r="R1177" s="29" t="str">
        <f t="shared" si="326"/>
        <v/>
      </c>
      <c r="S1177" s="29" t="str">
        <f t="shared" si="327"/>
        <v/>
      </c>
      <c r="T1177" s="32" t="str">
        <f t="shared" si="328"/>
        <v/>
      </c>
      <c r="U1177" s="32">
        <f t="shared" si="331"/>
        <v>1</v>
      </c>
      <c r="V1177" s="32" t="str">
        <f t="shared" si="332"/>
        <v/>
      </c>
      <c r="W1177" s="41">
        <f t="shared" si="329"/>
        <v>3.0255836528835629</v>
      </c>
      <c r="X1177" s="6">
        <f t="shared" si="330"/>
        <v>193.63735378454803</v>
      </c>
      <c r="Y1177" s="7">
        <f t="shared" si="333"/>
        <v>187</v>
      </c>
      <c r="AA1177" s="7">
        <f t="shared" si="334"/>
        <v>0</v>
      </c>
      <c r="AB1177" s="7" t="str">
        <f t="shared" si="335"/>
        <v/>
      </c>
      <c r="AC1177" s="7">
        <f t="shared" si="336"/>
        <v>1</v>
      </c>
      <c r="AD1177" s="7">
        <f t="shared" si="337"/>
        <v>64</v>
      </c>
      <c r="AE1177" s="6">
        <f t="shared" si="338"/>
        <v>0</v>
      </c>
      <c r="AF1177" s="69">
        <f t="shared" si="339"/>
        <v>3.0255836528835629</v>
      </c>
      <c r="AG1177" s="6">
        <f t="shared" si="340"/>
        <v>0</v>
      </c>
      <c r="AH1177" s="6">
        <f t="shared" si="341"/>
        <v>604</v>
      </c>
    </row>
    <row r="1178" spans="8:34" x14ac:dyDescent="0.25">
      <c r="H1178" s="7">
        <v>1185</v>
      </c>
      <c r="I1178" s="7" t="s">
        <v>14</v>
      </c>
      <c r="J1178" s="8">
        <v>38892</v>
      </c>
      <c r="K1178" s="12" t="s">
        <v>17</v>
      </c>
      <c r="L1178" s="9">
        <v>0</v>
      </c>
      <c r="M1178" s="10">
        <v>2.1318123006760317</v>
      </c>
      <c r="N1178" s="7" t="s">
        <v>24</v>
      </c>
      <c r="P1178" s="29" t="str">
        <f t="shared" si="324"/>
        <v/>
      </c>
      <c r="Q1178" s="29" t="str">
        <f t="shared" si="325"/>
        <v/>
      </c>
      <c r="R1178" s="29" t="str">
        <f t="shared" si="326"/>
        <v/>
      </c>
      <c r="S1178" s="29" t="str">
        <f t="shared" si="327"/>
        <v/>
      </c>
      <c r="T1178" s="32" t="str">
        <f t="shared" si="328"/>
        <v/>
      </c>
      <c r="U1178" s="32" t="str">
        <f t="shared" si="331"/>
        <v/>
      </c>
      <c r="V1178" s="32">
        <f t="shared" si="332"/>
        <v>1</v>
      </c>
      <c r="W1178" s="41" t="str">
        <f t="shared" si="329"/>
        <v/>
      </c>
      <c r="X1178" s="6">
        <f t="shared" si="330"/>
        <v>0</v>
      </c>
      <c r="Y1178" s="7">
        <f t="shared" si="333"/>
        <v>567</v>
      </c>
      <c r="AA1178" s="7">
        <f t="shared" si="334"/>
        <v>0</v>
      </c>
      <c r="AB1178" s="7" t="str">
        <f t="shared" si="335"/>
        <v/>
      </c>
      <c r="AC1178" s="7">
        <f t="shared" si="336"/>
        <v>0</v>
      </c>
      <c r="AD1178" s="7" t="str">
        <f t="shared" si="337"/>
        <v/>
      </c>
      <c r="AE1178" s="6">
        <f t="shared" si="338"/>
        <v>0</v>
      </c>
      <c r="AF1178" s="69" t="str">
        <f t="shared" si="339"/>
        <v/>
      </c>
      <c r="AG1178" s="6">
        <f t="shared" si="340"/>
        <v>0</v>
      </c>
      <c r="AH1178" s="6">
        <f t="shared" si="341"/>
        <v>604</v>
      </c>
    </row>
    <row r="1179" spans="8:34" x14ac:dyDescent="0.25">
      <c r="H1179" s="7">
        <v>1186</v>
      </c>
      <c r="I1179" s="7" t="s">
        <v>12</v>
      </c>
      <c r="J1179" s="8">
        <v>38067</v>
      </c>
      <c r="K1179" s="12" t="s">
        <v>19</v>
      </c>
      <c r="L1179" s="9">
        <v>26</v>
      </c>
      <c r="M1179" s="10">
        <v>80.373766797749937</v>
      </c>
      <c r="N1179" s="7" t="s">
        <v>21</v>
      </c>
      <c r="P1179" s="29">
        <f t="shared" si="324"/>
        <v>1</v>
      </c>
      <c r="Q1179" s="29" t="str">
        <f t="shared" si="325"/>
        <v/>
      </c>
      <c r="R1179" s="29" t="str">
        <f t="shared" si="326"/>
        <v/>
      </c>
      <c r="S1179" s="29" t="str">
        <f t="shared" si="327"/>
        <v/>
      </c>
      <c r="T1179" s="32" t="str">
        <f t="shared" si="328"/>
        <v/>
      </c>
      <c r="U1179" s="32" t="str">
        <f t="shared" si="331"/>
        <v/>
      </c>
      <c r="V1179" s="32" t="str">
        <f t="shared" si="332"/>
        <v/>
      </c>
      <c r="W1179" s="41">
        <f t="shared" si="329"/>
        <v>3.0912987229903823</v>
      </c>
      <c r="X1179" s="6">
        <f t="shared" si="330"/>
        <v>0</v>
      </c>
      <c r="Y1179" s="7">
        <f t="shared" si="333"/>
        <v>567</v>
      </c>
      <c r="AA1179" s="7">
        <f t="shared" si="334"/>
        <v>0</v>
      </c>
      <c r="AB1179" s="7" t="str">
        <f t="shared" si="335"/>
        <v/>
      </c>
      <c r="AC1179" s="7">
        <f t="shared" si="336"/>
        <v>0</v>
      </c>
      <c r="AD1179" s="7" t="str">
        <f t="shared" si="337"/>
        <v/>
      </c>
      <c r="AE1179" s="6">
        <f t="shared" si="338"/>
        <v>0</v>
      </c>
      <c r="AF1179" s="69">
        <f t="shared" si="339"/>
        <v>3.0912987229903823</v>
      </c>
      <c r="AG1179" s="6">
        <f t="shared" si="340"/>
        <v>80.373766797749937</v>
      </c>
      <c r="AH1179" s="6">
        <f t="shared" si="341"/>
        <v>419</v>
      </c>
    </row>
    <row r="1180" spans="8:34" x14ac:dyDescent="0.25">
      <c r="H1180" s="7">
        <v>1187</v>
      </c>
      <c r="I1180" s="7" t="s">
        <v>9</v>
      </c>
      <c r="J1180" s="8">
        <v>38056</v>
      </c>
      <c r="K1180" s="12" t="s">
        <v>17</v>
      </c>
      <c r="L1180" s="9">
        <v>0</v>
      </c>
      <c r="M1180" s="10">
        <v>1.4880685060494558</v>
      </c>
      <c r="N1180" s="7" t="s">
        <v>23</v>
      </c>
      <c r="P1180" s="29">
        <f t="shared" si="324"/>
        <v>1</v>
      </c>
      <c r="Q1180" s="29" t="str">
        <f t="shared" si="325"/>
        <v/>
      </c>
      <c r="R1180" s="29" t="str">
        <f t="shared" si="326"/>
        <v/>
      </c>
      <c r="S1180" s="29" t="str">
        <f t="shared" si="327"/>
        <v/>
      </c>
      <c r="T1180" s="32" t="str">
        <f t="shared" si="328"/>
        <v/>
      </c>
      <c r="U1180" s="32" t="str">
        <f t="shared" si="331"/>
        <v/>
      </c>
      <c r="V1180" s="32" t="str">
        <f t="shared" si="332"/>
        <v/>
      </c>
      <c r="W1180" s="41" t="str">
        <f t="shared" si="329"/>
        <v/>
      </c>
      <c r="X1180" s="6">
        <f t="shared" si="330"/>
        <v>0</v>
      </c>
      <c r="Y1180" s="7">
        <f t="shared" si="333"/>
        <v>567</v>
      </c>
      <c r="AA1180" s="7">
        <f t="shared" si="334"/>
        <v>0</v>
      </c>
      <c r="AB1180" s="7" t="str">
        <f t="shared" si="335"/>
        <v/>
      </c>
      <c r="AC1180" s="7">
        <f t="shared" si="336"/>
        <v>0</v>
      </c>
      <c r="AD1180" s="7" t="str">
        <f t="shared" si="337"/>
        <v/>
      </c>
      <c r="AE1180" s="6">
        <f t="shared" si="338"/>
        <v>0</v>
      </c>
      <c r="AF1180" s="69" t="str">
        <f t="shared" si="339"/>
        <v/>
      </c>
      <c r="AG1180" s="6">
        <f t="shared" si="340"/>
        <v>1.4880685060494558</v>
      </c>
      <c r="AH1180" s="6">
        <f t="shared" si="341"/>
        <v>603</v>
      </c>
    </row>
    <row r="1181" spans="8:34" x14ac:dyDescent="0.25">
      <c r="H1181" s="7">
        <v>1188</v>
      </c>
      <c r="I1181" s="7" t="s">
        <v>7</v>
      </c>
      <c r="J1181" s="8">
        <v>38881</v>
      </c>
      <c r="K1181" s="12" t="s">
        <v>18</v>
      </c>
      <c r="L1181" s="9">
        <v>76</v>
      </c>
      <c r="M1181" s="10">
        <v>229.77238860248113</v>
      </c>
      <c r="N1181" s="7" t="s">
        <v>24</v>
      </c>
      <c r="P1181" s="29" t="str">
        <f t="shared" si="324"/>
        <v/>
      </c>
      <c r="Q1181" s="29" t="str">
        <f t="shared" si="325"/>
        <v/>
      </c>
      <c r="R1181" s="29" t="str">
        <f t="shared" si="326"/>
        <v/>
      </c>
      <c r="S1181" s="29" t="str">
        <f t="shared" si="327"/>
        <v/>
      </c>
      <c r="T1181" s="32" t="str">
        <f t="shared" si="328"/>
        <v/>
      </c>
      <c r="U1181" s="32" t="str">
        <f t="shared" si="331"/>
        <v/>
      </c>
      <c r="V1181" s="32">
        <f t="shared" si="332"/>
        <v>1</v>
      </c>
      <c r="W1181" s="41">
        <f t="shared" si="329"/>
        <v>3.0233209026642256</v>
      </c>
      <c r="X1181" s="6">
        <f t="shared" si="330"/>
        <v>0</v>
      </c>
      <c r="Y1181" s="7">
        <f t="shared" si="333"/>
        <v>567</v>
      </c>
      <c r="AA1181" s="7">
        <f t="shared" si="334"/>
        <v>0</v>
      </c>
      <c r="AB1181" s="7" t="str">
        <f t="shared" si="335"/>
        <v/>
      </c>
      <c r="AC1181" s="7">
        <f t="shared" si="336"/>
        <v>0</v>
      </c>
      <c r="AD1181" s="7" t="str">
        <f t="shared" si="337"/>
        <v/>
      </c>
      <c r="AE1181" s="6">
        <f t="shared" si="338"/>
        <v>0</v>
      </c>
      <c r="AF1181" s="69">
        <f t="shared" si="339"/>
        <v>3.0233209026642256</v>
      </c>
      <c r="AG1181" s="6">
        <f t="shared" si="340"/>
        <v>0</v>
      </c>
      <c r="AH1181" s="6">
        <f t="shared" si="341"/>
        <v>604</v>
      </c>
    </row>
    <row r="1182" spans="8:34" x14ac:dyDescent="0.25">
      <c r="H1182" s="7">
        <v>1189</v>
      </c>
      <c r="I1182" s="7" t="s">
        <v>13</v>
      </c>
      <c r="J1182" s="8">
        <v>38287</v>
      </c>
      <c r="K1182" s="12" t="s">
        <v>16</v>
      </c>
      <c r="L1182" s="9">
        <v>75</v>
      </c>
      <c r="M1182" s="10">
        <v>227.61957571703351</v>
      </c>
      <c r="N1182" s="7" t="s">
        <v>22</v>
      </c>
      <c r="P1182" s="29" t="str">
        <f t="shared" si="324"/>
        <v/>
      </c>
      <c r="Q1182" s="29" t="str">
        <f t="shared" si="325"/>
        <v/>
      </c>
      <c r="R1182" s="29" t="str">
        <f t="shared" si="326"/>
        <v/>
      </c>
      <c r="S1182" s="29">
        <f t="shared" si="327"/>
        <v>1</v>
      </c>
      <c r="T1182" s="32" t="str">
        <f t="shared" si="328"/>
        <v/>
      </c>
      <c r="U1182" s="32" t="str">
        <f t="shared" si="331"/>
        <v/>
      </c>
      <c r="V1182" s="32" t="str">
        <f t="shared" si="332"/>
        <v/>
      </c>
      <c r="W1182" s="41">
        <f t="shared" si="329"/>
        <v>3.0349276762271136</v>
      </c>
      <c r="X1182" s="6">
        <f t="shared" si="330"/>
        <v>0</v>
      </c>
      <c r="Y1182" s="7">
        <f t="shared" si="333"/>
        <v>567</v>
      </c>
      <c r="AA1182" s="7">
        <f t="shared" si="334"/>
        <v>0</v>
      </c>
      <c r="AB1182" s="7" t="str">
        <f t="shared" si="335"/>
        <v/>
      </c>
      <c r="AC1182" s="7">
        <f t="shared" si="336"/>
        <v>0</v>
      </c>
      <c r="AD1182" s="7" t="str">
        <f t="shared" si="337"/>
        <v/>
      </c>
      <c r="AE1182" s="6">
        <f t="shared" si="338"/>
        <v>0</v>
      </c>
      <c r="AF1182" s="69">
        <f t="shared" si="339"/>
        <v>3.0349276762271136</v>
      </c>
      <c r="AG1182" s="6">
        <f t="shared" si="340"/>
        <v>227.61957571703351</v>
      </c>
      <c r="AH1182" s="6">
        <f t="shared" si="341"/>
        <v>118</v>
      </c>
    </row>
    <row r="1183" spans="8:34" x14ac:dyDescent="0.25">
      <c r="H1183" s="7">
        <v>1190</v>
      </c>
      <c r="I1183" s="7" t="s">
        <v>13</v>
      </c>
      <c r="J1183" s="8">
        <v>38155</v>
      </c>
      <c r="K1183" s="12" t="s">
        <v>17</v>
      </c>
      <c r="L1183" s="9">
        <v>61</v>
      </c>
      <c r="M1183" s="10">
        <v>184.47481128177199</v>
      </c>
      <c r="N1183" s="7" t="s">
        <v>21</v>
      </c>
      <c r="P1183" s="29" t="str">
        <f t="shared" si="324"/>
        <v/>
      </c>
      <c r="Q1183" s="29">
        <f t="shared" si="325"/>
        <v>1</v>
      </c>
      <c r="R1183" s="29" t="str">
        <f t="shared" si="326"/>
        <v/>
      </c>
      <c r="S1183" s="29" t="str">
        <f t="shared" si="327"/>
        <v/>
      </c>
      <c r="T1183" s="32" t="str">
        <f t="shared" si="328"/>
        <v/>
      </c>
      <c r="U1183" s="32" t="str">
        <f t="shared" si="331"/>
        <v/>
      </c>
      <c r="V1183" s="32" t="str">
        <f t="shared" si="332"/>
        <v/>
      </c>
      <c r="W1183" s="41">
        <f t="shared" si="329"/>
        <v>3.0241772341274098</v>
      </c>
      <c r="X1183" s="6">
        <f t="shared" si="330"/>
        <v>0</v>
      </c>
      <c r="Y1183" s="7">
        <f t="shared" si="333"/>
        <v>567</v>
      </c>
      <c r="AA1183" s="7">
        <f t="shared" si="334"/>
        <v>0</v>
      </c>
      <c r="AB1183" s="7" t="str">
        <f t="shared" si="335"/>
        <v/>
      </c>
      <c r="AC1183" s="7">
        <f t="shared" si="336"/>
        <v>0</v>
      </c>
      <c r="AD1183" s="7" t="str">
        <f t="shared" si="337"/>
        <v/>
      </c>
      <c r="AE1183" s="6">
        <f t="shared" si="338"/>
        <v>0</v>
      </c>
      <c r="AF1183" s="69">
        <f t="shared" si="339"/>
        <v>3.0241772341274098</v>
      </c>
      <c r="AG1183" s="6">
        <f t="shared" si="340"/>
        <v>184.47481128177199</v>
      </c>
      <c r="AH1183" s="6">
        <f t="shared" si="341"/>
        <v>215</v>
      </c>
    </row>
    <row r="1184" spans="8:34" x14ac:dyDescent="0.25">
      <c r="H1184" s="7">
        <v>1191</v>
      </c>
      <c r="I1184" s="7" t="s">
        <v>15</v>
      </c>
      <c r="J1184" s="8">
        <v>38551</v>
      </c>
      <c r="K1184" s="12" t="s">
        <v>16</v>
      </c>
      <c r="L1184" s="9">
        <v>-2</v>
      </c>
      <c r="M1184" s="10">
        <v>-4.2806028749734537</v>
      </c>
      <c r="N1184" s="7" t="s">
        <v>22</v>
      </c>
      <c r="P1184" s="29" t="str">
        <f t="shared" si="324"/>
        <v/>
      </c>
      <c r="Q1184" s="29" t="str">
        <f t="shared" si="325"/>
        <v/>
      </c>
      <c r="R1184" s="29" t="str">
        <f t="shared" si="326"/>
        <v/>
      </c>
      <c r="S1184" s="29" t="str">
        <f t="shared" si="327"/>
        <v/>
      </c>
      <c r="T1184" s="32" t="str">
        <f t="shared" si="328"/>
        <v/>
      </c>
      <c r="U1184" s="32">
        <f t="shared" si="331"/>
        <v>1</v>
      </c>
      <c r="V1184" s="32" t="str">
        <f t="shared" si="332"/>
        <v/>
      </c>
      <c r="W1184" s="41" t="str">
        <f t="shared" si="329"/>
        <v/>
      </c>
      <c r="X1184" s="6">
        <f t="shared" si="330"/>
        <v>-4.2806028749734537</v>
      </c>
      <c r="Y1184" s="7">
        <f t="shared" si="333"/>
        <v>1850</v>
      </c>
      <c r="AA1184" s="7">
        <f t="shared" si="334"/>
        <v>1</v>
      </c>
      <c r="AB1184" s="7">
        <f t="shared" si="335"/>
        <v>-2</v>
      </c>
      <c r="AC1184" s="7">
        <f t="shared" si="336"/>
        <v>0</v>
      </c>
      <c r="AD1184" s="7" t="str">
        <f t="shared" si="337"/>
        <v/>
      </c>
      <c r="AE1184" s="6">
        <f t="shared" si="338"/>
        <v>-2</v>
      </c>
      <c r="AF1184" s="69" t="str">
        <f t="shared" si="339"/>
        <v/>
      </c>
      <c r="AG1184" s="6">
        <f t="shared" si="340"/>
        <v>0</v>
      </c>
      <c r="AH1184" s="6">
        <f t="shared" si="341"/>
        <v>604</v>
      </c>
    </row>
    <row r="1185" spans="8:34" x14ac:dyDescent="0.25">
      <c r="H1185" s="7">
        <v>1192</v>
      </c>
      <c r="I1185" s="7" t="s">
        <v>8</v>
      </c>
      <c r="J1185" s="8">
        <v>38023</v>
      </c>
      <c r="K1185" s="12" t="s">
        <v>19</v>
      </c>
      <c r="L1185" s="9">
        <v>40</v>
      </c>
      <c r="M1185" s="10">
        <v>122.55161793559111</v>
      </c>
      <c r="N1185" s="7" t="s">
        <v>24</v>
      </c>
      <c r="P1185" s="29">
        <f t="shared" si="324"/>
        <v>1</v>
      </c>
      <c r="Q1185" s="29" t="str">
        <f t="shared" si="325"/>
        <v/>
      </c>
      <c r="R1185" s="29" t="str">
        <f t="shared" si="326"/>
        <v/>
      </c>
      <c r="S1185" s="29" t="str">
        <f t="shared" si="327"/>
        <v/>
      </c>
      <c r="T1185" s="32" t="str">
        <f t="shared" si="328"/>
        <v/>
      </c>
      <c r="U1185" s="32" t="str">
        <f t="shared" si="331"/>
        <v/>
      </c>
      <c r="V1185" s="32" t="str">
        <f t="shared" si="332"/>
        <v/>
      </c>
      <c r="W1185" s="41">
        <f t="shared" si="329"/>
        <v>3.0637904483897778</v>
      </c>
      <c r="X1185" s="6">
        <f t="shared" si="330"/>
        <v>0</v>
      </c>
      <c r="Y1185" s="7">
        <f t="shared" si="333"/>
        <v>567</v>
      </c>
      <c r="AA1185" s="7">
        <f t="shared" si="334"/>
        <v>0</v>
      </c>
      <c r="AB1185" s="7" t="str">
        <f t="shared" si="335"/>
        <v/>
      </c>
      <c r="AC1185" s="7">
        <f t="shared" si="336"/>
        <v>0</v>
      </c>
      <c r="AD1185" s="7" t="str">
        <f t="shared" si="337"/>
        <v/>
      </c>
      <c r="AE1185" s="6">
        <f t="shared" si="338"/>
        <v>0</v>
      </c>
      <c r="AF1185" s="69">
        <f t="shared" si="339"/>
        <v>3.0637904483897778</v>
      </c>
      <c r="AG1185" s="6">
        <f t="shared" si="340"/>
        <v>122.55161793559111</v>
      </c>
      <c r="AH1185" s="6">
        <f t="shared" si="341"/>
        <v>326</v>
      </c>
    </row>
    <row r="1186" spans="8:34" x14ac:dyDescent="0.25">
      <c r="H1186" s="7">
        <v>1193</v>
      </c>
      <c r="I1186" s="7" t="s">
        <v>11</v>
      </c>
      <c r="J1186" s="8">
        <v>38397</v>
      </c>
      <c r="K1186" s="12" t="s">
        <v>16</v>
      </c>
      <c r="L1186" s="9">
        <v>5</v>
      </c>
      <c r="M1186" s="10">
        <v>17.384002396298932</v>
      </c>
      <c r="N1186" s="7" t="s">
        <v>23</v>
      </c>
      <c r="P1186" s="29" t="str">
        <f t="shared" si="324"/>
        <v/>
      </c>
      <c r="Q1186" s="29" t="str">
        <f t="shared" si="325"/>
        <v/>
      </c>
      <c r="R1186" s="29" t="str">
        <f t="shared" si="326"/>
        <v/>
      </c>
      <c r="S1186" s="29" t="str">
        <f t="shared" si="327"/>
        <v/>
      </c>
      <c r="T1186" s="32" t="str">
        <f t="shared" si="328"/>
        <v/>
      </c>
      <c r="U1186" s="32">
        <f t="shared" si="331"/>
        <v>1</v>
      </c>
      <c r="V1186" s="32" t="str">
        <f t="shared" si="332"/>
        <v/>
      </c>
      <c r="W1186" s="41">
        <f t="shared" si="329"/>
        <v>3.4768004792597864</v>
      </c>
      <c r="X1186" s="6">
        <f t="shared" si="330"/>
        <v>17.384002396298932</v>
      </c>
      <c r="Y1186" s="7">
        <f t="shared" si="333"/>
        <v>528</v>
      </c>
      <c r="AA1186" s="7">
        <f t="shared" si="334"/>
        <v>1</v>
      </c>
      <c r="AB1186" s="7">
        <f t="shared" si="335"/>
        <v>5</v>
      </c>
      <c r="AC1186" s="7">
        <f t="shared" si="336"/>
        <v>0</v>
      </c>
      <c r="AD1186" s="7" t="str">
        <f t="shared" si="337"/>
        <v/>
      </c>
      <c r="AE1186" s="6">
        <f t="shared" si="338"/>
        <v>0</v>
      </c>
      <c r="AF1186" s="69">
        <f t="shared" si="339"/>
        <v>3.4768004792597864</v>
      </c>
      <c r="AG1186" s="6">
        <f t="shared" si="340"/>
        <v>0</v>
      </c>
      <c r="AH1186" s="6">
        <f t="shared" si="341"/>
        <v>604</v>
      </c>
    </row>
    <row r="1187" spans="8:34" x14ac:dyDescent="0.25">
      <c r="H1187" s="7">
        <v>1194</v>
      </c>
      <c r="I1187" s="7" t="s">
        <v>11</v>
      </c>
      <c r="J1187" s="8">
        <v>38980</v>
      </c>
      <c r="K1187" s="12" t="s">
        <v>16</v>
      </c>
      <c r="L1187" s="9">
        <v>57</v>
      </c>
      <c r="M1187" s="10">
        <v>172.52313391180516</v>
      </c>
      <c r="N1187" s="7" t="s">
        <v>21</v>
      </c>
      <c r="P1187" s="29" t="str">
        <f t="shared" si="324"/>
        <v/>
      </c>
      <c r="Q1187" s="29" t="str">
        <f t="shared" si="325"/>
        <v/>
      </c>
      <c r="R1187" s="29" t="str">
        <f t="shared" si="326"/>
        <v/>
      </c>
      <c r="S1187" s="29" t="str">
        <f t="shared" si="327"/>
        <v/>
      </c>
      <c r="T1187" s="32" t="str">
        <f t="shared" si="328"/>
        <v/>
      </c>
      <c r="U1187" s="32" t="str">
        <f t="shared" si="331"/>
        <v/>
      </c>
      <c r="V1187" s="32">
        <f t="shared" si="332"/>
        <v>1</v>
      </c>
      <c r="W1187" s="41">
        <f t="shared" si="329"/>
        <v>3.026721647575529</v>
      </c>
      <c r="X1187" s="6">
        <f t="shared" si="330"/>
        <v>0</v>
      </c>
      <c r="Y1187" s="7">
        <f t="shared" si="333"/>
        <v>567</v>
      </c>
      <c r="AA1187" s="7">
        <f t="shared" si="334"/>
        <v>0</v>
      </c>
      <c r="AB1187" s="7" t="str">
        <f t="shared" si="335"/>
        <v/>
      </c>
      <c r="AC1187" s="7">
        <f t="shared" si="336"/>
        <v>0</v>
      </c>
      <c r="AD1187" s="7" t="str">
        <f t="shared" si="337"/>
        <v/>
      </c>
      <c r="AE1187" s="6">
        <f t="shared" si="338"/>
        <v>0</v>
      </c>
      <c r="AF1187" s="69">
        <f t="shared" si="339"/>
        <v>3.026721647575529</v>
      </c>
      <c r="AG1187" s="6">
        <f t="shared" si="340"/>
        <v>0</v>
      </c>
      <c r="AH1187" s="6">
        <f t="shared" si="341"/>
        <v>604</v>
      </c>
    </row>
    <row r="1188" spans="8:34" x14ac:dyDescent="0.25">
      <c r="H1188" s="7">
        <v>1195</v>
      </c>
      <c r="I1188" s="7" t="s">
        <v>14</v>
      </c>
      <c r="J1188" s="8">
        <v>38804</v>
      </c>
      <c r="K1188" s="12" t="s">
        <v>16</v>
      </c>
      <c r="L1188" s="9">
        <v>86</v>
      </c>
      <c r="M1188" s="10">
        <v>259.81646524411644</v>
      </c>
      <c r="N1188" s="7" t="s">
        <v>22</v>
      </c>
      <c r="P1188" s="29" t="str">
        <f t="shared" si="324"/>
        <v/>
      </c>
      <c r="Q1188" s="29" t="str">
        <f t="shared" si="325"/>
        <v/>
      </c>
      <c r="R1188" s="29" t="str">
        <f t="shared" si="326"/>
        <v/>
      </c>
      <c r="S1188" s="29" t="str">
        <f t="shared" si="327"/>
        <v/>
      </c>
      <c r="T1188" s="32" t="str">
        <f t="shared" si="328"/>
        <v/>
      </c>
      <c r="U1188" s="32" t="str">
        <f t="shared" si="331"/>
        <v/>
      </c>
      <c r="V1188" s="32">
        <f t="shared" si="332"/>
        <v>1</v>
      </c>
      <c r="W1188" s="41">
        <f t="shared" si="329"/>
        <v>3.0211216888850747</v>
      </c>
      <c r="X1188" s="6">
        <f t="shared" si="330"/>
        <v>0</v>
      </c>
      <c r="Y1188" s="7">
        <f t="shared" si="333"/>
        <v>567</v>
      </c>
      <c r="AA1188" s="7">
        <f t="shared" si="334"/>
        <v>0</v>
      </c>
      <c r="AB1188" s="7" t="str">
        <f t="shared" si="335"/>
        <v/>
      </c>
      <c r="AC1188" s="7">
        <f t="shared" si="336"/>
        <v>0</v>
      </c>
      <c r="AD1188" s="7" t="str">
        <f t="shared" si="337"/>
        <v/>
      </c>
      <c r="AE1188" s="6">
        <f t="shared" si="338"/>
        <v>0</v>
      </c>
      <c r="AF1188" s="69">
        <f t="shared" si="339"/>
        <v>3.0211216888850747</v>
      </c>
      <c r="AG1188" s="6">
        <f t="shared" si="340"/>
        <v>0</v>
      </c>
      <c r="AH1188" s="6">
        <f t="shared" si="341"/>
        <v>604</v>
      </c>
    </row>
    <row r="1189" spans="8:34" x14ac:dyDescent="0.25">
      <c r="H1189" s="7">
        <v>1196</v>
      </c>
      <c r="I1189" s="7" t="s">
        <v>7</v>
      </c>
      <c r="J1189" s="8">
        <v>38155</v>
      </c>
      <c r="K1189" s="12" t="s">
        <v>19</v>
      </c>
      <c r="L1189" s="9">
        <v>15</v>
      </c>
      <c r="M1189" s="10">
        <v>46.529110883082438</v>
      </c>
      <c r="N1189" s="7" t="s">
        <v>24</v>
      </c>
      <c r="P1189" s="29" t="str">
        <f t="shared" si="324"/>
        <v/>
      </c>
      <c r="Q1189" s="29">
        <f t="shared" si="325"/>
        <v>1</v>
      </c>
      <c r="R1189" s="29" t="str">
        <f t="shared" si="326"/>
        <v/>
      </c>
      <c r="S1189" s="29" t="str">
        <f t="shared" si="327"/>
        <v/>
      </c>
      <c r="T1189" s="32" t="str">
        <f t="shared" si="328"/>
        <v/>
      </c>
      <c r="U1189" s="32" t="str">
        <f t="shared" si="331"/>
        <v/>
      </c>
      <c r="V1189" s="32" t="str">
        <f t="shared" si="332"/>
        <v/>
      </c>
      <c r="W1189" s="41">
        <f t="shared" si="329"/>
        <v>3.1019407255388294</v>
      </c>
      <c r="X1189" s="6">
        <f t="shared" si="330"/>
        <v>0</v>
      </c>
      <c r="Y1189" s="7">
        <f t="shared" si="333"/>
        <v>567</v>
      </c>
      <c r="AA1189" s="7">
        <f t="shared" si="334"/>
        <v>0</v>
      </c>
      <c r="AB1189" s="7" t="str">
        <f t="shared" si="335"/>
        <v/>
      </c>
      <c r="AC1189" s="7">
        <f t="shared" si="336"/>
        <v>0</v>
      </c>
      <c r="AD1189" s="7" t="str">
        <f t="shared" si="337"/>
        <v/>
      </c>
      <c r="AE1189" s="6">
        <f t="shared" si="338"/>
        <v>0</v>
      </c>
      <c r="AF1189" s="69">
        <f t="shared" si="339"/>
        <v>3.1019407255388294</v>
      </c>
      <c r="AG1189" s="6">
        <f t="shared" si="340"/>
        <v>46.529110883082438</v>
      </c>
      <c r="AH1189" s="6">
        <f t="shared" si="341"/>
        <v>490</v>
      </c>
    </row>
    <row r="1190" spans="8:34" x14ac:dyDescent="0.25">
      <c r="H1190" s="7">
        <v>1197</v>
      </c>
      <c r="I1190" s="7" t="s">
        <v>15</v>
      </c>
      <c r="J1190" s="8">
        <v>38969</v>
      </c>
      <c r="K1190" s="12" t="s">
        <v>16</v>
      </c>
      <c r="L1190" s="9">
        <v>39</v>
      </c>
      <c r="M1190" s="10">
        <v>118.84027043467471</v>
      </c>
      <c r="N1190" s="7" t="s">
        <v>24</v>
      </c>
      <c r="P1190" s="29" t="str">
        <f t="shared" si="324"/>
        <v/>
      </c>
      <c r="Q1190" s="29" t="str">
        <f t="shared" si="325"/>
        <v/>
      </c>
      <c r="R1190" s="29" t="str">
        <f t="shared" si="326"/>
        <v/>
      </c>
      <c r="S1190" s="29" t="str">
        <f t="shared" si="327"/>
        <v/>
      </c>
      <c r="T1190" s="32" t="str">
        <f t="shared" si="328"/>
        <v/>
      </c>
      <c r="U1190" s="32" t="str">
        <f t="shared" si="331"/>
        <v/>
      </c>
      <c r="V1190" s="32">
        <f t="shared" si="332"/>
        <v>1</v>
      </c>
      <c r="W1190" s="41">
        <f t="shared" si="329"/>
        <v>3.0471864214019155</v>
      </c>
      <c r="X1190" s="6">
        <f t="shared" si="330"/>
        <v>0</v>
      </c>
      <c r="Y1190" s="7">
        <f t="shared" si="333"/>
        <v>567</v>
      </c>
      <c r="AA1190" s="7">
        <f t="shared" si="334"/>
        <v>0</v>
      </c>
      <c r="AB1190" s="7" t="str">
        <f t="shared" si="335"/>
        <v/>
      </c>
      <c r="AC1190" s="7">
        <f t="shared" si="336"/>
        <v>0</v>
      </c>
      <c r="AD1190" s="7" t="str">
        <f t="shared" si="337"/>
        <v/>
      </c>
      <c r="AE1190" s="6">
        <f t="shared" si="338"/>
        <v>0</v>
      </c>
      <c r="AF1190" s="69">
        <f t="shared" si="339"/>
        <v>3.0471864214019155</v>
      </c>
      <c r="AG1190" s="6">
        <f t="shared" si="340"/>
        <v>0</v>
      </c>
      <c r="AH1190" s="6">
        <f t="shared" si="341"/>
        <v>604</v>
      </c>
    </row>
    <row r="1191" spans="8:34" x14ac:dyDescent="0.25">
      <c r="H1191" s="7">
        <v>1198</v>
      </c>
      <c r="I1191" s="7" t="s">
        <v>7</v>
      </c>
      <c r="J1191" s="8">
        <v>38111</v>
      </c>
      <c r="K1191" s="12" t="s">
        <v>18</v>
      </c>
      <c r="L1191" s="9">
        <v>94</v>
      </c>
      <c r="M1191" s="10">
        <v>284.28308169489765</v>
      </c>
      <c r="N1191" s="7" t="s">
        <v>22</v>
      </c>
      <c r="P1191" s="29" t="str">
        <f t="shared" si="324"/>
        <v/>
      </c>
      <c r="Q1191" s="29">
        <f t="shared" si="325"/>
        <v>1</v>
      </c>
      <c r="R1191" s="29" t="str">
        <f t="shared" si="326"/>
        <v/>
      </c>
      <c r="S1191" s="29" t="str">
        <f t="shared" si="327"/>
        <v/>
      </c>
      <c r="T1191" s="32" t="str">
        <f t="shared" si="328"/>
        <v/>
      </c>
      <c r="U1191" s="32" t="str">
        <f t="shared" si="331"/>
        <v/>
      </c>
      <c r="V1191" s="32" t="str">
        <f t="shared" si="332"/>
        <v/>
      </c>
      <c r="W1191" s="41">
        <f t="shared" si="329"/>
        <v>3.0242881031372089</v>
      </c>
      <c r="X1191" s="6">
        <f t="shared" si="330"/>
        <v>0</v>
      </c>
      <c r="Y1191" s="7">
        <f t="shared" si="333"/>
        <v>567</v>
      </c>
      <c r="AA1191" s="7">
        <f t="shared" si="334"/>
        <v>0</v>
      </c>
      <c r="AB1191" s="7" t="str">
        <f t="shared" si="335"/>
        <v/>
      </c>
      <c r="AC1191" s="7">
        <f t="shared" si="336"/>
        <v>0</v>
      </c>
      <c r="AD1191" s="7" t="str">
        <f t="shared" si="337"/>
        <v/>
      </c>
      <c r="AE1191" s="6">
        <f t="shared" si="338"/>
        <v>0</v>
      </c>
      <c r="AF1191" s="69">
        <f t="shared" si="339"/>
        <v>3.0242881031372089</v>
      </c>
      <c r="AG1191" s="6">
        <f t="shared" si="340"/>
        <v>284.28308169489765</v>
      </c>
      <c r="AH1191" s="6">
        <f t="shared" si="341"/>
        <v>7</v>
      </c>
    </row>
    <row r="1192" spans="8:34" x14ac:dyDescent="0.25">
      <c r="H1192" s="7">
        <v>1199</v>
      </c>
      <c r="I1192" s="7" t="s">
        <v>7</v>
      </c>
      <c r="J1192" s="8">
        <v>38804</v>
      </c>
      <c r="K1192" s="12" t="s">
        <v>17</v>
      </c>
      <c r="L1192" s="9">
        <v>78</v>
      </c>
      <c r="M1192" s="10">
        <v>235.94909602444432</v>
      </c>
      <c r="N1192" s="7" t="s">
        <v>21</v>
      </c>
      <c r="P1192" s="29" t="str">
        <f t="shared" si="324"/>
        <v/>
      </c>
      <c r="Q1192" s="29" t="str">
        <f t="shared" si="325"/>
        <v/>
      </c>
      <c r="R1192" s="29" t="str">
        <f t="shared" si="326"/>
        <v/>
      </c>
      <c r="S1192" s="29" t="str">
        <f t="shared" si="327"/>
        <v/>
      </c>
      <c r="T1192" s="32" t="str">
        <f t="shared" si="328"/>
        <v/>
      </c>
      <c r="U1192" s="32" t="str">
        <f t="shared" si="331"/>
        <v/>
      </c>
      <c r="V1192" s="32">
        <f t="shared" si="332"/>
        <v>1</v>
      </c>
      <c r="W1192" s="41">
        <f t="shared" si="329"/>
        <v>3.0249884105697991</v>
      </c>
      <c r="X1192" s="6">
        <f t="shared" si="330"/>
        <v>0</v>
      </c>
      <c r="Y1192" s="7">
        <f t="shared" si="333"/>
        <v>567</v>
      </c>
      <c r="AA1192" s="7">
        <f t="shared" si="334"/>
        <v>0</v>
      </c>
      <c r="AB1192" s="7" t="str">
        <f t="shared" si="335"/>
        <v/>
      </c>
      <c r="AC1192" s="7">
        <f t="shared" si="336"/>
        <v>0</v>
      </c>
      <c r="AD1192" s="7" t="str">
        <f t="shared" si="337"/>
        <v/>
      </c>
      <c r="AE1192" s="6">
        <f t="shared" si="338"/>
        <v>0</v>
      </c>
      <c r="AF1192" s="69">
        <f t="shared" si="339"/>
        <v>3.0249884105697991</v>
      </c>
      <c r="AG1192" s="6">
        <f t="shared" si="340"/>
        <v>0</v>
      </c>
      <c r="AH1192" s="6">
        <f t="shared" si="341"/>
        <v>604</v>
      </c>
    </row>
    <row r="1193" spans="8:34" x14ac:dyDescent="0.25">
      <c r="H1193" s="7">
        <v>1200</v>
      </c>
      <c r="I1193" s="7" t="s">
        <v>15</v>
      </c>
      <c r="J1193" s="8">
        <v>38738</v>
      </c>
      <c r="K1193" s="12" t="s">
        <v>16</v>
      </c>
      <c r="L1193" s="9">
        <v>65</v>
      </c>
      <c r="M1193" s="10">
        <v>196.94723752480948</v>
      </c>
      <c r="N1193" s="7" t="s">
        <v>24</v>
      </c>
      <c r="P1193" s="29" t="str">
        <f t="shared" si="324"/>
        <v/>
      </c>
      <c r="Q1193" s="29" t="str">
        <f t="shared" si="325"/>
        <v/>
      </c>
      <c r="R1193" s="29" t="str">
        <f t="shared" si="326"/>
        <v/>
      </c>
      <c r="S1193" s="29" t="str">
        <f t="shared" si="327"/>
        <v/>
      </c>
      <c r="T1193" s="32" t="str">
        <f t="shared" si="328"/>
        <v/>
      </c>
      <c r="U1193" s="32" t="str">
        <f t="shared" si="331"/>
        <v/>
      </c>
      <c r="V1193" s="32">
        <f t="shared" si="332"/>
        <v>1</v>
      </c>
      <c r="W1193" s="41">
        <f t="shared" si="329"/>
        <v>3.0299575003816841</v>
      </c>
      <c r="X1193" s="6">
        <f t="shared" si="330"/>
        <v>0</v>
      </c>
      <c r="Y1193" s="7">
        <f t="shared" si="333"/>
        <v>567</v>
      </c>
      <c r="AA1193" s="7">
        <f t="shared" si="334"/>
        <v>0</v>
      </c>
      <c r="AB1193" s="7" t="str">
        <f t="shared" si="335"/>
        <v/>
      </c>
      <c r="AC1193" s="7">
        <f t="shared" si="336"/>
        <v>0</v>
      </c>
      <c r="AD1193" s="7" t="str">
        <f t="shared" si="337"/>
        <v/>
      </c>
      <c r="AE1193" s="6">
        <f t="shared" si="338"/>
        <v>0</v>
      </c>
      <c r="AF1193" s="69">
        <f t="shared" si="339"/>
        <v>3.0299575003816841</v>
      </c>
      <c r="AG1193" s="6">
        <f t="shared" si="340"/>
        <v>0</v>
      </c>
      <c r="AH1193" s="6">
        <f t="shared" si="341"/>
        <v>604</v>
      </c>
    </row>
    <row r="1194" spans="8:34" x14ac:dyDescent="0.25">
      <c r="H1194" s="7">
        <v>1201</v>
      </c>
      <c r="I1194" s="7" t="s">
        <v>9</v>
      </c>
      <c r="J1194" s="8">
        <v>39068</v>
      </c>
      <c r="K1194" s="12" t="s">
        <v>16</v>
      </c>
      <c r="L1194" s="9">
        <v>66</v>
      </c>
      <c r="M1194" s="10">
        <v>199.89422548511391</v>
      </c>
      <c r="N1194" s="7" t="s">
        <v>21</v>
      </c>
      <c r="P1194" s="29" t="str">
        <f t="shared" si="324"/>
        <v/>
      </c>
      <c r="Q1194" s="29" t="str">
        <f t="shared" si="325"/>
        <v/>
      </c>
      <c r="R1194" s="29" t="str">
        <f t="shared" si="326"/>
        <v/>
      </c>
      <c r="S1194" s="29" t="str">
        <f t="shared" si="327"/>
        <v/>
      </c>
      <c r="T1194" s="32" t="str">
        <f t="shared" si="328"/>
        <v/>
      </c>
      <c r="U1194" s="32" t="str">
        <f t="shared" si="331"/>
        <v/>
      </c>
      <c r="V1194" s="32">
        <f t="shared" si="332"/>
        <v>1</v>
      </c>
      <c r="W1194" s="41">
        <f t="shared" si="329"/>
        <v>3.0287003861380897</v>
      </c>
      <c r="X1194" s="6">
        <f t="shared" si="330"/>
        <v>0</v>
      </c>
      <c r="Y1194" s="7">
        <f t="shared" si="333"/>
        <v>567</v>
      </c>
      <c r="AA1194" s="7">
        <f t="shared" si="334"/>
        <v>0</v>
      </c>
      <c r="AB1194" s="7" t="str">
        <f t="shared" si="335"/>
        <v/>
      </c>
      <c r="AC1194" s="7">
        <f t="shared" si="336"/>
        <v>0</v>
      </c>
      <c r="AD1194" s="7" t="str">
        <f t="shared" si="337"/>
        <v/>
      </c>
      <c r="AE1194" s="6">
        <f t="shared" si="338"/>
        <v>0</v>
      </c>
      <c r="AF1194" s="69">
        <f t="shared" si="339"/>
        <v>3.0287003861380897</v>
      </c>
      <c r="AG1194" s="6">
        <f t="shared" si="340"/>
        <v>0</v>
      </c>
      <c r="AH1194" s="6">
        <f t="shared" si="341"/>
        <v>604</v>
      </c>
    </row>
    <row r="1195" spans="8:34" x14ac:dyDescent="0.25">
      <c r="H1195" s="7">
        <v>1202</v>
      </c>
      <c r="I1195" s="7" t="s">
        <v>13</v>
      </c>
      <c r="J1195" s="8">
        <v>38485</v>
      </c>
      <c r="K1195" s="12" t="s">
        <v>20</v>
      </c>
      <c r="L1195" s="9">
        <v>84</v>
      </c>
      <c r="M1195" s="10">
        <v>254.09765790734036</v>
      </c>
      <c r="N1195" s="7" t="s">
        <v>24</v>
      </c>
      <c r="P1195" s="29" t="str">
        <f t="shared" si="324"/>
        <v/>
      </c>
      <c r="Q1195" s="29" t="str">
        <f t="shared" si="325"/>
        <v/>
      </c>
      <c r="R1195" s="29" t="str">
        <f t="shared" si="326"/>
        <v/>
      </c>
      <c r="S1195" s="29" t="str">
        <f t="shared" si="327"/>
        <v/>
      </c>
      <c r="T1195" s="32" t="str">
        <f t="shared" si="328"/>
        <v/>
      </c>
      <c r="U1195" s="32">
        <f t="shared" si="331"/>
        <v>1</v>
      </c>
      <c r="V1195" s="32" t="str">
        <f t="shared" si="332"/>
        <v/>
      </c>
      <c r="W1195" s="41">
        <f t="shared" si="329"/>
        <v>3.0249721179445279</v>
      </c>
      <c r="X1195" s="6">
        <f t="shared" si="330"/>
        <v>254.09765790734036</v>
      </c>
      <c r="Y1195" s="7">
        <f t="shared" si="333"/>
        <v>72</v>
      </c>
      <c r="AA1195" s="7">
        <f t="shared" si="334"/>
        <v>0</v>
      </c>
      <c r="AB1195" s="7" t="str">
        <f t="shared" si="335"/>
        <v/>
      </c>
      <c r="AC1195" s="7">
        <f t="shared" si="336"/>
        <v>1</v>
      </c>
      <c r="AD1195" s="7">
        <f t="shared" si="337"/>
        <v>84</v>
      </c>
      <c r="AE1195" s="6">
        <f t="shared" si="338"/>
        <v>0</v>
      </c>
      <c r="AF1195" s="69">
        <f t="shared" si="339"/>
        <v>3.0249721179445279</v>
      </c>
      <c r="AG1195" s="6">
        <f t="shared" si="340"/>
        <v>0</v>
      </c>
      <c r="AH1195" s="6">
        <f t="shared" si="341"/>
        <v>604</v>
      </c>
    </row>
    <row r="1196" spans="8:34" x14ac:dyDescent="0.25">
      <c r="H1196" s="7">
        <v>1203</v>
      </c>
      <c r="I1196" s="7" t="s">
        <v>7</v>
      </c>
      <c r="J1196" s="8">
        <v>38793</v>
      </c>
      <c r="K1196" s="12" t="s">
        <v>20</v>
      </c>
      <c r="L1196" s="9">
        <v>35</v>
      </c>
      <c r="M1196" s="10">
        <v>107.42230334811192</v>
      </c>
      <c r="N1196" s="7" t="s">
        <v>21</v>
      </c>
      <c r="P1196" s="29" t="str">
        <f t="shared" si="324"/>
        <v/>
      </c>
      <c r="Q1196" s="29" t="str">
        <f t="shared" si="325"/>
        <v/>
      </c>
      <c r="R1196" s="29" t="str">
        <f t="shared" si="326"/>
        <v/>
      </c>
      <c r="S1196" s="29" t="str">
        <f t="shared" si="327"/>
        <v/>
      </c>
      <c r="T1196" s="32" t="str">
        <f t="shared" si="328"/>
        <v/>
      </c>
      <c r="U1196" s="32" t="str">
        <f t="shared" si="331"/>
        <v/>
      </c>
      <c r="V1196" s="32">
        <f t="shared" si="332"/>
        <v>1</v>
      </c>
      <c r="W1196" s="41">
        <f t="shared" si="329"/>
        <v>3.0692086670889123</v>
      </c>
      <c r="X1196" s="6">
        <f t="shared" si="330"/>
        <v>0</v>
      </c>
      <c r="Y1196" s="7">
        <f t="shared" si="333"/>
        <v>567</v>
      </c>
      <c r="AA1196" s="7">
        <f t="shared" si="334"/>
        <v>0</v>
      </c>
      <c r="AB1196" s="7" t="str">
        <f t="shared" si="335"/>
        <v/>
      </c>
      <c r="AC1196" s="7">
        <f t="shared" si="336"/>
        <v>0</v>
      </c>
      <c r="AD1196" s="7" t="str">
        <f t="shared" si="337"/>
        <v/>
      </c>
      <c r="AE1196" s="6">
        <f t="shared" si="338"/>
        <v>0</v>
      </c>
      <c r="AF1196" s="69">
        <f t="shared" si="339"/>
        <v>3.0692086670889123</v>
      </c>
      <c r="AG1196" s="6">
        <f t="shared" si="340"/>
        <v>0</v>
      </c>
      <c r="AH1196" s="6">
        <f t="shared" si="341"/>
        <v>604</v>
      </c>
    </row>
    <row r="1197" spans="8:34" x14ac:dyDescent="0.25">
      <c r="H1197" s="7">
        <v>1204</v>
      </c>
      <c r="I1197" s="7" t="s">
        <v>12</v>
      </c>
      <c r="J1197" s="8">
        <v>38144</v>
      </c>
      <c r="K1197" s="12" t="s">
        <v>20</v>
      </c>
      <c r="L1197" s="9">
        <v>94</v>
      </c>
      <c r="M1197" s="10">
        <v>284.44960047674812</v>
      </c>
      <c r="N1197" s="7" t="s">
        <v>23</v>
      </c>
      <c r="P1197" s="29" t="str">
        <f t="shared" si="324"/>
        <v/>
      </c>
      <c r="Q1197" s="29">
        <f t="shared" si="325"/>
        <v>1</v>
      </c>
      <c r="R1197" s="29" t="str">
        <f t="shared" si="326"/>
        <v/>
      </c>
      <c r="S1197" s="29" t="str">
        <f t="shared" si="327"/>
        <v/>
      </c>
      <c r="T1197" s="32" t="str">
        <f t="shared" si="328"/>
        <v/>
      </c>
      <c r="U1197" s="32" t="str">
        <f t="shared" si="331"/>
        <v/>
      </c>
      <c r="V1197" s="32" t="str">
        <f t="shared" si="332"/>
        <v/>
      </c>
      <c r="W1197" s="41">
        <f t="shared" si="329"/>
        <v>3.0260595795398735</v>
      </c>
      <c r="X1197" s="6">
        <f t="shared" si="330"/>
        <v>0</v>
      </c>
      <c r="Y1197" s="7">
        <f t="shared" si="333"/>
        <v>567</v>
      </c>
      <c r="AA1197" s="7">
        <f t="shared" si="334"/>
        <v>0</v>
      </c>
      <c r="AB1197" s="7" t="str">
        <f t="shared" si="335"/>
        <v/>
      </c>
      <c r="AC1197" s="7">
        <f t="shared" si="336"/>
        <v>0</v>
      </c>
      <c r="AD1197" s="7" t="str">
        <f t="shared" si="337"/>
        <v/>
      </c>
      <c r="AE1197" s="6">
        <f t="shared" si="338"/>
        <v>0</v>
      </c>
      <c r="AF1197" s="69">
        <f t="shared" si="339"/>
        <v>3.0260595795398735</v>
      </c>
      <c r="AG1197" s="6">
        <f t="shared" si="340"/>
        <v>284.44960047674812</v>
      </c>
      <c r="AH1197" s="6">
        <f t="shared" si="341"/>
        <v>5</v>
      </c>
    </row>
    <row r="1198" spans="8:34" x14ac:dyDescent="0.25">
      <c r="H1198" s="7">
        <v>1205</v>
      </c>
      <c r="I1198" s="7" t="s">
        <v>11</v>
      </c>
      <c r="J1198" s="8">
        <v>38452</v>
      </c>
      <c r="K1198" s="12" t="s">
        <v>17</v>
      </c>
      <c r="L1198" s="9">
        <v>26</v>
      </c>
      <c r="M1198" s="10">
        <v>80.008907895331433</v>
      </c>
      <c r="N1198" s="7" t="s">
        <v>22</v>
      </c>
      <c r="P1198" s="29" t="str">
        <f t="shared" si="324"/>
        <v/>
      </c>
      <c r="Q1198" s="29" t="str">
        <f t="shared" si="325"/>
        <v/>
      </c>
      <c r="R1198" s="29" t="str">
        <f t="shared" si="326"/>
        <v/>
      </c>
      <c r="S1198" s="29" t="str">
        <f t="shared" si="327"/>
        <v/>
      </c>
      <c r="T1198" s="32" t="str">
        <f t="shared" si="328"/>
        <v/>
      </c>
      <c r="U1198" s="32">
        <f t="shared" si="331"/>
        <v>1</v>
      </c>
      <c r="V1198" s="32" t="str">
        <f t="shared" si="332"/>
        <v/>
      </c>
      <c r="W1198" s="41">
        <f t="shared" si="329"/>
        <v>3.0772656882819782</v>
      </c>
      <c r="X1198" s="6">
        <f t="shared" si="330"/>
        <v>80.008907895331433</v>
      </c>
      <c r="Y1198" s="7">
        <f t="shared" si="333"/>
        <v>405</v>
      </c>
      <c r="AA1198" s="7">
        <f t="shared" si="334"/>
        <v>0</v>
      </c>
      <c r="AB1198" s="7" t="str">
        <f t="shared" si="335"/>
        <v/>
      </c>
      <c r="AC1198" s="7">
        <f t="shared" si="336"/>
        <v>1</v>
      </c>
      <c r="AD1198" s="7">
        <f t="shared" si="337"/>
        <v>26</v>
      </c>
      <c r="AE1198" s="6">
        <f t="shared" si="338"/>
        <v>0</v>
      </c>
      <c r="AF1198" s="69">
        <f t="shared" si="339"/>
        <v>3.0772656882819782</v>
      </c>
      <c r="AG1198" s="6">
        <f t="shared" si="340"/>
        <v>0</v>
      </c>
      <c r="AH1198" s="6">
        <f t="shared" si="341"/>
        <v>604</v>
      </c>
    </row>
    <row r="1199" spans="8:34" x14ac:dyDescent="0.25">
      <c r="H1199" s="7">
        <v>1206</v>
      </c>
      <c r="I1199" s="7" t="s">
        <v>14</v>
      </c>
      <c r="J1199" s="8">
        <v>38925</v>
      </c>
      <c r="K1199" s="12" t="s">
        <v>16</v>
      </c>
      <c r="L1199" s="9">
        <v>80</v>
      </c>
      <c r="M1199" s="10">
        <v>242.68960514739433</v>
      </c>
      <c r="N1199" s="7" t="s">
        <v>24</v>
      </c>
      <c r="P1199" s="29" t="str">
        <f t="shared" si="324"/>
        <v/>
      </c>
      <c r="Q1199" s="29" t="str">
        <f t="shared" si="325"/>
        <v/>
      </c>
      <c r="R1199" s="29" t="str">
        <f t="shared" si="326"/>
        <v/>
      </c>
      <c r="S1199" s="29" t="str">
        <f t="shared" si="327"/>
        <v/>
      </c>
      <c r="T1199" s="32" t="str">
        <f t="shared" si="328"/>
        <v/>
      </c>
      <c r="U1199" s="32" t="str">
        <f t="shared" si="331"/>
        <v/>
      </c>
      <c r="V1199" s="32">
        <f t="shared" si="332"/>
        <v>1</v>
      </c>
      <c r="W1199" s="41">
        <f t="shared" si="329"/>
        <v>3.0336200643424291</v>
      </c>
      <c r="X1199" s="6">
        <f t="shared" si="330"/>
        <v>0</v>
      </c>
      <c r="Y1199" s="7">
        <f t="shared" si="333"/>
        <v>567</v>
      </c>
      <c r="AA1199" s="7">
        <f t="shared" si="334"/>
        <v>0</v>
      </c>
      <c r="AB1199" s="7" t="str">
        <f t="shared" si="335"/>
        <v/>
      </c>
      <c r="AC1199" s="7">
        <f t="shared" si="336"/>
        <v>0</v>
      </c>
      <c r="AD1199" s="7" t="str">
        <f t="shared" si="337"/>
        <v/>
      </c>
      <c r="AE1199" s="6">
        <f t="shared" si="338"/>
        <v>0</v>
      </c>
      <c r="AF1199" s="69">
        <f t="shared" si="339"/>
        <v>3.0336200643424291</v>
      </c>
      <c r="AG1199" s="6">
        <f t="shared" si="340"/>
        <v>0</v>
      </c>
      <c r="AH1199" s="6">
        <f t="shared" si="341"/>
        <v>604</v>
      </c>
    </row>
    <row r="1200" spans="8:34" x14ac:dyDescent="0.25">
      <c r="H1200" s="7">
        <v>1207</v>
      </c>
      <c r="I1200" s="7" t="s">
        <v>12</v>
      </c>
      <c r="J1200" s="8">
        <v>38133</v>
      </c>
      <c r="K1200" s="12" t="s">
        <v>17</v>
      </c>
      <c r="L1200" s="9">
        <v>7</v>
      </c>
      <c r="M1200" s="10">
        <v>22.749084769262449</v>
      </c>
      <c r="N1200" s="7" t="s">
        <v>23</v>
      </c>
      <c r="P1200" s="29" t="str">
        <f t="shared" si="324"/>
        <v/>
      </c>
      <c r="Q1200" s="29">
        <f t="shared" si="325"/>
        <v>1</v>
      </c>
      <c r="R1200" s="29" t="str">
        <f t="shared" si="326"/>
        <v/>
      </c>
      <c r="S1200" s="29" t="str">
        <f t="shared" si="327"/>
        <v/>
      </c>
      <c r="T1200" s="32" t="str">
        <f t="shared" si="328"/>
        <v/>
      </c>
      <c r="U1200" s="32" t="str">
        <f t="shared" si="331"/>
        <v/>
      </c>
      <c r="V1200" s="32" t="str">
        <f t="shared" si="332"/>
        <v/>
      </c>
      <c r="W1200" s="41">
        <f t="shared" si="329"/>
        <v>3.2498692527517785</v>
      </c>
      <c r="X1200" s="6">
        <f t="shared" si="330"/>
        <v>0</v>
      </c>
      <c r="Y1200" s="7">
        <f t="shared" si="333"/>
        <v>567</v>
      </c>
      <c r="AA1200" s="7">
        <f t="shared" si="334"/>
        <v>0</v>
      </c>
      <c r="AB1200" s="7" t="str">
        <f t="shared" si="335"/>
        <v/>
      </c>
      <c r="AC1200" s="7">
        <f t="shared" si="336"/>
        <v>0</v>
      </c>
      <c r="AD1200" s="7" t="str">
        <f t="shared" si="337"/>
        <v/>
      </c>
      <c r="AE1200" s="6">
        <f t="shared" si="338"/>
        <v>0</v>
      </c>
      <c r="AF1200" s="69">
        <f t="shared" si="339"/>
        <v>3.2498692527517785</v>
      </c>
      <c r="AG1200" s="6">
        <f t="shared" si="340"/>
        <v>22.749084769262449</v>
      </c>
      <c r="AH1200" s="6">
        <f t="shared" si="341"/>
        <v>554</v>
      </c>
    </row>
    <row r="1201" spans="8:34" x14ac:dyDescent="0.25">
      <c r="H1201" s="7">
        <v>1208</v>
      </c>
      <c r="I1201" s="7" t="s">
        <v>8</v>
      </c>
      <c r="J1201" s="8">
        <v>38925</v>
      </c>
      <c r="K1201" s="12" t="s">
        <v>20</v>
      </c>
      <c r="L1201" s="9">
        <v>47</v>
      </c>
      <c r="M1201" s="10">
        <v>142.45293344391169</v>
      </c>
      <c r="N1201" s="7" t="s">
        <v>22</v>
      </c>
      <c r="P1201" s="29" t="str">
        <f t="shared" si="324"/>
        <v/>
      </c>
      <c r="Q1201" s="29" t="str">
        <f t="shared" si="325"/>
        <v/>
      </c>
      <c r="R1201" s="29" t="str">
        <f t="shared" si="326"/>
        <v/>
      </c>
      <c r="S1201" s="29" t="str">
        <f t="shared" si="327"/>
        <v/>
      </c>
      <c r="T1201" s="32" t="str">
        <f t="shared" si="328"/>
        <v/>
      </c>
      <c r="U1201" s="32" t="str">
        <f t="shared" si="331"/>
        <v/>
      </c>
      <c r="V1201" s="32">
        <f t="shared" si="332"/>
        <v>1</v>
      </c>
      <c r="W1201" s="41">
        <f t="shared" si="329"/>
        <v>3.0309134775300359</v>
      </c>
      <c r="X1201" s="6">
        <f t="shared" si="330"/>
        <v>0</v>
      </c>
      <c r="Y1201" s="7">
        <f t="shared" si="333"/>
        <v>567</v>
      </c>
      <c r="AA1201" s="7">
        <f t="shared" si="334"/>
        <v>0</v>
      </c>
      <c r="AB1201" s="7" t="str">
        <f t="shared" si="335"/>
        <v/>
      </c>
      <c r="AC1201" s="7">
        <f t="shared" si="336"/>
        <v>0</v>
      </c>
      <c r="AD1201" s="7" t="str">
        <f t="shared" si="337"/>
        <v/>
      </c>
      <c r="AE1201" s="6">
        <f t="shared" si="338"/>
        <v>0</v>
      </c>
      <c r="AF1201" s="69">
        <f t="shared" si="339"/>
        <v>3.0309134775300359</v>
      </c>
      <c r="AG1201" s="6">
        <f t="shared" si="340"/>
        <v>0</v>
      </c>
      <c r="AH1201" s="6">
        <f t="shared" si="341"/>
        <v>604</v>
      </c>
    </row>
    <row r="1202" spans="8:34" x14ac:dyDescent="0.25">
      <c r="H1202" s="7">
        <v>1209</v>
      </c>
      <c r="I1202" s="7" t="s">
        <v>11</v>
      </c>
      <c r="J1202" s="8">
        <v>38243</v>
      </c>
      <c r="K1202" s="12" t="s">
        <v>17</v>
      </c>
      <c r="L1202" s="9">
        <v>32</v>
      </c>
      <c r="M1202" s="10">
        <v>98.66880662051085</v>
      </c>
      <c r="N1202" s="7" t="s">
        <v>23</v>
      </c>
      <c r="P1202" s="29" t="str">
        <f t="shared" si="324"/>
        <v/>
      </c>
      <c r="Q1202" s="29" t="str">
        <f t="shared" si="325"/>
        <v/>
      </c>
      <c r="R1202" s="29">
        <f t="shared" si="326"/>
        <v>1</v>
      </c>
      <c r="S1202" s="29" t="str">
        <f t="shared" si="327"/>
        <v/>
      </c>
      <c r="T1202" s="32" t="str">
        <f t="shared" si="328"/>
        <v/>
      </c>
      <c r="U1202" s="32" t="str">
        <f t="shared" si="331"/>
        <v/>
      </c>
      <c r="V1202" s="32" t="str">
        <f t="shared" si="332"/>
        <v/>
      </c>
      <c r="W1202" s="41">
        <f t="shared" si="329"/>
        <v>3.0834002068909641</v>
      </c>
      <c r="X1202" s="6">
        <f t="shared" si="330"/>
        <v>0</v>
      </c>
      <c r="Y1202" s="7">
        <f t="shared" si="333"/>
        <v>567</v>
      </c>
      <c r="AA1202" s="7">
        <f t="shared" si="334"/>
        <v>0</v>
      </c>
      <c r="AB1202" s="7" t="str">
        <f t="shared" si="335"/>
        <v/>
      </c>
      <c r="AC1202" s="7">
        <f t="shared" si="336"/>
        <v>0</v>
      </c>
      <c r="AD1202" s="7" t="str">
        <f t="shared" si="337"/>
        <v/>
      </c>
      <c r="AE1202" s="6">
        <f t="shared" si="338"/>
        <v>0</v>
      </c>
      <c r="AF1202" s="69">
        <f t="shared" si="339"/>
        <v>3.0834002068909641</v>
      </c>
      <c r="AG1202" s="6">
        <f t="shared" si="340"/>
        <v>98.66880662051085</v>
      </c>
      <c r="AH1202" s="6">
        <f t="shared" si="341"/>
        <v>376</v>
      </c>
    </row>
    <row r="1203" spans="8:34" x14ac:dyDescent="0.25">
      <c r="H1203" s="7">
        <v>1210</v>
      </c>
      <c r="I1203" s="7" t="s">
        <v>8</v>
      </c>
      <c r="J1203" s="8">
        <v>38683</v>
      </c>
      <c r="K1203" s="12" t="s">
        <v>17</v>
      </c>
      <c r="L1203" s="9">
        <v>8</v>
      </c>
      <c r="M1203" s="10">
        <v>25.397181435002494</v>
      </c>
      <c r="N1203" s="7" t="s">
        <v>23</v>
      </c>
      <c r="P1203" s="29" t="str">
        <f t="shared" si="324"/>
        <v/>
      </c>
      <c r="Q1203" s="29" t="str">
        <f t="shared" si="325"/>
        <v/>
      </c>
      <c r="R1203" s="29" t="str">
        <f t="shared" si="326"/>
        <v/>
      </c>
      <c r="S1203" s="29" t="str">
        <f t="shared" si="327"/>
        <v/>
      </c>
      <c r="T1203" s="32">
        <f t="shared" si="328"/>
        <v>1</v>
      </c>
      <c r="U1203" s="32">
        <f t="shared" si="331"/>
        <v>1</v>
      </c>
      <c r="V1203" s="32" t="str">
        <f t="shared" si="332"/>
        <v/>
      </c>
      <c r="W1203" s="41">
        <f t="shared" si="329"/>
        <v>3.1746476793753118</v>
      </c>
      <c r="X1203" s="6">
        <f t="shared" si="330"/>
        <v>25.397181435002494</v>
      </c>
      <c r="Y1203" s="7">
        <f t="shared" si="333"/>
        <v>515</v>
      </c>
      <c r="AA1203" s="7">
        <f t="shared" si="334"/>
        <v>0</v>
      </c>
      <c r="AB1203" s="7" t="str">
        <f t="shared" si="335"/>
        <v/>
      </c>
      <c r="AC1203" s="7">
        <f t="shared" si="336"/>
        <v>1</v>
      </c>
      <c r="AD1203" s="7">
        <f t="shared" si="337"/>
        <v>8</v>
      </c>
      <c r="AE1203" s="6">
        <f t="shared" si="338"/>
        <v>0</v>
      </c>
      <c r="AF1203" s="69">
        <f t="shared" si="339"/>
        <v>3.1746476793753118</v>
      </c>
      <c r="AG1203" s="6">
        <f t="shared" si="340"/>
        <v>0</v>
      </c>
      <c r="AH1203" s="6">
        <f t="shared" si="341"/>
        <v>604</v>
      </c>
    </row>
    <row r="1204" spans="8:34" x14ac:dyDescent="0.25">
      <c r="H1204" s="7">
        <v>1211</v>
      </c>
      <c r="I1204" s="7" t="s">
        <v>9</v>
      </c>
      <c r="J1204" s="8">
        <v>38199</v>
      </c>
      <c r="K1204" s="12" t="s">
        <v>20</v>
      </c>
      <c r="L1204" s="9">
        <v>33</v>
      </c>
      <c r="M1204" s="10">
        <v>100.90835792644413</v>
      </c>
      <c r="N1204" s="7" t="s">
        <v>22</v>
      </c>
      <c r="P1204" s="29" t="str">
        <f t="shared" si="324"/>
        <v/>
      </c>
      <c r="Q1204" s="29" t="str">
        <f t="shared" si="325"/>
        <v/>
      </c>
      <c r="R1204" s="29">
        <f t="shared" si="326"/>
        <v>1</v>
      </c>
      <c r="S1204" s="29" t="str">
        <f t="shared" si="327"/>
        <v/>
      </c>
      <c r="T1204" s="32" t="str">
        <f t="shared" si="328"/>
        <v/>
      </c>
      <c r="U1204" s="32" t="str">
        <f t="shared" si="331"/>
        <v/>
      </c>
      <c r="V1204" s="32" t="str">
        <f t="shared" si="332"/>
        <v/>
      </c>
      <c r="W1204" s="41">
        <f t="shared" si="329"/>
        <v>3.0578290280740643</v>
      </c>
      <c r="X1204" s="6">
        <f t="shared" si="330"/>
        <v>0</v>
      </c>
      <c r="Y1204" s="7">
        <f t="shared" si="333"/>
        <v>567</v>
      </c>
      <c r="AA1204" s="7">
        <f t="shared" si="334"/>
        <v>0</v>
      </c>
      <c r="AB1204" s="7" t="str">
        <f t="shared" si="335"/>
        <v/>
      </c>
      <c r="AC1204" s="7">
        <f t="shared" si="336"/>
        <v>0</v>
      </c>
      <c r="AD1204" s="7" t="str">
        <f t="shared" si="337"/>
        <v/>
      </c>
      <c r="AE1204" s="6">
        <f t="shared" si="338"/>
        <v>0</v>
      </c>
      <c r="AF1204" s="69">
        <f t="shared" si="339"/>
        <v>3.0578290280740643</v>
      </c>
      <c r="AG1204" s="6">
        <f t="shared" si="340"/>
        <v>100.90835792644413</v>
      </c>
      <c r="AH1204" s="6">
        <f t="shared" si="341"/>
        <v>372</v>
      </c>
    </row>
    <row r="1205" spans="8:34" x14ac:dyDescent="0.25">
      <c r="H1205" s="7">
        <v>1212</v>
      </c>
      <c r="I1205" s="7" t="s">
        <v>14</v>
      </c>
      <c r="J1205" s="8">
        <v>38232</v>
      </c>
      <c r="K1205" s="12" t="s">
        <v>16</v>
      </c>
      <c r="L1205" s="9">
        <v>22</v>
      </c>
      <c r="M1205" s="10">
        <v>68.443266596535878</v>
      </c>
      <c r="N1205" s="7" t="s">
        <v>24</v>
      </c>
      <c r="P1205" s="29" t="str">
        <f t="shared" si="324"/>
        <v/>
      </c>
      <c r="Q1205" s="29" t="str">
        <f t="shared" si="325"/>
        <v/>
      </c>
      <c r="R1205" s="29">
        <f t="shared" si="326"/>
        <v>1</v>
      </c>
      <c r="S1205" s="29" t="str">
        <f t="shared" si="327"/>
        <v/>
      </c>
      <c r="T1205" s="32" t="str">
        <f t="shared" si="328"/>
        <v/>
      </c>
      <c r="U1205" s="32" t="str">
        <f t="shared" si="331"/>
        <v/>
      </c>
      <c r="V1205" s="32" t="str">
        <f t="shared" si="332"/>
        <v/>
      </c>
      <c r="W1205" s="41">
        <f t="shared" si="329"/>
        <v>3.1110575725698126</v>
      </c>
      <c r="X1205" s="6">
        <f t="shared" si="330"/>
        <v>0</v>
      </c>
      <c r="Y1205" s="7">
        <f t="shared" si="333"/>
        <v>567</v>
      </c>
      <c r="AA1205" s="7">
        <f t="shared" si="334"/>
        <v>0</v>
      </c>
      <c r="AB1205" s="7" t="str">
        <f t="shared" si="335"/>
        <v/>
      </c>
      <c r="AC1205" s="7">
        <f t="shared" si="336"/>
        <v>0</v>
      </c>
      <c r="AD1205" s="7" t="str">
        <f t="shared" si="337"/>
        <v/>
      </c>
      <c r="AE1205" s="6">
        <f t="shared" si="338"/>
        <v>0</v>
      </c>
      <c r="AF1205" s="69">
        <f t="shared" si="339"/>
        <v>3.1110575725698126</v>
      </c>
      <c r="AG1205" s="6">
        <f t="shared" si="340"/>
        <v>68.443266596535878</v>
      </c>
      <c r="AH1205" s="6">
        <f t="shared" si="341"/>
        <v>444</v>
      </c>
    </row>
    <row r="1206" spans="8:34" x14ac:dyDescent="0.25">
      <c r="H1206" s="7">
        <v>1213</v>
      </c>
      <c r="I1206" s="7" t="s">
        <v>15</v>
      </c>
      <c r="J1206" s="8">
        <v>38650</v>
      </c>
      <c r="K1206" s="12" t="s">
        <v>17</v>
      </c>
      <c r="L1206" s="9">
        <v>81</v>
      </c>
      <c r="M1206" s="10">
        <v>244.7024907032648</v>
      </c>
      <c r="N1206" s="7" t="s">
        <v>21</v>
      </c>
      <c r="P1206" s="29" t="str">
        <f t="shared" si="324"/>
        <v/>
      </c>
      <c r="Q1206" s="29" t="str">
        <f t="shared" si="325"/>
        <v/>
      </c>
      <c r="R1206" s="29" t="str">
        <f t="shared" si="326"/>
        <v/>
      </c>
      <c r="S1206" s="29" t="str">
        <f t="shared" si="327"/>
        <v/>
      </c>
      <c r="T1206" s="32">
        <f t="shared" si="328"/>
        <v>1</v>
      </c>
      <c r="U1206" s="32">
        <f t="shared" si="331"/>
        <v>1</v>
      </c>
      <c r="V1206" s="32" t="str">
        <f t="shared" si="332"/>
        <v/>
      </c>
      <c r="W1206" s="41">
        <f t="shared" si="329"/>
        <v>3.02101840374401</v>
      </c>
      <c r="X1206" s="6">
        <f t="shared" si="330"/>
        <v>244.7024907032648</v>
      </c>
      <c r="Y1206" s="7">
        <f t="shared" si="333"/>
        <v>97</v>
      </c>
      <c r="AA1206" s="7">
        <f t="shared" si="334"/>
        <v>0</v>
      </c>
      <c r="AB1206" s="7" t="str">
        <f t="shared" si="335"/>
        <v/>
      </c>
      <c r="AC1206" s="7">
        <f t="shared" si="336"/>
        <v>1</v>
      </c>
      <c r="AD1206" s="7">
        <f t="shared" si="337"/>
        <v>81</v>
      </c>
      <c r="AE1206" s="6">
        <f t="shared" si="338"/>
        <v>0</v>
      </c>
      <c r="AF1206" s="69">
        <f t="shared" si="339"/>
        <v>3.02101840374401</v>
      </c>
      <c r="AG1206" s="6">
        <f t="shared" si="340"/>
        <v>0</v>
      </c>
      <c r="AH1206" s="6">
        <f t="shared" si="341"/>
        <v>604</v>
      </c>
    </row>
    <row r="1207" spans="8:34" x14ac:dyDescent="0.25">
      <c r="H1207" s="7">
        <v>1214</v>
      </c>
      <c r="I1207" s="7" t="s">
        <v>15</v>
      </c>
      <c r="J1207" s="8">
        <v>38881</v>
      </c>
      <c r="K1207" s="12" t="s">
        <v>19</v>
      </c>
      <c r="L1207" s="9">
        <v>81</v>
      </c>
      <c r="M1207" s="10">
        <v>244.87385074051761</v>
      </c>
      <c r="N1207" s="7" t="s">
        <v>22</v>
      </c>
      <c r="P1207" s="29" t="str">
        <f t="shared" si="324"/>
        <v/>
      </c>
      <c r="Q1207" s="29" t="str">
        <f t="shared" si="325"/>
        <v/>
      </c>
      <c r="R1207" s="29" t="str">
        <f t="shared" si="326"/>
        <v/>
      </c>
      <c r="S1207" s="29" t="str">
        <f t="shared" si="327"/>
        <v/>
      </c>
      <c r="T1207" s="32" t="str">
        <f t="shared" si="328"/>
        <v/>
      </c>
      <c r="U1207" s="32" t="str">
        <f t="shared" si="331"/>
        <v/>
      </c>
      <c r="V1207" s="32">
        <f t="shared" si="332"/>
        <v>1</v>
      </c>
      <c r="W1207" s="41">
        <f t="shared" si="329"/>
        <v>3.0231339597594769</v>
      </c>
      <c r="X1207" s="6">
        <f t="shared" si="330"/>
        <v>0</v>
      </c>
      <c r="Y1207" s="7">
        <f t="shared" si="333"/>
        <v>567</v>
      </c>
      <c r="AA1207" s="7">
        <f t="shared" si="334"/>
        <v>0</v>
      </c>
      <c r="AB1207" s="7" t="str">
        <f t="shared" si="335"/>
        <v/>
      </c>
      <c r="AC1207" s="7">
        <f t="shared" si="336"/>
        <v>0</v>
      </c>
      <c r="AD1207" s="7" t="str">
        <f t="shared" si="337"/>
        <v/>
      </c>
      <c r="AE1207" s="6">
        <f t="shared" si="338"/>
        <v>0</v>
      </c>
      <c r="AF1207" s="69">
        <f t="shared" si="339"/>
        <v>3.0231339597594769</v>
      </c>
      <c r="AG1207" s="6">
        <f t="shared" si="340"/>
        <v>0</v>
      </c>
      <c r="AH1207" s="6">
        <f t="shared" si="341"/>
        <v>604</v>
      </c>
    </row>
    <row r="1208" spans="8:34" x14ac:dyDescent="0.25">
      <c r="H1208" s="7">
        <v>1215</v>
      </c>
      <c r="I1208" s="7" t="s">
        <v>9</v>
      </c>
      <c r="J1208" s="8">
        <v>38199</v>
      </c>
      <c r="K1208" s="12" t="s">
        <v>18</v>
      </c>
      <c r="L1208" s="9">
        <v>30</v>
      </c>
      <c r="M1208" s="10">
        <v>91.738843901415805</v>
      </c>
      <c r="N1208" s="7" t="s">
        <v>21</v>
      </c>
      <c r="P1208" s="29" t="str">
        <f t="shared" si="324"/>
        <v/>
      </c>
      <c r="Q1208" s="29" t="str">
        <f t="shared" si="325"/>
        <v/>
      </c>
      <c r="R1208" s="29">
        <f t="shared" si="326"/>
        <v>1</v>
      </c>
      <c r="S1208" s="29" t="str">
        <f t="shared" si="327"/>
        <v/>
      </c>
      <c r="T1208" s="32" t="str">
        <f t="shared" si="328"/>
        <v/>
      </c>
      <c r="U1208" s="32" t="str">
        <f t="shared" si="331"/>
        <v/>
      </c>
      <c r="V1208" s="32" t="str">
        <f t="shared" si="332"/>
        <v/>
      </c>
      <c r="W1208" s="41">
        <f t="shared" si="329"/>
        <v>3.057961463380527</v>
      </c>
      <c r="X1208" s="6">
        <f t="shared" si="330"/>
        <v>0</v>
      </c>
      <c r="Y1208" s="7">
        <f t="shared" si="333"/>
        <v>567</v>
      </c>
      <c r="AA1208" s="7">
        <f t="shared" si="334"/>
        <v>0</v>
      </c>
      <c r="AB1208" s="7" t="str">
        <f t="shared" si="335"/>
        <v/>
      </c>
      <c r="AC1208" s="7">
        <f t="shared" si="336"/>
        <v>0</v>
      </c>
      <c r="AD1208" s="7" t="str">
        <f t="shared" si="337"/>
        <v/>
      </c>
      <c r="AE1208" s="6">
        <f t="shared" si="338"/>
        <v>0</v>
      </c>
      <c r="AF1208" s="69">
        <f t="shared" si="339"/>
        <v>3.057961463380527</v>
      </c>
      <c r="AG1208" s="6">
        <f t="shared" si="340"/>
        <v>91.738843901415805</v>
      </c>
      <c r="AH1208" s="6">
        <f t="shared" si="341"/>
        <v>397</v>
      </c>
    </row>
    <row r="1209" spans="8:34" x14ac:dyDescent="0.25">
      <c r="H1209" s="7">
        <v>1216</v>
      </c>
      <c r="I1209" s="7" t="s">
        <v>10</v>
      </c>
      <c r="J1209" s="8">
        <v>38243</v>
      </c>
      <c r="K1209" s="12" t="s">
        <v>17</v>
      </c>
      <c r="L1209" s="9">
        <v>-1</v>
      </c>
      <c r="M1209" s="10">
        <v>-1.145171893891844</v>
      </c>
      <c r="N1209" s="7" t="s">
        <v>23</v>
      </c>
      <c r="P1209" s="29" t="str">
        <f t="shared" si="324"/>
        <v/>
      </c>
      <c r="Q1209" s="29" t="str">
        <f t="shared" si="325"/>
        <v/>
      </c>
      <c r="R1209" s="29">
        <f t="shared" si="326"/>
        <v>1</v>
      </c>
      <c r="S1209" s="29" t="str">
        <f t="shared" si="327"/>
        <v/>
      </c>
      <c r="T1209" s="32" t="str">
        <f t="shared" si="328"/>
        <v/>
      </c>
      <c r="U1209" s="32" t="str">
        <f t="shared" si="331"/>
        <v/>
      </c>
      <c r="V1209" s="32" t="str">
        <f t="shared" si="332"/>
        <v/>
      </c>
      <c r="W1209" s="41" t="str">
        <f t="shared" si="329"/>
        <v/>
      </c>
      <c r="X1209" s="6">
        <f t="shared" si="330"/>
        <v>0</v>
      </c>
      <c r="Y1209" s="7">
        <f t="shared" si="333"/>
        <v>567</v>
      </c>
      <c r="AA1209" s="7">
        <f t="shared" si="334"/>
        <v>0</v>
      </c>
      <c r="AB1209" s="7" t="str">
        <f t="shared" si="335"/>
        <v/>
      </c>
      <c r="AC1209" s="7">
        <f t="shared" si="336"/>
        <v>0</v>
      </c>
      <c r="AD1209" s="7" t="str">
        <f t="shared" si="337"/>
        <v/>
      </c>
      <c r="AE1209" s="6">
        <f t="shared" si="338"/>
        <v>-1</v>
      </c>
      <c r="AF1209" s="69" t="str">
        <f t="shared" si="339"/>
        <v/>
      </c>
      <c r="AG1209" s="6">
        <f t="shared" si="340"/>
        <v>0</v>
      </c>
      <c r="AH1209" s="6">
        <f t="shared" si="341"/>
        <v>604</v>
      </c>
    </row>
    <row r="1210" spans="8:34" x14ac:dyDescent="0.25">
      <c r="H1210" s="7">
        <v>1217</v>
      </c>
      <c r="I1210" s="7" t="s">
        <v>8</v>
      </c>
      <c r="J1210" s="8">
        <v>38859</v>
      </c>
      <c r="K1210" s="12" t="s">
        <v>20</v>
      </c>
      <c r="L1210" s="9">
        <v>35</v>
      </c>
      <c r="M1210" s="10">
        <v>106.85440305953027</v>
      </c>
      <c r="N1210" s="7" t="s">
        <v>22</v>
      </c>
      <c r="P1210" s="29" t="str">
        <f t="shared" si="324"/>
        <v/>
      </c>
      <c r="Q1210" s="29" t="str">
        <f t="shared" si="325"/>
        <v/>
      </c>
      <c r="R1210" s="29" t="str">
        <f t="shared" si="326"/>
        <v/>
      </c>
      <c r="S1210" s="29" t="str">
        <f t="shared" si="327"/>
        <v/>
      </c>
      <c r="T1210" s="32" t="str">
        <f t="shared" si="328"/>
        <v/>
      </c>
      <c r="U1210" s="32" t="str">
        <f t="shared" si="331"/>
        <v/>
      </c>
      <c r="V1210" s="32">
        <f t="shared" si="332"/>
        <v>1</v>
      </c>
      <c r="W1210" s="41">
        <f t="shared" si="329"/>
        <v>3.0529829445580079</v>
      </c>
      <c r="X1210" s="6">
        <f t="shared" si="330"/>
        <v>0</v>
      </c>
      <c r="Y1210" s="7">
        <f t="shared" si="333"/>
        <v>567</v>
      </c>
      <c r="AA1210" s="7">
        <f t="shared" si="334"/>
        <v>0</v>
      </c>
      <c r="AB1210" s="7" t="str">
        <f t="shared" si="335"/>
        <v/>
      </c>
      <c r="AC1210" s="7">
        <f t="shared" si="336"/>
        <v>0</v>
      </c>
      <c r="AD1210" s="7" t="str">
        <f t="shared" si="337"/>
        <v/>
      </c>
      <c r="AE1210" s="6">
        <f t="shared" si="338"/>
        <v>0</v>
      </c>
      <c r="AF1210" s="69">
        <f t="shared" si="339"/>
        <v>3.0529829445580079</v>
      </c>
      <c r="AG1210" s="6">
        <f t="shared" si="340"/>
        <v>0</v>
      </c>
      <c r="AH1210" s="6">
        <f t="shared" si="341"/>
        <v>604</v>
      </c>
    </row>
    <row r="1211" spans="8:34" x14ac:dyDescent="0.25">
      <c r="H1211" s="7">
        <v>1218</v>
      </c>
      <c r="I1211" s="7" t="s">
        <v>15</v>
      </c>
      <c r="J1211" s="8">
        <v>38793</v>
      </c>
      <c r="K1211" s="12" t="s">
        <v>20</v>
      </c>
      <c r="L1211" s="9">
        <v>78</v>
      </c>
      <c r="M1211" s="10">
        <v>235.96052865922752</v>
      </c>
      <c r="N1211" s="7" t="s">
        <v>23</v>
      </c>
      <c r="P1211" s="29" t="str">
        <f t="shared" si="324"/>
        <v/>
      </c>
      <c r="Q1211" s="29" t="str">
        <f t="shared" si="325"/>
        <v/>
      </c>
      <c r="R1211" s="29" t="str">
        <f t="shared" si="326"/>
        <v/>
      </c>
      <c r="S1211" s="29" t="str">
        <f t="shared" si="327"/>
        <v/>
      </c>
      <c r="T1211" s="32" t="str">
        <f t="shared" si="328"/>
        <v/>
      </c>
      <c r="U1211" s="32" t="str">
        <f t="shared" si="331"/>
        <v/>
      </c>
      <c r="V1211" s="32">
        <f t="shared" si="332"/>
        <v>1</v>
      </c>
      <c r="W1211" s="41">
        <f t="shared" si="329"/>
        <v>3.0251349828106093</v>
      </c>
      <c r="X1211" s="6">
        <f t="shared" si="330"/>
        <v>0</v>
      </c>
      <c r="Y1211" s="7">
        <f t="shared" si="333"/>
        <v>567</v>
      </c>
      <c r="AA1211" s="7">
        <f t="shared" si="334"/>
        <v>0</v>
      </c>
      <c r="AB1211" s="7" t="str">
        <f t="shared" si="335"/>
        <v/>
      </c>
      <c r="AC1211" s="7">
        <f t="shared" si="336"/>
        <v>0</v>
      </c>
      <c r="AD1211" s="7" t="str">
        <f t="shared" si="337"/>
        <v/>
      </c>
      <c r="AE1211" s="6">
        <f t="shared" si="338"/>
        <v>0</v>
      </c>
      <c r="AF1211" s="69">
        <f t="shared" si="339"/>
        <v>3.0251349828106093</v>
      </c>
      <c r="AG1211" s="6">
        <f t="shared" si="340"/>
        <v>0</v>
      </c>
      <c r="AH1211" s="6">
        <f t="shared" si="341"/>
        <v>604</v>
      </c>
    </row>
    <row r="1212" spans="8:34" x14ac:dyDescent="0.25">
      <c r="H1212" s="7">
        <v>1219</v>
      </c>
      <c r="I1212" s="7" t="s">
        <v>7</v>
      </c>
      <c r="J1212" s="8">
        <v>38936</v>
      </c>
      <c r="K1212" s="12" t="s">
        <v>17</v>
      </c>
      <c r="L1212" s="9">
        <v>15</v>
      </c>
      <c r="M1212" s="10">
        <v>47.22639965086119</v>
      </c>
      <c r="N1212" s="7" t="s">
        <v>21</v>
      </c>
      <c r="P1212" s="29" t="str">
        <f t="shared" si="324"/>
        <v/>
      </c>
      <c r="Q1212" s="29" t="str">
        <f t="shared" si="325"/>
        <v/>
      </c>
      <c r="R1212" s="29" t="str">
        <f t="shared" si="326"/>
        <v/>
      </c>
      <c r="S1212" s="29" t="str">
        <f t="shared" si="327"/>
        <v/>
      </c>
      <c r="T1212" s="32" t="str">
        <f t="shared" si="328"/>
        <v/>
      </c>
      <c r="U1212" s="32" t="str">
        <f t="shared" si="331"/>
        <v/>
      </c>
      <c r="V1212" s="32">
        <f t="shared" si="332"/>
        <v>1</v>
      </c>
      <c r="W1212" s="41">
        <f t="shared" si="329"/>
        <v>3.1484266433907462</v>
      </c>
      <c r="X1212" s="6">
        <f t="shared" si="330"/>
        <v>0</v>
      </c>
      <c r="Y1212" s="7">
        <f t="shared" si="333"/>
        <v>567</v>
      </c>
      <c r="AA1212" s="7">
        <f t="shared" si="334"/>
        <v>0</v>
      </c>
      <c r="AB1212" s="7" t="str">
        <f t="shared" si="335"/>
        <v/>
      </c>
      <c r="AC1212" s="7">
        <f t="shared" si="336"/>
        <v>0</v>
      </c>
      <c r="AD1212" s="7" t="str">
        <f t="shared" si="337"/>
        <v/>
      </c>
      <c r="AE1212" s="6">
        <f t="shared" si="338"/>
        <v>0</v>
      </c>
      <c r="AF1212" s="69">
        <f t="shared" si="339"/>
        <v>3.1484266433907462</v>
      </c>
      <c r="AG1212" s="6">
        <f t="shared" si="340"/>
        <v>0</v>
      </c>
      <c r="AH1212" s="6">
        <f t="shared" si="341"/>
        <v>604</v>
      </c>
    </row>
    <row r="1213" spans="8:34" x14ac:dyDescent="0.25">
      <c r="H1213" s="7">
        <v>1220</v>
      </c>
      <c r="I1213" s="7" t="s">
        <v>14</v>
      </c>
      <c r="J1213" s="8">
        <v>38375</v>
      </c>
      <c r="K1213" s="12" t="s">
        <v>20</v>
      </c>
      <c r="L1213" s="9">
        <v>75</v>
      </c>
      <c r="M1213" s="10">
        <v>226.87742764461669</v>
      </c>
      <c r="N1213" s="7" t="s">
        <v>24</v>
      </c>
      <c r="P1213" s="29" t="str">
        <f t="shared" si="324"/>
        <v/>
      </c>
      <c r="Q1213" s="29" t="str">
        <f t="shared" si="325"/>
        <v/>
      </c>
      <c r="R1213" s="29" t="str">
        <f t="shared" si="326"/>
        <v/>
      </c>
      <c r="S1213" s="29" t="str">
        <f t="shared" si="327"/>
        <v/>
      </c>
      <c r="T1213" s="32" t="str">
        <f t="shared" si="328"/>
        <v/>
      </c>
      <c r="U1213" s="32">
        <f t="shared" si="331"/>
        <v>1</v>
      </c>
      <c r="V1213" s="32" t="str">
        <f t="shared" si="332"/>
        <v/>
      </c>
      <c r="W1213" s="41">
        <f t="shared" si="329"/>
        <v>3.0250323685948892</v>
      </c>
      <c r="X1213" s="6">
        <f t="shared" si="330"/>
        <v>226.87742764461669</v>
      </c>
      <c r="Y1213" s="7">
        <f t="shared" si="333"/>
        <v>127</v>
      </c>
      <c r="AA1213" s="7">
        <f t="shared" si="334"/>
        <v>1</v>
      </c>
      <c r="AB1213" s="7">
        <f t="shared" si="335"/>
        <v>75</v>
      </c>
      <c r="AC1213" s="7">
        <f t="shared" si="336"/>
        <v>0</v>
      </c>
      <c r="AD1213" s="7" t="str">
        <f t="shared" si="337"/>
        <v/>
      </c>
      <c r="AE1213" s="6">
        <f t="shared" si="338"/>
        <v>0</v>
      </c>
      <c r="AF1213" s="69">
        <f t="shared" si="339"/>
        <v>3.0250323685948892</v>
      </c>
      <c r="AG1213" s="6">
        <f t="shared" si="340"/>
        <v>0</v>
      </c>
      <c r="AH1213" s="6">
        <f t="shared" si="341"/>
        <v>604</v>
      </c>
    </row>
    <row r="1214" spans="8:34" x14ac:dyDescent="0.25">
      <c r="H1214" s="7">
        <v>1221</v>
      </c>
      <c r="I1214" s="7" t="s">
        <v>13</v>
      </c>
      <c r="J1214" s="8">
        <v>39002</v>
      </c>
      <c r="K1214" s="12" t="s">
        <v>16</v>
      </c>
      <c r="L1214" s="9">
        <v>12</v>
      </c>
      <c r="M1214" s="10">
        <v>38.143038750044731</v>
      </c>
      <c r="N1214" s="7" t="s">
        <v>21</v>
      </c>
      <c r="P1214" s="29" t="str">
        <f t="shared" si="324"/>
        <v/>
      </c>
      <c r="Q1214" s="29" t="str">
        <f t="shared" si="325"/>
        <v/>
      </c>
      <c r="R1214" s="29" t="str">
        <f t="shared" si="326"/>
        <v/>
      </c>
      <c r="S1214" s="29" t="str">
        <f t="shared" si="327"/>
        <v/>
      </c>
      <c r="T1214" s="32" t="str">
        <f t="shared" si="328"/>
        <v/>
      </c>
      <c r="U1214" s="32" t="str">
        <f t="shared" si="331"/>
        <v/>
      </c>
      <c r="V1214" s="32">
        <f t="shared" si="332"/>
        <v>1</v>
      </c>
      <c r="W1214" s="41">
        <f t="shared" si="329"/>
        <v>3.1785865625037277</v>
      </c>
      <c r="X1214" s="6">
        <f t="shared" si="330"/>
        <v>0</v>
      </c>
      <c r="Y1214" s="7">
        <f t="shared" si="333"/>
        <v>567</v>
      </c>
      <c r="AA1214" s="7">
        <f t="shared" si="334"/>
        <v>0</v>
      </c>
      <c r="AB1214" s="7" t="str">
        <f t="shared" si="335"/>
        <v/>
      </c>
      <c r="AC1214" s="7">
        <f t="shared" si="336"/>
        <v>0</v>
      </c>
      <c r="AD1214" s="7" t="str">
        <f t="shared" si="337"/>
        <v/>
      </c>
      <c r="AE1214" s="6">
        <f t="shared" si="338"/>
        <v>0</v>
      </c>
      <c r="AF1214" s="69">
        <f t="shared" si="339"/>
        <v>3.1785865625037277</v>
      </c>
      <c r="AG1214" s="6">
        <f t="shared" si="340"/>
        <v>0</v>
      </c>
      <c r="AH1214" s="6">
        <f t="shared" si="341"/>
        <v>604</v>
      </c>
    </row>
    <row r="1215" spans="8:34" x14ac:dyDescent="0.25">
      <c r="H1215" s="7">
        <v>1222</v>
      </c>
      <c r="I1215" s="7" t="s">
        <v>12</v>
      </c>
      <c r="J1215" s="8">
        <v>38672</v>
      </c>
      <c r="K1215" s="12" t="s">
        <v>20</v>
      </c>
      <c r="L1215" s="9">
        <v>30</v>
      </c>
      <c r="M1215" s="10">
        <v>91.983337200833716</v>
      </c>
      <c r="N1215" s="7" t="s">
        <v>22</v>
      </c>
      <c r="P1215" s="29" t="str">
        <f t="shared" si="324"/>
        <v/>
      </c>
      <c r="Q1215" s="29" t="str">
        <f t="shared" si="325"/>
        <v/>
      </c>
      <c r="R1215" s="29" t="str">
        <f t="shared" si="326"/>
        <v/>
      </c>
      <c r="S1215" s="29" t="str">
        <f t="shared" si="327"/>
        <v/>
      </c>
      <c r="T1215" s="32">
        <f t="shared" si="328"/>
        <v>1</v>
      </c>
      <c r="U1215" s="32">
        <f t="shared" si="331"/>
        <v>1</v>
      </c>
      <c r="V1215" s="32" t="str">
        <f t="shared" si="332"/>
        <v/>
      </c>
      <c r="W1215" s="41">
        <f t="shared" si="329"/>
        <v>3.0661112400277903</v>
      </c>
      <c r="X1215" s="6">
        <f t="shared" si="330"/>
        <v>91.983337200833716</v>
      </c>
      <c r="Y1215" s="7">
        <f t="shared" si="333"/>
        <v>373</v>
      </c>
      <c r="AA1215" s="7">
        <f t="shared" si="334"/>
        <v>0</v>
      </c>
      <c r="AB1215" s="7" t="str">
        <f t="shared" si="335"/>
        <v/>
      </c>
      <c r="AC1215" s="7">
        <f t="shared" si="336"/>
        <v>1</v>
      </c>
      <c r="AD1215" s="7">
        <f t="shared" si="337"/>
        <v>30</v>
      </c>
      <c r="AE1215" s="6">
        <f t="shared" si="338"/>
        <v>0</v>
      </c>
      <c r="AF1215" s="69">
        <f t="shared" si="339"/>
        <v>3.0661112400277903</v>
      </c>
      <c r="AG1215" s="6">
        <f t="shared" si="340"/>
        <v>0</v>
      </c>
      <c r="AH1215" s="6">
        <f t="shared" si="341"/>
        <v>604</v>
      </c>
    </row>
    <row r="1216" spans="8:34" x14ac:dyDescent="0.25">
      <c r="H1216" s="7">
        <v>1223</v>
      </c>
      <c r="I1216" s="7" t="s">
        <v>12</v>
      </c>
      <c r="J1216" s="8">
        <v>38485</v>
      </c>
      <c r="K1216" s="12" t="s">
        <v>16</v>
      </c>
      <c r="L1216" s="9">
        <v>42</v>
      </c>
      <c r="M1216" s="10">
        <v>128.0454928316145</v>
      </c>
      <c r="N1216" s="7" t="s">
        <v>23</v>
      </c>
      <c r="P1216" s="29" t="str">
        <f t="shared" si="324"/>
        <v/>
      </c>
      <c r="Q1216" s="29" t="str">
        <f t="shared" si="325"/>
        <v/>
      </c>
      <c r="R1216" s="29" t="str">
        <f t="shared" si="326"/>
        <v/>
      </c>
      <c r="S1216" s="29" t="str">
        <f t="shared" si="327"/>
        <v/>
      </c>
      <c r="T1216" s="32" t="str">
        <f t="shared" si="328"/>
        <v/>
      </c>
      <c r="U1216" s="32">
        <f t="shared" si="331"/>
        <v>1</v>
      </c>
      <c r="V1216" s="32" t="str">
        <f t="shared" si="332"/>
        <v/>
      </c>
      <c r="W1216" s="41">
        <f t="shared" si="329"/>
        <v>3.0487022102765358</v>
      </c>
      <c r="X1216" s="6">
        <f t="shared" si="330"/>
        <v>128.0454928316145</v>
      </c>
      <c r="Y1216" s="7">
        <f t="shared" si="333"/>
        <v>305</v>
      </c>
      <c r="AA1216" s="7">
        <f t="shared" si="334"/>
        <v>0</v>
      </c>
      <c r="AB1216" s="7" t="str">
        <f t="shared" si="335"/>
        <v/>
      </c>
      <c r="AC1216" s="7">
        <f t="shared" si="336"/>
        <v>1</v>
      </c>
      <c r="AD1216" s="7">
        <f t="shared" si="337"/>
        <v>42</v>
      </c>
      <c r="AE1216" s="6">
        <f t="shared" si="338"/>
        <v>0</v>
      </c>
      <c r="AF1216" s="69">
        <f t="shared" si="339"/>
        <v>3.0487022102765358</v>
      </c>
      <c r="AG1216" s="6">
        <f t="shared" si="340"/>
        <v>0</v>
      </c>
      <c r="AH1216" s="6">
        <f t="shared" si="341"/>
        <v>604</v>
      </c>
    </row>
    <row r="1217" spans="8:34" x14ac:dyDescent="0.25">
      <c r="H1217" s="7">
        <v>1224</v>
      </c>
      <c r="I1217" s="7" t="s">
        <v>13</v>
      </c>
      <c r="J1217" s="8">
        <v>37990</v>
      </c>
      <c r="K1217" s="12" t="s">
        <v>16</v>
      </c>
      <c r="L1217" s="9">
        <v>-8</v>
      </c>
      <c r="M1217" s="10">
        <v>-22.146929145267091</v>
      </c>
      <c r="N1217" s="7" t="s">
        <v>24</v>
      </c>
      <c r="P1217" s="29">
        <f t="shared" si="324"/>
        <v>1</v>
      </c>
      <c r="Q1217" s="29" t="str">
        <f t="shared" si="325"/>
        <v/>
      </c>
      <c r="R1217" s="29" t="str">
        <f t="shared" si="326"/>
        <v/>
      </c>
      <c r="S1217" s="29" t="str">
        <f t="shared" si="327"/>
        <v/>
      </c>
      <c r="T1217" s="32" t="str">
        <f t="shared" si="328"/>
        <v/>
      </c>
      <c r="U1217" s="32" t="str">
        <f t="shared" si="331"/>
        <v/>
      </c>
      <c r="V1217" s="32" t="str">
        <f t="shared" si="332"/>
        <v/>
      </c>
      <c r="W1217" s="41" t="str">
        <f t="shared" si="329"/>
        <v/>
      </c>
      <c r="X1217" s="6">
        <f t="shared" si="330"/>
        <v>0</v>
      </c>
      <c r="Y1217" s="7">
        <f t="shared" si="333"/>
        <v>567</v>
      </c>
      <c r="AA1217" s="7">
        <f t="shared" si="334"/>
        <v>0</v>
      </c>
      <c r="AB1217" s="7" t="str">
        <f t="shared" si="335"/>
        <v/>
      </c>
      <c r="AC1217" s="7">
        <f t="shared" si="336"/>
        <v>0</v>
      </c>
      <c r="AD1217" s="7" t="str">
        <f t="shared" si="337"/>
        <v/>
      </c>
      <c r="AE1217" s="6">
        <f t="shared" si="338"/>
        <v>-8</v>
      </c>
      <c r="AF1217" s="69" t="str">
        <f t="shared" si="339"/>
        <v/>
      </c>
      <c r="AG1217" s="6">
        <f t="shared" si="340"/>
        <v>0</v>
      </c>
      <c r="AH1217" s="6">
        <f t="shared" si="341"/>
        <v>604</v>
      </c>
    </row>
    <row r="1218" spans="8:34" x14ac:dyDescent="0.25">
      <c r="H1218" s="7">
        <v>1225</v>
      </c>
      <c r="I1218" s="7" t="s">
        <v>14</v>
      </c>
      <c r="J1218" s="8">
        <v>38089</v>
      </c>
      <c r="K1218" s="12" t="s">
        <v>19</v>
      </c>
      <c r="L1218" s="9">
        <v>93</v>
      </c>
      <c r="M1218" s="10">
        <v>280.73714428830147</v>
      </c>
      <c r="N1218" s="7" t="s">
        <v>23</v>
      </c>
      <c r="P1218" s="29" t="str">
        <f t="shared" si="324"/>
        <v/>
      </c>
      <c r="Q1218" s="29">
        <f t="shared" si="325"/>
        <v>1</v>
      </c>
      <c r="R1218" s="29" t="str">
        <f t="shared" si="326"/>
        <v/>
      </c>
      <c r="S1218" s="29" t="str">
        <f t="shared" si="327"/>
        <v/>
      </c>
      <c r="T1218" s="32" t="str">
        <f t="shared" si="328"/>
        <v/>
      </c>
      <c r="U1218" s="32" t="str">
        <f t="shared" si="331"/>
        <v/>
      </c>
      <c r="V1218" s="32" t="str">
        <f t="shared" si="332"/>
        <v/>
      </c>
      <c r="W1218" s="41">
        <f t="shared" si="329"/>
        <v>3.0186789708419512</v>
      </c>
      <c r="X1218" s="6">
        <f t="shared" si="330"/>
        <v>0</v>
      </c>
      <c r="Y1218" s="7">
        <f t="shared" si="333"/>
        <v>567</v>
      </c>
      <c r="AA1218" s="7">
        <f t="shared" si="334"/>
        <v>0</v>
      </c>
      <c r="AB1218" s="7" t="str">
        <f t="shared" si="335"/>
        <v/>
      </c>
      <c r="AC1218" s="7">
        <f t="shared" si="336"/>
        <v>0</v>
      </c>
      <c r="AD1218" s="7" t="str">
        <f t="shared" si="337"/>
        <v/>
      </c>
      <c r="AE1218" s="6">
        <f t="shared" si="338"/>
        <v>0</v>
      </c>
      <c r="AF1218" s="69">
        <f t="shared" si="339"/>
        <v>3.0186789708419512</v>
      </c>
      <c r="AG1218" s="6">
        <f t="shared" si="340"/>
        <v>280.73714428830147</v>
      </c>
      <c r="AH1218" s="6">
        <f t="shared" si="341"/>
        <v>15</v>
      </c>
    </row>
    <row r="1219" spans="8:34" x14ac:dyDescent="0.25">
      <c r="H1219" s="7">
        <v>1226</v>
      </c>
      <c r="I1219" s="7" t="s">
        <v>8</v>
      </c>
      <c r="J1219" s="8">
        <v>38958</v>
      </c>
      <c r="K1219" s="12" t="s">
        <v>16</v>
      </c>
      <c r="L1219" s="9">
        <v>55</v>
      </c>
      <c r="M1219" s="10">
        <v>167.57524533229733</v>
      </c>
      <c r="N1219" s="7" t="s">
        <v>24</v>
      </c>
      <c r="P1219" s="29" t="str">
        <f t="shared" ref="P1219:P1282" si="342">IF(AND((MONTH(J1219))&lt;4,YEAR(J1219)=2004),1,"")</f>
        <v/>
      </c>
      <c r="Q1219" s="29" t="str">
        <f t="shared" ref="Q1219:Q1282" si="343">IF(AND(3&lt;(MONTH(J1219)),(MONTH(J1219)&lt;7),YEAR(J1219)=2004),1,"")</f>
        <v/>
      </c>
      <c r="R1219" s="29" t="str">
        <f t="shared" ref="R1219:R1282" si="344">IF(AND(6&lt;(MONTH(J1219)),(MONTH(J1219)&lt;10),YEAR(J1219)=2004),1,"")</f>
        <v/>
      </c>
      <c r="S1219" s="29" t="str">
        <f t="shared" ref="S1219:S1282" si="345">IF(AND(9&lt;(MONTH(J1219)),(MONTH(J1219)&lt;13),YEAR(J1219)=2004),1,"")</f>
        <v/>
      </c>
      <c r="T1219" s="32" t="str">
        <f t="shared" ref="T1219:T1282" si="346">IF(AND((9&lt;MONTH(J1219)),YEAR(J1219)=2005),1,"")</f>
        <v/>
      </c>
      <c r="U1219" s="32" t="str">
        <f t="shared" si="331"/>
        <v/>
      </c>
      <c r="V1219" s="32">
        <f t="shared" si="332"/>
        <v>1</v>
      </c>
      <c r="W1219" s="41">
        <f t="shared" ref="W1219:W1282" si="347">IF(L1219&gt;0,M1219/L1219,"")</f>
        <v>3.0468226424054059</v>
      </c>
      <c r="X1219" s="6">
        <f t="shared" ref="X1219:X1282" si="348">IF(U1219=1,M1219,0)</f>
        <v>0</v>
      </c>
      <c r="Y1219" s="7">
        <f t="shared" si="333"/>
        <v>567</v>
      </c>
      <c r="AA1219" s="7">
        <f t="shared" si="334"/>
        <v>0</v>
      </c>
      <c r="AB1219" s="7" t="str">
        <f t="shared" si="335"/>
        <v/>
      </c>
      <c r="AC1219" s="7">
        <f t="shared" si="336"/>
        <v>0</v>
      </c>
      <c r="AD1219" s="7" t="str">
        <f t="shared" si="337"/>
        <v/>
      </c>
      <c r="AE1219" s="6">
        <f t="shared" si="338"/>
        <v>0</v>
      </c>
      <c r="AF1219" s="69">
        <f t="shared" si="339"/>
        <v>3.0468226424054059</v>
      </c>
      <c r="AG1219" s="6">
        <f t="shared" si="340"/>
        <v>0</v>
      </c>
      <c r="AH1219" s="6">
        <f t="shared" si="341"/>
        <v>604</v>
      </c>
    </row>
    <row r="1220" spans="8:34" x14ac:dyDescent="0.25">
      <c r="H1220" s="7">
        <v>1227</v>
      </c>
      <c r="I1220" s="7" t="s">
        <v>9</v>
      </c>
      <c r="J1220" s="8">
        <v>38408</v>
      </c>
      <c r="K1220" s="12" t="s">
        <v>17</v>
      </c>
      <c r="L1220" s="9">
        <v>53</v>
      </c>
      <c r="M1220" s="10">
        <v>161.16756896250922</v>
      </c>
      <c r="N1220" s="7" t="s">
        <v>21</v>
      </c>
      <c r="P1220" s="29" t="str">
        <f t="shared" si="342"/>
        <v/>
      </c>
      <c r="Q1220" s="29" t="str">
        <f t="shared" si="343"/>
        <v/>
      </c>
      <c r="R1220" s="29" t="str">
        <f t="shared" si="344"/>
        <v/>
      </c>
      <c r="S1220" s="29" t="str">
        <f t="shared" si="345"/>
        <v/>
      </c>
      <c r="T1220" s="32" t="str">
        <f t="shared" si="346"/>
        <v/>
      </c>
      <c r="U1220" s="32">
        <f t="shared" ref="U1220:U1283" si="349">IF(YEAR(J1220)=2005,1,"")</f>
        <v>1</v>
      </c>
      <c r="V1220" s="32" t="str">
        <f t="shared" ref="V1220:V1283" si="350">IF(YEAR(J1220)=2006,1,"")</f>
        <v/>
      </c>
      <c r="W1220" s="41">
        <f t="shared" si="347"/>
        <v>3.0408975275945136</v>
      </c>
      <c r="X1220" s="6">
        <f t="shared" si="348"/>
        <v>161.16756896250922</v>
      </c>
      <c r="Y1220" s="7">
        <f t="shared" ref="Y1220:Y1283" si="351">RANK(X1220,$X$3:$X$1893)</f>
        <v>238</v>
      </c>
      <c r="AA1220" s="7">
        <f t="shared" ref="AA1220:AA1283" si="352">IF(AND(OR((MONTH(J1220))=1,(MONTH(J1220))=2,(MONTH(J1220))=3,(MONTH(J1220))=7,(MONTH(J1220))=8,(MONTH(J1220))=9),YEAR(J1220)=2005),1,0)</f>
        <v>1</v>
      </c>
      <c r="AB1220" s="7">
        <f t="shared" ref="AB1220:AB1283" si="353">IF(AA1220=1,L1220,"")</f>
        <v>53</v>
      </c>
      <c r="AC1220" s="7">
        <f t="shared" ref="AC1220:AC1283" si="354">IF(AND(OR((MONTH(J1220))=4,(MONTH(J1220))=5,(MONTH(J1220))=6,(MONTH(J1220))=10,(MONTH(J1220))=11,(MONTH(J1220))=12),YEAR(J1220)=2005),1,0)</f>
        <v>0</v>
      </c>
      <c r="AD1220" s="7" t="str">
        <f t="shared" ref="AD1220:AD1283" si="355">IF(AC1220=1,L1220,"")</f>
        <v/>
      </c>
      <c r="AE1220" s="6">
        <f t="shared" ref="AE1220:AE1283" si="356">IF(L1220&lt;0,L1220,0)</f>
        <v>0</v>
      </c>
      <c r="AF1220" s="69">
        <f t="shared" ref="AF1220:AF1283" si="357">IF(L1220&gt;0,W1220,"")</f>
        <v>3.0408975275945136</v>
      </c>
      <c r="AG1220" s="6">
        <f t="shared" ref="AG1220:AG1283" si="358">IF(AND((M1220&gt;0),(YEAR(J1220)=2004)),M1220,0)</f>
        <v>0</v>
      </c>
      <c r="AH1220" s="6">
        <f t="shared" ref="AH1220:AH1283" si="359">RANK(AG1220,$AG$3:$AG$1893)</f>
        <v>604</v>
      </c>
    </row>
    <row r="1221" spans="8:34" x14ac:dyDescent="0.25">
      <c r="H1221" s="7">
        <v>1228</v>
      </c>
      <c r="I1221" s="7" t="s">
        <v>13</v>
      </c>
      <c r="J1221" s="8">
        <v>38903</v>
      </c>
      <c r="K1221" s="12" t="s">
        <v>16</v>
      </c>
      <c r="L1221" s="9">
        <v>20</v>
      </c>
      <c r="M1221" s="10">
        <v>61.771223708788817</v>
      </c>
      <c r="N1221" s="7" t="s">
        <v>23</v>
      </c>
      <c r="P1221" s="29" t="str">
        <f t="shared" si="342"/>
        <v/>
      </c>
      <c r="Q1221" s="29" t="str">
        <f t="shared" si="343"/>
        <v/>
      </c>
      <c r="R1221" s="29" t="str">
        <f t="shared" si="344"/>
        <v/>
      </c>
      <c r="S1221" s="29" t="str">
        <f t="shared" si="345"/>
        <v/>
      </c>
      <c r="T1221" s="32" t="str">
        <f t="shared" si="346"/>
        <v/>
      </c>
      <c r="U1221" s="32" t="str">
        <f t="shared" si="349"/>
        <v/>
      </c>
      <c r="V1221" s="32">
        <f t="shared" si="350"/>
        <v>1</v>
      </c>
      <c r="W1221" s="41">
        <f t="shared" si="347"/>
        <v>3.088561185439441</v>
      </c>
      <c r="X1221" s="6">
        <f t="shared" si="348"/>
        <v>0</v>
      </c>
      <c r="Y1221" s="7">
        <f t="shared" si="351"/>
        <v>567</v>
      </c>
      <c r="AA1221" s="7">
        <f t="shared" si="352"/>
        <v>0</v>
      </c>
      <c r="AB1221" s="7" t="str">
        <f t="shared" si="353"/>
        <v/>
      </c>
      <c r="AC1221" s="7">
        <f t="shared" si="354"/>
        <v>0</v>
      </c>
      <c r="AD1221" s="7" t="str">
        <f t="shared" si="355"/>
        <v/>
      </c>
      <c r="AE1221" s="6">
        <f t="shared" si="356"/>
        <v>0</v>
      </c>
      <c r="AF1221" s="69">
        <f t="shared" si="357"/>
        <v>3.088561185439441</v>
      </c>
      <c r="AG1221" s="6">
        <f t="shared" si="358"/>
        <v>0</v>
      </c>
      <c r="AH1221" s="6">
        <f t="shared" si="359"/>
        <v>604</v>
      </c>
    </row>
    <row r="1222" spans="8:34" x14ac:dyDescent="0.25">
      <c r="H1222" s="7">
        <v>1229</v>
      </c>
      <c r="I1222" s="7" t="s">
        <v>10</v>
      </c>
      <c r="J1222" s="8">
        <v>38463</v>
      </c>
      <c r="K1222" s="12" t="s">
        <v>19</v>
      </c>
      <c r="L1222" s="9">
        <v>19</v>
      </c>
      <c r="M1222" s="10">
        <v>58.720890783599678</v>
      </c>
      <c r="N1222" s="7" t="s">
        <v>22</v>
      </c>
      <c r="P1222" s="29" t="str">
        <f t="shared" si="342"/>
        <v/>
      </c>
      <c r="Q1222" s="29" t="str">
        <f t="shared" si="343"/>
        <v/>
      </c>
      <c r="R1222" s="29" t="str">
        <f t="shared" si="344"/>
        <v/>
      </c>
      <c r="S1222" s="29" t="str">
        <f t="shared" si="345"/>
        <v/>
      </c>
      <c r="T1222" s="32" t="str">
        <f t="shared" si="346"/>
        <v/>
      </c>
      <c r="U1222" s="32">
        <f t="shared" si="349"/>
        <v>1</v>
      </c>
      <c r="V1222" s="32" t="str">
        <f t="shared" si="350"/>
        <v/>
      </c>
      <c r="W1222" s="41">
        <f t="shared" si="347"/>
        <v>3.0905731991368253</v>
      </c>
      <c r="X1222" s="6">
        <f t="shared" si="348"/>
        <v>58.720890783599678</v>
      </c>
      <c r="Y1222" s="7">
        <f t="shared" si="351"/>
        <v>447</v>
      </c>
      <c r="AA1222" s="7">
        <f t="shared" si="352"/>
        <v>0</v>
      </c>
      <c r="AB1222" s="7" t="str">
        <f t="shared" si="353"/>
        <v/>
      </c>
      <c r="AC1222" s="7">
        <f t="shared" si="354"/>
        <v>1</v>
      </c>
      <c r="AD1222" s="7">
        <f t="shared" si="355"/>
        <v>19</v>
      </c>
      <c r="AE1222" s="6">
        <f t="shared" si="356"/>
        <v>0</v>
      </c>
      <c r="AF1222" s="69">
        <f t="shared" si="357"/>
        <v>3.0905731991368253</v>
      </c>
      <c r="AG1222" s="6">
        <f t="shared" si="358"/>
        <v>0</v>
      </c>
      <c r="AH1222" s="6">
        <f t="shared" si="359"/>
        <v>604</v>
      </c>
    </row>
    <row r="1223" spans="8:34" x14ac:dyDescent="0.25">
      <c r="H1223" s="7">
        <v>1230</v>
      </c>
      <c r="I1223" s="7" t="s">
        <v>15</v>
      </c>
      <c r="J1223" s="8">
        <v>38375</v>
      </c>
      <c r="K1223" s="12" t="s">
        <v>20</v>
      </c>
      <c r="L1223" s="9">
        <v>23</v>
      </c>
      <c r="M1223" s="10">
        <v>70.867520556192943</v>
      </c>
      <c r="N1223" s="7" t="s">
        <v>21</v>
      </c>
      <c r="P1223" s="29" t="str">
        <f t="shared" si="342"/>
        <v/>
      </c>
      <c r="Q1223" s="29" t="str">
        <f t="shared" si="343"/>
        <v/>
      </c>
      <c r="R1223" s="29" t="str">
        <f t="shared" si="344"/>
        <v/>
      </c>
      <c r="S1223" s="29" t="str">
        <f t="shared" si="345"/>
        <v/>
      </c>
      <c r="T1223" s="32" t="str">
        <f t="shared" si="346"/>
        <v/>
      </c>
      <c r="U1223" s="32">
        <f t="shared" si="349"/>
        <v>1</v>
      </c>
      <c r="V1223" s="32" t="str">
        <f t="shared" si="350"/>
        <v/>
      </c>
      <c r="W1223" s="41">
        <f t="shared" si="347"/>
        <v>3.0811965459214323</v>
      </c>
      <c r="X1223" s="6">
        <f t="shared" si="348"/>
        <v>70.867520556192943</v>
      </c>
      <c r="Y1223" s="7">
        <f t="shared" si="351"/>
        <v>426</v>
      </c>
      <c r="AA1223" s="7">
        <f t="shared" si="352"/>
        <v>1</v>
      </c>
      <c r="AB1223" s="7">
        <f t="shared" si="353"/>
        <v>23</v>
      </c>
      <c r="AC1223" s="7">
        <f t="shared" si="354"/>
        <v>0</v>
      </c>
      <c r="AD1223" s="7" t="str">
        <f t="shared" si="355"/>
        <v/>
      </c>
      <c r="AE1223" s="6">
        <f t="shared" si="356"/>
        <v>0</v>
      </c>
      <c r="AF1223" s="69">
        <f t="shared" si="357"/>
        <v>3.0811965459214323</v>
      </c>
      <c r="AG1223" s="6">
        <f t="shared" si="358"/>
        <v>0</v>
      </c>
      <c r="AH1223" s="6">
        <f t="shared" si="359"/>
        <v>604</v>
      </c>
    </row>
    <row r="1224" spans="8:34" x14ac:dyDescent="0.25">
      <c r="H1224" s="7">
        <v>1231</v>
      </c>
      <c r="I1224" s="7" t="s">
        <v>7</v>
      </c>
      <c r="J1224" s="8">
        <v>38782</v>
      </c>
      <c r="K1224" s="12" t="s">
        <v>18</v>
      </c>
      <c r="L1224" s="9">
        <v>68</v>
      </c>
      <c r="M1224" s="10">
        <v>205.90903893366013</v>
      </c>
      <c r="N1224" s="7" t="s">
        <v>21</v>
      </c>
      <c r="P1224" s="29" t="str">
        <f t="shared" si="342"/>
        <v/>
      </c>
      <c r="Q1224" s="29" t="str">
        <f t="shared" si="343"/>
        <v/>
      </c>
      <c r="R1224" s="29" t="str">
        <f t="shared" si="344"/>
        <v/>
      </c>
      <c r="S1224" s="29" t="str">
        <f t="shared" si="345"/>
        <v/>
      </c>
      <c r="T1224" s="32" t="str">
        <f t="shared" si="346"/>
        <v/>
      </c>
      <c r="U1224" s="32" t="str">
        <f t="shared" si="349"/>
        <v/>
      </c>
      <c r="V1224" s="32">
        <f t="shared" si="350"/>
        <v>1</v>
      </c>
      <c r="W1224" s="41">
        <f t="shared" si="347"/>
        <v>3.0280741019655899</v>
      </c>
      <c r="X1224" s="6">
        <f t="shared" si="348"/>
        <v>0</v>
      </c>
      <c r="Y1224" s="7">
        <f t="shared" si="351"/>
        <v>567</v>
      </c>
      <c r="AA1224" s="7">
        <f t="shared" si="352"/>
        <v>0</v>
      </c>
      <c r="AB1224" s="7" t="str">
        <f t="shared" si="353"/>
        <v/>
      </c>
      <c r="AC1224" s="7">
        <f t="shared" si="354"/>
        <v>0</v>
      </c>
      <c r="AD1224" s="7" t="str">
        <f t="shared" si="355"/>
        <v/>
      </c>
      <c r="AE1224" s="6">
        <f t="shared" si="356"/>
        <v>0</v>
      </c>
      <c r="AF1224" s="69">
        <f t="shared" si="357"/>
        <v>3.0280741019655899</v>
      </c>
      <c r="AG1224" s="6">
        <f t="shared" si="358"/>
        <v>0</v>
      </c>
      <c r="AH1224" s="6">
        <f t="shared" si="359"/>
        <v>604</v>
      </c>
    </row>
    <row r="1225" spans="8:34" x14ac:dyDescent="0.25">
      <c r="H1225" s="7">
        <v>1232</v>
      </c>
      <c r="I1225" s="7" t="s">
        <v>11</v>
      </c>
      <c r="J1225" s="8">
        <v>38738</v>
      </c>
      <c r="K1225" s="12" t="s">
        <v>19</v>
      </c>
      <c r="L1225" s="9">
        <v>52</v>
      </c>
      <c r="M1225" s="10">
        <v>157.86201256059277</v>
      </c>
      <c r="N1225" s="7" t="s">
        <v>24</v>
      </c>
      <c r="P1225" s="29" t="str">
        <f t="shared" si="342"/>
        <v/>
      </c>
      <c r="Q1225" s="29" t="str">
        <f t="shared" si="343"/>
        <v/>
      </c>
      <c r="R1225" s="29" t="str">
        <f t="shared" si="344"/>
        <v/>
      </c>
      <c r="S1225" s="29" t="str">
        <f t="shared" si="345"/>
        <v/>
      </c>
      <c r="T1225" s="32" t="str">
        <f t="shared" si="346"/>
        <v/>
      </c>
      <c r="U1225" s="32" t="str">
        <f t="shared" si="349"/>
        <v/>
      </c>
      <c r="V1225" s="32">
        <f t="shared" si="350"/>
        <v>1</v>
      </c>
      <c r="W1225" s="41">
        <f t="shared" si="347"/>
        <v>3.0358079338575532</v>
      </c>
      <c r="X1225" s="6">
        <f t="shared" si="348"/>
        <v>0</v>
      </c>
      <c r="Y1225" s="7">
        <f t="shared" si="351"/>
        <v>567</v>
      </c>
      <c r="AA1225" s="7">
        <f t="shared" si="352"/>
        <v>0</v>
      </c>
      <c r="AB1225" s="7" t="str">
        <f t="shared" si="353"/>
        <v/>
      </c>
      <c r="AC1225" s="7">
        <f t="shared" si="354"/>
        <v>0</v>
      </c>
      <c r="AD1225" s="7" t="str">
        <f t="shared" si="355"/>
        <v/>
      </c>
      <c r="AE1225" s="6">
        <f t="shared" si="356"/>
        <v>0</v>
      </c>
      <c r="AF1225" s="69">
        <f t="shared" si="357"/>
        <v>3.0358079338575532</v>
      </c>
      <c r="AG1225" s="6">
        <f t="shared" si="358"/>
        <v>0</v>
      </c>
      <c r="AH1225" s="6">
        <f t="shared" si="359"/>
        <v>604</v>
      </c>
    </row>
    <row r="1226" spans="8:34" x14ac:dyDescent="0.25">
      <c r="H1226" s="7">
        <v>1233</v>
      </c>
      <c r="I1226" s="7" t="s">
        <v>9</v>
      </c>
      <c r="J1226" s="8">
        <v>38551</v>
      </c>
      <c r="K1226" s="12" t="s">
        <v>16</v>
      </c>
      <c r="L1226" s="9">
        <v>40</v>
      </c>
      <c r="M1226" s="10">
        <v>121.95606531866419</v>
      </c>
      <c r="N1226" s="7" t="s">
        <v>21</v>
      </c>
      <c r="P1226" s="29" t="str">
        <f t="shared" si="342"/>
        <v/>
      </c>
      <c r="Q1226" s="29" t="str">
        <f t="shared" si="343"/>
        <v/>
      </c>
      <c r="R1226" s="29" t="str">
        <f t="shared" si="344"/>
        <v/>
      </c>
      <c r="S1226" s="29" t="str">
        <f t="shared" si="345"/>
        <v/>
      </c>
      <c r="T1226" s="32" t="str">
        <f t="shared" si="346"/>
        <v/>
      </c>
      <c r="U1226" s="32">
        <f t="shared" si="349"/>
        <v>1</v>
      </c>
      <c r="V1226" s="32" t="str">
        <f t="shared" si="350"/>
        <v/>
      </c>
      <c r="W1226" s="41">
        <f t="shared" si="347"/>
        <v>3.0489016329666048</v>
      </c>
      <c r="X1226" s="6">
        <f t="shared" si="348"/>
        <v>121.95606531866419</v>
      </c>
      <c r="Y1226" s="7">
        <f t="shared" si="351"/>
        <v>316</v>
      </c>
      <c r="AA1226" s="7">
        <f t="shared" si="352"/>
        <v>1</v>
      </c>
      <c r="AB1226" s="7">
        <f t="shared" si="353"/>
        <v>40</v>
      </c>
      <c r="AC1226" s="7">
        <f t="shared" si="354"/>
        <v>0</v>
      </c>
      <c r="AD1226" s="7" t="str">
        <f t="shared" si="355"/>
        <v/>
      </c>
      <c r="AE1226" s="6">
        <f t="shared" si="356"/>
        <v>0</v>
      </c>
      <c r="AF1226" s="69">
        <f t="shared" si="357"/>
        <v>3.0489016329666048</v>
      </c>
      <c r="AG1226" s="6">
        <f t="shared" si="358"/>
        <v>0</v>
      </c>
      <c r="AH1226" s="6">
        <f t="shared" si="359"/>
        <v>604</v>
      </c>
    </row>
    <row r="1227" spans="8:34" x14ac:dyDescent="0.25">
      <c r="H1227" s="7">
        <v>1234</v>
      </c>
      <c r="I1227" s="7" t="s">
        <v>11</v>
      </c>
      <c r="J1227" s="8">
        <v>38771</v>
      </c>
      <c r="K1227" s="12" t="s">
        <v>20</v>
      </c>
      <c r="L1227" s="9">
        <v>22</v>
      </c>
      <c r="M1227" s="10">
        <v>67.708397118863431</v>
      </c>
      <c r="N1227" s="7" t="s">
        <v>23</v>
      </c>
      <c r="P1227" s="29" t="str">
        <f t="shared" si="342"/>
        <v/>
      </c>
      <c r="Q1227" s="29" t="str">
        <f t="shared" si="343"/>
        <v/>
      </c>
      <c r="R1227" s="29" t="str">
        <f t="shared" si="344"/>
        <v/>
      </c>
      <c r="S1227" s="29" t="str">
        <f t="shared" si="345"/>
        <v/>
      </c>
      <c r="T1227" s="32" t="str">
        <f t="shared" si="346"/>
        <v/>
      </c>
      <c r="U1227" s="32" t="str">
        <f t="shared" si="349"/>
        <v/>
      </c>
      <c r="V1227" s="32">
        <f t="shared" si="350"/>
        <v>1</v>
      </c>
      <c r="W1227" s="41">
        <f t="shared" si="347"/>
        <v>3.0776544144937925</v>
      </c>
      <c r="X1227" s="6">
        <f t="shared" si="348"/>
        <v>0</v>
      </c>
      <c r="Y1227" s="7">
        <f t="shared" si="351"/>
        <v>567</v>
      </c>
      <c r="AA1227" s="7">
        <f t="shared" si="352"/>
        <v>0</v>
      </c>
      <c r="AB1227" s="7" t="str">
        <f t="shared" si="353"/>
        <v/>
      </c>
      <c r="AC1227" s="7">
        <f t="shared" si="354"/>
        <v>0</v>
      </c>
      <c r="AD1227" s="7" t="str">
        <f t="shared" si="355"/>
        <v/>
      </c>
      <c r="AE1227" s="6">
        <f t="shared" si="356"/>
        <v>0</v>
      </c>
      <c r="AF1227" s="69">
        <f t="shared" si="357"/>
        <v>3.0776544144937925</v>
      </c>
      <c r="AG1227" s="6">
        <f t="shared" si="358"/>
        <v>0</v>
      </c>
      <c r="AH1227" s="6">
        <f t="shared" si="359"/>
        <v>604</v>
      </c>
    </row>
    <row r="1228" spans="8:34" x14ac:dyDescent="0.25">
      <c r="H1228" s="7">
        <v>1235</v>
      </c>
      <c r="I1228" s="7" t="s">
        <v>11</v>
      </c>
      <c r="J1228" s="8">
        <v>38452</v>
      </c>
      <c r="K1228" s="12" t="s">
        <v>19</v>
      </c>
      <c r="L1228" s="9">
        <v>5</v>
      </c>
      <c r="M1228" s="10">
        <v>16.990101124103898</v>
      </c>
      <c r="N1228" s="7" t="s">
        <v>23</v>
      </c>
      <c r="P1228" s="29" t="str">
        <f t="shared" si="342"/>
        <v/>
      </c>
      <c r="Q1228" s="29" t="str">
        <f t="shared" si="343"/>
        <v/>
      </c>
      <c r="R1228" s="29" t="str">
        <f t="shared" si="344"/>
        <v/>
      </c>
      <c r="S1228" s="29" t="str">
        <f t="shared" si="345"/>
        <v/>
      </c>
      <c r="T1228" s="32" t="str">
        <f t="shared" si="346"/>
        <v/>
      </c>
      <c r="U1228" s="32">
        <f t="shared" si="349"/>
        <v>1</v>
      </c>
      <c r="V1228" s="32" t="str">
        <f t="shared" si="350"/>
        <v/>
      </c>
      <c r="W1228" s="41">
        <f t="shared" si="347"/>
        <v>3.3980202248207796</v>
      </c>
      <c r="X1228" s="6">
        <f t="shared" si="348"/>
        <v>16.990101124103898</v>
      </c>
      <c r="Y1228" s="7">
        <f t="shared" si="351"/>
        <v>530</v>
      </c>
      <c r="AA1228" s="7">
        <f t="shared" si="352"/>
        <v>0</v>
      </c>
      <c r="AB1228" s="7" t="str">
        <f t="shared" si="353"/>
        <v/>
      </c>
      <c r="AC1228" s="7">
        <f t="shared" si="354"/>
        <v>1</v>
      </c>
      <c r="AD1228" s="7">
        <f t="shared" si="355"/>
        <v>5</v>
      </c>
      <c r="AE1228" s="6">
        <f t="shared" si="356"/>
        <v>0</v>
      </c>
      <c r="AF1228" s="69">
        <f t="shared" si="357"/>
        <v>3.3980202248207796</v>
      </c>
      <c r="AG1228" s="6">
        <f t="shared" si="358"/>
        <v>0</v>
      </c>
      <c r="AH1228" s="6">
        <f t="shared" si="359"/>
        <v>604</v>
      </c>
    </row>
    <row r="1229" spans="8:34" x14ac:dyDescent="0.25">
      <c r="H1229" s="7">
        <v>1236</v>
      </c>
      <c r="I1229" s="7" t="s">
        <v>11</v>
      </c>
      <c r="J1229" s="8">
        <v>38815</v>
      </c>
      <c r="K1229" s="12" t="s">
        <v>20</v>
      </c>
      <c r="L1229" s="9">
        <v>30</v>
      </c>
      <c r="M1229" s="10">
        <v>92.283774629578076</v>
      </c>
      <c r="N1229" s="7" t="s">
        <v>21</v>
      </c>
      <c r="P1229" s="29" t="str">
        <f t="shared" si="342"/>
        <v/>
      </c>
      <c r="Q1229" s="29" t="str">
        <f t="shared" si="343"/>
        <v/>
      </c>
      <c r="R1229" s="29" t="str">
        <f t="shared" si="344"/>
        <v/>
      </c>
      <c r="S1229" s="29" t="str">
        <f t="shared" si="345"/>
        <v/>
      </c>
      <c r="T1229" s="32" t="str">
        <f t="shared" si="346"/>
        <v/>
      </c>
      <c r="U1229" s="32" t="str">
        <f t="shared" si="349"/>
        <v/>
      </c>
      <c r="V1229" s="32">
        <f t="shared" si="350"/>
        <v>1</v>
      </c>
      <c r="W1229" s="41">
        <f t="shared" si="347"/>
        <v>3.0761258209859359</v>
      </c>
      <c r="X1229" s="6">
        <f t="shared" si="348"/>
        <v>0</v>
      </c>
      <c r="Y1229" s="7">
        <f t="shared" si="351"/>
        <v>567</v>
      </c>
      <c r="AA1229" s="7">
        <f t="shared" si="352"/>
        <v>0</v>
      </c>
      <c r="AB1229" s="7" t="str">
        <f t="shared" si="353"/>
        <v/>
      </c>
      <c r="AC1229" s="7">
        <f t="shared" si="354"/>
        <v>0</v>
      </c>
      <c r="AD1229" s="7" t="str">
        <f t="shared" si="355"/>
        <v/>
      </c>
      <c r="AE1229" s="6">
        <f t="shared" si="356"/>
        <v>0</v>
      </c>
      <c r="AF1229" s="69">
        <f t="shared" si="357"/>
        <v>3.0761258209859359</v>
      </c>
      <c r="AG1229" s="6">
        <f t="shared" si="358"/>
        <v>0</v>
      </c>
      <c r="AH1229" s="6">
        <f t="shared" si="359"/>
        <v>604</v>
      </c>
    </row>
    <row r="1230" spans="8:34" x14ac:dyDescent="0.25">
      <c r="H1230" s="7">
        <v>1237</v>
      </c>
      <c r="I1230" s="7" t="s">
        <v>11</v>
      </c>
      <c r="J1230" s="8">
        <v>38078</v>
      </c>
      <c r="K1230" s="12" t="s">
        <v>16</v>
      </c>
      <c r="L1230" s="9">
        <v>6</v>
      </c>
      <c r="M1230" s="10">
        <v>20.244957158318631</v>
      </c>
      <c r="N1230" s="7" t="s">
        <v>23</v>
      </c>
      <c r="P1230" s="29" t="str">
        <f t="shared" si="342"/>
        <v/>
      </c>
      <c r="Q1230" s="29">
        <f t="shared" si="343"/>
        <v>1</v>
      </c>
      <c r="R1230" s="29" t="str">
        <f t="shared" si="344"/>
        <v/>
      </c>
      <c r="S1230" s="29" t="str">
        <f t="shared" si="345"/>
        <v/>
      </c>
      <c r="T1230" s="32" t="str">
        <f t="shared" si="346"/>
        <v/>
      </c>
      <c r="U1230" s="32" t="str">
        <f t="shared" si="349"/>
        <v/>
      </c>
      <c r="V1230" s="32" t="str">
        <f t="shared" si="350"/>
        <v/>
      </c>
      <c r="W1230" s="41">
        <f t="shared" si="347"/>
        <v>3.3741595263864386</v>
      </c>
      <c r="X1230" s="6">
        <f t="shared" si="348"/>
        <v>0</v>
      </c>
      <c r="Y1230" s="7">
        <f t="shared" si="351"/>
        <v>567</v>
      </c>
      <c r="AA1230" s="7">
        <f t="shared" si="352"/>
        <v>0</v>
      </c>
      <c r="AB1230" s="7" t="str">
        <f t="shared" si="353"/>
        <v/>
      </c>
      <c r="AC1230" s="7">
        <f t="shared" si="354"/>
        <v>0</v>
      </c>
      <c r="AD1230" s="7" t="str">
        <f t="shared" si="355"/>
        <v/>
      </c>
      <c r="AE1230" s="6">
        <f t="shared" si="356"/>
        <v>0</v>
      </c>
      <c r="AF1230" s="69">
        <f t="shared" si="357"/>
        <v>3.3741595263864386</v>
      </c>
      <c r="AG1230" s="6">
        <f t="shared" si="358"/>
        <v>20.244957158318631</v>
      </c>
      <c r="AH1230" s="6">
        <f t="shared" si="359"/>
        <v>560</v>
      </c>
    </row>
    <row r="1231" spans="8:34" x14ac:dyDescent="0.25">
      <c r="H1231" s="7">
        <v>1238</v>
      </c>
      <c r="I1231" s="7" t="s">
        <v>14</v>
      </c>
      <c r="J1231" s="8">
        <v>38254</v>
      </c>
      <c r="K1231" s="12" t="s">
        <v>19</v>
      </c>
      <c r="L1231" s="9">
        <v>92</v>
      </c>
      <c r="M1231" s="10">
        <v>277.63010190908926</v>
      </c>
      <c r="N1231" s="7" t="s">
        <v>24</v>
      </c>
      <c r="P1231" s="29" t="str">
        <f t="shared" si="342"/>
        <v/>
      </c>
      <c r="Q1231" s="29" t="str">
        <f t="shared" si="343"/>
        <v/>
      </c>
      <c r="R1231" s="29">
        <f t="shared" si="344"/>
        <v>1</v>
      </c>
      <c r="S1231" s="29" t="str">
        <f t="shared" si="345"/>
        <v/>
      </c>
      <c r="T1231" s="32" t="str">
        <f t="shared" si="346"/>
        <v/>
      </c>
      <c r="U1231" s="32" t="str">
        <f t="shared" si="349"/>
        <v/>
      </c>
      <c r="V1231" s="32" t="str">
        <f t="shared" si="350"/>
        <v/>
      </c>
      <c r="W1231" s="41">
        <f t="shared" si="347"/>
        <v>3.0177184990118398</v>
      </c>
      <c r="X1231" s="6">
        <f t="shared" si="348"/>
        <v>0</v>
      </c>
      <c r="Y1231" s="7">
        <f t="shared" si="351"/>
        <v>567</v>
      </c>
      <c r="AA1231" s="7">
        <f t="shared" si="352"/>
        <v>0</v>
      </c>
      <c r="AB1231" s="7" t="str">
        <f t="shared" si="353"/>
        <v/>
      </c>
      <c r="AC1231" s="7">
        <f t="shared" si="354"/>
        <v>0</v>
      </c>
      <c r="AD1231" s="7" t="str">
        <f t="shared" si="355"/>
        <v/>
      </c>
      <c r="AE1231" s="6">
        <f t="shared" si="356"/>
        <v>0</v>
      </c>
      <c r="AF1231" s="69">
        <f t="shared" si="357"/>
        <v>3.0177184990118398</v>
      </c>
      <c r="AG1231" s="6">
        <f t="shared" si="358"/>
        <v>277.63010190908926</v>
      </c>
      <c r="AH1231" s="6">
        <f t="shared" si="359"/>
        <v>22</v>
      </c>
    </row>
    <row r="1232" spans="8:34" x14ac:dyDescent="0.25">
      <c r="H1232" s="7">
        <v>1239</v>
      </c>
      <c r="I1232" s="7" t="s">
        <v>10</v>
      </c>
      <c r="J1232" s="8">
        <v>38859</v>
      </c>
      <c r="K1232" s="12" t="s">
        <v>20</v>
      </c>
      <c r="L1232" s="9">
        <v>-5</v>
      </c>
      <c r="M1232" s="10">
        <v>-12.432490366118355</v>
      </c>
      <c r="N1232" s="7" t="s">
        <v>22</v>
      </c>
      <c r="P1232" s="29" t="str">
        <f t="shared" si="342"/>
        <v/>
      </c>
      <c r="Q1232" s="29" t="str">
        <f t="shared" si="343"/>
        <v/>
      </c>
      <c r="R1232" s="29" t="str">
        <f t="shared" si="344"/>
        <v/>
      </c>
      <c r="S1232" s="29" t="str">
        <f t="shared" si="345"/>
        <v/>
      </c>
      <c r="T1232" s="32" t="str">
        <f t="shared" si="346"/>
        <v/>
      </c>
      <c r="U1232" s="32" t="str">
        <f t="shared" si="349"/>
        <v/>
      </c>
      <c r="V1232" s="32">
        <f t="shared" si="350"/>
        <v>1</v>
      </c>
      <c r="W1232" s="41" t="str">
        <f t="shared" si="347"/>
        <v/>
      </c>
      <c r="X1232" s="6">
        <f t="shared" si="348"/>
        <v>0</v>
      </c>
      <c r="Y1232" s="7">
        <f t="shared" si="351"/>
        <v>567</v>
      </c>
      <c r="AA1232" s="7">
        <f t="shared" si="352"/>
        <v>0</v>
      </c>
      <c r="AB1232" s="7" t="str">
        <f t="shared" si="353"/>
        <v/>
      </c>
      <c r="AC1232" s="7">
        <f t="shared" si="354"/>
        <v>0</v>
      </c>
      <c r="AD1232" s="7" t="str">
        <f t="shared" si="355"/>
        <v/>
      </c>
      <c r="AE1232" s="6">
        <f t="shared" si="356"/>
        <v>-5</v>
      </c>
      <c r="AF1232" s="69" t="str">
        <f t="shared" si="357"/>
        <v/>
      </c>
      <c r="AG1232" s="6">
        <f t="shared" si="358"/>
        <v>0</v>
      </c>
      <c r="AH1232" s="6">
        <f t="shared" si="359"/>
        <v>604</v>
      </c>
    </row>
    <row r="1233" spans="8:34" x14ac:dyDescent="0.25">
      <c r="H1233" s="7">
        <v>1240</v>
      </c>
      <c r="I1233" s="7" t="s">
        <v>12</v>
      </c>
      <c r="J1233" s="8">
        <v>38848</v>
      </c>
      <c r="K1233" s="12" t="s">
        <v>17</v>
      </c>
      <c r="L1233" s="9">
        <v>20</v>
      </c>
      <c r="M1233" s="10">
        <v>61.840740307042338</v>
      </c>
      <c r="N1233" s="7" t="s">
        <v>23</v>
      </c>
      <c r="P1233" s="29" t="str">
        <f t="shared" si="342"/>
        <v/>
      </c>
      <c r="Q1233" s="29" t="str">
        <f t="shared" si="343"/>
        <v/>
      </c>
      <c r="R1233" s="29" t="str">
        <f t="shared" si="344"/>
        <v/>
      </c>
      <c r="S1233" s="29" t="str">
        <f t="shared" si="345"/>
        <v/>
      </c>
      <c r="T1233" s="32" t="str">
        <f t="shared" si="346"/>
        <v/>
      </c>
      <c r="U1233" s="32" t="str">
        <f t="shared" si="349"/>
        <v/>
      </c>
      <c r="V1233" s="32">
        <f t="shared" si="350"/>
        <v>1</v>
      </c>
      <c r="W1233" s="41">
        <f t="shared" si="347"/>
        <v>3.0920370153521168</v>
      </c>
      <c r="X1233" s="6">
        <f t="shared" si="348"/>
        <v>0</v>
      </c>
      <c r="Y1233" s="7">
        <f t="shared" si="351"/>
        <v>567</v>
      </c>
      <c r="AA1233" s="7">
        <f t="shared" si="352"/>
        <v>0</v>
      </c>
      <c r="AB1233" s="7" t="str">
        <f t="shared" si="353"/>
        <v/>
      </c>
      <c r="AC1233" s="7">
        <f t="shared" si="354"/>
        <v>0</v>
      </c>
      <c r="AD1233" s="7" t="str">
        <f t="shared" si="355"/>
        <v/>
      </c>
      <c r="AE1233" s="6">
        <f t="shared" si="356"/>
        <v>0</v>
      </c>
      <c r="AF1233" s="69">
        <f t="shared" si="357"/>
        <v>3.0920370153521168</v>
      </c>
      <c r="AG1233" s="6">
        <f t="shared" si="358"/>
        <v>0</v>
      </c>
      <c r="AH1233" s="6">
        <f t="shared" si="359"/>
        <v>604</v>
      </c>
    </row>
    <row r="1234" spans="8:34" x14ac:dyDescent="0.25">
      <c r="H1234" s="7">
        <v>1241</v>
      </c>
      <c r="I1234" s="7" t="s">
        <v>13</v>
      </c>
      <c r="J1234" s="8">
        <v>39079</v>
      </c>
      <c r="K1234" s="12" t="s">
        <v>20</v>
      </c>
      <c r="L1234" s="9">
        <v>54</v>
      </c>
      <c r="M1234" s="10">
        <v>163.08588736802977</v>
      </c>
      <c r="N1234" s="7" t="s">
        <v>22</v>
      </c>
      <c r="P1234" s="29" t="str">
        <f t="shared" si="342"/>
        <v/>
      </c>
      <c r="Q1234" s="29" t="str">
        <f t="shared" si="343"/>
        <v/>
      </c>
      <c r="R1234" s="29" t="str">
        <f t="shared" si="344"/>
        <v/>
      </c>
      <c r="S1234" s="29" t="str">
        <f t="shared" si="345"/>
        <v/>
      </c>
      <c r="T1234" s="32" t="str">
        <f t="shared" si="346"/>
        <v/>
      </c>
      <c r="U1234" s="32" t="str">
        <f t="shared" si="349"/>
        <v/>
      </c>
      <c r="V1234" s="32">
        <f t="shared" si="350"/>
        <v>1</v>
      </c>
      <c r="W1234" s="41">
        <f t="shared" si="347"/>
        <v>3.0201090253338845</v>
      </c>
      <c r="X1234" s="6">
        <f t="shared" si="348"/>
        <v>0</v>
      </c>
      <c r="Y1234" s="7">
        <f t="shared" si="351"/>
        <v>567</v>
      </c>
      <c r="AA1234" s="7">
        <f t="shared" si="352"/>
        <v>0</v>
      </c>
      <c r="AB1234" s="7" t="str">
        <f t="shared" si="353"/>
        <v/>
      </c>
      <c r="AC1234" s="7">
        <f t="shared" si="354"/>
        <v>0</v>
      </c>
      <c r="AD1234" s="7" t="str">
        <f t="shared" si="355"/>
        <v/>
      </c>
      <c r="AE1234" s="6">
        <f t="shared" si="356"/>
        <v>0</v>
      </c>
      <c r="AF1234" s="69">
        <f t="shared" si="357"/>
        <v>3.0201090253338845</v>
      </c>
      <c r="AG1234" s="6">
        <f t="shared" si="358"/>
        <v>0</v>
      </c>
      <c r="AH1234" s="6">
        <f t="shared" si="359"/>
        <v>604</v>
      </c>
    </row>
    <row r="1235" spans="8:34" x14ac:dyDescent="0.25">
      <c r="H1235" s="7">
        <v>1242</v>
      </c>
      <c r="I1235" s="7" t="s">
        <v>11</v>
      </c>
      <c r="J1235" s="8">
        <v>38452</v>
      </c>
      <c r="K1235" s="12" t="s">
        <v>16</v>
      </c>
      <c r="L1235" s="9">
        <v>9</v>
      </c>
      <c r="M1235" s="10">
        <v>29.206434361888643</v>
      </c>
      <c r="N1235" s="7" t="s">
        <v>24</v>
      </c>
      <c r="P1235" s="29" t="str">
        <f t="shared" si="342"/>
        <v/>
      </c>
      <c r="Q1235" s="29" t="str">
        <f t="shared" si="343"/>
        <v/>
      </c>
      <c r="R1235" s="29" t="str">
        <f t="shared" si="344"/>
        <v/>
      </c>
      <c r="S1235" s="29" t="str">
        <f t="shared" si="345"/>
        <v/>
      </c>
      <c r="T1235" s="32" t="str">
        <f t="shared" si="346"/>
        <v/>
      </c>
      <c r="U1235" s="32">
        <f t="shared" si="349"/>
        <v>1</v>
      </c>
      <c r="V1235" s="32" t="str">
        <f t="shared" si="350"/>
        <v/>
      </c>
      <c r="W1235" s="41">
        <f t="shared" si="347"/>
        <v>3.2451593735431827</v>
      </c>
      <c r="X1235" s="6">
        <f t="shared" si="348"/>
        <v>29.206434361888643</v>
      </c>
      <c r="Y1235" s="7">
        <f t="shared" si="351"/>
        <v>504</v>
      </c>
      <c r="AA1235" s="7">
        <f t="shared" si="352"/>
        <v>0</v>
      </c>
      <c r="AB1235" s="7" t="str">
        <f t="shared" si="353"/>
        <v/>
      </c>
      <c r="AC1235" s="7">
        <f t="shared" si="354"/>
        <v>1</v>
      </c>
      <c r="AD1235" s="7">
        <f t="shared" si="355"/>
        <v>9</v>
      </c>
      <c r="AE1235" s="6">
        <f t="shared" si="356"/>
        <v>0</v>
      </c>
      <c r="AF1235" s="69">
        <f t="shared" si="357"/>
        <v>3.2451593735431827</v>
      </c>
      <c r="AG1235" s="6">
        <f t="shared" si="358"/>
        <v>0</v>
      </c>
      <c r="AH1235" s="6">
        <f t="shared" si="359"/>
        <v>604</v>
      </c>
    </row>
    <row r="1236" spans="8:34" x14ac:dyDescent="0.25">
      <c r="H1236" s="7">
        <v>1243</v>
      </c>
      <c r="I1236" s="7" t="s">
        <v>10</v>
      </c>
      <c r="J1236" s="8">
        <v>38485</v>
      </c>
      <c r="K1236" s="12" t="s">
        <v>16</v>
      </c>
      <c r="L1236" s="9">
        <v>6</v>
      </c>
      <c r="M1236" s="10">
        <v>19.957821441994636</v>
      </c>
      <c r="N1236" s="7" t="s">
        <v>21</v>
      </c>
      <c r="P1236" s="29" t="str">
        <f t="shared" si="342"/>
        <v/>
      </c>
      <c r="Q1236" s="29" t="str">
        <f t="shared" si="343"/>
        <v/>
      </c>
      <c r="R1236" s="29" t="str">
        <f t="shared" si="344"/>
        <v/>
      </c>
      <c r="S1236" s="29" t="str">
        <f t="shared" si="345"/>
        <v/>
      </c>
      <c r="T1236" s="32" t="str">
        <f t="shared" si="346"/>
        <v/>
      </c>
      <c r="U1236" s="32">
        <f t="shared" si="349"/>
        <v>1</v>
      </c>
      <c r="V1236" s="32" t="str">
        <f t="shared" si="350"/>
        <v/>
      </c>
      <c r="W1236" s="41">
        <f t="shared" si="347"/>
        <v>3.3263035736657725</v>
      </c>
      <c r="X1236" s="6">
        <f t="shared" si="348"/>
        <v>19.957821441994636</v>
      </c>
      <c r="Y1236" s="7">
        <f t="shared" si="351"/>
        <v>524</v>
      </c>
      <c r="AA1236" s="7">
        <f t="shared" si="352"/>
        <v>0</v>
      </c>
      <c r="AB1236" s="7" t="str">
        <f t="shared" si="353"/>
        <v/>
      </c>
      <c r="AC1236" s="7">
        <f t="shared" si="354"/>
        <v>1</v>
      </c>
      <c r="AD1236" s="7">
        <f t="shared" si="355"/>
        <v>6</v>
      </c>
      <c r="AE1236" s="6">
        <f t="shared" si="356"/>
        <v>0</v>
      </c>
      <c r="AF1236" s="69">
        <f t="shared" si="357"/>
        <v>3.3263035736657725</v>
      </c>
      <c r="AG1236" s="6">
        <f t="shared" si="358"/>
        <v>0</v>
      </c>
      <c r="AH1236" s="6">
        <f t="shared" si="359"/>
        <v>604</v>
      </c>
    </row>
    <row r="1237" spans="8:34" x14ac:dyDescent="0.25">
      <c r="H1237" s="7">
        <v>1244</v>
      </c>
      <c r="I1237" s="7" t="s">
        <v>13</v>
      </c>
      <c r="J1237" s="8">
        <v>38111</v>
      </c>
      <c r="K1237" s="12" t="s">
        <v>17</v>
      </c>
      <c r="L1237" s="9">
        <v>47</v>
      </c>
      <c r="M1237" s="10">
        <v>142.82940012407209</v>
      </c>
      <c r="N1237" s="7" t="s">
        <v>24</v>
      </c>
      <c r="P1237" s="29" t="str">
        <f t="shared" si="342"/>
        <v/>
      </c>
      <c r="Q1237" s="29">
        <f t="shared" si="343"/>
        <v>1</v>
      </c>
      <c r="R1237" s="29" t="str">
        <f t="shared" si="344"/>
        <v/>
      </c>
      <c r="S1237" s="29" t="str">
        <f t="shared" si="345"/>
        <v/>
      </c>
      <c r="T1237" s="32" t="str">
        <f t="shared" si="346"/>
        <v/>
      </c>
      <c r="U1237" s="32" t="str">
        <f t="shared" si="349"/>
        <v/>
      </c>
      <c r="V1237" s="32" t="str">
        <f t="shared" si="350"/>
        <v/>
      </c>
      <c r="W1237" s="41">
        <f t="shared" si="347"/>
        <v>3.0389234068951509</v>
      </c>
      <c r="X1237" s="6">
        <f t="shared" si="348"/>
        <v>0</v>
      </c>
      <c r="Y1237" s="7">
        <f t="shared" si="351"/>
        <v>567</v>
      </c>
      <c r="AA1237" s="7">
        <f t="shared" si="352"/>
        <v>0</v>
      </c>
      <c r="AB1237" s="7" t="str">
        <f t="shared" si="353"/>
        <v/>
      </c>
      <c r="AC1237" s="7">
        <f t="shared" si="354"/>
        <v>0</v>
      </c>
      <c r="AD1237" s="7" t="str">
        <f t="shared" si="355"/>
        <v/>
      </c>
      <c r="AE1237" s="6">
        <f t="shared" si="356"/>
        <v>0</v>
      </c>
      <c r="AF1237" s="69">
        <f t="shared" si="357"/>
        <v>3.0389234068951509</v>
      </c>
      <c r="AG1237" s="6">
        <f t="shared" si="358"/>
        <v>142.82940012407209</v>
      </c>
      <c r="AH1237" s="6">
        <f t="shared" si="359"/>
        <v>288</v>
      </c>
    </row>
    <row r="1238" spans="8:34" x14ac:dyDescent="0.25">
      <c r="H1238" s="7">
        <v>1245</v>
      </c>
      <c r="I1238" s="7" t="s">
        <v>9</v>
      </c>
      <c r="J1238" s="8">
        <v>38672</v>
      </c>
      <c r="K1238" s="12" t="s">
        <v>20</v>
      </c>
      <c r="L1238" s="9">
        <v>-10</v>
      </c>
      <c r="M1238" s="10">
        <v>-27.091257616513943</v>
      </c>
      <c r="N1238" s="7" t="s">
        <v>21</v>
      </c>
      <c r="P1238" s="29" t="str">
        <f t="shared" si="342"/>
        <v/>
      </c>
      <c r="Q1238" s="29" t="str">
        <f t="shared" si="343"/>
        <v/>
      </c>
      <c r="R1238" s="29" t="str">
        <f t="shared" si="344"/>
        <v/>
      </c>
      <c r="S1238" s="29" t="str">
        <f t="shared" si="345"/>
        <v/>
      </c>
      <c r="T1238" s="32">
        <f t="shared" si="346"/>
        <v>1</v>
      </c>
      <c r="U1238" s="32">
        <f t="shared" si="349"/>
        <v>1</v>
      </c>
      <c r="V1238" s="32" t="str">
        <f t="shared" si="350"/>
        <v/>
      </c>
      <c r="W1238" s="41" t="str">
        <f t="shared" si="347"/>
        <v/>
      </c>
      <c r="X1238" s="6">
        <f t="shared" si="348"/>
        <v>-27.091257616513943</v>
      </c>
      <c r="Y1238" s="7">
        <f t="shared" si="351"/>
        <v>1888</v>
      </c>
      <c r="AA1238" s="7">
        <f t="shared" si="352"/>
        <v>0</v>
      </c>
      <c r="AB1238" s="7" t="str">
        <f t="shared" si="353"/>
        <v/>
      </c>
      <c r="AC1238" s="7">
        <f t="shared" si="354"/>
        <v>1</v>
      </c>
      <c r="AD1238" s="7">
        <f t="shared" si="355"/>
        <v>-10</v>
      </c>
      <c r="AE1238" s="6">
        <f t="shared" si="356"/>
        <v>-10</v>
      </c>
      <c r="AF1238" s="69" t="str">
        <f t="shared" si="357"/>
        <v/>
      </c>
      <c r="AG1238" s="6">
        <f t="shared" si="358"/>
        <v>0</v>
      </c>
      <c r="AH1238" s="6">
        <f t="shared" si="359"/>
        <v>604</v>
      </c>
    </row>
    <row r="1239" spans="8:34" x14ac:dyDescent="0.25">
      <c r="H1239" s="7">
        <v>1246</v>
      </c>
      <c r="I1239" s="7" t="s">
        <v>15</v>
      </c>
      <c r="J1239" s="8">
        <v>38122</v>
      </c>
      <c r="K1239" s="12" t="s">
        <v>20</v>
      </c>
      <c r="L1239" s="9">
        <v>90</v>
      </c>
      <c r="M1239" s="10">
        <v>272.34042411677569</v>
      </c>
      <c r="N1239" s="7" t="s">
        <v>22</v>
      </c>
      <c r="P1239" s="29" t="str">
        <f t="shared" si="342"/>
        <v/>
      </c>
      <c r="Q1239" s="29">
        <f t="shared" si="343"/>
        <v>1</v>
      </c>
      <c r="R1239" s="29" t="str">
        <f t="shared" si="344"/>
        <v/>
      </c>
      <c r="S1239" s="29" t="str">
        <f t="shared" si="345"/>
        <v/>
      </c>
      <c r="T1239" s="32" t="str">
        <f t="shared" si="346"/>
        <v/>
      </c>
      <c r="U1239" s="32" t="str">
        <f t="shared" si="349"/>
        <v/>
      </c>
      <c r="V1239" s="32" t="str">
        <f t="shared" si="350"/>
        <v/>
      </c>
      <c r="W1239" s="41">
        <f t="shared" si="347"/>
        <v>3.0260047124086187</v>
      </c>
      <c r="X1239" s="6">
        <f t="shared" si="348"/>
        <v>0</v>
      </c>
      <c r="Y1239" s="7">
        <f t="shared" si="351"/>
        <v>567</v>
      </c>
      <c r="AA1239" s="7">
        <f t="shared" si="352"/>
        <v>0</v>
      </c>
      <c r="AB1239" s="7" t="str">
        <f t="shared" si="353"/>
        <v/>
      </c>
      <c r="AC1239" s="7">
        <f t="shared" si="354"/>
        <v>0</v>
      </c>
      <c r="AD1239" s="7" t="str">
        <f t="shared" si="355"/>
        <v/>
      </c>
      <c r="AE1239" s="6">
        <f t="shared" si="356"/>
        <v>0</v>
      </c>
      <c r="AF1239" s="69">
        <f t="shared" si="357"/>
        <v>3.0260047124086187</v>
      </c>
      <c r="AG1239" s="6">
        <f t="shared" si="358"/>
        <v>272.34042411677569</v>
      </c>
      <c r="AH1239" s="6">
        <f t="shared" si="359"/>
        <v>30</v>
      </c>
    </row>
    <row r="1240" spans="8:34" x14ac:dyDescent="0.25">
      <c r="H1240" s="7">
        <v>1247</v>
      </c>
      <c r="I1240" s="7" t="s">
        <v>7</v>
      </c>
      <c r="J1240" s="8">
        <v>38023</v>
      </c>
      <c r="K1240" s="12" t="s">
        <v>18</v>
      </c>
      <c r="L1240" s="9">
        <v>48</v>
      </c>
      <c r="M1240" s="10">
        <v>146.4346102431829</v>
      </c>
      <c r="N1240" s="7" t="s">
        <v>22</v>
      </c>
      <c r="P1240" s="29">
        <f t="shared" si="342"/>
        <v>1</v>
      </c>
      <c r="Q1240" s="29" t="str">
        <f t="shared" si="343"/>
        <v/>
      </c>
      <c r="R1240" s="29" t="str">
        <f t="shared" si="344"/>
        <v/>
      </c>
      <c r="S1240" s="29" t="str">
        <f t="shared" si="345"/>
        <v/>
      </c>
      <c r="T1240" s="32" t="str">
        <f t="shared" si="346"/>
        <v/>
      </c>
      <c r="U1240" s="32" t="str">
        <f t="shared" si="349"/>
        <v/>
      </c>
      <c r="V1240" s="32" t="str">
        <f t="shared" si="350"/>
        <v/>
      </c>
      <c r="W1240" s="41">
        <f t="shared" si="347"/>
        <v>3.0507210467329773</v>
      </c>
      <c r="X1240" s="6">
        <f t="shared" si="348"/>
        <v>0</v>
      </c>
      <c r="Y1240" s="7">
        <f t="shared" si="351"/>
        <v>567</v>
      </c>
      <c r="AA1240" s="7">
        <f t="shared" si="352"/>
        <v>0</v>
      </c>
      <c r="AB1240" s="7" t="str">
        <f t="shared" si="353"/>
        <v/>
      </c>
      <c r="AC1240" s="7">
        <f t="shared" si="354"/>
        <v>0</v>
      </c>
      <c r="AD1240" s="7" t="str">
        <f t="shared" si="355"/>
        <v/>
      </c>
      <c r="AE1240" s="6">
        <f t="shared" si="356"/>
        <v>0</v>
      </c>
      <c r="AF1240" s="69">
        <f t="shared" si="357"/>
        <v>3.0507210467329773</v>
      </c>
      <c r="AG1240" s="6">
        <f t="shared" si="358"/>
        <v>146.4346102431829</v>
      </c>
      <c r="AH1240" s="6">
        <f t="shared" si="359"/>
        <v>276</v>
      </c>
    </row>
    <row r="1241" spans="8:34" x14ac:dyDescent="0.25">
      <c r="H1241" s="7">
        <v>1248</v>
      </c>
      <c r="I1241" s="7" t="s">
        <v>13</v>
      </c>
      <c r="J1241" s="8">
        <v>38452</v>
      </c>
      <c r="K1241" s="12" t="s">
        <v>18</v>
      </c>
      <c r="L1241" s="9">
        <v>55</v>
      </c>
      <c r="M1241" s="10">
        <v>167.32527262577906</v>
      </c>
      <c r="N1241" s="7" t="s">
        <v>21</v>
      </c>
      <c r="P1241" s="29" t="str">
        <f t="shared" si="342"/>
        <v/>
      </c>
      <c r="Q1241" s="29" t="str">
        <f t="shared" si="343"/>
        <v/>
      </c>
      <c r="R1241" s="29" t="str">
        <f t="shared" si="344"/>
        <v/>
      </c>
      <c r="S1241" s="29" t="str">
        <f t="shared" si="345"/>
        <v/>
      </c>
      <c r="T1241" s="32" t="str">
        <f t="shared" si="346"/>
        <v/>
      </c>
      <c r="U1241" s="32">
        <f t="shared" si="349"/>
        <v>1</v>
      </c>
      <c r="V1241" s="32" t="str">
        <f t="shared" si="350"/>
        <v/>
      </c>
      <c r="W1241" s="41">
        <f t="shared" si="347"/>
        <v>3.0422776841050738</v>
      </c>
      <c r="X1241" s="6">
        <f t="shared" si="348"/>
        <v>167.32527262577906</v>
      </c>
      <c r="Y1241" s="7">
        <f t="shared" si="351"/>
        <v>231</v>
      </c>
      <c r="AA1241" s="7">
        <f t="shared" si="352"/>
        <v>0</v>
      </c>
      <c r="AB1241" s="7" t="str">
        <f t="shared" si="353"/>
        <v/>
      </c>
      <c r="AC1241" s="7">
        <f t="shared" si="354"/>
        <v>1</v>
      </c>
      <c r="AD1241" s="7">
        <f t="shared" si="355"/>
        <v>55</v>
      </c>
      <c r="AE1241" s="6">
        <f t="shared" si="356"/>
        <v>0</v>
      </c>
      <c r="AF1241" s="69">
        <f t="shared" si="357"/>
        <v>3.0422776841050738</v>
      </c>
      <c r="AG1241" s="6">
        <f t="shared" si="358"/>
        <v>0</v>
      </c>
      <c r="AH1241" s="6">
        <f t="shared" si="359"/>
        <v>604</v>
      </c>
    </row>
    <row r="1242" spans="8:34" x14ac:dyDescent="0.25">
      <c r="H1242" s="7">
        <v>1249</v>
      </c>
      <c r="I1242" s="7" t="s">
        <v>7</v>
      </c>
      <c r="J1242" s="8">
        <v>38892</v>
      </c>
      <c r="K1242" s="12" t="s">
        <v>20</v>
      </c>
      <c r="L1242" s="9">
        <v>42</v>
      </c>
      <c r="M1242" s="10">
        <v>128.47869059837046</v>
      </c>
      <c r="N1242" s="7" t="s">
        <v>24</v>
      </c>
      <c r="P1242" s="29" t="str">
        <f t="shared" si="342"/>
        <v/>
      </c>
      <c r="Q1242" s="29" t="str">
        <f t="shared" si="343"/>
        <v/>
      </c>
      <c r="R1242" s="29" t="str">
        <f t="shared" si="344"/>
        <v/>
      </c>
      <c r="S1242" s="29" t="str">
        <f t="shared" si="345"/>
        <v/>
      </c>
      <c r="T1242" s="32" t="str">
        <f t="shared" si="346"/>
        <v/>
      </c>
      <c r="U1242" s="32" t="str">
        <f t="shared" si="349"/>
        <v/>
      </c>
      <c r="V1242" s="32">
        <f t="shared" si="350"/>
        <v>1</v>
      </c>
      <c r="W1242" s="41">
        <f t="shared" si="347"/>
        <v>3.0590164428183444</v>
      </c>
      <c r="X1242" s="6">
        <f t="shared" si="348"/>
        <v>0</v>
      </c>
      <c r="Y1242" s="7">
        <f t="shared" si="351"/>
        <v>567</v>
      </c>
      <c r="AA1242" s="7">
        <f t="shared" si="352"/>
        <v>0</v>
      </c>
      <c r="AB1242" s="7" t="str">
        <f t="shared" si="353"/>
        <v/>
      </c>
      <c r="AC1242" s="7">
        <f t="shared" si="354"/>
        <v>0</v>
      </c>
      <c r="AD1242" s="7" t="str">
        <f t="shared" si="355"/>
        <v/>
      </c>
      <c r="AE1242" s="6">
        <f t="shared" si="356"/>
        <v>0</v>
      </c>
      <c r="AF1242" s="69">
        <f t="shared" si="357"/>
        <v>3.0590164428183444</v>
      </c>
      <c r="AG1242" s="6">
        <f t="shared" si="358"/>
        <v>0</v>
      </c>
      <c r="AH1242" s="6">
        <f t="shared" si="359"/>
        <v>604</v>
      </c>
    </row>
    <row r="1243" spans="8:34" x14ac:dyDescent="0.25">
      <c r="H1243" s="7">
        <v>1250</v>
      </c>
      <c r="I1243" s="7" t="s">
        <v>15</v>
      </c>
      <c r="J1243" s="8">
        <v>38749</v>
      </c>
      <c r="K1243" s="12" t="s">
        <v>16</v>
      </c>
      <c r="L1243" s="9">
        <v>39</v>
      </c>
      <c r="M1243" s="10">
        <v>119.42558225930649</v>
      </c>
      <c r="N1243" s="7" t="s">
        <v>23</v>
      </c>
      <c r="P1243" s="29" t="str">
        <f t="shared" si="342"/>
        <v/>
      </c>
      <c r="Q1243" s="29" t="str">
        <f t="shared" si="343"/>
        <v/>
      </c>
      <c r="R1243" s="29" t="str">
        <f t="shared" si="344"/>
        <v/>
      </c>
      <c r="S1243" s="29" t="str">
        <f t="shared" si="345"/>
        <v/>
      </c>
      <c r="T1243" s="32" t="str">
        <f t="shared" si="346"/>
        <v/>
      </c>
      <c r="U1243" s="32" t="str">
        <f t="shared" si="349"/>
        <v/>
      </c>
      <c r="V1243" s="32">
        <f t="shared" si="350"/>
        <v>1</v>
      </c>
      <c r="W1243" s="41">
        <f t="shared" si="347"/>
        <v>3.0621944169052946</v>
      </c>
      <c r="X1243" s="6">
        <f t="shared" si="348"/>
        <v>0</v>
      </c>
      <c r="Y1243" s="7">
        <f t="shared" si="351"/>
        <v>567</v>
      </c>
      <c r="AA1243" s="7">
        <f t="shared" si="352"/>
        <v>0</v>
      </c>
      <c r="AB1243" s="7" t="str">
        <f t="shared" si="353"/>
        <v/>
      </c>
      <c r="AC1243" s="7">
        <f t="shared" si="354"/>
        <v>0</v>
      </c>
      <c r="AD1243" s="7" t="str">
        <f t="shared" si="355"/>
        <v/>
      </c>
      <c r="AE1243" s="6">
        <f t="shared" si="356"/>
        <v>0</v>
      </c>
      <c r="AF1243" s="69">
        <f t="shared" si="357"/>
        <v>3.0621944169052946</v>
      </c>
      <c r="AG1243" s="6">
        <f t="shared" si="358"/>
        <v>0</v>
      </c>
      <c r="AH1243" s="6">
        <f t="shared" si="359"/>
        <v>604</v>
      </c>
    </row>
    <row r="1244" spans="8:34" x14ac:dyDescent="0.25">
      <c r="H1244" s="7">
        <v>1251</v>
      </c>
      <c r="I1244" s="7" t="s">
        <v>11</v>
      </c>
      <c r="J1244" s="8">
        <v>38672</v>
      </c>
      <c r="K1244" s="12" t="s">
        <v>20</v>
      </c>
      <c r="L1244" s="9">
        <v>26</v>
      </c>
      <c r="M1244" s="10">
        <v>79.641106811056247</v>
      </c>
      <c r="N1244" s="7" t="s">
        <v>21</v>
      </c>
      <c r="P1244" s="29" t="str">
        <f t="shared" si="342"/>
        <v/>
      </c>
      <c r="Q1244" s="29" t="str">
        <f t="shared" si="343"/>
        <v/>
      </c>
      <c r="R1244" s="29" t="str">
        <f t="shared" si="344"/>
        <v/>
      </c>
      <c r="S1244" s="29" t="str">
        <f t="shared" si="345"/>
        <v/>
      </c>
      <c r="T1244" s="32">
        <f t="shared" si="346"/>
        <v>1</v>
      </c>
      <c r="U1244" s="32">
        <f t="shared" si="349"/>
        <v>1</v>
      </c>
      <c r="V1244" s="32" t="str">
        <f t="shared" si="350"/>
        <v/>
      </c>
      <c r="W1244" s="41">
        <f t="shared" si="347"/>
        <v>3.0631194927329326</v>
      </c>
      <c r="X1244" s="6">
        <f t="shared" si="348"/>
        <v>79.641106811056247</v>
      </c>
      <c r="Y1244" s="7">
        <f t="shared" si="351"/>
        <v>407</v>
      </c>
      <c r="AA1244" s="7">
        <f t="shared" si="352"/>
        <v>0</v>
      </c>
      <c r="AB1244" s="7" t="str">
        <f t="shared" si="353"/>
        <v/>
      </c>
      <c r="AC1244" s="7">
        <f t="shared" si="354"/>
        <v>1</v>
      </c>
      <c r="AD1244" s="7">
        <f t="shared" si="355"/>
        <v>26</v>
      </c>
      <c r="AE1244" s="6">
        <f t="shared" si="356"/>
        <v>0</v>
      </c>
      <c r="AF1244" s="69">
        <f t="shared" si="357"/>
        <v>3.0631194927329326</v>
      </c>
      <c r="AG1244" s="6">
        <f t="shared" si="358"/>
        <v>0</v>
      </c>
      <c r="AH1244" s="6">
        <f t="shared" si="359"/>
        <v>604</v>
      </c>
    </row>
    <row r="1245" spans="8:34" x14ac:dyDescent="0.25">
      <c r="H1245" s="7">
        <v>1252</v>
      </c>
      <c r="I1245" s="7" t="s">
        <v>7</v>
      </c>
      <c r="J1245" s="8">
        <v>38760</v>
      </c>
      <c r="K1245" s="12" t="s">
        <v>20</v>
      </c>
      <c r="L1245" s="9">
        <v>26</v>
      </c>
      <c r="M1245" s="10">
        <v>79.499321772308136</v>
      </c>
      <c r="N1245" s="7" t="s">
        <v>24</v>
      </c>
      <c r="P1245" s="29" t="str">
        <f t="shared" si="342"/>
        <v/>
      </c>
      <c r="Q1245" s="29" t="str">
        <f t="shared" si="343"/>
        <v/>
      </c>
      <c r="R1245" s="29" t="str">
        <f t="shared" si="344"/>
        <v/>
      </c>
      <c r="S1245" s="29" t="str">
        <f t="shared" si="345"/>
        <v/>
      </c>
      <c r="T1245" s="32" t="str">
        <f t="shared" si="346"/>
        <v/>
      </c>
      <c r="U1245" s="32" t="str">
        <f t="shared" si="349"/>
        <v/>
      </c>
      <c r="V1245" s="32">
        <f t="shared" si="350"/>
        <v>1</v>
      </c>
      <c r="W1245" s="41">
        <f t="shared" si="347"/>
        <v>3.0576662220118513</v>
      </c>
      <c r="X1245" s="6">
        <f t="shared" si="348"/>
        <v>0</v>
      </c>
      <c r="Y1245" s="7">
        <f t="shared" si="351"/>
        <v>567</v>
      </c>
      <c r="AA1245" s="7">
        <f t="shared" si="352"/>
        <v>0</v>
      </c>
      <c r="AB1245" s="7" t="str">
        <f t="shared" si="353"/>
        <v/>
      </c>
      <c r="AC1245" s="7">
        <f t="shared" si="354"/>
        <v>0</v>
      </c>
      <c r="AD1245" s="7" t="str">
        <f t="shared" si="355"/>
        <v/>
      </c>
      <c r="AE1245" s="6">
        <f t="shared" si="356"/>
        <v>0</v>
      </c>
      <c r="AF1245" s="69">
        <f t="shared" si="357"/>
        <v>3.0576662220118513</v>
      </c>
      <c r="AG1245" s="6">
        <f t="shared" si="358"/>
        <v>0</v>
      </c>
      <c r="AH1245" s="6">
        <f t="shared" si="359"/>
        <v>604</v>
      </c>
    </row>
    <row r="1246" spans="8:34" x14ac:dyDescent="0.25">
      <c r="H1246" s="7">
        <v>1253</v>
      </c>
      <c r="I1246" s="7" t="s">
        <v>7</v>
      </c>
      <c r="J1246" s="8">
        <v>38705</v>
      </c>
      <c r="K1246" s="12" t="s">
        <v>16</v>
      </c>
      <c r="L1246" s="9">
        <v>52</v>
      </c>
      <c r="M1246" s="10">
        <v>158.28266649648856</v>
      </c>
      <c r="N1246" s="7" t="s">
        <v>24</v>
      </c>
      <c r="P1246" s="29" t="str">
        <f t="shared" si="342"/>
        <v/>
      </c>
      <c r="Q1246" s="29" t="str">
        <f t="shared" si="343"/>
        <v/>
      </c>
      <c r="R1246" s="29" t="str">
        <f t="shared" si="344"/>
        <v/>
      </c>
      <c r="S1246" s="29" t="str">
        <f t="shared" si="345"/>
        <v/>
      </c>
      <c r="T1246" s="32">
        <f t="shared" si="346"/>
        <v>1</v>
      </c>
      <c r="U1246" s="32">
        <f t="shared" si="349"/>
        <v>1</v>
      </c>
      <c r="V1246" s="32" t="str">
        <f t="shared" si="350"/>
        <v/>
      </c>
      <c r="W1246" s="41">
        <f t="shared" si="347"/>
        <v>3.0438974326247799</v>
      </c>
      <c r="X1246" s="6">
        <f t="shared" si="348"/>
        <v>158.28266649648856</v>
      </c>
      <c r="Y1246" s="7">
        <f t="shared" si="351"/>
        <v>244</v>
      </c>
      <c r="AA1246" s="7">
        <f t="shared" si="352"/>
        <v>0</v>
      </c>
      <c r="AB1246" s="7" t="str">
        <f t="shared" si="353"/>
        <v/>
      </c>
      <c r="AC1246" s="7">
        <f t="shared" si="354"/>
        <v>1</v>
      </c>
      <c r="AD1246" s="7">
        <f t="shared" si="355"/>
        <v>52</v>
      </c>
      <c r="AE1246" s="6">
        <f t="shared" si="356"/>
        <v>0</v>
      </c>
      <c r="AF1246" s="69">
        <f t="shared" si="357"/>
        <v>3.0438974326247799</v>
      </c>
      <c r="AG1246" s="6">
        <f t="shared" si="358"/>
        <v>0</v>
      </c>
      <c r="AH1246" s="6">
        <f t="shared" si="359"/>
        <v>604</v>
      </c>
    </row>
    <row r="1247" spans="8:34" x14ac:dyDescent="0.25">
      <c r="H1247" s="7">
        <v>1254</v>
      </c>
      <c r="I1247" s="7" t="s">
        <v>11</v>
      </c>
      <c r="J1247" s="8">
        <v>38309</v>
      </c>
      <c r="K1247" s="12" t="s">
        <v>18</v>
      </c>
      <c r="L1247" s="9">
        <v>19</v>
      </c>
      <c r="M1247" s="10">
        <v>58.769535018680784</v>
      </c>
      <c r="N1247" s="7" t="s">
        <v>21</v>
      </c>
      <c r="P1247" s="29" t="str">
        <f t="shared" si="342"/>
        <v/>
      </c>
      <c r="Q1247" s="29" t="str">
        <f t="shared" si="343"/>
        <v/>
      </c>
      <c r="R1247" s="29" t="str">
        <f t="shared" si="344"/>
        <v/>
      </c>
      <c r="S1247" s="29">
        <f t="shared" si="345"/>
        <v>1</v>
      </c>
      <c r="T1247" s="32" t="str">
        <f t="shared" si="346"/>
        <v/>
      </c>
      <c r="U1247" s="32" t="str">
        <f t="shared" si="349"/>
        <v/>
      </c>
      <c r="V1247" s="32" t="str">
        <f t="shared" si="350"/>
        <v/>
      </c>
      <c r="W1247" s="41">
        <f t="shared" si="347"/>
        <v>3.0931334220358306</v>
      </c>
      <c r="X1247" s="6">
        <f t="shared" si="348"/>
        <v>0</v>
      </c>
      <c r="Y1247" s="7">
        <f t="shared" si="351"/>
        <v>567</v>
      </c>
      <c r="AA1247" s="7">
        <f t="shared" si="352"/>
        <v>0</v>
      </c>
      <c r="AB1247" s="7" t="str">
        <f t="shared" si="353"/>
        <v/>
      </c>
      <c r="AC1247" s="7">
        <f t="shared" si="354"/>
        <v>0</v>
      </c>
      <c r="AD1247" s="7" t="str">
        <f t="shared" si="355"/>
        <v/>
      </c>
      <c r="AE1247" s="6">
        <f t="shared" si="356"/>
        <v>0</v>
      </c>
      <c r="AF1247" s="69">
        <f t="shared" si="357"/>
        <v>3.0931334220358306</v>
      </c>
      <c r="AG1247" s="6">
        <f t="shared" si="358"/>
        <v>58.769535018680784</v>
      </c>
      <c r="AH1247" s="6">
        <f t="shared" si="359"/>
        <v>469</v>
      </c>
    </row>
    <row r="1248" spans="8:34" x14ac:dyDescent="0.25">
      <c r="H1248" s="7">
        <v>1255</v>
      </c>
      <c r="I1248" s="7" t="s">
        <v>9</v>
      </c>
      <c r="J1248" s="8">
        <v>38210</v>
      </c>
      <c r="K1248" s="12" t="s">
        <v>20</v>
      </c>
      <c r="L1248" s="9">
        <v>18</v>
      </c>
      <c r="M1248" s="10">
        <v>55.683739721262491</v>
      </c>
      <c r="N1248" s="7" t="s">
        <v>24</v>
      </c>
      <c r="P1248" s="29" t="str">
        <f t="shared" si="342"/>
        <v/>
      </c>
      <c r="Q1248" s="29" t="str">
        <f t="shared" si="343"/>
        <v/>
      </c>
      <c r="R1248" s="29">
        <f t="shared" si="344"/>
        <v>1</v>
      </c>
      <c r="S1248" s="29" t="str">
        <f t="shared" si="345"/>
        <v/>
      </c>
      <c r="T1248" s="32" t="str">
        <f t="shared" si="346"/>
        <v/>
      </c>
      <c r="U1248" s="32" t="str">
        <f t="shared" si="349"/>
        <v/>
      </c>
      <c r="V1248" s="32" t="str">
        <f t="shared" si="350"/>
        <v/>
      </c>
      <c r="W1248" s="41">
        <f t="shared" si="347"/>
        <v>3.0935410956256941</v>
      </c>
      <c r="X1248" s="6">
        <f t="shared" si="348"/>
        <v>0</v>
      </c>
      <c r="Y1248" s="7">
        <f t="shared" si="351"/>
        <v>567</v>
      </c>
      <c r="AA1248" s="7">
        <f t="shared" si="352"/>
        <v>0</v>
      </c>
      <c r="AB1248" s="7" t="str">
        <f t="shared" si="353"/>
        <v/>
      </c>
      <c r="AC1248" s="7">
        <f t="shared" si="354"/>
        <v>0</v>
      </c>
      <c r="AD1248" s="7" t="str">
        <f t="shared" si="355"/>
        <v/>
      </c>
      <c r="AE1248" s="6">
        <f t="shared" si="356"/>
        <v>0</v>
      </c>
      <c r="AF1248" s="69">
        <f t="shared" si="357"/>
        <v>3.0935410956256941</v>
      </c>
      <c r="AG1248" s="6">
        <f t="shared" si="358"/>
        <v>55.683739721262491</v>
      </c>
      <c r="AH1248" s="6">
        <f t="shared" si="359"/>
        <v>473</v>
      </c>
    </row>
    <row r="1249" spans="8:34" x14ac:dyDescent="0.25">
      <c r="H1249" s="7">
        <v>1256</v>
      </c>
      <c r="I1249" s="7" t="s">
        <v>8</v>
      </c>
      <c r="J1249" s="8">
        <v>39046</v>
      </c>
      <c r="K1249" s="12" t="s">
        <v>20</v>
      </c>
      <c r="L1249" s="9">
        <v>87</v>
      </c>
      <c r="M1249" s="10">
        <v>263.04139351081579</v>
      </c>
      <c r="N1249" s="7" t="s">
        <v>24</v>
      </c>
      <c r="P1249" s="29" t="str">
        <f t="shared" si="342"/>
        <v/>
      </c>
      <c r="Q1249" s="29" t="str">
        <f t="shared" si="343"/>
        <v/>
      </c>
      <c r="R1249" s="29" t="str">
        <f t="shared" si="344"/>
        <v/>
      </c>
      <c r="S1249" s="29" t="str">
        <f t="shared" si="345"/>
        <v/>
      </c>
      <c r="T1249" s="32" t="str">
        <f t="shared" si="346"/>
        <v/>
      </c>
      <c r="U1249" s="32" t="str">
        <f t="shared" si="349"/>
        <v/>
      </c>
      <c r="V1249" s="32">
        <f t="shared" si="350"/>
        <v>1</v>
      </c>
      <c r="W1249" s="41">
        <f t="shared" si="347"/>
        <v>3.0234642932277676</v>
      </c>
      <c r="X1249" s="6">
        <f t="shared" si="348"/>
        <v>0</v>
      </c>
      <c r="Y1249" s="7">
        <f t="shared" si="351"/>
        <v>567</v>
      </c>
      <c r="AA1249" s="7">
        <f t="shared" si="352"/>
        <v>0</v>
      </c>
      <c r="AB1249" s="7" t="str">
        <f t="shared" si="353"/>
        <v/>
      </c>
      <c r="AC1249" s="7">
        <f t="shared" si="354"/>
        <v>0</v>
      </c>
      <c r="AD1249" s="7" t="str">
        <f t="shared" si="355"/>
        <v/>
      </c>
      <c r="AE1249" s="6">
        <f t="shared" si="356"/>
        <v>0</v>
      </c>
      <c r="AF1249" s="69">
        <f t="shared" si="357"/>
        <v>3.0234642932277676</v>
      </c>
      <c r="AG1249" s="6">
        <f t="shared" si="358"/>
        <v>0</v>
      </c>
      <c r="AH1249" s="6">
        <f t="shared" si="359"/>
        <v>604</v>
      </c>
    </row>
    <row r="1250" spans="8:34" x14ac:dyDescent="0.25">
      <c r="H1250" s="7">
        <v>1257</v>
      </c>
      <c r="I1250" s="7" t="s">
        <v>11</v>
      </c>
      <c r="J1250" s="8">
        <v>38276</v>
      </c>
      <c r="K1250" s="12" t="s">
        <v>16</v>
      </c>
      <c r="L1250" s="9">
        <v>46</v>
      </c>
      <c r="M1250" s="10">
        <v>139.93969189998913</v>
      </c>
      <c r="N1250" s="7" t="s">
        <v>22</v>
      </c>
      <c r="P1250" s="29" t="str">
        <f t="shared" si="342"/>
        <v/>
      </c>
      <c r="Q1250" s="29" t="str">
        <f t="shared" si="343"/>
        <v/>
      </c>
      <c r="R1250" s="29" t="str">
        <f t="shared" si="344"/>
        <v/>
      </c>
      <c r="S1250" s="29">
        <f t="shared" si="345"/>
        <v>1</v>
      </c>
      <c r="T1250" s="32" t="str">
        <f t="shared" si="346"/>
        <v/>
      </c>
      <c r="U1250" s="32" t="str">
        <f t="shared" si="349"/>
        <v/>
      </c>
      <c r="V1250" s="32" t="str">
        <f t="shared" si="350"/>
        <v/>
      </c>
      <c r="W1250" s="41">
        <f t="shared" si="347"/>
        <v>3.0421672152171548</v>
      </c>
      <c r="X1250" s="6">
        <f t="shared" si="348"/>
        <v>0</v>
      </c>
      <c r="Y1250" s="7">
        <f t="shared" si="351"/>
        <v>567</v>
      </c>
      <c r="AA1250" s="7">
        <f t="shared" si="352"/>
        <v>0</v>
      </c>
      <c r="AB1250" s="7" t="str">
        <f t="shared" si="353"/>
        <v/>
      </c>
      <c r="AC1250" s="7">
        <f t="shared" si="354"/>
        <v>0</v>
      </c>
      <c r="AD1250" s="7" t="str">
        <f t="shared" si="355"/>
        <v/>
      </c>
      <c r="AE1250" s="6">
        <f t="shared" si="356"/>
        <v>0</v>
      </c>
      <c r="AF1250" s="69">
        <f t="shared" si="357"/>
        <v>3.0421672152171548</v>
      </c>
      <c r="AG1250" s="6">
        <f t="shared" si="358"/>
        <v>139.93969189998913</v>
      </c>
      <c r="AH1250" s="6">
        <f t="shared" si="359"/>
        <v>297</v>
      </c>
    </row>
    <row r="1251" spans="8:34" x14ac:dyDescent="0.25">
      <c r="H1251" s="7">
        <v>1258</v>
      </c>
      <c r="I1251" s="7" t="s">
        <v>7</v>
      </c>
      <c r="J1251" s="8">
        <v>38914</v>
      </c>
      <c r="K1251" s="12" t="s">
        <v>20</v>
      </c>
      <c r="L1251" s="9">
        <v>54</v>
      </c>
      <c r="M1251" s="10">
        <v>163.69364721145854</v>
      </c>
      <c r="N1251" s="7" t="s">
        <v>22</v>
      </c>
      <c r="P1251" s="29" t="str">
        <f t="shared" si="342"/>
        <v/>
      </c>
      <c r="Q1251" s="29" t="str">
        <f t="shared" si="343"/>
        <v/>
      </c>
      <c r="R1251" s="29" t="str">
        <f t="shared" si="344"/>
        <v/>
      </c>
      <c r="S1251" s="29" t="str">
        <f t="shared" si="345"/>
        <v/>
      </c>
      <c r="T1251" s="32" t="str">
        <f t="shared" si="346"/>
        <v/>
      </c>
      <c r="U1251" s="32" t="str">
        <f t="shared" si="349"/>
        <v/>
      </c>
      <c r="V1251" s="32">
        <f t="shared" si="350"/>
        <v>1</v>
      </c>
      <c r="W1251" s="41">
        <f t="shared" si="347"/>
        <v>3.0313638372492324</v>
      </c>
      <c r="X1251" s="6">
        <f t="shared" si="348"/>
        <v>0</v>
      </c>
      <c r="Y1251" s="7">
        <f t="shared" si="351"/>
        <v>567</v>
      </c>
      <c r="AA1251" s="7">
        <f t="shared" si="352"/>
        <v>0</v>
      </c>
      <c r="AB1251" s="7" t="str">
        <f t="shared" si="353"/>
        <v/>
      </c>
      <c r="AC1251" s="7">
        <f t="shared" si="354"/>
        <v>0</v>
      </c>
      <c r="AD1251" s="7" t="str">
        <f t="shared" si="355"/>
        <v/>
      </c>
      <c r="AE1251" s="6">
        <f t="shared" si="356"/>
        <v>0</v>
      </c>
      <c r="AF1251" s="69">
        <f t="shared" si="357"/>
        <v>3.0313638372492324</v>
      </c>
      <c r="AG1251" s="6">
        <f t="shared" si="358"/>
        <v>0</v>
      </c>
      <c r="AH1251" s="6">
        <f t="shared" si="359"/>
        <v>604</v>
      </c>
    </row>
    <row r="1252" spans="8:34" x14ac:dyDescent="0.25">
      <c r="H1252" s="7">
        <v>1259</v>
      </c>
      <c r="I1252" s="7" t="s">
        <v>10</v>
      </c>
      <c r="J1252" s="8">
        <v>38045</v>
      </c>
      <c r="K1252" s="12" t="s">
        <v>20</v>
      </c>
      <c r="L1252" s="9">
        <v>21</v>
      </c>
      <c r="M1252" s="10">
        <v>64.701803739735197</v>
      </c>
      <c r="N1252" s="7" t="s">
        <v>21</v>
      </c>
      <c r="P1252" s="29">
        <f t="shared" si="342"/>
        <v>1</v>
      </c>
      <c r="Q1252" s="29" t="str">
        <f t="shared" si="343"/>
        <v/>
      </c>
      <c r="R1252" s="29" t="str">
        <f t="shared" si="344"/>
        <v/>
      </c>
      <c r="S1252" s="29" t="str">
        <f t="shared" si="345"/>
        <v/>
      </c>
      <c r="T1252" s="32" t="str">
        <f t="shared" si="346"/>
        <v/>
      </c>
      <c r="U1252" s="32" t="str">
        <f t="shared" si="349"/>
        <v/>
      </c>
      <c r="V1252" s="32" t="str">
        <f t="shared" si="350"/>
        <v/>
      </c>
      <c r="W1252" s="41">
        <f t="shared" si="347"/>
        <v>3.0810382733207238</v>
      </c>
      <c r="X1252" s="6">
        <f t="shared" si="348"/>
        <v>0</v>
      </c>
      <c r="Y1252" s="7">
        <f t="shared" si="351"/>
        <v>567</v>
      </c>
      <c r="AA1252" s="7">
        <f t="shared" si="352"/>
        <v>0</v>
      </c>
      <c r="AB1252" s="7" t="str">
        <f t="shared" si="353"/>
        <v/>
      </c>
      <c r="AC1252" s="7">
        <f t="shared" si="354"/>
        <v>0</v>
      </c>
      <c r="AD1252" s="7" t="str">
        <f t="shared" si="355"/>
        <v/>
      </c>
      <c r="AE1252" s="6">
        <f t="shared" si="356"/>
        <v>0</v>
      </c>
      <c r="AF1252" s="69">
        <f t="shared" si="357"/>
        <v>3.0810382733207238</v>
      </c>
      <c r="AG1252" s="6">
        <f t="shared" si="358"/>
        <v>64.701803739735197</v>
      </c>
      <c r="AH1252" s="6">
        <f t="shared" si="359"/>
        <v>453</v>
      </c>
    </row>
    <row r="1253" spans="8:34" x14ac:dyDescent="0.25">
      <c r="H1253" s="7">
        <v>1260</v>
      </c>
      <c r="I1253" s="7" t="s">
        <v>11</v>
      </c>
      <c r="J1253" s="8">
        <v>38023</v>
      </c>
      <c r="K1253" s="12" t="s">
        <v>18</v>
      </c>
      <c r="L1253" s="9">
        <v>-6</v>
      </c>
      <c r="M1253" s="10">
        <v>-16.23714349589131</v>
      </c>
      <c r="N1253" s="7" t="s">
        <v>23</v>
      </c>
      <c r="P1253" s="29">
        <f t="shared" si="342"/>
        <v>1</v>
      </c>
      <c r="Q1253" s="29" t="str">
        <f t="shared" si="343"/>
        <v/>
      </c>
      <c r="R1253" s="29" t="str">
        <f t="shared" si="344"/>
        <v/>
      </c>
      <c r="S1253" s="29" t="str">
        <f t="shared" si="345"/>
        <v/>
      </c>
      <c r="T1253" s="32" t="str">
        <f t="shared" si="346"/>
        <v/>
      </c>
      <c r="U1253" s="32" t="str">
        <f t="shared" si="349"/>
        <v/>
      </c>
      <c r="V1253" s="32" t="str">
        <f t="shared" si="350"/>
        <v/>
      </c>
      <c r="W1253" s="41" t="str">
        <f t="shared" si="347"/>
        <v/>
      </c>
      <c r="X1253" s="6">
        <f t="shared" si="348"/>
        <v>0</v>
      </c>
      <c r="Y1253" s="7">
        <f t="shared" si="351"/>
        <v>567</v>
      </c>
      <c r="AA1253" s="7">
        <f t="shared" si="352"/>
        <v>0</v>
      </c>
      <c r="AB1253" s="7" t="str">
        <f t="shared" si="353"/>
        <v/>
      </c>
      <c r="AC1253" s="7">
        <f t="shared" si="354"/>
        <v>0</v>
      </c>
      <c r="AD1253" s="7" t="str">
        <f t="shared" si="355"/>
        <v/>
      </c>
      <c r="AE1253" s="6">
        <f t="shared" si="356"/>
        <v>-6</v>
      </c>
      <c r="AF1253" s="69" t="str">
        <f t="shared" si="357"/>
        <v/>
      </c>
      <c r="AG1253" s="6">
        <f t="shared" si="358"/>
        <v>0</v>
      </c>
      <c r="AH1253" s="6">
        <f t="shared" si="359"/>
        <v>604</v>
      </c>
    </row>
    <row r="1254" spans="8:34" x14ac:dyDescent="0.25">
      <c r="H1254" s="7">
        <v>1261</v>
      </c>
      <c r="I1254" s="7" t="s">
        <v>12</v>
      </c>
      <c r="J1254" s="8">
        <v>38309</v>
      </c>
      <c r="K1254" s="12" t="s">
        <v>18</v>
      </c>
      <c r="L1254" s="9">
        <v>47</v>
      </c>
      <c r="M1254" s="10">
        <v>142.41301237194139</v>
      </c>
      <c r="N1254" s="7" t="s">
        <v>24</v>
      </c>
      <c r="P1254" s="29" t="str">
        <f t="shared" si="342"/>
        <v/>
      </c>
      <c r="Q1254" s="29" t="str">
        <f t="shared" si="343"/>
        <v/>
      </c>
      <c r="R1254" s="29" t="str">
        <f t="shared" si="344"/>
        <v/>
      </c>
      <c r="S1254" s="29">
        <f t="shared" si="345"/>
        <v>1</v>
      </c>
      <c r="T1254" s="32" t="str">
        <f t="shared" si="346"/>
        <v/>
      </c>
      <c r="U1254" s="32" t="str">
        <f t="shared" si="349"/>
        <v/>
      </c>
      <c r="V1254" s="32" t="str">
        <f t="shared" si="350"/>
        <v/>
      </c>
      <c r="W1254" s="41">
        <f t="shared" si="347"/>
        <v>3.0300640930200298</v>
      </c>
      <c r="X1254" s="6">
        <f t="shared" si="348"/>
        <v>0</v>
      </c>
      <c r="Y1254" s="7">
        <f t="shared" si="351"/>
        <v>567</v>
      </c>
      <c r="AA1254" s="7">
        <f t="shared" si="352"/>
        <v>0</v>
      </c>
      <c r="AB1254" s="7" t="str">
        <f t="shared" si="353"/>
        <v/>
      </c>
      <c r="AC1254" s="7">
        <f t="shared" si="354"/>
        <v>0</v>
      </c>
      <c r="AD1254" s="7" t="str">
        <f t="shared" si="355"/>
        <v/>
      </c>
      <c r="AE1254" s="6">
        <f t="shared" si="356"/>
        <v>0</v>
      </c>
      <c r="AF1254" s="69">
        <f t="shared" si="357"/>
        <v>3.0300640930200298</v>
      </c>
      <c r="AG1254" s="6">
        <f t="shared" si="358"/>
        <v>142.41301237194139</v>
      </c>
      <c r="AH1254" s="6">
        <f t="shared" si="359"/>
        <v>293</v>
      </c>
    </row>
    <row r="1255" spans="8:34" x14ac:dyDescent="0.25">
      <c r="H1255" s="7">
        <v>1262</v>
      </c>
      <c r="I1255" s="7" t="s">
        <v>14</v>
      </c>
      <c r="J1255" s="8">
        <v>38100</v>
      </c>
      <c r="K1255" s="12" t="s">
        <v>18</v>
      </c>
      <c r="L1255" s="9">
        <v>14</v>
      </c>
      <c r="M1255" s="10">
        <v>44.23662693928393</v>
      </c>
      <c r="N1255" s="7" t="s">
        <v>23</v>
      </c>
      <c r="P1255" s="29" t="str">
        <f t="shared" si="342"/>
        <v/>
      </c>
      <c r="Q1255" s="29">
        <f t="shared" si="343"/>
        <v>1</v>
      </c>
      <c r="R1255" s="29" t="str">
        <f t="shared" si="344"/>
        <v/>
      </c>
      <c r="S1255" s="29" t="str">
        <f t="shared" si="345"/>
        <v/>
      </c>
      <c r="T1255" s="32" t="str">
        <f t="shared" si="346"/>
        <v/>
      </c>
      <c r="U1255" s="32" t="str">
        <f t="shared" si="349"/>
        <v/>
      </c>
      <c r="V1255" s="32" t="str">
        <f t="shared" si="350"/>
        <v/>
      </c>
      <c r="W1255" s="41">
        <f t="shared" si="347"/>
        <v>3.1597590670917093</v>
      </c>
      <c r="X1255" s="6">
        <f t="shared" si="348"/>
        <v>0</v>
      </c>
      <c r="Y1255" s="7">
        <f t="shared" si="351"/>
        <v>567</v>
      </c>
      <c r="AA1255" s="7">
        <f t="shared" si="352"/>
        <v>0</v>
      </c>
      <c r="AB1255" s="7" t="str">
        <f t="shared" si="353"/>
        <v/>
      </c>
      <c r="AC1255" s="7">
        <f t="shared" si="354"/>
        <v>0</v>
      </c>
      <c r="AD1255" s="7" t="str">
        <f t="shared" si="355"/>
        <v/>
      </c>
      <c r="AE1255" s="6">
        <f t="shared" si="356"/>
        <v>0</v>
      </c>
      <c r="AF1255" s="69">
        <f t="shared" si="357"/>
        <v>3.1597590670917093</v>
      </c>
      <c r="AG1255" s="6">
        <f t="shared" si="358"/>
        <v>44.23662693928393</v>
      </c>
      <c r="AH1255" s="6">
        <f t="shared" si="359"/>
        <v>492</v>
      </c>
    </row>
    <row r="1256" spans="8:34" x14ac:dyDescent="0.25">
      <c r="H1256" s="7">
        <v>1263</v>
      </c>
      <c r="I1256" s="7" t="s">
        <v>14</v>
      </c>
      <c r="J1256" s="8">
        <v>38991</v>
      </c>
      <c r="K1256" s="12" t="s">
        <v>18</v>
      </c>
      <c r="L1256" s="9">
        <v>73</v>
      </c>
      <c r="M1256" s="10">
        <v>220.5000128058029</v>
      </c>
      <c r="N1256" s="7" t="s">
        <v>23</v>
      </c>
      <c r="P1256" s="29" t="str">
        <f t="shared" si="342"/>
        <v/>
      </c>
      <c r="Q1256" s="29" t="str">
        <f t="shared" si="343"/>
        <v/>
      </c>
      <c r="R1256" s="29" t="str">
        <f t="shared" si="344"/>
        <v/>
      </c>
      <c r="S1256" s="29" t="str">
        <f t="shared" si="345"/>
        <v/>
      </c>
      <c r="T1256" s="32" t="str">
        <f t="shared" si="346"/>
        <v/>
      </c>
      <c r="U1256" s="32" t="str">
        <f t="shared" si="349"/>
        <v/>
      </c>
      <c r="V1256" s="32">
        <f t="shared" si="350"/>
        <v>1</v>
      </c>
      <c r="W1256" s="41">
        <f t="shared" si="347"/>
        <v>3.0205481206274367</v>
      </c>
      <c r="X1256" s="6">
        <f t="shared" si="348"/>
        <v>0</v>
      </c>
      <c r="Y1256" s="7">
        <f t="shared" si="351"/>
        <v>567</v>
      </c>
      <c r="AA1256" s="7">
        <f t="shared" si="352"/>
        <v>0</v>
      </c>
      <c r="AB1256" s="7" t="str">
        <f t="shared" si="353"/>
        <v/>
      </c>
      <c r="AC1256" s="7">
        <f t="shared" si="354"/>
        <v>0</v>
      </c>
      <c r="AD1256" s="7" t="str">
        <f t="shared" si="355"/>
        <v/>
      </c>
      <c r="AE1256" s="6">
        <f t="shared" si="356"/>
        <v>0</v>
      </c>
      <c r="AF1256" s="69">
        <f t="shared" si="357"/>
        <v>3.0205481206274367</v>
      </c>
      <c r="AG1256" s="6">
        <f t="shared" si="358"/>
        <v>0</v>
      </c>
      <c r="AH1256" s="6">
        <f t="shared" si="359"/>
        <v>604</v>
      </c>
    </row>
    <row r="1257" spans="8:34" x14ac:dyDescent="0.25">
      <c r="H1257" s="7">
        <v>1264</v>
      </c>
      <c r="I1257" s="7" t="s">
        <v>14</v>
      </c>
      <c r="J1257" s="8">
        <v>39068</v>
      </c>
      <c r="K1257" s="12" t="s">
        <v>17</v>
      </c>
      <c r="L1257" s="9">
        <v>14</v>
      </c>
      <c r="M1257" s="10">
        <v>44.424699895790788</v>
      </c>
      <c r="N1257" s="7" t="s">
        <v>21</v>
      </c>
      <c r="P1257" s="29" t="str">
        <f t="shared" si="342"/>
        <v/>
      </c>
      <c r="Q1257" s="29" t="str">
        <f t="shared" si="343"/>
        <v/>
      </c>
      <c r="R1257" s="29" t="str">
        <f t="shared" si="344"/>
        <v/>
      </c>
      <c r="S1257" s="29" t="str">
        <f t="shared" si="345"/>
        <v/>
      </c>
      <c r="T1257" s="32" t="str">
        <f t="shared" si="346"/>
        <v/>
      </c>
      <c r="U1257" s="32" t="str">
        <f t="shared" si="349"/>
        <v/>
      </c>
      <c r="V1257" s="32">
        <f t="shared" si="350"/>
        <v>1</v>
      </c>
      <c r="W1257" s="41">
        <f t="shared" si="347"/>
        <v>3.1731928496993418</v>
      </c>
      <c r="X1257" s="6">
        <f t="shared" si="348"/>
        <v>0</v>
      </c>
      <c r="Y1257" s="7">
        <f t="shared" si="351"/>
        <v>567</v>
      </c>
      <c r="AA1257" s="7">
        <f t="shared" si="352"/>
        <v>0</v>
      </c>
      <c r="AB1257" s="7" t="str">
        <f t="shared" si="353"/>
        <v/>
      </c>
      <c r="AC1257" s="7">
        <f t="shared" si="354"/>
        <v>0</v>
      </c>
      <c r="AD1257" s="7" t="str">
        <f t="shared" si="355"/>
        <v/>
      </c>
      <c r="AE1257" s="6">
        <f t="shared" si="356"/>
        <v>0</v>
      </c>
      <c r="AF1257" s="69">
        <f t="shared" si="357"/>
        <v>3.1731928496993418</v>
      </c>
      <c r="AG1257" s="6">
        <f t="shared" si="358"/>
        <v>0</v>
      </c>
      <c r="AH1257" s="6">
        <f t="shared" si="359"/>
        <v>604</v>
      </c>
    </row>
    <row r="1258" spans="8:34" x14ac:dyDescent="0.25">
      <c r="H1258" s="7">
        <v>1265</v>
      </c>
      <c r="I1258" s="7" t="s">
        <v>8</v>
      </c>
      <c r="J1258" s="8">
        <v>38815</v>
      </c>
      <c r="K1258" s="12" t="s">
        <v>17</v>
      </c>
      <c r="L1258" s="9">
        <v>95</v>
      </c>
      <c r="M1258" s="10">
        <v>286.75698716058628</v>
      </c>
      <c r="N1258" s="7" t="s">
        <v>22</v>
      </c>
      <c r="P1258" s="29" t="str">
        <f t="shared" si="342"/>
        <v/>
      </c>
      <c r="Q1258" s="29" t="str">
        <f t="shared" si="343"/>
        <v/>
      </c>
      <c r="R1258" s="29" t="str">
        <f t="shared" si="344"/>
        <v/>
      </c>
      <c r="S1258" s="29" t="str">
        <f t="shared" si="345"/>
        <v/>
      </c>
      <c r="T1258" s="32" t="str">
        <f t="shared" si="346"/>
        <v/>
      </c>
      <c r="U1258" s="32" t="str">
        <f t="shared" si="349"/>
        <v/>
      </c>
      <c r="V1258" s="32">
        <f t="shared" si="350"/>
        <v>1</v>
      </c>
      <c r="W1258" s="41">
        <f t="shared" si="347"/>
        <v>3.018494601690382</v>
      </c>
      <c r="X1258" s="6">
        <f t="shared" si="348"/>
        <v>0</v>
      </c>
      <c r="Y1258" s="7">
        <f t="shared" si="351"/>
        <v>567</v>
      </c>
      <c r="AA1258" s="7">
        <f t="shared" si="352"/>
        <v>0</v>
      </c>
      <c r="AB1258" s="7" t="str">
        <f t="shared" si="353"/>
        <v/>
      </c>
      <c r="AC1258" s="7">
        <f t="shared" si="354"/>
        <v>0</v>
      </c>
      <c r="AD1258" s="7" t="str">
        <f t="shared" si="355"/>
        <v/>
      </c>
      <c r="AE1258" s="6">
        <f t="shared" si="356"/>
        <v>0</v>
      </c>
      <c r="AF1258" s="69">
        <f t="shared" si="357"/>
        <v>3.018494601690382</v>
      </c>
      <c r="AG1258" s="6">
        <f t="shared" si="358"/>
        <v>0</v>
      </c>
      <c r="AH1258" s="6">
        <f t="shared" si="359"/>
        <v>604</v>
      </c>
    </row>
    <row r="1259" spans="8:34" x14ac:dyDescent="0.25">
      <c r="H1259" s="7">
        <v>1266</v>
      </c>
      <c r="I1259" s="7" t="s">
        <v>12</v>
      </c>
      <c r="J1259" s="8">
        <v>38034</v>
      </c>
      <c r="K1259" s="12" t="s">
        <v>16</v>
      </c>
      <c r="L1259" s="9">
        <v>64</v>
      </c>
      <c r="M1259" s="10">
        <v>193.36768203630285</v>
      </c>
      <c r="N1259" s="7" t="s">
        <v>21</v>
      </c>
      <c r="P1259" s="29">
        <f t="shared" si="342"/>
        <v>1</v>
      </c>
      <c r="Q1259" s="29" t="str">
        <f t="shared" si="343"/>
        <v/>
      </c>
      <c r="R1259" s="29" t="str">
        <f t="shared" si="344"/>
        <v/>
      </c>
      <c r="S1259" s="29" t="str">
        <f t="shared" si="345"/>
        <v/>
      </c>
      <c r="T1259" s="32" t="str">
        <f t="shared" si="346"/>
        <v/>
      </c>
      <c r="U1259" s="32" t="str">
        <f t="shared" si="349"/>
        <v/>
      </c>
      <c r="V1259" s="32" t="str">
        <f t="shared" si="350"/>
        <v/>
      </c>
      <c r="W1259" s="41">
        <f t="shared" si="347"/>
        <v>3.0213700318172321</v>
      </c>
      <c r="X1259" s="6">
        <f t="shared" si="348"/>
        <v>0</v>
      </c>
      <c r="Y1259" s="7">
        <f t="shared" si="351"/>
        <v>567</v>
      </c>
      <c r="AA1259" s="7">
        <f t="shared" si="352"/>
        <v>0</v>
      </c>
      <c r="AB1259" s="7" t="str">
        <f t="shared" si="353"/>
        <v/>
      </c>
      <c r="AC1259" s="7">
        <f t="shared" si="354"/>
        <v>0</v>
      </c>
      <c r="AD1259" s="7" t="str">
        <f t="shared" si="355"/>
        <v/>
      </c>
      <c r="AE1259" s="6">
        <f t="shared" si="356"/>
        <v>0</v>
      </c>
      <c r="AF1259" s="69">
        <f t="shared" si="357"/>
        <v>3.0213700318172321</v>
      </c>
      <c r="AG1259" s="6">
        <f t="shared" si="358"/>
        <v>193.36768203630285</v>
      </c>
      <c r="AH1259" s="6">
        <f t="shared" si="359"/>
        <v>187</v>
      </c>
    </row>
    <row r="1260" spans="8:34" x14ac:dyDescent="0.25">
      <c r="H1260" s="7">
        <v>1267</v>
      </c>
      <c r="I1260" s="7" t="s">
        <v>15</v>
      </c>
      <c r="J1260" s="8">
        <v>38265</v>
      </c>
      <c r="K1260" s="12" t="s">
        <v>16</v>
      </c>
      <c r="L1260" s="9">
        <v>47</v>
      </c>
      <c r="M1260" s="10">
        <v>143.14314267064674</v>
      </c>
      <c r="N1260" s="7" t="s">
        <v>22</v>
      </c>
      <c r="P1260" s="29" t="str">
        <f t="shared" si="342"/>
        <v/>
      </c>
      <c r="Q1260" s="29" t="str">
        <f t="shared" si="343"/>
        <v/>
      </c>
      <c r="R1260" s="29" t="str">
        <f t="shared" si="344"/>
        <v/>
      </c>
      <c r="S1260" s="29">
        <f t="shared" si="345"/>
        <v>1</v>
      </c>
      <c r="T1260" s="32" t="str">
        <f t="shared" si="346"/>
        <v/>
      </c>
      <c r="U1260" s="32" t="str">
        <f t="shared" si="349"/>
        <v/>
      </c>
      <c r="V1260" s="32" t="str">
        <f t="shared" si="350"/>
        <v/>
      </c>
      <c r="W1260" s="41">
        <f t="shared" si="347"/>
        <v>3.0455987802265265</v>
      </c>
      <c r="X1260" s="6">
        <f t="shared" si="348"/>
        <v>0</v>
      </c>
      <c r="Y1260" s="7">
        <f t="shared" si="351"/>
        <v>567</v>
      </c>
      <c r="AA1260" s="7">
        <f t="shared" si="352"/>
        <v>0</v>
      </c>
      <c r="AB1260" s="7" t="str">
        <f t="shared" si="353"/>
        <v/>
      </c>
      <c r="AC1260" s="7">
        <f t="shared" si="354"/>
        <v>0</v>
      </c>
      <c r="AD1260" s="7" t="str">
        <f t="shared" si="355"/>
        <v/>
      </c>
      <c r="AE1260" s="6">
        <f t="shared" si="356"/>
        <v>0</v>
      </c>
      <c r="AF1260" s="69">
        <f t="shared" si="357"/>
        <v>3.0455987802265265</v>
      </c>
      <c r="AG1260" s="6">
        <f t="shared" si="358"/>
        <v>143.14314267064674</v>
      </c>
      <c r="AH1260" s="6">
        <f t="shared" si="359"/>
        <v>286</v>
      </c>
    </row>
    <row r="1261" spans="8:34" x14ac:dyDescent="0.25">
      <c r="H1261" s="7">
        <v>1268</v>
      </c>
      <c r="I1261" s="7" t="s">
        <v>12</v>
      </c>
      <c r="J1261" s="8">
        <v>38320</v>
      </c>
      <c r="K1261" s="12" t="s">
        <v>18</v>
      </c>
      <c r="L1261" s="9">
        <v>20</v>
      </c>
      <c r="M1261" s="10">
        <v>61.937788372758583</v>
      </c>
      <c r="N1261" s="7" t="s">
        <v>23</v>
      </c>
      <c r="P1261" s="29" t="str">
        <f t="shared" si="342"/>
        <v/>
      </c>
      <c r="Q1261" s="29" t="str">
        <f t="shared" si="343"/>
        <v/>
      </c>
      <c r="R1261" s="29" t="str">
        <f t="shared" si="344"/>
        <v/>
      </c>
      <c r="S1261" s="29">
        <f t="shared" si="345"/>
        <v>1</v>
      </c>
      <c r="T1261" s="32" t="str">
        <f t="shared" si="346"/>
        <v/>
      </c>
      <c r="U1261" s="32" t="str">
        <f t="shared" si="349"/>
        <v/>
      </c>
      <c r="V1261" s="32" t="str">
        <f t="shared" si="350"/>
        <v/>
      </c>
      <c r="W1261" s="41">
        <f t="shared" si="347"/>
        <v>3.0968894186379292</v>
      </c>
      <c r="X1261" s="6">
        <f t="shared" si="348"/>
        <v>0</v>
      </c>
      <c r="Y1261" s="7">
        <f t="shared" si="351"/>
        <v>567</v>
      </c>
      <c r="AA1261" s="7">
        <f t="shared" si="352"/>
        <v>0</v>
      </c>
      <c r="AB1261" s="7" t="str">
        <f t="shared" si="353"/>
        <v/>
      </c>
      <c r="AC1261" s="7">
        <f t="shared" si="354"/>
        <v>0</v>
      </c>
      <c r="AD1261" s="7" t="str">
        <f t="shared" si="355"/>
        <v/>
      </c>
      <c r="AE1261" s="6">
        <f t="shared" si="356"/>
        <v>0</v>
      </c>
      <c r="AF1261" s="69">
        <f t="shared" si="357"/>
        <v>3.0968894186379292</v>
      </c>
      <c r="AG1261" s="6">
        <f t="shared" si="358"/>
        <v>61.937788372758583</v>
      </c>
      <c r="AH1261" s="6">
        <f t="shared" si="359"/>
        <v>459</v>
      </c>
    </row>
    <row r="1262" spans="8:34" x14ac:dyDescent="0.25">
      <c r="H1262" s="7">
        <v>1269</v>
      </c>
      <c r="I1262" s="7" t="s">
        <v>10</v>
      </c>
      <c r="J1262" s="8">
        <v>38342</v>
      </c>
      <c r="K1262" s="12" t="s">
        <v>17</v>
      </c>
      <c r="L1262" s="9">
        <v>71</v>
      </c>
      <c r="M1262" s="10">
        <v>215.32844026172367</v>
      </c>
      <c r="N1262" s="7" t="s">
        <v>23</v>
      </c>
      <c r="P1262" s="29" t="str">
        <f t="shared" si="342"/>
        <v/>
      </c>
      <c r="Q1262" s="29" t="str">
        <f t="shared" si="343"/>
        <v/>
      </c>
      <c r="R1262" s="29" t="str">
        <f t="shared" si="344"/>
        <v/>
      </c>
      <c r="S1262" s="29">
        <f t="shared" si="345"/>
        <v>1</v>
      </c>
      <c r="T1262" s="32" t="str">
        <f t="shared" si="346"/>
        <v/>
      </c>
      <c r="U1262" s="32" t="str">
        <f t="shared" si="349"/>
        <v/>
      </c>
      <c r="V1262" s="32" t="str">
        <f t="shared" si="350"/>
        <v/>
      </c>
      <c r="W1262" s="41">
        <f t="shared" si="347"/>
        <v>3.0327949332637139</v>
      </c>
      <c r="X1262" s="6">
        <f t="shared" si="348"/>
        <v>0</v>
      </c>
      <c r="Y1262" s="7">
        <f t="shared" si="351"/>
        <v>567</v>
      </c>
      <c r="AA1262" s="7">
        <f t="shared" si="352"/>
        <v>0</v>
      </c>
      <c r="AB1262" s="7" t="str">
        <f t="shared" si="353"/>
        <v/>
      </c>
      <c r="AC1262" s="7">
        <f t="shared" si="354"/>
        <v>0</v>
      </c>
      <c r="AD1262" s="7" t="str">
        <f t="shared" si="355"/>
        <v/>
      </c>
      <c r="AE1262" s="6">
        <f t="shared" si="356"/>
        <v>0</v>
      </c>
      <c r="AF1262" s="69">
        <f t="shared" si="357"/>
        <v>3.0327949332637139</v>
      </c>
      <c r="AG1262" s="6">
        <f t="shared" si="358"/>
        <v>215.32844026172367</v>
      </c>
      <c r="AH1262" s="6">
        <f t="shared" si="359"/>
        <v>146</v>
      </c>
    </row>
    <row r="1263" spans="8:34" x14ac:dyDescent="0.25">
      <c r="H1263" s="7">
        <v>1270</v>
      </c>
      <c r="I1263" s="7" t="s">
        <v>12</v>
      </c>
      <c r="J1263" s="8">
        <v>38639</v>
      </c>
      <c r="K1263" s="12" t="s">
        <v>16</v>
      </c>
      <c r="L1263" s="9">
        <v>66</v>
      </c>
      <c r="M1263" s="10">
        <v>199.49732716580834</v>
      </c>
      <c r="N1263" s="7" t="s">
        <v>23</v>
      </c>
      <c r="P1263" s="29" t="str">
        <f t="shared" si="342"/>
        <v/>
      </c>
      <c r="Q1263" s="29" t="str">
        <f t="shared" si="343"/>
        <v/>
      </c>
      <c r="R1263" s="29" t="str">
        <f t="shared" si="344"/>
        <v/>
      </c>
      <c r="S1263" s="29" t="str">
        <f t="shared" si="345"/>
        <v/>
      </c>
      <c r="T1263" s="32">
        <f t="shared" si="346"/>
        <v>1</v>
      </c>
      <c r="U1263" s="32">
        <f t="shared" si="349"/>
        <v>1</v>
      </c>
      <c r="V1263" s="32" t="str">
        <f t="shared" si="350"/>
        <v/>
      </c>
      <c r="W1263" s="41">
        <f t="shared" si="347"/>
        <v>3.0226867752395203</v>
      </c>
      <c r="X1263" s="6">
        <f t="shared" si="348"/>
        <v>199.49732716580834</v>
      </c>
      <c r="Y1263" s="7">
        <f t="shared" si="351"/>
        <v>180</v>
      </c>
      <c r="AA1263" s="7">
        <f t="shared" si="352"/>
        <v>0</v>
      </c>
      <c r="AB1263" s="7" t="str">
        <f t="shared" si="353"/>
        <v/>
      </c>
      <c r="AC1263" s="7">
        <f t="shared" si="354"/>
        <v>1</v>
      </c>
      <c r="AD1263" s="7">
        <f t="shared" si="355"/>
        <v>66</v>
      </c>
      <c r="AE1263" s="6">
        <f t="shared" si="356"/>
        <v>0</v>
      </c>
      <c r="AF1263" s="69">
        <f t="shared" si="357"/>
        <v>3.0226867752395203</v>
      </c>
      <c r="AG1263" s="6">
        <f t="shared" si="358"/>
        <v>0</v>
      </c>
      <c r="AH1263" s="6">
        <f t="shared" si="359"/>
        <v>604</v>
      </c>
    </row>
    <row r="1264" spans="8:34" x14ac:dyDescent="0.25">
      <c r="H1264" s="7">
        <v>1271</v>
      </c>
      <c r="I1264" s="7" t="s">
        <v>8</v>
      </c>
      <c r="J1264" s="8">
        <v>38265</v>
      </c>
      <c r="K1264" s="12" t="s">
        <v>18</v>
      </c>
      <c r="L1264" s="9">
        <v>79</v>
      </c>
      <c r="M1264" s="10">
        <v>239.43592811272299</v>
      </c>
      <c r="N1264" s="7" t="s">
        <v>23</v>
      </c>
      <c r="P1264" s="29" t="str">
        <f t="shared" si="342"/>
        <v/>
      </c>
      <c r="Q1264" s="29" t="str">
        <f t="shared" si="343"/>
        <v/>
      </c>
      <c r="R1264" s="29" t="str">
        <f t="shared" si="344"/>
        <v/>
      </c>
      <c r="S1264" s="29">
        <f t="shared" si="345"/>
        <v>1</v>
      </c>
      <c r="T1264" s="32" t="str">
        <f t="shared" si="346"/>
        <v/>
      </c>
      <c r="U1264" s="32" t="str">
        <f t="shared" si="349"/>
        <v/>
      </c>
      <c r="V1264" s="32" t="str">
        <f t="shared" si="350"/>
        <v/>
      </c>
      <c r="W1264" s="41">
        <f t="shared" si="347"/>
        <v>3.0308345330724431</v>
      </c>
      <c r="X1264" s="6">
        <f t="shared" si="348"/>
        <v>0</v>
      </c>
      <c r="Y1264" s="7">
        <f t="shared" si="351"/>
        <v>567</v>
      </c>
      <c r="AA1264" s="7">
        <f t="shared" si="352"/>
        <v>0</v>
      </c>
      <c r="AB1264" s="7" t="str">
        <f t="shared" si="353"/>
        <v/>
      </c>
      <c r="AC1264" s="7">
        <f t="shared" si="354"/>
        <v>0</v>
      </c>
      <c r="AD1264" s="7" t="str">
        <f t="shared" si="355"/>
        <v/>
      </c>
      <c r="AE1264" s="6">
        <f t="shared" si="356"/>
        <v>0</v>
      </c>
      <c r="AF1264" s="69">
        <f t="shared" si="357"/>
        <v>3.0308345330724431</v>
      </c>
      <c r="AG1264" s="6">
        <f t="shared" si="358"/>
        <v>239.43592811272299</v>
      </c>
      <c r="AH1264" s="6">
        <f t="shared" si="359"/>
        <v>91</v>
      </c>
    </row>
    <row r="1265" spans="8:34" x14ac:dyDescent="0.25">
      <c r="H1265" s="7">
        <v>1272</v>
      </c>
      <c r="I1265" s="7" t="s">
        <v>8</v>
      </c>
      <c r="J1265" s="8">
        <v>38650</v>
      </c>
      <c r="K1265" s="12" t="s">
        <v>20</v>
      </c>
      <c r="L1265" s="9">
        <v>-7</v>
      </c>
      <c r="M1265" s="10">
        <v>-18.401268878071164</v>
      </c>
      <c r="N1265" s="7" t="s">
        <v>24</v>
      </c>
      <c r="P1265" s="29" t="str">
        <f t="shared" si="342"/>
        <v/>
      </c>
      <c r="Q1265" s="29" t="str">
        <f t="shared" si="343"/>
        <v/>
      </c>
      <c r="R1265" s="29" t="str">
        <f t="shared" si="344"/>
        <v/>
      </c>
      <c r="S1265" s="29" t="str">
        <f t="shared" si="345"/>
        <v/>
      </c>
      <c r="T1265" s="32">
        <f t="shared" si="346"/>
        <v>1</v>
      </c>
      <c r="U1265" s="32">
        <f t="shared" si="349"/>
        <v>1</v>
      </c>
      <c r="V1265" s="32" t="str">
        <f t="shared" si="350"/>
        <v/>
      </c>
      <c r="W1265" s="41" t="str">
        <f t="shared" si="347"/>
        <v/>
      </c>
      <c r="X1265" s="6">
        <f t="shared" si="348"/>
        <v>-18.401268878071164</v>
      </c>
      <c r="Y1265" s="7">
        <f t="shared" si="351"/>
        <v>1871</v>
      </c>
      <c r="AA1265" s="7">
        <f t="shared" si="352"/>
        <v>0</v>
      </c>
      <c r="AB1265" s="7" t="str">
        <f t="shared" si="353"/>
        <v/>
      </c>
      <c r="AC1265" s="7">
        <f t="shared" si="354"/>
        <v>1</v>
      </c>
      <c r="AD1265" s="7">
        <f t="shared" si="355"/>
        <v>-7</v>
      </c>
      <c r="AE1265" s="6">
        <f t="shared" si="356"/>
        <v>-7</v>
      </c>
      <c r="AF1265" s="69" t="str">
        <f t="shared" si="357"/>
        <v/>
      </c>
      <c r="AG1265" s="6">
        <f t="shared" si="358"/>
        <v>0</v>
      </c>
      <c r="AH1265" s="6">
        <f t="shared" si="359"/>
        <v>604</v>
      </c>
    </row>
    <row r="1266" spans="8:34" x14ac:dyDescent="0.25">
      <c r="H1266" s="7">
        <v>1273</v>
      </c>
      <c r="I1266" s="7" t="s">
        <v>7</v>
      </c>
      <c r="J1266" s="8">
        <v>38628</v>
      </c>
      <c r="K1266" s="12" t="s">
        <v>18</v>
      </c>
      <c r="L1266" s="9">
        <v>72</v>
      </c>
      <c r="M1266" s="10">
        <v>217.35308480664631</v>
      </c>
      <c r="N1266" s="7" t="s">
        <v>23</v>
      </c>
      <c r="P1266" s="29" t="str">
        <f t="shared" si="342"/>
        <v/>
      </c>
      <c r="Q1266" s="29" t="str">
        <f t="shared" si="343"/>
        <v/>
      </c>
      <c r="R1266" s="29" t="str">
        <f t="shared" si="344"/>
        <v/>
      </c>
      <c r="S1266" s="29" t="str">
        <f t="shared" si="345"/>
        <v/>
      </c>
      <c r="T1266" s="32">
        <f t="shared" si="346"/>
        <v>1</v>
      </c>
      <c r="U1266" s="32">
        <f t="shared" si="349"/>
        <v>1</v>
      </c>
      <c r="V1266" s="32" t="str">
        <f t="shared" si="350"/>
        <v/>
      </c>
      <c r="W1266" s="41">
        <f t="shared" si="347"/>
        <v>3.0187928445367542</v>
      </c>
      <c r="X1266" s="6">
        <f t="shared" si="348"/>
        <v>217.35308480664631</v>
      </c>
      <c r="Y1266" s="7">
        <f t="shared" si="351"/>
        <v>147</v>
      </c>
      <c r="AA1266" s="7">
        <f t="shared" si="352"/>
        <v>0</v>
      </c>
      <c r="AB1266" s="7" t="str">
        <f t="shared" si="353"/>
        <v/>
      </c>
      <c r="AC1266" s="7">
        <f t="shared" si="354"/>
        <v>1</v>
      </c>
      <c r="AD1266" s="7">
        <f t="shared" si="355"/>
        <v>72</v>
      </c>
      <c r="AE1266" s="6">
        <f t="shared" si="356"/>
        <v>0</v>
      </c>
      <c r="AF1266" s="69">
        <f t="shared" si="357"/>
        <v>3.0187928445367542</v>
      </c>
      <c r="AG1266" s="6">
        <f t="shared" si="358"/>
        <v>0</v>
      </c>
      <c r="AH1266" s="6">
        <f t="shared" si="359"/>
        <v>604</v>
      </c>
    </row>
    <row r="1267" spans="8:34" x14ac:dyDescent="0.25">
      <c r="H1267" s="7">
        <v>1274</v>
      </c>
      <c r="I1267" s="7" t="s">
        <v>8</v>
      </c>
      <c r="J1267" s="8">
        <v>38265</v>
      </c>
      <c r="K1267" s="12" t="s">
        <v>19</v>
      </c>
      <c r="L1267" s="9">
        <v>91</v>
      </c>
      <c r="M1267" s="10">
        <v>275.36823907836589</v>
      </c>
      <c r="N1267" s="7" t="s">
        <v>22</v>
      </c>
      <c r="P1267" s="29" t="str">
        <f t="shared" si="342"/>
        <v/>
      </c>
      <c r="Q1267" s="29" t="str">
        <f t="shared" si="343"/>
        <v/>
      </c>
      <c r="R1267" s="29" t="str">
        <f t="shared" si="344"/>
        <v/>
      </c>
      <c r="S1267" s="29">
        <f t="shared" si="345"/>
        <v>1</v>
      </c>
      <c r="T1267" s="32" t="str">
        <f t="shared" si="346"/>
        <v/>
      </c>
      <c r="U1267" s="32" t="str">
        <f t="shared" si="349"/>
        <v/>
      </c>
      <c r="V1267" s="32" t="str">
        <f t="shared" si="350"/>
        <v/>
      </c>
      <c r="W1267" s="41">
        <f t="shared" si="347"/>
        <v>3.0260246052567679</v>
      </c>
      <c r="X1267" s="6">
        <f t="shared" si="348"/>
        <v>0</v>
      </c>
      <c r="Y1267" s="7">
        <f t="shared" si="351"/>
        <v>567</v>
      </c>
      <c r="AA1267" s="7">
        <f t="shared" si="352"/>
        <v>0</v>
      </c>
      <c r="AB1267" s="7" t="str">
        <f t="shared" si="353"/>
        <v/>
      </c>
      <c r="AC1267" s="7">
        <f t="shared" si="354"/>
        <v>0</v>
      </c>
      <c r="AD1267" s="7" t="str">
        <f t="shared" si="355"/>
        <v/>
      </c>
      <c r="AE1267" s="6">
        <f t="shared" si="356"/>
        <v>0</v>
      </c>
      <c r="AF1267" s="69">
        <f t="shared" si="357"/>
        <v>3.0260246052567679</v>
      </c>
      <c r="AG1267" s="6">
        <f t="shared" si="358"/>
        <v>275.36823907836589</v>
      </c>
      <c r="AH1267" s="6">
        <f t="shared" si="359"/>
        <v>26</v>
      </c>
    </row>
    <row r="1268" spans="8:34" x14ac:dyDescent="0.25">
      <c r="H1268" s="7">
        <v>1275</v>
      </c>
      <c r="I1268" s="7" t="s">
        <v>11</v>
      </c>
      <c r="J1268" s="8">
        <v>38056</v>
      </c>
      <c r="K1268" s="12" t="s">
        <v>20</v>
      </c>
      <c r="L1268" s="9">
        <v>57</v>
      </c>
      <c r="M1268" s="10">
        <v>173.47781647307619</v>
      </c>
      <c r="N1268" s="7" t="s">
        <v>21</v>
      </c>
      <c r="P1268" s="29">
        <f t="shared" si="342"/>
        <v>1</v>
      </c>
      <c r="Q1268" s="29" t="str">
        <f t="shared" si="343"/>
        <v/>
      </c>
      <c r="R1268" s="29" t="str">
        <f t="shared" si="344"/>
        <v/>
      </c>
      <c r="S1268" s="29" t="str">
        <f t="shared" si="345"/>
        <v/>
      </c>
      <c r="T1268" s="32" t="str">
        <f t="shared" si="346"/>
        <v/>
      </c>
      <c r="U1268" s="32" t="str">
        <f t="shared" si="349"/>
        <v/>
      </c>
      <c r="V1268" s="32" t="str">
        <f t="shared" si="350"/>
        <v/>
      </c>
      <c r="W1268" s="41">
        <f t="shared" si="347"/>
        <v>3.0434704644399333</v>
      </c>
      <c r="X1268" s="6">
        <f t="shared" si="348"/>
        <v>0</v>
      </c>
      <c r="Y1268" s="7">
        <f t="shared" si="351"/>
        <v>567</v>
      </c>
      <c r="AA1268" s="7">
        <f t="shared" si="352"/>
        <v>0</v>
      </c>
      <c r="AB1268" s="7" t="str">
        <f t="shared" si="353"/>
        <v/>
      </c>
      <c r="AC1268" s="7">
        <f t="shared" si="354"/>
        <v>0</v>
      </c>
      <c r="AD1268" s="7" t="str">
        <f t="shared" si="355"/>
        <v/>
      </c>
      <c r="AE1268" s="6">
        <f t="shared" si="356"/>
        <v>0</v>
      </c>
      <c r="AF1268" s="69">
        <f t="shared" si="357"/>
        <v>3.0434704644399333</v>
      </c>
      <c r="AG1268" s="6">
        <f t="shared" si="358"/>
        <v>173.47781647307619</v>
      </c>
      <c r="AH1268" s="6">
        <f t="shared" si="359"/>
        <v>230</v>
      </c>
    </row>
    <row r="1269" spans="8:34" x14ac:dyDescent="0.25">
      <c r="H1269" s="7">
        <v>1276</v>
      </c>
      <c r="I1269" s="7" t="s">
        <v>15</v>
      </c>
      <c r="J1269" s="8">
        <v>38254</v>
      </c>
      <c r="K1269" s="12" t="s">
        <v>18</v>
      </c>
      <c r="L1269" s="9">
        <v>-8</v>
      </c>
      <c r="M1269" s="10">
        <v>-21.82749489869385</v>
      </c>
      <c r="N1269" s="7" t="s">
        <v>21</v>
      </c>
      <c r="P1269" s="29" t="str">
        <f t="shared" si="342"/>
        <v/>
      </c>
      <c r="Q1269" s="29" t="str">
        <f t="shared" si="343"/>
        <v/>
      </c>
      <c r="R1269" s="29">
        <f t="shared" si="344"/>
        <v>1</v>
      </c>
      <c r="S1269" s="29" t="str">
        <f t="shared" si="345"/>
        <v/>
      </c>
      <c r="T1269" s="32" t="str">
        <f t="shared" si="346"/>
        <v/>
      </c>
      <c r="U1269" s="32" t="str">
        <f t="shared" si="349"/>
        <v/>
      </c>
      <c r="V1269" s="32" t="str">
        <f t="shared" si="350"/>
        <v/>
      </c>
      <c r="W1269" s="41" t="str">
        <f t="shared" si="347"/>
        <v/>
      </c>
      <c r="X1269" s="6">
        <f t="shared" si="348"/>
        <v>0</v>
      </c>
      <c r="Y1269" s="7">
        <f t="shared" si="351"/>
        <v>567</v>
      </c>
      <c r="AA1269" s="7">
        <f t="shared" si="352"/>
        <v>0</v>
      </c>
      <c r="AB1269" s="7" t="str">
        <f t="shared" si="353"/>
        <v/>
      </c>
      <c r="AC1269" s="7">
        <f t="shared" si="354"/>
        <v>0</v>
      </c>
      <c r="AD1269" s="7" t="str">
        <f t="shared" si="355"/>
        <v/>
      </c>
      <c r="AE1269" s="6">
        <f t="shared" si="356"/>
        <v>-8</v>
      </c>
      <c r="AF1269" s="69" t="str">
        <f t="shared" si="357"/>
        <v/>
      </c>
      <c r="AG1269" s="6">
        <f t="shared" si="358"/>
        <v>0</v>
      </c>
      <c r="AH1269" s="6">
        <f t="shared" si="359"/>
        <v>604</v>
      </c>
    </row>
    <row r="1270" spans="8:34" x14ac:dyDescent="0.25">
      <c r="H1270" s="7">
        <v>1277</v>
      </c>
      <c r="I1270" s="7" t="s">
        <v>12</v>
      </c>
      <c r="J1270" s="8">
        <v>38606</v>
      </c>
      <c r="K1270" s="12" t="s">
        <v>18</v>
      </c>
      <c r="L1270" s="9">
        <v>45</v>
      </c>
      <c r="M1270" s="10">
        <v>136.95599465560394</v>
      </c>
      <c r="N1270" s="7" t="s">
        <v>24</v>
      </c>
      <c r="P1270" s="29" t="str">
        <f t="shared" si="342"/>
        <v/>
      </c>
      <c r="Q1270" s="29" t="str">
        <f t="shared" si="343"/>
        <v/>
      </c>
      <c r="R1270" s="29" t="str">
        <f t="shared" si="344"/>
        <v/>
      </c>
      <c r="S1270" s="29" t="str">
        <f t="shared" si="345"/>
        <v/>
      </c>
      <c r="T1270" s="32" t="str">
        <f t="shared" si="346"/>
        <v/>
      </c>
      <c r="U1270" s="32">
        <f t="shared" si="349"/>
        <v>1</v>
      </c>
      <c r="V1270" s="32" t="str">
        <f t="shared" si="350"/>
        <v/>
      </c>
      <c r="W1270" s="41">
        <f t="shared" si="347"/>
        <v>3.0434665479023097</v>
      </c>
      <c r="X1270" s="6">
        <f t="shared" si="348"/>
        <v>136.95599465560394</v>
      </c>
      <c r="Y1270" s="7">
        <f t="shared" si="351"/>
        <v>295</v>
      </c>
      <c r="AA1270" s="7">
        <f t="shared" si="352"/>
        <v>1</v>
      </c>
      <c r="AB1270" s="7">
        <f t="shared" si="353"/>
        <v>45</v>
      </c>
      <c r="AC1270" s="7">
        <f t="shared" si="354"/>
        <v>0</v>
      </c>
      <c r="AD1270" s="7" t="str">
        <f t="shared" si="355"/>
        <v/>
      </c>
      <c r="AE1270" s="6">
        <f t="shared" si="356"/>
        <v>0</v>
      </c>
      <c r="AF1270" s="69">
        <f t="shared" si="357"/>
        <v>3.0434665479023097</v>
      </c>
      <c r="AG1270" s="6">
        <f t="shared" si="358"/>
        <v>0</v>
      </c>
      <c r="AH1270" s="6">
        <f t="shared" si="359"/>
        <v>604</v>
      </c>
    </row>
    <row r="1271" spans="8:34" x14ac:dyDescent="0.25">
      <c r="H1271" s="7">
        <v>1278</v>
      </c>
      <c r="I1271" s="7" t="s">
        <v>10</v>
      </c>
      <c r="J1271" s="8">
        <v>38287</v>
      </c>
      <c r="K1271" s="12" t="s">
        <v>16</v>
      </c>
      <c r="L1271" s="9">
        <v>92</v>
      </c>
      <c r="M1271" s="10">
        <v>278.04523769732305</v>
      </c>
      <c r="N1271" s="7" t="s">
        <v>21</v>
      </c>
      <c r="P1271" s="29" t="str">
        <f t="shared" si="342"/>
        <v/>
      </c>
      <c r="Q1271" s="29" t="str">
        <f t="shared" si="343"/>
        <v/>
      </c>
      <c r="R1271" s="29" t="str">
        <f t="shared" si="344"/>
        <v/>
      </c>
      <c r="S1271" s="29">
        <f t="shared" si="345"/>
        <v>1</v>
      </c>
      <c r="T1271" s="32" t="str">
        <f t="shared" si="346"/>
        <v/>
      </c>
      <c r="U1271" s="32" t="str">
        <f t="shared" si="349"/>
        <v/>
      </c>
      <c r="V1271" s="32" t="str">
        <f t="shared" si="350"/>
        <v/>
      </c>
      <c r="W1271" s="41">
        <f t="shared" si="347"/>
        <v>3.0222308445361201</v>
      </c>
      <c r="X1271" s="6">
        <f t="shared" si="348"/>
        <v>0</v>
      </c>
      <c r="Y1271" s="7">
        <f t="shared" si="351"/>
        <v>567</v>
      </c>
      <c r="AA1271" s="7">
        <f t="shared" si="352"/>
        <v>0</v>
      </c>
      <c r="AB1271" s="7" t="str">
        <f t="shared" si="353"/>
        <v/>
      </c>
      <c r="AC1271" s="7">
        <f t="shared" si="354"/>
        <v>0</v>
      </c>
      <c r="AD1271" s="7" t="str">
        <f t="shared" si="355"/>
        <v/>
      </c>
      <c r="AE1271" s="6">
        <f t="shared" si="356"/>
        <v>0</v>
      </c>
      <c r="AF1271" s="69">
        <f t="shared" si="357"/>
        <v>3.0222308445361201</v>
      </c>
      <c r="AG1271" s="6">
        <f t="shared" si="358"/>
        <v>278.04523769732305</v>
      </c>
      <c r="AH1271" s="6">
        <f t="shared" si="359"/>
        <v>19</v>
      </c>
    </row>
    <row r="1272" spans="8:34" x14ac:dyDescent="0.25">
      <c r="H1272" s="7">
        <v>1279</v>
      </c>
      <c r="I1272" s="7" t="s">
        <v>11</v>
      </c>
      <c r="J1272" s="8">
        <v>38232</v>
      </c>
      <c r="K1272" s="12" t="s">
        <v>20</v>
      </c>
      <c r="L1272" s="9">
        <v>28</v>
      </c>
      <c r="M1272" s="10">
        <v>86.457557586126669</v>
      </c>
      <c r="N1272" s="7" t="s">
        <v>22</v>
      </c>
      <c r="P1272" s="29" t="str">
        <f t="shared" si="342"/>
        <v/>
      </c>
      <c r="Q1272" s="29" t="str">
        <f t="shared" si="343"/>
        <v/>
      </c>
      <c r="R1272" s="29">
        <f t="shared" si="344"/>
        <v>1</v>
      </c>
      <c r="S1272" s="29" t="str">
        <f t="shared" si="345"/>
        <v/>
      </c>
      <c r="T1272" s="32" t="str">
        <f t="shared" si="346"/>
        <v/>
      </c>
      <c r="U1272" s="32" t="str">
        <f t="shared" si="349"/>
        <v/>
      </c>
      <c r="V1272" s="32" t="str">
        <f t="shared" si="350"/>
        <v/>
      </c>
      <c r="W1272" s="41">
        <f t="shared" si="347"/>
        <v>3.0877699137902384</v>
      </c>
      <c r="X1272" s="6">
        <f t="shared" si="348"/>
        <v>0</v>
      </c>
      <c r="Y1272" s="7">
        <f t="shared" si="351"/>
        <v>567</v>
      </c>
      <c r="AA1272" s="7">
        <f t="shared" si="352"/>
        <v>0</v>
      </c>
      <c r="AB1272" s="7" t="str">
        <f t="shared" si="353"/>
        <v/>
      </c>
      <c r="AC1272" s="7">
        <f t="shared" si="354"/>
        <v>0</v>
      </c>
      <c r="AD1272" s="7" t="str">
        <f t="shared" si="355"/>
        <v/>
      </c>
      <c r="AE1272" s="6">
        <f t="shared" si="356"/>
        <v>0</v>
      </c>
      <c r="AF1272" s="69">
        <f t="shared" si="357"/>
        <v>3.0877699137902384</v>
      </c>
      <c r="AG1272" s="6">
        <f t="shared" si="358"/>
        <v>86.457557586126669</v>
      </c>
      <c r="AH1272" s="6">
        <f t="shared" si="359"/>
        <v>409</v>
      </c>
    </row>
    <row r="1273" spans="8:34" x14ac:dyDescent="0.25">
      <c r="H1273" s="7">
        <v>1280</v>
      </c>
      <c r="I1273" s="7" t="s">
        <v>7</v>
      </c>
      <c r="J1273" s="8">
        <v>38375</v>
      </c>
      <c r="K1273" s="12" t="s">
        <v>19</v>
      </c>
      <c r="L1273" s="9">
        <v>79</v>
      </c>
      <c r="M1273" s="10">
        <v>238.98646128992934</v>
      </c>
      <c r="N1273" s="7" t="s">
        <v>23</v>
      </c>
      <c r="P1273" s="29" t="str">
        <f t="shared" si="342"/>
        <v/>
      </c>
      <c r="Q1273" s="29" t="str">
        <f t="shared" si="343"/>
        <v/>
      </c>
      <c r="R1273" s="29" t="str">
        <f t="shared" si="344"/>
        <v/>
      </c>
      <c r="S1273" s="29" t="str">
        <f t="shared" si="345"/>
        <v/>
      </c>
      <c r="T1273" s="32" t="str">
        <f t="shared" si="346"/>
        <v/>
      </c>
      <c r="U1273" s="32">
        <f t="shared" si="349"/>
        <v>1</v>
      </c>
      <c r="V1273" s="32" t="str">
        <f t="shared" si="350"/>
        <v/>
      </c>
      <c r="W1273" s="41">
        <f t="shared" si="347"/>
        <v>3.0251450796193589</v>
      </c>
      <c r="X1273" s="6">
        <f t="shared" si="348"/>
        <v>238.98646128992934</v>
      </c>
      <c r="Y1273" s="7">
        <f t="shared" si="351"/>
        <v>107</v>
      </c>
      <c r="AA1273" s="7">
        <f t="shared" si="352"/>
        <v>1</v>
      </c>
      <c r="AB1273" s="7">
        <f t="shared" si="353"/>
        <v>79</v>
      </c>
      <c r="AC1273" s="7">
        <f t="shared" si="354"/>
        <v>0</v>
      </c>
      <c r="AD1273" s="7" t="str">
        <f t="shared" si="355"/>
        <v/>
      </c>
      <c r="AE1273" s="6">
        <f t="shared" si="356"/>
        <v>0</v>
      </c>
      <c r="AF1273" s="69">
        <f t="shared" si="357"/>
        <v>3.0251450796193589</v>
      </c>
      <c r="AG1273" s="6">
        <f t="shared" si="358"/>
        <v>0</v>
      </c>
      <c r="AH1273" s="6">
        <f t="shared" si="359"/>
        <v>604</v>
      </c>
    </row>
    <row r="1274" spans="8:34" x14ac:dyDescent="0.25">
      <c r="H1274" s="7">
        <v>1281</v>
      </c>
      <c r="I1274" s="7" t="s">
        <v>14</v>
      </c>
      <c r="J1274" s="8">
        <v>38375</v>
      </c>
      <c r="K1274" s="12" t="s">
        <v>18</v>
      </c>
      <c r="L1274" s="9">
        <v>92</v>
      </c>
      <c r="M1274" s="10">
        <v>277.53792590877345</v>
      </c>
      <c r="N1274" s="7" t="s">
        <v>23</v>
      </c>
      <c r="P1274" s="29" t="str">
        <f t="shared" si="342"/>
        <v/>
      </c>
      <c r="Q1274" s="29" t="str">
        <f t="shared" si="343"/>
        <v/>
      </c>
      <c r="R1274" s="29" t="str">
        <f t="shared" si="344"/>
        <v/>
      </c>
      <c r="S1274" s="29" t="str">
        <f t="shared" si="345"/>
        <v/>
      </c>
      <c r="T1274" s="32" t="str">
        <f t="shared" si="346"/>
        <v/>
      </c>
      <c r="U1274" s="32">
        <f t="shared" si="349"/>
        <v>1</v>
      </c>
      <c r="V1274" s="32" t="str">
        <f t="shared" si="350"/>
        <v/>
      </c>
      <c r="W1274" s="41">
        <f t="shared" si="347"/>
        <v>3.0167165859649288</v>
      </c>
      <c r="X1274" s="6">
        <f t="shared" si="348"/>
        <v>277.53792590877345</v>
      </c>
      <c r="Y1274" s="7">
        <f t="shared" si="351"/>
        <v>33</v>
      </c>
      <c r="AA1274" s="7">
        <f t="shared" si="352"/>
        <v>1</v>
      </c>
      <c r="AB1274" s="7">
        <f t="shared" si="353"/>
        <v>92</v>
      </c>
      <c r="AC1274" s="7">
        <f t="shared" si="354"/>
        <v>0</v>
      </c>
      <c r="AD1274" s="7" t="str">
        <f t="shared" si="355"/>
        <v/>
      </c>
      <c r="AE1274" s="6">
        <f t="shared" si="356"/>
        <v>0</v>
      </c>
      <c r="AF1274" s="69">
        <f t="shared" si="357"/>
        <v>3.0167165859649288</v>
      </c>
      <c r="AG1274" s="6">
        <f t="shared" si="358"/>
        <v>0</v>
      </c>
      <c r="AH1274" s="6">
        <f t="shared" si="359"/>
        <v>604</v>
      </c>
    </row>
    <row r="1275" spans="8:34" x14ac:dyDescent="0.25">
      <c r="H1275" s="7">
        <v>1282</v>
      </c>
      <c r="I1275" s="7" t="s">
        <v>12</v>
      </c>
      <c r="J1275" s="8">
        <v>38100</v>
      </c>
      <c r="K1275" s="12" t="s">
        <v>20</v>
      </c>
      <c r="L1275" s="9">
        <v>11</v>
      </c>
      <c r="M1275" s="10">
        <v>34.457391966440007</v>
      </c>
      <c r="N1275" s="7" t="s">
        <v>22</v>
      </c>
      <c r="P1275" s="29" t="str">
        <f t="shared" si="342"/>
        <v/>
      </c>
      <c r="Q1275" s="29">
        <f t="shared" si="343"/>
        <v>1</v>
      </c>
      <c r="R1275" s="29" t="str">
        <f t="shared" si="344"/>
        <v/>
      </c>
      <c r="S1275" s="29" t="str">
        <f t="shared" si="345"/>
        <v/>
      </c>
      <c r="T1275" s="32" t="str">
        <f t="shared" si="346"/>
        <v/>
      </c>
      <c r="U1275" s="32" t="str">
        <f t="shared" si="349"/>
        <v/>
      </c>
      <c r="V1275" s="32" t="str">
        <f t="shared" si="350"/>
        <v/>
      </c>
      <c r="W1275" s="41">
        <f t="shared" si="347"/>
        <v>3.1324901787672732</v>
      </c>
      <c r="X1275" s="6">
        <f t="shared" si="348"/>
        <v>0</v>
      </c>
      <c r="Y1275" s="7">
        <f t="shared" si="351"/>
        <v>567</v>
      </c>
      <c r="AA1275" s="7">
        <f t="shared" si="352"/>
        <v>0</v>
      </c>
      <c r="AB1275" s="7" t="str">
        <f t="shared" si="353"/>
        <v/>
      </c>
      <c r="AC1275" s="7">
        <f t="shared" si="354"/>
        <v>0</v>
      </c>
      <c r="AD1275" s="7" t="str">
        <f t="shared" si="355"/>
        <v/>
      </c>
      <c r="AE1275" s="6">
        <f t="shared" si="356"/>
        <v>0</v>
      </c>
      <c r="AF1275" s="69">
        <f t="shared" si="357"/>
        <v>3.1324901787672732</v>
      </c>
      <c r="AG1275" s="6">
        <f t="shared" si="358"/>
        <v>34.457391966440007</v>
      </c>
      <c r="AH1275" s="6">
        <f t="shared" si="359"/>
        <v>522</v>
      </c>
    </row>
    <row r="1276" spans="8:34" x14ac:dyDescent="0.25">
      <c r="H1276" s="7">
        <v>1283</v>
      </c>
      <c r="I1276" s="7" t="s">
        <v>11</v>
      </c>
      <c r="J1276" s="8">
        <v>38375</v>
      </c>
      <c r="K1276" s="12" t="s">
        <v>16</v>
      </c>
      <c r="L1276" s="9">
        <v>23</v>
      </c>
      <c r="M1276" s="10">
        <v>70.69661605650883</v>
      </c>
      <c r="N1276" s="7" t="s">
        <v>24</v>
      </c>
      <c r="P1276" s="29" t="str">
        <f t="shared" si="342"/>
        <v/>
      </c>
      <c r="Q1276" s="29" t="str">
        <f t="shared" si="343"/>
        <v/>
      </c>
      <c r="R1276" s="29" t="str">
        <f t="shared" si="344"/>
        <v/>
      </c>
      <c r="S1276" s="29" t="str">
        <f t="shared" si="345"/>
        <v/>
      </c>
      <c r="T1276" s="32" t="str">
        <f t="shared" si="346"/>
        <v/>
      </c>
      <c r="U1276" s="32">
        <f t="shared" si="349"/>
        <v>1</v>
      </c>
      <c r="V1276" s="32" t="str">
        <f t="shared" si="350"/>
        <v/>
      </c>
      <c r="W1276" s="41">
        <f t="shared" si="347"/>
        <v>3.0737659155003838</v>
      </c>
      <c r="X1276" s="6">
        <f t="shared" si="348"/>
        <v>70.69661605650883</v>
      </c>
      <c r="Y1276" s="7">
        <f t="shared" si="351"/>
        <v>428</v>
      </c>
      <c r="AA1276" s="7">
        <f t="shared" si="352"/>
        <v>1</v>
      </c>
      <c r="AB1276" s="7">
        <f t="shared" si="353"/>
        <v>23</v>
      </c>
      <c r="AC1276" s="7">
        <f t="shared" si="354"/>
        <v>0</v>
      </c>
      <c r="AD1276" s="7" t="str">
        <f t="shared" si="355"/>
        <v/>
      </c>
      <c r="AE1276" s="6">
        <f t="shared" si="356"/>
        <v>0</v>
      </c>
      <c r="AF1276" s="69">
        <f t="shared" si="357"/>
        <v>3.0737659155003838</v>
      </c>
      <c r="AG1276" s="6">
        <f t="shared" si="358"/>
        <v>0</v>
      </c>
      <c r="AH1276" s="6">
        <f t="shared" si="359"/>
        <v>604</v>
      </c>
    </row>
    <row r="1277" spans="8:34" x14ac:dyDescent="0.25">
      <c r="H1277" s="7">
        <v>1284</v>
      </c>
      <c r="I1277" s="7" t="s">
        <v>7</v>
      </c>
      <c r="J1277" s="8">
        <v>38826</v>
      </c>
      <c r="K1277" s="12" t="s">
        <v>16</v>
      </c>
      <c r="L1277" s="9">
        <v>2</v>
      </c>
      <c r="M1277" s="10">
        <v>8.8023773142157893</v>
      </c>
      <c r="N1277" s="7" t="s">
        <v>22</v>
      </c>
      <c r="P1277" s="29" t="str">
        <f t="shared" si="342"/>
        <v/>
      </c>
      <c r="Q1277" s="29" t="str">
        <f t="shared" si="343"/>
        <v/>
      </c>
      <c r="R1277" s="29" t="str">
        <f t="shared" si="344"/>
        <v/>
      </c>
      <c r="S1277" s="29" t="str">
        <f t="shared" si="345"/>
        <v/>
      </c>
      <c r="T1277" s="32" t="str">
        <f t="shared" si="346"/>
        <v/>
      </c>
      <c r="U1277" s="32" t="str">
        <f t="shared" si="349"/>
        <v/>
      </c>
      <c r="V1277" s="32">
        <f t="shared" si="350"/>
        <v>1</v>
      </c>
      <c r="W1277" s="41">
        <f t="shared" si="347"/>
        <v>4.4011886571078946</v>
      </c>
      <c r="X1277" s="6">
        <f t="shared" si="348"/>
        <v>0</v>
      </c>
      <c r="Y1277" s="7">
        <f t="shared" si="351"/>
        <v>567</v>
      </c>
      <c r="AA1277" s="7">
        <f t="shared" si="352"/>
        <v>0</v>
      </c>
      <c r="AB1277" s="7" t="str">
        <f t="shared" si="353"/>
        <v/>
      </c>
      <c r="AC1277" s="7">
        <f t="shared" si="354"/>
        <v>0</v>
      </c>
      <c r="AD1277" s="7" t="str">
        <f t="shared" si="355"/>
        <v/>
      </c>
      <c r="AE1277" s="6">
        <f t="shared" si="356"/>
        <v>0</v>
      </c>
      <c r="AF1277" s="69">
        <f t="shared" si="357"/>
        <v>4.4011886571078946</v>
      </c>
      <c r="AG1277" s="6">
        <f t="shared" si="358"/>
        <v>0</v>
      </c>
      <c r="AH1277" s="6">
        <f t="shared" si="359"/>
        <v>604</v>
      </c>
    </row>
    <row r="1278" spans="8:34" x14ac:dyDescent="0.25">
      <c r="H1278" s="7">
        <v>1285</v>
      </c>
      <c r="I1278" s="7" t="s">
        <v>13</v>
      </c>
      <c r="J1278" s="8">
        <v>38353</v>
      </c>
      <c r="K1278" s="12" t="s">
        <v>16</v>
      </c>
      <c r="L1278" s="9">
        <v>-2</v>
      </c>
      <c r="M1278" s="10">
        <v>-3.4493356628035219</v>
      </c>
      <c r="N1278" s="7" t="s">
        <v>24</v>
      </c>
      <c r="P1278" s="29" t="str">
        <f t="shared" si="342"/>
        <v/>
      </c>
      <c r="Q1278" s="29" t="str">
        <f t="shared" si="343"/>
        <v/>
      </c>
      <c r="R1278" s="29" t="str">
        <f t="shared" si="344"/>
        <v/>
      </c>
      <c r="S1278" s="29" t="str">
        <f t="shared" si="345"/>
        <v/>
      </c>
      <c r="T1278" s="32" t="str">
        <f t="shared" si="346"/>
        <v/>
      </c>
      <c r="U1278" s="32">
        <f t="shared" si="349"/>
        <v>1</v>
      </c>
      <c r="V1278" s="32" t="str">
        <f t="shared" si="350"/>
        <v/>
      </c>
      <c r="W1278" s="41" t="str">
        <f t="shared" si="347"/>
        <v/>
      </c>
      <c r="X1278" s="6">
        <f t="shared" si="348"/>
        <v>-3.4493356628035219</v>
      </c>
      <c r="Y1278" s="7">
        <f t="shared" si="351"/>
        <v>1847</v>
      </c>
      <c r="AA1278" s="7">
        <f t="shared" si="352"/>
        <v>1</v>
      </c>
      <c r="AB1278" s="7">
        <f t="shared" si="353"/>
        <v>-2</v>
      </c>
      <c r="AC1278" s="7">
        <f t="shared" si="354"/>
        <v>0</v>
      </c>
      <c r="AD1278" s="7" t="str">
        <f t="shared" si="355"/>
        <v/>
      </c>
      <c r="AE1278" s="6">
        <f t="shared" si="356"/>
        <v>-2</v>
      </c>
      <c r="AF1278" s="69" t="str">
        <f t="shared" si="357"/>
        <v/>
      </c>
      <c r="AG1278" s="6">
        <f t="shared" si="358"/>
        <v>0</v>
      </c>
      <c r="AH1278" s="6">
        <f t="shared" si="359"/>
        <v>604</v>
      </c>
    </row>
    <row r="1279" spans="8:34" x14ac:dyDescent="0.25">
      <c r="H1279" s="7">
        <v>1286</v>
      </c>
      <c r="I1279" s="7" t="s">
        <v>8</v>
      </c>
      <c r="J1279" s="8">
        <v>38507</v>
      </c>
      <c r="K1279" s="12" t="s">
        <v>17</v>
      </c>
      <c r="L1279" s="9">
        <v>33</v>
      </c>
      <c r="M1279" s="10">
        <v>100.68617590777907</v>
      </c>
      <c r="N1279" s="7" t="s">
        <v>23</v>
      </c>
      <c r="P1279" s="29" t="str">
        <f t="shared" si="342"/>
        <v/>
      </c>
      <c r="Q1279" s="29" t="str">
        <f t="shared" si="343"/>
        <v/>
      </c>
      <c r="R1279" s="29" t="str">
        <f t="shared" si="344"/>
        <v/>
      </c>
      <c r="S1279" s="29" t="str">
        <f t="shared" si="345"/>
        <v/>
      </c>
      <c r="T1279" s="32" t="str">
        <f t="shared" si="346"/>
        <v/>
      </c>
      <c r="U1279" s="32">
        <f t="shared" si="349"/>
        <v>1</v>
      </c>
      <c r="V1279" s="32" t="str">
        <f t="shared" si="350"/>
        <v/>
      </c>
      <c r="W1279" s="41">
        <f t="shared" si="347"/>
        <v>3.0510962396296688</v>
      </c>
      <c r="X1279" s="6">
        <f t="shared" si="348"/>
        <v>100.68617590777907</v>
      </c>
      <c r="Y1279" s="7">
        <f t="shared" si="351"/>
        <v>363</v>
      </c>
      <c r="AA1279" s="7">
        <f t="shared" si="352"/>
        <v>0</v>
      </c>
      <c r="AB1279" s="7" t="str">
        <f t="shared" si="353"/>
        <v/>
      </c>
      <c r="AC1279" s="7">
        <f t="shared" si="354"/>
        <v>1</v>
      </c>
      <c r="AD1279" s="7">
        <f t="shared" si="355"/>
        <v>33</v>
      </c>
      <c r="AE1279" s="6">
        <f t="shared" si="356"/>
        <v>0</v>
      </c>
      <c r="AF1279" s="69">
        <f t="shared" si="357"/>
        <v>3.0510962396296688</v>
      </c>
      <c r="AG1279" s="6">
        <f t="shared" si="358"/>
        <v>0</v>
      </c>
      <c r="AH1279" s="6">
        <f t="shared" si="359"/>
        <v>604</v>
      </c>
    </row>
    <row r="1280" spans="8:34" x14ac:dyDescent="0.25">
      <c r="H1280" s="7">
        <v>1287</v>
      </c>
      <c r="I1280" s="7" t="s">
        <v>13</v>
      </c>
      <c r="J1280" s="8">
        <v>38892</v>
      </c>
      <c r="K1280" s="12" t="s">
        <v>20</v>
      </c>
      <c r="L1280" s="9">
        <v>10</v>
      </c>
      <c r="M1280" s="10">
        <v>31.300935347132732</v>
      </c>
      <c r="N1280" s="7" t="s">
        <v>22</v>
      </c>
      <c r="P1280" s="29" t="str">
        <f t="shared" si="342"/>
        <v/>
      </c>
      <c r="Q1280" s="29" t="str">
        <f t="shared" si="343"/>
        <v/>
      </c>
      <c r="R1280" s="29" t="str">
        <f t="shared" si="344"/>
        <v/>
      </c>
      <c r="S1280" s="29" t="str">
        <f t="shared" si="345"/>
        <v/>
      </c>
      <c r="T1280" s="32" t="str">
        <f t="shared" si="346"/>
        <v/>
      </c>
      <c r="U1280" s="32" t="str">
        <f t="shared" si="349"/>
        <v/>
      </c>
      <c r="V1280" s="32">
        <f t="shared" si="350"/>
        <v>1</v>
      </c>
      <c r="W1280" s="41">
        <f t="shared" si="347"/>
        <v>3.1300935347132732</v>
      </c>
      <c r="X1280" s="6">
        <f t="shared" si="348"/>
        <v>0</v>
      </c>
      <c r="Y1280" s="7">
        <f t="shared" si="351"/>
        <v>567</v>
      </c>
      <c r="AA1280" s="7">
        <f t="shared" si="352"/>
        <v>0</v>
      </c>
      <c r="AB1280" s="7" t="str">
        <f t="shared" si="353"/>
        <v/>
      </c>
      <c r="AC1280" s="7">
        <f t="shared" si="354"/>
        <v>0</v>
      </c>
      <c r="AD1280" s="7" t="str">
        <f t="shared" si="355"/>
        <v/>
      </c>
      <c r="AE1280" s="6">
        <f t="shared" si="356"/>
        <v>0</v>
      </c>
      <c r="AF1280" s="69">
        <f t="shared" si="357"/>
        <v>3.1300935347132732</v>
      </c>
      <c r="AG1280" s="6">
        <f t="shared" si="358"/>
        <v>0</v>
      </c>
      <c r="AH1280" s="6">
        <f t="shared" si="359"/>
        <v>604</v>
      </c>
    </row>
    <row r="1281" spans="8:34" x14ac:dyDescent="0.25">
      <c r="H1281" s="7">
        <v>1288</v>
      </c>
      <c r="I1281" s="7" t="s">
        <v>9</v>
      </c>
      <c r="J1281" s="8">
        <v>38320</v>
      </c>
      <c r="K1281" s="12" t="s">
        <v>19</v>
      </c>
      <c r="L1281" s="9">
        <v>84</v>
      </c>
      <c r="M1281" s="10">
        <v>254.11937205363179</v>
      </c>
      <c r="N1281" s="7" t="s">
        <v>24</v>
      </c>
      <c r="P1281" s="29" t="str">
        <f t="shared" si="342"/>
        <v/>
      </c>
      <c r="Q1281" s="29" t="str">
        <f t="shared" si="343"/>
        <v/>
      </c>
      <c r="R1281" s="29" t="str">
        <f t="shared" si="344"/>
        <v/>
      </c>
      <c r="S1281" s="29">
        <f t="shared" si="345"/>
        <v>1</v>
      </c>
      <c r="T1281" s="32" t="str">
        <f t="shared" si="346"/>
        <v/>
      </c>
      <c r="U1281" s="32" t="str">
        <f t="shared" si="349"/>
        <v/>
      </c>
      <c r="V1281" s="32" t="str">
        <f t="shared" si="350"/>
        <v/>
      </c>
      <c r="W1281" s="41">
        <f t="shared" si="347"/>
        <v>3.0252306196860927</v>
      </c>
      <c r="X1281" s="6">
        <f t="shared" si="348"/>
        <v>0</v>
      </c>
      <c r="Y1281" s="7">
        <f t="shared" si="351"/>
        <v>567</v>
      </c>
      <c r="AA1281" s="7">
        <f t="shared" si="352"/>
        <v>0</v>
      </c>
      <c r="AB1281" s="7" t="str">
        <f t="shared" si="353"/>
        <v/>
      </c>
      <c r="AC1281" s="7">
        <f t="shared" si="354"/>
        <v>0</v>
      </c>
      <c r="AD1281" s="7" t="str">
        <f t="shared" si="355"/>
        <v/>
      </c>
      <c r="AE1281" s="6">
        <f t="shared" si="356"/>
        <v>0</v>
      </c>
      <c r="AF1281" s="69">
        <f t="shared" si="357"/>
        <v>3.0252306196860927</v>
      </c>
      <c r="AG1281" s="6">
        <f t="shared" si="358"/>
        <v>254.11937205363179</v>
      </c>
      <c r="AH1281" s="6">
        <f t="shared" si="359"/>
        <v>61</v>
      </c>
    </row>
    <row r="1282" spans="8:34" x14ac:dyDescent="0.25">
      <c r="H1282" s="7">
        <v>1289</v>
      </c>
      <c r="I1282" s="7" t="s">
        <v>8</v>
      </c>
      <c r="J1282" s="8">
        <v>38342</v>
      </c>
      <c r="K1282" s="12" t="s">
        <v>20</v>
      </c>
      <c r="L1282" s="9">
        <v>88</v>
      </c>
      <c r="M1282" s="10">
        <v>266.39334034313327</v>
      </c>
      <c r="N1282" s="7" t="s">
        <v>22</v>
      </c>
      <c r="P1282" s="29" t="str">
        <f t="shared" si="342"/>
        <v/>
      </c>
      <c r="Q1282" s="29" t="str">
        <f t="shared" si="343"/>
        <v/>
      </c>
      <c r="R1282" s="29" t="str">
        <f t="shared" si="344"/>
        <v/>
      </c>
      <c r="S1282" s="29">
        <f t="shared" si="345"/>
        <v>1</v>
      </c>
      <c r="T1282" s="32" t="str">
        <f t="shared" si="346"/>
        <v/>
      </c>
      <c r="U1282" s="32" t="str">
        <f t="shared" si="349"/>
        <v/>
      </c>
      <c r="V1282" s="32" t="str">
        <f t="shared" si="350"/>
        <v/>
      </c>
      <c r="W1282" s="41">
        <f t="shared" si="347"/>
        <v>3.0271970493537874</v>
      </c>
      <c r="X1282" s="6">
        <f t="shared" si="348"/>
        <v>0</v>
      </c>
      <c r="Y1282" s="7">
        <f t="shared" si="351"/>
        <v>567</v>
      </c>
      <c r="AA1282" s="7">
        <f t="shared" si="352"/>
        <v>0</v>
      </c>
      <c r="AB1282" s="7" t="str">
        <f t="shared" si="353"/>
        <v/>
      </c>
      <c r="AC1282" s="7">
        <f t="shared" si="354"/>
        <v>0</v>
      </c>
      <c r="AD1282" s="7" t="str">
        <f t="shared" si="355"/>
        <v/>
      </c>
      <c r="AE1282" s="6">
        <f t="shared" si="356"/>
        <v>0</v>
      </c>
      <c r="AF1282" s="69">
        <f t="shared" si="357"/>
        <v>3.0271970493537874</v>
      </c>
      <c r="AG1282" s="6">
        <f t="shared" si="358"/>
        <v>266.39334034313327</v>
      </c>
      <c r="AH1282" s="6">
        <f t="shared" si="359"/>
        <v>38</v>
      </c>
    </row>
    <row r="1283" spans="8:34" x14ac:dyDescent="0.25">
      <c r="H1283" s="7">
        <v>1290</v>
      </c>
      <c r="I1283" s="7" t="s">
        <v>7</v>
      </c>
      <c r="J1283" s="8">
        <v>38540</v>
      </c>
      <c r="K1283" s="12" t="s">
        <v>16</v>
      </c>
      <c r="L1283" s="9">
        <v>95</v>
      </c>
      <c r="M1283" s="10">
        <v>286.60843219410157</v>
      </c>
      <c r="N1283" s="7" t="s">
        <v>24</v>
      </c>
      <c r="P1283" s="29" t="str">
        <f t="shared" ref="P1283:P1346" si="360">IF(AND((MONTH(J1283))&lt;4,YEAR(J1283)=2004),1,"")</f>
        <v/>
      </c>
      <c r="Q1283" s="29" t="str">
        <f t="shared" ref="Q1283:Q1346" si="361">IF(AND(3&lt;(MONTH(J1283)),(MONTH(J1283)&lt;7),YEAR(J1283)=2004),1,"")</f>
        <v/>
      </c>
      <c r="R1283" s="29" t="str">
        <f t="shared" ref="R1283:R1346" si="362">IF(AND(6&lt;(MONTH(J1283)),(MONTH(J1283)&lt;10),YEAR(J1283)=2004),1,"")</f>
        <v/>
      </c>
      <c r="S1283" s="29" t="str">
        <f t="shared" ref="S1283:S1346" si="363">IF(AND(9&lt;(MONTH(J1283)),(MONTH(J1283)&lt;13),YEAR(J1283)=2004),1,"")</f>
        <v/>
      </c>
      <c r="T1283" s="32" t="str">
        <f t="shared" ref="T1283:T1346" si="364">IF(AND((9&lt;MONTH(J1283)),YEAR(J1283)=2005),1,"")</f>
        <v/>
      </c>
      <c r="U1283" s="32">
        <f t="shared" si="349"/>
        <v>1</v>
      </c>
      <c r="V1283" s="32" t="str">
        <f t="shared" si="350"/>
        <v/>
      </c>
      <c r="W1283" s="41">
        <f t="shared" ref="W1283:W1346" si="365">IF(L1283&gt;0,M1283/L1283,"")</f>
        <v>3.0169308652010693</v>
      </c>
      <c r="X1283" s="6">
        <f t="shared" ref="X1283:X1346" si="366">IF(U1283=1,M1283,0)</f>
        <v>286.60843219410157</v>
      </c>
      <c r="Y1283" s="7">
        <f t="shared" si="351"/>
        <v>6</v>
      </c>
      <c r="AA1283" s="7">
        <f t="shared" si="352"/>
        <v>1</v>
      </c>
      <c r="AB1283" s="7">
        <f t="shared" si="353"/>
        <v>95</v>
      </c>
      <c r="AC1283" s="7">
        <f t="shared" si="354"/>
        <v>0</v>
      </c>
      <c r="AD1283" s="7" t="str">
        <f t="shared" si="355"/>
        <v/>
      </c>
      <c r="AE1283" s="6">
        <f t="shared" si="356"/>
        <v>0</v>
      </c>
      <c r="AF1283" s="69">
        <f t="shared" si="357"/>
        <v>3.0169308652010693</v>
      </c>
      <c r="AG1283" s="6">
        <f t="shared" si="358"/>
        <v>0</v>
      </c>
      <c r="AH1283" s="6">
        <f t="shared" si="359"/>
        <v>604</v>
      </c>
    </row>
    <row r="1284" spans="8:34" x14ac:dyDescent="0.25">
      <c r="H1284" s="7">
        <v>1291</v>
      </c>
      <c r="I1284" s="7" t="s">
        <v>10</v>
      </c>
      <c r="J1284" s="8">
        <v>38397</v>
      </c>
      <c r="K1284" s="12" t="s">
        <v>20</v>
      </c>
      <c r="L1284" s="9">
        <v>3</v>
      </c>
      <c r="M1284" s="10">
        <v>11.903882144888168</v>
      </c>
      <c r="N1284" s="7" t="s">
        <v>22</v>
      </c>
      <c r="P1284" s="29" t="str">
        <f t="shared" si="360"/>
        <v/>
      </c>
      <c r="Q1284" s="29" t="str">
        <f t="shared" si="361"/>
        <v/>
      </c>
      <c r="R1284" s="29" t="str">
        <f t="shared" si="362"/>
        <v/>
      </c>
      <c r="S1284" s="29" t="str">
        <f t="shared" si="363"/>
        <v/>
      </c>
      <c r="T1284" s="32" t="str">
        <f t="shared" si="364"/>
        <v/>
      </c>
      <c r="U1284" s="32">
        <f t="shared" ref="U1284:U1347" si="367">IF(YEAR(J1284)=2005,1,"")</f>
        <v>1</v>
      </c>
      <c r="V1284" s="32" t="str">
        <f t="shared" ref="V1284:V1347" si="368">IF(YEAR(J1284)=2006,1,"")</f>
        <v/>
      </c>
      <c r="W1284" s="41">
        <f t="shared" si="365"/>
        <v>3.967960714962723</v>
      </c>
      <c r="X1284" s="6">
        <f t="shared" si="366"/>
        <v>11.903882144888168</v>
      </c>
      <c r="Y1284" s="7">
        <f t="shared" ref="Y1284:Y1347" si="369">RANK(X1284,$X$3:$X$1893)</f>
        <v>538</v>
      </c>
      <c r="AA1284" s="7">
        <f t="shared" ref="AA1284:AA1347" si="370">IF(AND(OR((MONTH(J1284))=1,(MONTH(J1284))=2,(MONTH(J1284))=3,(MONTH(J1284))=7,(MONTH(J1284))=8,(MONTH(J1284))=9),YEAR(J1284)=2005),1,0)</f>
        <v>1</v>
      </c>
      <c r="AB1284" s="7">
        <f t="shared" ref="AB1284:AB1347" si="371">IF(AA1284=1,L1284,"")</f>
        <v>3</v>
      </c>
      <c r="AC1284" s="7">
        <f t="shared" ref="AC1284:AC1347" si="372">IF(AND(OR((MONTH(J1284))=4,(MONTH(J1284))=5,(MONTH(J1284))=6,(MONTH(J1284))=10,(MONTH(J1284))=11,(MONTH(J1284))=12),YEAR(J1284)=2005),1,0)</f>
        <v>0</v>
      </c>
      <c r="AD1284" s="7" t="str">
        <f t="shared" ref="AD1284:AD1347" si="373">IF(AC1284=1,L1284,"")</f>
        <v/>
      </c>
      <c r="AE1284" s="6">
        <f t="shared" ref="AE1284:AE1347" si="374">IF(L1284&lt;0,L1284,0)</f>
        <v>0</v>
      </c>
      <c r="AF1284" s="69">
        <f t="shared" ref="AF1284:AF1347" si="375">IF(L1284&gt;0,W1284,"")</f>
        <v>3.967960714962723</v>
      </c>
      <c r="AG1284" s="6">
        <f t="shared" ref="AG1284:AG1347" si="376">IF(AND((M1284&gt;0),(YEAR(J1284)=2004)),M1284,0)</f>
        <v>0</v>
      </c>
      <c r="AH1284" s="6">
        <f t="shared" ref="AH1284:AH1347" si="377">RANK(AG1284,$AG$3:$AG$1893)</f>
        <v>604</v>
      </c>
    </row>
    <row r="1285" spans="8:34" x14ac:dyDescent="0.25">
      <c r="H1285" s="7">
        <v>1292</v>
      </c>
      <c r="I1285" s="7" t="s">
        <v>7</v>
      </c>
      <c r="J1285" s="8">
        <v>38837</v>
      </c>
      <c r="K1285" s="12" t="s">
        <v>17</v>
      </c>
      <c r="L1285" s="9">
        <v>72</v>
      </c>
      <c r="M1285" s="10">
        <v>217.58131494729014</v>
      </c>
      <c r="N1285" s="7" t="s">
        <v>23</v>
      </c>
      <c r="P1285" s="29" t="str">
        <f t="shared" si="360"/>
        <v/>
      </c>
      <c r="Q1285" s="29" t="str">
        <f t="shared" si="361"/>
        <v/>
      </c>
      <c r="R1285" s="29" t="str">
        <f t="shared" si="362"/>
        <v/>
      </c>
      <c r="S1285" s="29" t="str">
        <f t="shared" si="363"/>
        <v/>
      </c>
      <c r="T1285" s="32" t="str">
        <f t="shared" si="364"/>
        <v/>
      </c>
      <c r="U1285" s="32" t="str">
        <f t="shared" si="367"/>
        <v/>
      </c>
      <c r="V1285" s="32">
        <f t="shared" si="368"/>
        <v>1</v>
      </c>
      <c r="W1285" s="41">
        <f t="shared" si="365"/>
        <v>3.0219627076012521</v>
      </c>
      <c r="X1285" s="6">
        <f t="shared" si="366"/>
        <v>0</v>
      </c>
      <c r="Y1285" s="7">
        <f t="shared" si="369"/>
        <v>567</v>
      </c>
      <c r="AA1285" s="7">
        <f t="shared" si="370"/>
        <v>0</v>
      </c>
      <c r="AB1285" s="7" t="str">
        <f t="shared" si="371"/>
        <v/>
      </c>
      <c r="AC1285" s="7">
        <f t="shared" si="372"/>
        <v>0</v>
      </c>
      <c r="AD1285" s="7" t="str">
        <f t="shared" si="373"/>
        <v/>
      </c>
      <c r="AE1285" s="6">
        <f t="shared" si="374"/>
        <v>0</v>
      </c>
      <c r="AF1285" s="69">
        <f t="shared" si="375"/>
        <v>3.0219627076012521</v>
      </c>
      <c r="AG1285" s="6">
        <f t="shared" si="376"/>
        <v>0</v>
      </c>
      <c r="AH1285" s="6">
        <f t="shared" si="377"/>
        <v>604</v>
      </c>
    </row>
    <row r="1286" spans="8:34" x14ac:dyDescent="0.25">
      <c r="H1286" s="7">
        <v>1293</v>
      </c>
      <c r="I1286" s="7" t="s">
        <v>15</v>
      </c>
      <c r="J1286" s="8">
        <v>38419</v>
      </c>
      <c r="K1286" s="12" t="s">
        <v>16</v>
      </c>
      <c r="L1286" s="9">
        <v>58</v>
      </c>
      <c r="M1286" s="10">
        <v>176.65394036929425</v>
      </c>
      <c r="N1286" s="7" t="s">
        <v>22</v>
      </c>
      <c r="P1286" s="29" t="str">
        <f t="shared" si="360"/>
        <v/>
      </c>
      <c r="Q1286" s="29" t="str">
        <f t="shared" si="361"/>
        <v/>
      </c>
      <c r="R1286" s="29" t="str">
        <f t="shared" si="362"/>
        <v/>
      </c>
      <c r="S1286" s="29" t="str">
        <f t="shared" si="363"/>
        <v/>
      </c>
      <c r="T1286" s="32" t="str">
        <f t="shared" si="364"/>
        <v/>
      </c>
      <c r="U1286" s="32">
        <f t="shared" si="367"/>
        <v>1</v>
      </c>
      <c r="V1286" s="32" t="str">
        <f t="shared" si="368"/>
        <v/>
      </c>
      <c r="W1286" s="41">
        <f t="shared" si="365"/>
        <v>3.0457575925740388</v>
      </c>
      <c r="X1286" s="6">
        <f t="shared" si="366"/>
        <v>176.65394036929425</v>
      </c>
      <c r="Y1286" s="7">
        <f t="shared" si="369"/>
        <v>211</v>
      </c>
      <c r="AA1286" s="7">
        <f t="shared" si="370"/>
        <v>1</v>
      </c>
      <c r="AB1286" s="7">
        <f t="shared" si="371"/>
        <v>58</v>
      </c>
      <c r="AC1286" s="7">
        <f t="shared" si="372"/>
        <v>0</v>
      </c>
      <c r="AD1286" s="7" t="str">
        <f t="shared" si="373"/>
        <v/>
      </c>
      <c r="AE1286" s="6">
        <f t="shared" si="374"/>
        <v>0</v>
      </c>
      <c r="AF1286" s="69">
        <f t="shared" si="375"/>
        <v>3.0457575925740388</v>
      </c>
      <c r="AG1286" s="6">
        <f t="shared" si="376"/>
        <v>0</v>
      </c>
      <c r="AH1286" s="6">
        <f t="shared" si="377"/>
        <v>604</v>
      </c>
    </row>
    <row r="1287" spans="8:34" x14ac:dyDescent="0.25">
      <c r="H1287" s="7">
        <v>1294</v>
      </c>
      <c r="I1287" s="7" t="s">
        <v>9</v>
      </c>
      <c r="J1287" s="8">
        <v>38144</v>
      </c>
      <c r="K1287" s="12" t="s">
        <v>16</v>
      </c>
      <c r="L1287" s="9">
        <v>19</v>
      </c>
      <c r="M1287" s="10">
        <v>59.643357077362239</v>
      </c>
      <c r="N1287" s="7" t="s">
        <v>23</v>
      </c>
      <c r="P1287" s="29" t="str">
        <f t="shared" si="360"/>
        <v/>
      </c>
      <c r="Q1287" s="29">
        <f t="shared" si="361"/>
        <v>1</v>
      </c>
      <c r="R1287" s="29" t="str">
        <f t="shared" si="362"/>
        <v/>
      </c>
      <c r="S1287" s="29" t="str">
        <f t="shared" si="363"/>
        <v/>
      </c>
      <c r="T1287" s="32" t="str">
        <f t="shared" si="364"/>
        <v/>
      </c>
      <c r="U1287" s="32" t="str">
        <f t="shared" si="367"/>
        <v/>
      </c>
      <c r="V1287" s="32" t="str">
        <f t="shared" si="368"/>
        <v/>
      </c>
      <c r="W1287" s="41">
        <f t="shared" si="365"/>
        <v>3.1391240567032757</v>
      </c>
      <c r="X1287" s="6">
        <f t="shared" si="366"/>
        <v>0</v>
      </c>
      <c r="Y1287" s="7">
        <f t="shared" si="369"/>
        <v>567</v>
      </c>
      <c r="AA1287" s="7">
        <f t="shared" si="370"/>
        <v>0</v>
      </c>
      <c r="AB1287" s="7" t="str">
        <f t="shared" si="371"/>
        <v/>
      </c>
      <c r="AC1287" s="7">
        <f t="shared" si="372"/>
        <v>0</v>
      </c>
      <c r="AD1287" s="7" t="str">
        <f t="shared" si="373"/>
        <v/>
      </c>
      <c r="AE1287" s="6">
        <f t="shared" si="374"/>
        <v>0</v>
      </c>
      <c r="AF1287" s="69">
        <f t="shared" si="375"/>
        <v>3.1391240567032757</v>
      </c>
      <c r="AG1287" s="6">
        <f t="shared" si="376"/>
        <v>59.643357077362239</v>
      </c>
      <c r="AH1287" s="6">
        <f t="shared" si="377"/>
        <v>465</v>
      </c>
    </row>
    <row r="1288" spans="8:34" x14ac:dyDescent="0.25">
      <c r="H1288" s="7">
        <v>1295</v>
      </c>
      <c r="I1288" s="7" t="s">
        <v>7</v>
      </c>
      <c r="J1288" s="8">
        <v>38463</v>
      </c>
      <c r="K1288" s="12" t="s">
        <v>20</v>
      </c>
      <c r="L1288" s="9">
        <v>35</v>
      </c>
      <c r="M1288" s="10">
        <v>106.5070892872302</v>
      </c>
      <c r="N1288" s="7" t="s">
        <v>21</v>
      </c>
      <c r="P1288" s="29" t="str">
        <f t="shared" si="360"/>
        <v/>
      </c>
      <c r="Q1288" s="29" t="str">
        <f t="shared" si="361"/>
        <v/>
      </c>
      <c r="R1288" s="29" t="str">
        <f t="shared" si="362"/>
        <v/>
      </c>
      <c r="S1288" s="29" t="str">
        <f t="shared" si="363"/>
        <v/>
      </c>
      <c r="T1288" s="32" t="str">
        <f t="shared" si="364"/>
        <v/>
      </c>
      <c r="U1288" s="32">
        <f t="shared" si="367"/>
        <v>1</v>
      </c>
      <c r="V1288" s="32" t="str">
        <f t="shared" si="368"/>
        <v/>
      </c>
      <c r="W1288" s="41">
        <f t="shared" si="365"/>
        <v>3.043059693920863</v>
      </c>
      <c r="X1288" s="6">
        <f t="shared" si="366"/>
        <v>106.5070892872302</v>
      </c>
      <c r="Y1288" s="7">
        <f t="shared" si="369"/>
        <v>348</v>
      </c>
      <c r="AA1288" s="7">
        <f t="shared" si="370"/>
        <v>0</v>
      </c>
      <c r="AB1288" s="7" t="str">
        <f t="shared" si="371"/>
        <v/>
      </c>
      <c r="AC1288" s="7">
        <f t="shared" si="372"/>
        <v>1</v>
      </c>
      <c r="AD1288" s="7">
        <f t="shared" si="373"/>
        <v>35</v>
      </c>
      <c r="AE1288" s="6">
        <f t="shared" si="374"/>
        <v>0</v>
      </c>
      <c r="AF1288" s="69">
        <f t="shared" si="375"/>
        <v>3.043059693920863</v>
      </c>
      <c r="AG1288" s="6">
        <f t="shared" si="376"/>
        <v>0</v>
      </c>
      <c r="AH1288" s="6">
        <f t="shared" si="377"/>
        <v>604</v>
      </c>
    </row>
    <row r="1289" spans="8:34" x14ac:dyDescent="0.25">
      <c r="H1289" s="7">
        <v>1296</v>
      </c>
      <c r="I1289" s="7" t="s">
        <v>8</v>
      </c>
      <c r="J1289" s="8">
        <v>38320</v>
      </c>
      <c r="K1289" s="12" t="s">
        <v>18</v>
      </c>
      <c r="L1289" s="9">
        <v>80</v>
      </c>
      <c r="M1289" s="10">
        <v>242.63330478636408</v>
      </c>
      <c r="N1289" s="7" t="s">
        <v>23</v>
      </c>
      <c r="P1289" s="29" t="str">
        <f t="shared" si="360"/>
        <v/>
      </c>
      <c r="Q1289" s="29" t="str">
        <f t="shared" si="361"/>
        <v/>
      </c>
      <c r="R1289" s="29" t="str">
        <f t="shared" si="362"/>
        <v/>
      </c>
      <c r="S1289" s="29">
        <f t="shared" si="363"/>
        <v>1</v>
      </c>
      <c r="T1289" s="32" t="str">
        <f t="shared" si="364"/>
        <v/>
      </c>
      <c r="U1289" s="32" t="str">
        <f t="shared" si="367"/>
        <v/>
      </c>
      <c r="V1289" s="32" t="str">
        <f t="shared" si="368"/>
        <v/>
      </c>
      <c r="W1289" s="41">
        <f t="shared" si="365"/>
        <v>3.0329163098295511</v>
      </c>
      <c r="X1289" s="6">
        <f t="shared" si="366"/>
        <v>0</v>
      </c>
      <c r="Y1289" s="7">
        <f t="shared" si="369"/>
        <v>567</v>
      </c>
      <c r="AA1289" s="7">
        <f t="shared" si="370"/>
        <v>0</v>
      </c>
      <c r="AB1289" s="7" t="str">
        <f t="shared" si="371"/>
        <v/>
      </c>
      <c r="AC1289" s="7">
        <f t="shared" si="372"/>
        <v>0</v>
      </c>
      <c r="AD1289" s="7" t="str">
        <f t="shared" si="373"/>
        <v/>
      </c>
      <c r="AE1289" s="6">
        <f t="shared" si="374"/>
        <v>0</v>
      </c>
      <c r="AF1289" s="69">
        <f t="shared" si="375"/>
        <v>3.0329163098295511</v>
      </c>
      <c r="AG1289" s="6">
        <f t="shared" si="376"/>
        <v>242.63330478636408</v>
      </c>
      <c r="AH1289" s="6">
        <f t="shared" si="377"/>
        <v>79</v>
      </c>
    </row>
    <row r="1290" spans="8:34" x14ac:dyDescent="0.25">
      <c r="H1290" s="7">
        <v>1297</v>
      </c>
      <c r="I1290" s="7" t="s">
        <v>12</v>
      </c>
      <c r="J1290" s="8">
        <v>38012</v>
      </c>
      <c r="K1290" s="12" t="s">
        <v>16</v>
      </c>
      <c r="L1290" s="9">
        <v>26</v>
      </c>
      <c r="M1290" s="10">
        <v>80.048584690277565</v>
      </c>
      <c r="N1290" s="7" t="s">
        <v>21</v>
      </c>
      <c r="P1290" s="29">
        <f t="shared" si="360"/>
        <v>1</v>
      </c>
      <c r="Q1290" s="29" t="str">
        <f t="shared" si="361"/>
        <v/>
      </c>
      <c r="R1290" s="29" t="str">
        <f t="shared" si="362"/>
        <v/>
      </c>
      <c r="S1290" s="29" t="str">
        <f t="shared" si="363"/>
        <v/>
      </c>
      <c r="T1290" s="32" t="str">
        <f t="shared" si="364"/>
        <v/>
      </c>
      <c r="U1290" s="32" t="str">
        <f t="shared" si="367"/>
        <v/>
      </c>
      <c r="V1290" s="32" t="str">
        <f t="shared" si="368"/>
        <v/>
      </c>
      <c r="W1290" s="41">
        <f t="shared" si="365"/>
        <v>3.0787917188568295</v>
      </c>
      <c r="X1290" s="6">
        <f t="shared" si="366"/>
        <v>0</v>
      </c>
      <c r="Y1290" s="7">
        <f t="shared" si="369"/>
        <v>567</v>
      </c>
      <c r="AA1290" s="7">
        <f t="shared" si="370"/>
        <v>0</v>
      </c>
      <c r="AB1290" s="7" t="str">
        <f t="shared" si="371"/>
        <v/>
      </c>
      <c r="AC1290" s="7">
        <f t="shared" si="372"/>
        <v>0</v>
      </c>
      <c r="AD1290" s="7" t="str">
        <f t="shared" si="373"/>
        <v/>
      </c>
      <c r="AE1290" s="6">
        <f t="shared" si="374"/>
        <v>0</v>
      </c>
      <c r="AF1290" s="69">
        <f t="shared" si="375"/>
        <v>3.0787917188568295</v>
      </c>
      <c r="AG1290" s="6">
        <f t="shared" si="376"/>
        <v>80.048584690277565</v>
      </c>
      <c r="AH1290" s="6">
        <f t="shared" si="377"/>
        <v>421</v>
      </c>
    </row>
    <row r="1291" spans="8:34" x14ac:dyDescent="0.25">
      <c r="H1291" s="7">
        <v>1298</v>
      </c>
      <c r="I1291" s="7" t="s">
        <v>10</v>
      </c>
      <c r="J1291" s="8">
        <v>38540</v>
      </c>
      <c r="K1291" s="12" t="s">
        <v>17</v>
      </c>
      <c r="L1291" s="9">
        <v>93</v>
      </c>
      <c r="M1291" s="10">
        <v>280.93222292224493</v>
      </c>
      <c r="N1291" s="7" t="s">
        <v>23</v>
      </c>
      <c r="P1291" s="29" t="str">
        <f t="shared" si="360"/>
        <v/>
      </c>
      <c r="Q1291" s="29" t="str">
        <f t="shared" si="361"/>
        <v/>
      </c>
      <c r="R1291" s="29" t="str">
        <f t="shared" si="362"/>
        <v/>
      </c>
      <c r="S1291" s="29" t="str">
        <f t="shared" si="363"/>
        <v/>
      </c>
      <c r="T1291" s="32" t="str">
        <f t="shared" si="364"/>
        <v/>
      </c>
      <c r="U1291" s="32">
        <f t="shared" si="367"/>
        <v>1</v>
      </c>
      <c r="V1291" s="32" t="str">
        <f t="shared" si="368"/>
        <v/>
      </c>
      <c r="W1291" s="41">
        <f t="shared" si="365"/>
        <v>3.0207765905617734</v>
      </c>
      <c r="X1291" s="6">
        <f t="shared" si="366"/>
        <v>280.93222292224493</v>
      </c>
      <c r="Y1291" s="7">
        <f t="shared" si="369"/>
        <v>20</v>
      </c>
      <c r="AA1291" s="7">
        <f t="shared" si="370"/>
        <v>1</v>
      </c>
      <c r="AB1291" s="7">
        <f t="shared" si="371"/>
        <v>93</v>
      </c>
      <c r="AC1291" s="7">
        <f t="shared" si="372"/>
        <v>0</v>
      </c>
      <c r="AD1291" s="7" t="str">
        <f t="shared" si="373"/>
        <v/>
      </c>
      <c r="AE1291" s="6">
        <f t="shared" si="374"/>
        <v>0</v>
      </c>
      <c r="AF1291" s="69">
        <f t="shared" si="375"/>
        <v>3.0207765905617734</v>
      </c>
      <c r="AG1291" s="6">
        <f t="shared" si="376"/>
        <v>0</v>
      </c>
      <c r="AH1291" s="6">
        <f t="shared" si="377"/>
        <v>604</v>
      </c>
    </row>
    <row r="1292" spans="8:34" x14ac:dyDescent="0.25">
      <c r="H1292" s="7">
        <v>1299</v>
      </c>
      <c r="I1292" s="7" t="s">
        <v>11</v>
      </c>
      <c r="J1292" s="8">
        <v>38661</v>
      </c>
      <c r="K1292" s="12" t="s">
        <v>16</v>
      </c>
      <c r="L1292" s="9">
        <v>29</v>
      </c>
      <c r="M1292" s="10">
        <v>90.05707639133125</v>
      </c>
      <c r="N1292" s="7" t="s">
        <v>22</v>
      </c>
      <c r="P1292" s="29" t="str">
        <f t="shared" si="360"/>
        <v/>
      </c>
      <c r="Q1292" s="29" t="str">
        <f t="shared" si="361"/>
        <v/>
      </c>
      <c r="R1292" s="29" t="str">
        <f t="shared" si="362"/>
        <v/>
      </c>
      <c r="S1292" s="29" t="str">
        <f t="shared" si="363"/>
        <v/>
      </c>
      <c r="T1292" s="32">
        <f t="shared" si="364"/>
        <v>1</v>
      </c>
      <c r="U1292" s="32">
        <f t="shared" si="367"/>
        <v>1</v>
      </c>
      <c r="V1292" s="32" t="str">
        <f t="shared" si="368"/>
        <v/>
      </c>
      <c r="W1292" s="41">
        <f t="shared" si="365"/>
        <v>3.1054164272872846</v>
      </c>
      <c r="X1292" s="6">
        <f t="shared" si="366"/>
        <v>90.05707639133125</v>
      </c>
      <c r="Y1292" s="7">
        <f t="shared" si="369"/>
        <v>375</v>
      </c>
      <c r="AA1292" s="7">
        <f t="shared" si="370"/>
        <v>0</v>
      </c>
      <c r="AB1292" s="7" t="str">
        <f t="shared" si="371"/>
        <v/>
      </c>
      <c r="AC1292" s="7">
        <f t="shared" si="372"/>
        <v>1</v>
      </c>
      <c r="AD1292" s="7">
        <f t="shared" si="373"/>
        <v>29</v>
      </c>
      <c r="AE1292" s="6">
        <f t="shared" si="374"/>
        <v>0</v>
      </c>
      <c r="AF1292" s="69">
        <f t="shared" si="375"/>
        <v>3.1054164272872846</v>
      </c>
      <c r="AG1292" s="6">
        <f t="shared" si="376"/>
        <v>0</v>
      </c>
      <c r="AH1292" s="6">
        <f t="shared" si="377"/>
        <v>604</v>
      </c>
    </row>
    <row r="1293" spans="8:34" x14ac:dyDescent="0.25">
      <c r="H1293" s="7">
        <v>1300</v>
      </c>
      <c r="I1293" s="7" t="s">
        <v>11</v>
      </c>
      <c r="J1293" s="8">
        <v>38100</v>
      </c>
      <c r="K1293" s="12" t="s">
        <v>18</v>
      </c>
      <c r="L1293" s="9">
        <v>88</v>
      </c>
      <c r="M1293" s="10">
        <v>266.36925289616937</v>
      </c>
      <c r="N1293" s="7" t="s">
        <v>22</v>
      </c>
      <c r="P1293" s="29" t="str">
        <f t="shared" si="360"/>
        <v/>
      </c>
      <c r="Q1293" s="29">
        <f t="shared" si="361"/>
        <v>1</v>
      </c>
      <c r="R1293" s="29" t="str">
        <f t="shared" si="362"/>
        <v/>
      </c>
      <c r="S1293" s="29" t="str">
        <f t="shared" si="363"/>
        <v/>
      </c>
      <c r="T1293" s="32" t="str">
        <f t="shared" si="364"/>
        <v/>
      </c>
      <c r="U1293" s="32" t="str">
        <f t="shared" si="367"/>
        <v/>
      </c>
      <c r="V1293" s="32" t="str">
        <f t="shared" si="368"/>
        <v/>
      </c>
      <c r="W1293" s="41">
        <f t="shared" si="365"/>
        <v>3.026923328365561</v>
      </c>
      <c r="X1293" s="6">
        <f t="shared" si="366"/>
        <v>0</v>
      </c>
      <c r="Y1293" s="7">
        <f t="shared" si="369"/>
        <v>567</v>
      </c>
      <c r="AA1293" s="7">
        <f t="shared" si="370"/>
        <v>0</v>
      </c>
      <c r="AB1293" s="7" t="str">
        <f t="shared" si="371"/>
        <v/>
      </c>
      <c r="AC1293" s="7">
        <f t="shared" si="372"/>
        <v>0</v>
      </c>
      <c r="AD1293" s="7" t="str">
        <f t="shared" si="373"/>
        <v/>
      </c>
      <c r="AE1293" s="6">
        <f t="shared" si="374"/>
        <v>0</v>
      </c>
      <c r="AF1293" s="69">
        <f t="shared" si="375"/>
        <v>3.026923328365561</v>
      </c>
      <c r="AG1293" s="6">
        <f t="shared" si="376"/>
        <v>266.36925289616937</v>
      </c>
      <c r="AH1293" s="6">
        <f t="shared" si="377"/>
        <v>39</v>
      </c>
    </row>
    <row r="1294" spans="8:34" x14ac:dyDescent="0.25">
      <c r="H1294" s="7">
        <v>1301</v>
      </c>
      <c r="I1294" s="7" t="s">
        <v>14</v>
      </c>
      <c r="J1294" s="8">
        <v>38947</v>
      </c>
      <c r="K1294" s="12" t="s">
        <v>16</v>
      </c>
      <c r="L1294" s="9">
        <v>5</v>
      </c>
      <c r="M1294" s="10">
        <v>16.874201572948834</v>
      </c>
      <c r="N1294" s="7" t="s">
        <v>24</v>
      </c>
      <c r="P1294" s="29" t="str">
        <f t="shared" si="360"/>
        <v/>
      </c>
      <c r="Q1294" s="29" t="str">
        <f t="shared" si="361"/>
        <v/>
      </c>
      <c r="R1294" s="29" t="str">
        <f t="shared" si="362"/>
        <v/>
      </c>
      <c r="S1294" s="29" t="str">
        <f t="shared" si="363"/>
        <v/>
      </c>
      <c r="T1294" s="32" t="str">
        <f t="shared" si="364"/>
        <v/>
      </c>
      <c r="U1294" s="32" t="str">
        <f t="shared" si="367"/>
        <v/>
      </c>
      <c r="V1294" s="32">
        <f t="shared" si="368"/>
        <v>1</v>
      </c>
      <c r="W1294" s="41">
        <f t="shared" si="365"/>
        <v>3.374840314589767</v>
      </c>
      <c r="X1294" s="6">
        <f t="shared" si="366"/>
        <v>0</v>
      </c>
      <c r="Y1294" s="7">
        <f t="shared" si="369"/>
        <v>567</v>
      </c>
      <c r="AA1294" s="7">
        <f t="shared" si="370"/>
        <v>0</v>
      </c>
      <c r="AB1294" s="7" t="str">
        <f t="shared" si="371"/>
        <v/>
      </c>
      <c r="AC1294" s="7">
        <f t="shared" si="372"/>
        <v>0</v>
      </c>
      <c r="AD1294" s="7" t="str">
        <f t="shared" si="373"/>
        <v/>
      </c>
      <c r="AE1294" s="6">
        <f t="shared" si="374"/>
        <v>0</v>
      </c>
      <c r="AF1294" s="69">
        <f t="shared" si="375"/>
        <v>3.374840314589767</v>
      </c>
      <c r="AG1294" s="6">
        <f t="shared" si="376"/>
        <v>0</v>
      </c>
      <c r="AH1294" s="6">
        <f t="shared" si="377"/>
        <v>604</v>
      </c>
    </row>
    <row r="1295" spans="8:34" x14ac:dyDescent="0.25">
      <c r="H1295" s="7">
        <v>1302</v>
      </c>
      <c r="I1295" s="7" t="s">
        <v>11</v>
      </c>
      <c r="J1295" s="8">
        <v>38573</v>
      </c>
      <c r="K1295" s="12" t="s">
        <v>20</v>
      </c>
      <c r="L1295" s="9">
        <v>64</v>
      </c>
      <c r="M1295" s="10">
        <v>194.02715866543952</v>
      </c>
      <c r="N1295" s="7" t="s">
        <v>23</v>
      </c>
      <c r="P1295" s="29" t="str">
        <f t="shared" si="360"/>
        <v/>
      </c>
      <c r="Q1295" s="29" t="str">
        <f t="shared" si="361"/>
        <v/>
      </c>
      <c r="R1295" s="29" t="str">
        <f t="shared" si="362"/>
        <v/>
      </c>
      <c r="S1295" s="29" t="str">
        <f t="shared" si="363"/>
        <v/>
      </c>
      <c r="T1295" s="32" t="str">
        <f t="shared" si="364"/>
        <v/>
      </c>
      <c r="U1295" s="32">
        <f t="shared" si="367"/>
        <v>1</v>
      </c>
      <c r="V1295" s="32" t="str">
        <f t="shared" si="368"/>
        <v/>
      </c>
      <c r="W1295" s="41">
        <f t="shared" si="365"/>
        <v>3.0316743541474924</v>
      </c>
      <c r="X1295" s="6">
        <f t="shared" si="366"/>
        <v>194.02715866543952</v>
      </c>
      <c r="Y1295" s="7">
        <f t="shared" si="369"/>
        <v>185</v>
      </c>
      <c r="AA1295" s="7">
        <f t="shared" si="370"/>
        <v>1</v>
      </c>
      <c r="AB1295" s="7">
        <f t="shared" si="371"/>
        <v>64</v>
      </c>
      <c r="AC1295" s="7">
        <f t="shared" si="372"/>
        <v>0</v>
      </c>
      <c r="AD1295" s="7" t="str">
        <f t="shared" si="373"/>
        <v/>
      </c>
      <c r="AE1295" s="6">
        <f t="shared" si="374"/>
        <v>0</v>
      </c>
      <c r="AF1295" s="69">
        <f t="shared" si="375"/>
        <v>3.0316743541474924</v>
      </c>
      <c r="AG1295" s="6">
        <f t="shared" si="376"/>
        <v>0</v>
      </c>
      <c r="AH1295" s="6">
        <f t="shared" si="377"/>
        <v>604</v>
      </c>
    </row>
    <row r="1296" spans="8:34" x14ac:dyDescent="0.25">
      <c r="H1296" s="7">
        <v>1303</v>
      </c>
      <c r="I1296" s="7" t="s">
        <v>13</v>
      </c>
      <c r="J1296" s="8">
        <v>38716</v>
      </c>
      <c r="K1296" s="12" t="s">
        <v>17</v>
      </c>
      <c r="L1296" s="9">
        <v>38</v>
      </c>
      <c r="M1296" s="10">
        <v>116.02781429818391</v>
      </c>
      <c r="N1296" s="7" t="s">
        <v>24</v>
      </c>
      <c r="P1296" s="29" t="str">
        <f t="shared" si="360"/>
        <v/>
      </c>
      <c r="Q1296" s="29" t="str">
        <f t="shared" si="361"/>
        <v/>
      </c>
      <c r="R1296" s="29" t="str">
        <f t="shared" si="362"/>
        <v/>
      </c>
      <c r="S1296" s="29" t="str">
        <f t="shared" si="363"/>
        <v/>
      </c>
      <c r="T1296" s="32">
        <f t="shared" si="364"/>
        <v>1</v>
      </c>
      <c r="U1296" s="32">
        <f t="shared" si="367"/>
        <v>1</v>
      </c>
      <c r="V1296" s="32" t="str">
        <f t="shared" si="368"/>
        <v/>
      </c>
      <c r="W1296" s="41">
        <f t="shared" si="365"/>
        <v>3.0533635341627345</v>
      </c>
      <c r="X1296" s="6">
        <f t="shared" si="366"/>
        <v>116.02781429818391</v>
      </c>
      <c r="Y1296" s="7">
        <f t="shared" si="369"/>
        <v>325</v>
      </c>
      <c r="AA1296" s="7">
        <f t="shared" si="370"/>
        <v>0</v>
      </c>
      <c r="AB1296" s="7" t="str">
        <f t="shared" si="371"/>
        <v/>
      </c>
      <c r="AC1296" s="7">
        <f t="shared" si="372"/>
        <v>1</v>
      </c>
      <c r="AD1296" s="7">
        <f t="shared" si="373"/>
        <v>38</v>
      </c>
      <c r="AE1296" s="6">
        <f t="shared" si="374"/>
        <v>0</v>
      </c>
      <c r="AF1296" s="69">
        <f t="shared" si="375"/>
        <v>3.0533635341627345</v>
      </c>
      <c r="AG1296" s="6">
        <f t="shared" si="376"/>
        <v>0</v>
      </c>
      <c r="AH1296" s="6">
        <f t="shared" si="377"/>
        <v>604</v>
      </c>
    </row>
    <row r="1297" spans="8:34" x14ac:dyDescent="0.25">
      <c r="H1297" s="7">
        <v>1304</v>
      </c>
      <c r="I1297" s="7" t="s">
        <v>14</v>
      </c>
      <c r="J1297" s="8">
        <v>38276</v>
      </c>
      <c r="K1297" s="12" t="s">
        <v>18</v>
      </c>
      <c r="L1297" s="9">
        <v>21</v>
      </c>
      <c r="M1297" s="10">
        <v>65.60411466769294</v>
      </c>
      <c r="N1297" s="7" t="s">
        <v>23</v>
      </c>
      <c r="P1297" s="29" t="str">
        <f t="shared" si="360"/>
        <v/>
      </c>
      <c r="Q1297" s="29" t="str">
        <f t="shared" si="361"/>
        <v/>
      </c>
      <c r="R1297" s="29" t="str">
        <f t="shared" si="362"/>
        <v/>
      </c>
      <c r="S1297" s="29">
        <f t="shared" si="363"/>
        <v>1</v>
      </c>
      <c r="T1297" s="32" t="str">
        <f t="shared" si="364"/>
        <v/>
      </c>
      <c r="U1297" s="32" t="str">
        <f t="shared" si="367"/>
        <v/>
      </c>
      <c r="V1297" s="32" t="str">
        <f t="shared" si="368"/>
        <v/>
      </c>
      <c r="W1297" s="41">
        <f t="shared" si="365"/>
        <v>3.1240054603663303</v>
      </c>
      <c r="X1297" s="6">
        <f t="shared" si="366"/>
        <v>0</v>
      </c>
      <c r="Y1297" s="7">
        <f t="shared" si="369"/>
        <v>567</v>
      </c>
      <c r="AA1297" s="7">
        <f t="shared" si="370"/>
        <v>0</v>
      </c>
      <c r="AB1297" s="7" t="str">
        <f t="shared" si="371"/>
        <v/>
      </c>
      <c r="AC1297" s="7">
        <f t="shared" si="372"/>
        <v>0</v>
      </c>
      <c r="AD1297" s="7" t="str">
        <f t="shared" si="373"/>
        <v/>
      </c>
      <c r="AE1297" s="6">
        <f t="shared" si="374"/>
        <v>0</v>
      </c>
      <c r="AF1297" s="69">
        <f t="shared" si="375"/>
        <v>3.1240054603663303</v>
      </c>
      <c r="AG1297" s="6">
        <f t="shared" si="376"/>
        <v>65.60411466769294</v>
      </c>
      <c r="AH1297" s="6">
        <f t="shared" si="377"/>
        <v>448</v>
      </c>
    </row>
    <row r="1298" spans="8:34" x14ac:dyDescent="0.25">
      <c r="H1298" s="7">
        <v>1305</v>
      </c>
      <c r="I1298" s="7" t="s">
        <v>8</v>
      </c>
      <c r="J1298" s="8">
        <v>38551</v>
      </c>
      <c r="K1298" s="12" t="s">
        <v>16</v>
      </c>
      <c r="L1298" s="9">
        <v>61</v>
      </c>
      <c r="M1298" s="10">
        <v>184.44189289759726</v>
      </c>
      <c r="N1298" s="7" t="s">
        <v>23</v>
      </c>
      <c r="P1298" s="29" t="str">
        <f t="shared" si="360"/>
        <v/>
      </c>
      <c r="Q1298" s="29" t="str">
        <f t="shared" si="361"/>
        <v/>
      </c>
      <c r="R1298" s="29" t="str">
        <f t="shared" si="362"/>
        <v/>
      </c>
      <c r="S1298" s="29" t="str">
        <f t="shared" si="363"/>
        <v/>
      </c>
      <c r="T1298" s="32" t="str">
        <f t="shared" si="364"/>
        <v/>
      </c>
      <c r="U1298" s="32">
        <f t="shared" si="367"/>
        <v>1</v>
      </c>
      <c r="V1298" s="32" t="str">
        <f t="shared" si="368"/>
        <v/>
      </c>
      <c r="W1298" s="41">
        <f t="shared" si="365"/>
        <v>3.0236375884852009</v>
      </c>
      <c r="X1298" s="6">
        <f t="shared" si="366"/>
        <v>184.44189289759726</v>
      </c>
      <c r="Y1298" s="7">
        <f t="shared" si="369"/>
        <v>201</v>
      </c>
      <c r="AA1298" s="7">
        <f t="shared" si="370"/>
        <v>1</v>
      </c>
      <c r="AB1298" s="7">
        <f t="shared" si="371"/>
        <v>61</v>
      </c>
      <c r="AC1298" s="7">
        <f t="shared" si="372"/>
        <v>0</v>
      </c>
      <c r="AD1298" s="7" t="str">
        <f t="shared" si="373"/>
        <v/>
      </c>
      <c r="AE1298" s="6">
        <f t="shared" si="374"/>
        <v>0</v>
      </c>
      <c r="AF1298" s="69">
        <f t="shared" si="375"/>
        <v>3.0236375884852009</v>
      </c>
      <c r="AG1298" s="6">
        <f t="shared" si="376"/>
        <v>0</v>
      </c>
      <c r="AH1298" s="6">
        <f t="shared" si="377"/>
        <v>604</v>
      </c>
    </row>
    <row r="1299" spans="8:34" x14ac:dyDescent="0.25">
      <c r="H1299" s="7">
        <v>1306</v>
      </c>
      <c r="I1299" s="7" t="s">
        <v>10</v>
      </c>
      <c r="J1299" s="8">
        <v>38111</v>
      </c>
      <c r="K1299" s="12" t="s">
        <v>16</v>
      </c>
      <c r="L1299" s="9">
        <v>53</v>
      </c>
      <c r="M1299" s="10">
        <v>160.79564195236946</v>
      </c>
      <c r="N1299" s="7" t="s">
        <v>23</v>
      </c>
      <c r="P1299" s="29" t="str">
        <f t="shared" si="360"/>
        <v/>
      </c>
      <c r="Q1299" s="29">
        <f t="shared" si="361"/>
        <v>1</v>
      </c>
      <c r="R1299" s="29" t="str">
        <f t="shared" si="362"/>
        <v/>
      </c>
      <c r="S1299" s="29" t="str">
        <f t="shared" si="363"/>
        <v/>
      </c>
      <c r="T1299" s="32" t="str">
        <f t="shared" si="364"/>
        <v/>
      </c>
      <c r="U1299" s="32" t="str">
        <f t="shared" si="367"/>
        <v/>
      </c>
      <c r="V1299" s="32" t="str">
        <f t="shared" si="368"/>
        <v/>
      </c>
      <c r="W1299" s="41">
        <f t="shared" si="365"/>
        <v>3.0338800368371599</v>
      </c>
      <c r="X1299" s="6">
        <f t="shared" si="366"/>
        <v>0</v>
      </c>
      <c r="Y1299" s="7">
        <f t="shared" si="369"/>
        <v>567</v>
      </c>
      <c r="AA1299" s="7">
        <f t="shared" si="370"/>
        <v>0</v>
      </c>
      <c r="AB1299" s="7" t="str">
        <f t="shared" si="371"/>
        <v/>
      </c>
      <c r="AC1299" s="7">
        <f t="shared" si="372"/>
        <v>0</v>
      </c>
      <c r="AD1299" s="7" t="str">
        <f t="shared" si="373"/>
        <v/>
      </c>
      <c r="AE1299" s="6">
        <f t="shared" si="374"/>
        <v>0</v>
      </c>
      <c r="AF1299" s="69">
        <f t="shared" si="375"/>
        <v>3.0338800368371599</v>
      </c>
      <c r="AG1299" s="6">
        <f t="shared" si="376"/>
        <v>160.79564195236946</v>
      </c>
      <c r="AH1299" s="6">
        <f t="shared" si="377"/>
        <v>260</v>
      </c>
    </row>
    <row r="1300" spans="8:34" x14ac:dyDescent="0.25">
      <c r="H1300" s="7">
        <v>1307</v>
      </c>
      <c r="I1300" s="7" t="s">
        <v>7</v>
      </c>
      <c r="J1300" s="8">
        <v>38749</v>
      </c>
      <c r="K1300" s="12" t="s">
        <v>20</v>
      </c>
      <c r="L1300" s="9">
        <v>28</v>
      </c>
      <c r="M1300" s="10">
        <v>86.322863736189788</v>
      </c>
      <c r="N1300" s="7" t="s">
        <v>24</v>
      </c>
      <c r="P1300" s="29" t="str">
        <f t="shared" si="360"/>
        <v/>
      </c>
      <c r="Q1300" s="29" t="str">
        <f t="shared" si="361"/>
        <v/>
      </c>
      <c r="R1300" s="29" t="str">
        <f t="shared" si="362"/>
        <v/>
      </c>
      <c r="S1300" s="29" t="str">
        <f t="shared" si="363"/>
        <v/>
      </c>
      <c r="T1300" s="32" t="str">
        <f t="shared" si="364"/>
        <v/>
      </c>
      <c r="U1300" s="32" t="str">
        <f t="shared" si="367"/>
        <v/>
      </c>
      <c r="V1300" s="32">
        <f t="shared" si="368"/>
        <v>1</v>
      </c>
      <c r="W1300" s="41">
        <f t="shared" si="365"/>
        <v>3.0829594191496352</v>
      </c>
      <c r="X1300" s="6">
        <f t="shared" si="366"/>
        <v>0</v>
      </c>
      <c r="Y1300" s="7">
        <f t="shared" si="369"/>
        <v>567</v>
      </c>
      <c r="AA1300" s="7">
        <f t="shared" si="370"/>
        <v>0</v>
      </c>
      <c r="AB1300" s="7" t="str">
        <f t="shared" si="371"/>
        <v/>
      </c>
      <c r="AC1300" s="7">
        <f t="shared" si="372"/>
        <v>0</v>
      </c>
      <c r="AD1300" s="7" t="str">
        <f t="shared" si="373"/>
        <v/>
      </c>
      <c r="AE1300" s="6">
        <f t="shared" si="374"/>
        <v>0</v>
      </c>
      <c r="AF1300" s="69">
        <f t="shared" si="375"/>
        <v>3.0829594191496352</v>
      </c>
      <c r="AG1300" s="6">
        <f t="shared" si="376"/>
        <v>0</v>
      </c>
      <c r="AH1300" s="6">
        <f t="shared" si="377"/>
        <v>604</v>
      </c>
    </row>
    <row r="1301" spans="8:34" x14ac:dyDescent="0.25">
      <c r="H1301" s="7">
        <v>1308</v>
      </c>
      <c r="I1301" s="7" t="s">
        <v>10</v>
      </c>
      <c r="J1301" s="8">
        <v>38958</v>
      </c>
      <c r="K1301" s="12" t="s">
        <v>20</v>
      </c>
      <c r="L1301" s="9">
        <v>39</v>
      </c>
      <c r="M1301" s="10">
        <v>119.49155300741148</v>
      </c>
      <c r="N1301" s="7" t="s">
        <v>24</v>
      </c>
      <c r="P1301" s="29" t="str">
        <f t="shared" si="360"/>
        <v/>
      </c>
      <c r="Q1301" s="29" t="str">
        <f t="shared" si="361"/>
        <v/>
      </c>
      <c r="R1301" s="29" t="str">
        <f t="shared" si="362"/>
        <v/>
      </c>
      <c r="S1301" s="29" t="str">
        <f t="shared" si="363"/>
        <v/>
      </c>
      <c r="T1301" s="32" t="str">
        <f t="shared" si="364"/>
        <v/>
      </c>
      <c r="U1301" s="32" t="str">
        <f t="shared" si="367"/>
        <v/>
      </c>
      <c r="V1301" s="32">
        <f t="shared" si="368"/>
        <v>1</v>
      </c>
      <c r="W1301" s="41">
        <f t="shared" si="365"/>
        <v>3.0638859745490126</v>
      </c>
      <c r="X1301" s="6">
        <f t="shared" si="366"/>
        <v>0</v>
      </c>
      <c r="Y1301" s="7">
        <f t="shared" si="369"/>
        <v>567</v>
      </c>
      <c r="AA1301" s="7">
        <f t="shared" si="370"/>
        <v>0</v>
      </c>
      <c r="AB1301" s="7" t="str">
        <f t="shared" si="371"/>
        <v/>
      </c>
      <c r="AC1301" s="7">
        <f t="shared" si="372"/>
        <v>0</v>
      </c>
      <c r="AD1301" s="7" t="str">
        <f t="shared" si="373"/>
        <v/>
      </c>
      <c r="AE1301" s="6">
        <f t="shared" si="374"/>
        <v>0</v>
      </c>
      <c r="AF1301" s="69">
        <f t="shared" si="375"/>
        <v>3.0638859745490126</v>
      </c>
      <c r="AG1301" s="6">
        <f t="shared" si="376"/>
        <v>0</v>
      </c>
      <c r="AH1301" s="6">
        <f t="shared" si="377"/>
        <v>604</v>
      </c>
    </row>
    <row r="1302" spans="8:34" x14ac:dyDescent="0.25">
      <c r="H1302" s="7">
        <v>1309</v>
      </c>
      <c r="I1302" s="7" t="s">
        <v>10</v>
      </c>
      <c r="J1302" s="8">
        <v>39024</v>
      </c>
      <c r="K1302" s="12" t="s">
        <v>17</v>
      </c>
      <c r="L1302" s="9">
        <v>89</v>
      </c>
      <c r="M1302" s="10">
        <v>268.72040652792879</v>
      </c>
      <c r="N1302" s="7" t="s">
        <v>23</v>
      </c>
      <c r="P1302" s="29" t="str">
        <f t="shared" si="360"/>
        <v/>
      </c>
      <c r="Q1302" s="29" t="str">
        <f t="shared" si="361"/>
        <v/>
      </c>
      <c r="R1302" s="29" t="str">
        <f t="shared" si="362"/>
        <v/>
      </c>
      <c r="S1302" s="29" t="str">
        <f t="shared" si="363"/>
        <v/>
      </c>
      <c r="T1302" s="32" t="str">
        <f t="shared" si="364"/>
        <v/>
      </c>
      <c r="U1302" s="32" t="str">
        <f t="shared" si="367"/>
        <v/>
      </c>
      <c r="V1302" s="32">
        <f t="shared" si="368"/>
        <v>1</v>
      </c>
      <c r="W1302" s="41">
        <f t="shared" si="365"/>
        <v>3.019330410426166</v>
      </c>
      <c r="X1302" s="6">
        <f t="shared" si="366"/>
        <v>0</v>
      </c>
      <c r="Y1302" s="7">
        <f t="shared" si="369"/>
        <v>567</v>
      </c>
      <c r="AA1302" s="7">
        <f t="shared" si="370"/>
        <v>0</v>
      </c>
      <c r="AB1302" s="7" t="str">
        <f t="shared" si="371"/>
        <v/>
      </c>
      <c r="AC1302" s="7">
        <f t="shared" si="372"/>
        <v>0</v>
      </c>
      <c r="AD1302" s="7" t="str">
        <f t="shared" si="373"/>
        <v/>
      </c>
      <c r="AE1302" s="6">
        <f t="shared" si="374"/>
        <v>0</v>
      </c>
      <c r="AF1302" s="69">
        <f t="shared" si="375"/>
        <v>3.019330410426166</v>
      </c>
      <c r="AG1302" s="6">
        <f t="shared" si="376"/>
        <v>0</v>
      </c>
      <c r="AH1302" s="6">
        <f t="shared" si="377"/>
        <v>604</v>
      </c>
    </row>
    <row r="1303" spans="8:34" x14ac:dyDescent="0.25">
      <c r="H1303" s="7">
        <v>1310</v>
      </c>
      <c r="I1303" s="7" t="s">
        <v>7</v>
      </c>
      <c r="J1303" s="8">
        <v>38100</v>
      </c>
      <c r="K1303" s="12" t="s">
        <v>18</v>
      </c>
      <c r="L1303" s="9">
        <v>72</v>
      </c>
      <c r="M1303" s="10">
        <v>218.15784251474992</v>
      </c>
      <c r="N1303" s="7" t="s">
        <v>21</v>
      </c>
      <c r="P1303" s="29" t="str">
        <f t="shared" si="360"/>
        <v/>
      </c>
      <c r="Q1303" s="29">
        <f t="shared" si="361"/>
        <v>1</v>
      </c>
      <c r="R1303" s="29" t="str">
        <f t="shared" si="362"/>
        <v/>
      </c>
      <c r="S1303" s="29" t="str">
        <f t="shared" si="363"/>
        <v/>
      </c>
      <c r="T1303" s="32" t="str">
        <f t="shared" si="364"/>
        <v/>
      </c>
      <c r="U1303" s="32" t="str">
        <f t="shared" si="367"/>
        <v/>
      </c>
      <c r="V1303" s="32" t="str">
        <f t="shared" si="368"/>
        <v/>
      </c>
      <c r="W1303" s="41">
        <f t="shared" si="365"/>
        <v>3.0299700349270822</v>
      </c>
      <c r="X1303" s="6">
        <f t="shared" si="366"/>
        <v>0</v>
      </c>
      <c r="Y1303" s="7">
        <f t="shared" si="369"/>
        <v>567</v>
      </c>
      <c r="AA1303" s="7">
        <f t="shared" si="370"/>
        <v>0</v>
      </c>
      <c r="AB1303" s="7" t="str">
        <f t="shared" si="371"/>
        <v/>
      </c>
      <c r="AC1303" s="7">
        <f t="shared" si="372"/>
        <v>0</v>
      </c>
      <c r="AD1303" s="7" t="str">
        <f t="shared" si="373"/>
        <v/>
      </c>
      <c r="AE1303" s="6">
        <f t="shared" si="374"/>
        <v>0</v>
      </c>
      <c r="AF1303" s="69">
        <f t="shared" si="375"/>
        <v>3.0299700349270822</v>
      </c>
      <c r="AG1303" s="6">
        <f t="shared" si="376"/>
        <v>218.15784251474992</v>
      </c>
      <c r="AH1303" s="6">
        <f t="shared" si="377"/>
        <v>138</v>
      </c>
    </row>
    <row r="1304" spans="8:34" x14ac:dyDescent="0.25">
      <c r="H1304" s="7">
        <v>1311</v>
      </c>
      <c r="I1304" s="7" t="s">
        <v>11</v>
      </c>
      <c r="J1304" s="8">
        <v>38221</v>
      </c>
      <c r="K1304" s="12" t="s">
        <v>17</v>
      </c>
      <c r="L1304" s="9">
        <v>63</v>
      </c>
      <c r="M1304" s="10">
        <v>191.07967670509865</v>
      </c>
      <c r="N1304" s="7" t="s">
        <v>21</v>
      </c>
      <c r="P1304" s="29" t="str">
        <f t="shared" si="360"/>
        <v/>
      </c>
      <c r="Q1304" s="29" t="str">
        <f t="shared" si="361"/>
        <v/>
      </c>
      <c r="R1304" s="29">
        <f t="shared" si="362"/>
        <v>1</v>
      </c>
      <c r="S1304" s="29" t="str">
        <f t="shared" si="363"/>
        <v/>
      </c>
      <c r="T1304" s="32" t="str">
        <f t="shared" si="364"/>
        <v/>
      </c>
      <c r="U1304" s="32" t="str">
        <f t="shared" si="367"/>
        <v/>
      </c>
      <c r="V1304" s="32" t="str">
        <f t="shared" si="368"/>
        <v/>
      </c>
      <c r="W1304" s="41">
        <f t="shared" si="365"/>
        <v>3.0330107413507723</v>
      </c>
      <c r="X1304" s="6">
        <f t="shared" si="366"/>
        <v>0</v>
      </c>
      <c r="Y1304" s="7">
        <f t="shared" si="369"/>
        <v>567</v>
      </c>
      <c r="AA1304" s="7">
        <f t="shared" si="370"/>
        <v>0</v>
      </c>
      <c r="AB1304" s="7" t="str">
        <f t="shared" si="371"/>
        <v/>
      </c>
      <c r="AC1304" s="7">
        <f t="shared" si="372"/>
        <v>0</v>
      </c>
      <c r="AD1304" s="7" t="str">
        <f t="shared" si="373"/>
        <v/>
      </c>
      <c r="AE1304" s="6">
        <f t="shared" si="374"/>
        <v>0</v>
      </c>
      <c r="AF1304" s="69">
        <f t="shared" si="375"/>
        <v>3.0330107413507723</v>
      </c>
      <c r="AG1304" s="6">
        <f t="shared" si="376"/>
        <v>191.07967670509865</v>
      </c>
      <c r="AH1304" s="6">
        <f t="shared" si="377"/>
        <v>194</v>
      </c>
    </row>
    <row r="1305" spans="8:34" x14ac:dyDescent="0.25">
      <c r="H1305" s="7">
        <v>1312</v>
      </c>
      <c r="I1305" s="7" t="s">
        <v>12</v>
      </c>
      <c r="J1305" s="8">
        <v>39079</v>
      </c>
      <c r="K1305" s="12" t="s">
        <v>18</v>
      </c>
      <c r="L1305" s="9">
        <v>47</v>
      </c>
      <c r="M1305" s="10">
        <v>142.1470812441363</v>
      </c>
      <c r="N1305" s="7" t="s">
        <v>23</v>
      </c>
      <c r="P1305" s="29" t="str">
        <f t="shared" si="360"/>
        <v/>
      </c>
      <c r="Q1305" s="29" t="str">
        <f t="shared" si="361"/>
        <v/>
      </c>
      <c r="R1305" s="29" t="str">
        <f t="shared" si="362"/>
        <v/>
      </c>
      <c r="S1305" s="29" t="str">
        <f t="shared" si="363"/>
        <v/>
      </c>
      <c r="T1305" s="32" t="str">
        <f t="shared" si="364"/>
        <v/>
      </c>
      <c r="U1305" s="32" t="str">
        <f t="shared" si="367"/>
        <v/>
      </c>
      <c r="V1305" s="32">
        <f t="shared" si="368"/>
        <v>1</v>
      </c>
      <c r="W1305" s="41">
        <f t="shared" si="365"/>
        <v>3.0244059839177937</v>
      </c>
      <c r="X1305" s="6">
        <f t="shared" si="366"/>
        <v>0</v>
      </c>
      <c r="Y1305" s="7">
        <f t="shared" si="369"/>
        <v>567</v>
      </c>
      <c r="AA1305" s="7">
        <f t="shared" si="370"/>
        <v>0</v>
      </c>
      <c r="AB1305" s="7" t="str">
        <f t="shared" si="371"/>
        <v/>
      </c>
      <c r="AC1305" s="7">
        <f t="shared" si="372"/>
        <v>0</v>
      </c>
      <c r="AD1305" s="7" t="str">
        <f t="shared" si="373"/>
        <v/>
      </c>
      <c r="AE1305" s="6">
        <f t="shared" si="374"/>
        <v>0</v>
      </c>
      <c r="AF1305" s="69">
        <f t="shared" si="375"/>
        <v>3.0244059839177937</v>
      </c>
      <c r="AG1305" s="6">
        <f t="shared" si="376"/>
        <v>0</v>
      </c>
      <c r="AH1305" s="6">
        <f t="shared" si="377"/>
        <v>604</v>
      </c>
    </row>
    <row r="1306" spans="8:34" x14ac:dyDescent="0.25">
      <c r="H1306" s="7">
        <v>1313</v>
      </c>
      <c r="I1306" s="7" t="s">
        <v>9</v>
      </c>
      <c r="J1306" s="8">
        <v>38540</v>
      </c>
      <c r="K1306" s="12" t="s">
        <v>20</v>
      </c>
      <c r="L1306" s="9">
        <v>8</v>
      </c>
      <c r="M1306" s="10">
        <v>25.619997788473359</v>
      </c>
      <c r="N1306" s="7" t="s">
        <v>22</v>
      </c>
      <c r="P1306" s="29" t="str">
        <f t="shared" si="360"/>
        <v/>
      </c>
      <c r="Q1306" s="29" t="str">
        <f t="shared" si="361"/>
        <v/>
      </c>
      <c r="R1306" s="29" t="str">
        <f t="shared" si="362"/>
        <v/>
      </c>
      <c r="S1306" s="29" t="str">
        <f t="shared" si="363"/>
        <v/>
      </c>
      <c r="T1306" s="32" t="str">
        <f t="shared" si="364"/>
        <v/>
      </c>
      <c r="U1306" s="32">
        <f t="shared" si="367"/>
        <v>1</v>
      </c>
      <c r="V1306" s="32" t="str">
        <f t="shared" si="368"/>
        <v/>
      </c>
      <c r="W1306" s="41">
        <f t="shared" si="365"/>
        <v>3.2024997235591699</v>
      </c>
      <c r="X1306" s="6">
        <f t="shared" si="366"/>
        <v>25.619997788473359</v>
      </c>
      <c r="Y1306" s="7">
        <f t="shared" si="369"/>
        <v>513</v>
      </c>
      <c r="AA1306" s="7">
        <f t="shared" si="370"/>
        <v>1</v>
      </c>
      <c r="AB1306" s="7">
        <f t="shared" si="371"/>
        <v>8</v>
      </c>
      <c r="AC1306" s="7">
        <f t="shared" si="372"/>
        <v>0</v>
      </c>
      <c r="AD1306" s="7" t="str">
        <f t="shared" si="373"/>
        <v/>
      </c>
      <c r="AE1306" s="6">
        <f t="shared" si="374"/>
        <v>0</v>
      </c>
      <c r="AF1306" s="69">
        <f t="shared" si="375"/>
        <v>3.2024997235591699</v>
      </c>
      <c r="AG1306" s="6">
        <f t="shared" si="376"/>
        <v>0</v>
      </c>
      <c r="AH1306" s="6">
        <f t="shared" si="377"/>
        <v>604</v>
      </c>
    </row>
    <row r="1307" spans="8:34" x14ac:dyDescent="0.25">
      <c r="H1307" s="7">
        <v>1314</v>
      </c>
      <c r="I1307" s="7" t="s">
        <v>7</v>
      </c>
      <c r="J1307" s="8">
        <v>38298</v>
      </c>
      <c r="K1307" s="12" t="s">
        <v>17</v>
      </c>
      <c r="L1307" s="9">
        <v>88</v>
      </c>
      <c r="M1307" s="10">
        <v>265.56717139256853</v>
      </c>
      <c r="N1307" s="7" t="s">
        <v>24</v>
      </c>
      <c r="P1307" s="29" t="str">
        <f t="shared" si="360"/>
        <v/>
      </c>
      <c r="Q1307" s="29" t="str">
        <f t="shared" si="361"/>
        <v/>
      </c>
      <c r="R1307" s="29" t="str">
        <f t="shared" si="362"/>
        <v/>
      </c>
      <c r="S1307" s="29">
        <f t="shared" si="363"/>
        <v>1</v>
      </c>
      <c r="T1307" s="32" t="str">
        <f t="shared" si="364"/>
        <v/>
      </c>
      <c r="U1307" s="32" t="str">
        <f t="shared" si="367"/>
        <v/>
      </c>
      <c r="V1307" s="32" t="str">
        <f t="shared" si="368"/>
        <v/>
      </c>
      <c r="W1307" s="41">
        <f t="shared" si="365"/>
        <v>3.0178087658246424</v>
      </c>
      <c r="X1307" s="6">
        <f t="shared" si="366"/>
        <v>0</v>
      </c>
      <c r="Y1307" s="7">
        <f t="shared" si="369"/>
        <v>567</v>
      </c>
      <c r="AA1307" s="7">
        <f t="shared" si="370"/>
        <v>0</v>
      </c>
      <c r="AB1307" s="7" t="str">
        <f t="shared" si="371"/>
        <v/>
      </c>
      <c r="AC1307" s="7">
        <f t="shared" si="372"/>
        <v>0</v>
      </c>
      <c r="AD1307" s="7" t="str">
        <f t="shared" si="373"/>
        <v/>
      </c>
      <c r="AE1307" s="6">
        <f t="shared" si="374"/>
        <v>0</v>
      </c>
      <c r="AF1307" s="69">
        <f t="shared" si="375"/>
        <v>3.0178087658246424</v>
      </c>
      <c r="AG1307" s="6">
        <f t="shared" si="376"/>
        <v>265.56717139256853</v>
      </c>
      <c r="AH1307" s="6">
        <f t="shared" si="377"/>
        <v>43</v>
      </c>
    </row>
    <row r="1308" spans="8:34" x14ac:dyDescent="0.25">
      <c r="H1308" s="7">
        <v>1315</v>
      </c>
      <c r="I1308" s="7" t="s">
        <v>9</v>
      </c>
      <c r="J1308" s="8">
        <v>38221</v>
      </c>
      <c r="K1308" s="12" t="s">
        <v>17</v>
      </c>
      <c r="L1308" s="9">
        <v>12</v>
      </c>
      <c r="M1308" s="10">
        <v>37.818679875987904</v>
      </c>
      <c r="N1308" s="7" t="s">
        <v>22</v>
      </c>
      <c r="P1308" s="29" t="str">
        <f t="shared" si="360"/>
        <v/>
      </c>
      <c r="Q1308" s="29" t="str">
        <f t="shared" si="361"/>
        <v/>
      </c>
      <c r="R1308" s="29">
        <f t="shared" si="362"/>
        <v>1</v>
      </c>
      <c r="S1308" s="29" t="str">
        <f t="shared" si="363"/>
        <v/>
      </c>
      <c r="T1308" s="32" t="str">
        <f t="shared" si="364"/>
        <v/>
      </c>
      <c r="U1308" s="32" t="str">
        <f t="shared" si="367"/>
        <v/>
      </c>
      <c r="V1308" s="32" t="str">
        <f t="shared" si="368"/>
        <v/>
      </c>
      <c r="W1308" s="41">
        <f t="shared" si="365"/>
        <v>3.1515566563323252</v>
      </c>
      <c r="X1308" s="6">
        <f t="shared" si="366"/>
        <v>0</v>
      </c>
      <c r="Y1308" s="7">
        <f t="shared" si="369"/>
        <v>567</v>
      </c>
      <c r="AA1308" s="7">
        <f t="shared" si="370"/>
        <v>0</v>
      </c>
      <c r="AB1308" s="7" t="str">
        <f t="shared" si="371"/>
        <v/>
      </c>
      <c r="AC1308" s="7">
        <f t="shared" si="372"/>
        <v>0</v>
      </c>
      <c r="AD1308" s="7" t="str">
        <f t="shared" si="373"/>
        <v/>
      </c>
      <c r="AE1308" s="6">
        <f t="shared" si="374"/>
        <v>0</v>
      </c>
      <c r="AF1308" s="69">
        <f t="shared" si="375"/>
        <v>3.1515566563323252</v>
      </c>
      <c r="AG1308" s="6">
        <f t="shared" si="376"/>
        <v>37.818679875987904</v>
      </c>
      <c r="AH1308" s="6">
        <f t="shared" si="377"/>
        <v>513</v>
      </c>
    </row>
    <row r="1309" spans="8:34" x14ac:dyDescent="0.25">
      <c r="H1309" s="7">
        <v>1316</v>
      </c>
      <c r="I1309" s="7" t="s">
        <v>14</v>
      </c>
      <c r="J1309" s="8">
        <v>38683</v>
      </c>
      <c r="K1309" s="12" t="s">
        <v>20</v>
      </c>
      <c r="L1309" s="9">
        <v>79</v>
      </c>
      <c r="M1309" s="10">
        <v>239.17519679611866</v>
      </c>
      <c r="N1309" s="7" t="s">
        <v>22</v>
      </c>
      <c r="P1309" s="29" t="str">
        <f t="shared" si="360"/>
        <v/>
      </c>
      <c r="Q1309" s="29" t="str">
        <f t="shared" si="361"/>
        <v/>
      </c>
      <c r="R1309" s="29" t="str">
        <f t="shared" si="362"/>
        <v/>
      </c>
      <c r="S1309" s="29" t="str">
        <f t="shared" si="363"/>
        <v/>
      </c>
      <c r="T1309" s="32">
        <f t="shared" si="364"/>
        <v>1</v>
      </c>
      <c r="U1309" s="32">
        <f t="shared" si="367"/>
        <v>1</v>
      </c>
      <c r="V1309" s="32" t="str">
        <f t="shared" si="368"/>
        <v/>
      </c>
      <c r="W1309" s="41">
        <f t="shared" si="365"/>
        <v>3.0275341366597299</v>
      </c>
      <c r="X1309" s="6">
        <f t="shared" si="366"/>
        <v>239.17519679611866</v>
      </c>
      <c r="Y1309" s="7">
        <f t="shared" si="369"/>
        <v>106</v>
      </c>
      <c r="AA1309" s="7">
        <f t="shared" si="370"/>
        <v>0</v>
      </c>
      <c r="AB1309" s="7" t="str">
        <f t="shared" si="371"/>
        <v/>
      </c>
      <c r="AC1309" s="7">
        <f t="shared" si="372"/>
        <v>1</v>
      </c>
      <c r="AD1309" s="7">
        <f t="shared" si="373"/>
        <v>79</v>
      </c>
      <c r="AE1309" s="6">
        <f t="shared" si="374"/>
        <v>0</v>
      </c>
      <c r="AF1309" s="69">
        <f t="shared" si="375"/>
        <v>3.0275341366597299</v>
      </c>
      <c r="AG1309" s="6">
        <f t="shared" si="376"/>
        <v>0</v>
      </c>
      <c r="AH1309" s="6">
        <f t="shared" si="377"/>
        <v>604</v>
      </c>
    </row>
    <row r="1310" spans="8:34" x14ac:dyDescent="0.25">
      <c r="H1310" s="7">
        <v>1317</v>
      </c>
      <c r="I1310" s="7" t="s">
        <v>11</v>
      </c>
      <c r="J1310" s="8">
        <v>38155</v>
      </c>
      <c r="K1310" s="12" t="s">
        <v>19</v>
      </c>
      <c r="L1310" s="9">
        <v>39</v>
      </c>
      <c r="M1310" s="10">
        <v>118.94488443291594</v>
      </c>
      <c r="N1310" s="7" t="s">
        <v>21</v>
      </c>
      <c r="P1310" s="29" t="str">
        <f t="shared" si="360"/>
        <v/>
      </c>
      <c r="Q1310" s="29">
        <f t="shared" si="361"/>
        <v>1</v>
      </c>
      <c r="R1310" s="29" t="str">
        <f t="shared" si="362"/>
        <v/>
      </c>
      <c r="S1310" s="29" t="str">
        <f t="shared" si="363"/>
        <v/>
      </c>
      <c r="T1310" s="32" t="str">
        <f t="shared" si="364"/>
        <v/>
      </c>
      <c r="U1310" s="32" t="str">
        <f t="shared" si="367"/>
        <v/>
      </c>
      <c r="V1310" s="32" t="str">
        <f t="shared" si="368"/>
        <v/>
      </c>
      <c r="W1310" s="41">
        <f t="shared" si="365"/>
        <v>3.0498688316132294</v>
      </c>
      <c r="X1310" s="6">
        <f t="shared" si="366"/>
        <v>0</v>
      </c>
      <c r="Y1310" s="7">
        <f t="shared" si="369"/>
        <v>567</v>
      </c>
      <c r="AA1310" s="7">
        <f t="shared" si="370"/>
        <v>0</v>
      </c>
      <c r="AB1310" s="7" t="str">
        <f t="shared" si="371"/>
        <v/>
      </c>
      <c r="AC1310" s="7">
        <f t="shared" si="372"/>
        <v>0</v>
      </c>
      <c r="AD1310" s="7" t="str">
        <f t="shared" si="373"/>
        <v/>
      </c>
      <c r="AE1310" s="6">
        <f t="shared" si="374"/>
        <v>0</v>
      </c>
      <c r="AF1310" s="69">
        <f t="shared" si="375"/>
        <v>3.0498688316132294</v>
      </c>
      <c r="AG1310" s="6">
        <f t="shared" si="376"/>
        <v>118.94488443291594</v>
      </c>
      <c r="AH1310" s="6">
        <f t="shared" si="377"/>
        <v>334</v>
      </c>
    </row>
    <row r="1311" spans="8:34" x14ac:dyDescent="0.25">
      <c r="H1311" s="7">
        <v>1318</v>
      </c>
      <c r="I1311" s="7" t="s">
        <v>14</v>
      </c>
      <c r="J1311" s="8">
        <v>38760</v>
      </c>
      <c r="K1311" s="12" t="s">
        <v>20</v>
      </c>
      <c r="L1311" s="9">
        <v>61</v>
      </c>
      <c r="M1311" s="10">
        <v>185.05613481266943</v>
      </c>
      <c r="N1311" s="7" t="s">
        <v>23</v>
      </c>
      <c r="P1311" s="29" t="str">
        <f t="shared" si="360"/>
        <v/>
      </c>
      <c r="Q1311" s="29" t="str">
        <f t="shared" si="361"/>
        <v/>
      </c>
      <c r="R1311" s="29" t="str">
        <f t="shared" si="362"/>
        <v/>
      </c>
      <c r="S1311" s="29" t="str">
        <f t="shared" si="363"/>
        <v/>
      </c>
      <c r="T1311" s="32" t="str">
        <f t="shared" si="364"/>
        <v/>
      </c>
      <c r="U1311" s="32" t="str">
        <f t="shared" si="367"/>
        <v/>
      </c>
      <c r="V1311" s="32">
        <f t="shared" si="368"/>
        <v>1</v>
      </c>
      <c r="W1311" s="41">
        <f t="shared" si="365"/>
        <v>3.0337071280765482</v>
      </c>
      <c r="X1311" s="6">
        <f t="shared" si="366"/>
        <v>0</v>
      </c>
      <c r="Y1311" s="7">
        <f t="shared" si="369"/>
        <v>567</v>
      </c>
      <c r="AA1311" s="7">
        <f t="shared" si="370"/>
        <v>0</v>
      </c>
      <c r="AB1311" s="7" t="str">
        <f t="shared" si="371"/>
        <v/>
      </c>
      <c r="AC1311" s="7">
        <f t="shared" si="372"/>
        <v>0</v>
      </c>
      <c r="AD1311" s="7" t="str">
        <f t="shared" si="373"/>
        <v/>
      </c>
      <c r="AE1311" s="6">
        <f t="shared" si="374"/>
        <v>0</v>
      </c>
      <c r="AF1311" s="69">
        <f t="shared" si="375"/>
        <v>3.0337071280765482</v>
      </c>
      <c r="AG1311" s="6">
        <f t="shared" si="376"/>
        <v>0</v>
      </c>
      <c r="AH1311" s="6">
        <f t="shared" si="377"/>
        <v>604</v>
      </c>
    </row>
    <row r="1312" spans="8:34" x14ac:dyDescent="0.25">
      <c r="H1312" s="7">
        <v>1319</v>
      </c>
      <c r="I1312" s="7" t="s">
        <v>14</v>
      </c>
      <c r="J1312" s="8">
        <v>38980</v>
      </c>
      <c r="K1312" s="12" t="s">
        <v>17</v>
      </c>
      <c r="L1312" s="9">
        <v>12</v>
      </c>
      <c r="M1312" s="10">
        <v>38.275233428944262</v>
      </c>
      <c r="N1312" s="7" t="s">
        <v>23</v>
      </c>
      <c r="P1312" s="29" t="str">
        <f t="shared" si="360"/>
        <v/>
      </c>
      <c r="Q1312" s="29" t="str">
        <f t="shared" si="361"/>
        <v/>
      </c>
      <c r="R1312" s="29" t="str">
        <f t="shared" si="362"/>
        <v/>
      </c>
      <c r="S1312" s="29" t="str">
        <f t="shared" si="363"/>
        <v/>
      </c>
      <c r="T1312" s="32" t="str">
        <f t="shared" si="364"/>
        <v/>
      </c>
      <c r="U1312" s="32" t="str">
        <f t="shared" si="367"/>
        <v/>
      </c>
      <c r="V1312" s="32">
        <f t="shared" si="368"/>
        <v>1</v>
      </c>
      <c r="W1312" s="41">
        <f t="shared" si="365"/>
        <v>3.1896027857453553</v>
      </c>
      <c r="X1312" s="6">
        <f t="shared" si="366"/>
        <v>0</v>
      </c>
      <c r="Y1312" s="7">
        <f t="shared" si="369"/>
        <v>567</v>
      </c>
      <c r="AA1312" s="7">
        <f t="shared" si="370"/>
        <v>0</v>
      </c>
      <c r="AB1312" s="7" t="str">
        <f t="shared" si="371"/>
        <v/>
      </c>
      <c r="AC1312" s="7">
        <f t="shared" si="372"/>
        <v>0</v>
      </c>
      <c r="AD1312" s="7" t="str">
        <f t="shared" si="373"/>
        <v/>
      </c>
      <c r="AE1312" s="6">
        <f t="shared" si="374"/>
        <v>0</v>
      </c>
      <c r="AF1312" s="69">
        <f t="shared" si="375"/>
        <v>3.1896027857453553</v>
      </c>
      <c r="AG1312" s="6">
        <f t="shared" si="376"/>
        <v>0</v>
      </c>
      <c r="AH1312" s="6">
        <f t="shared" si="377"/>
        <v>604</v>
      </c>
    </row>
    <row r="1313" spans="8:34" x14ac:dyDescent="0.25">
      <c r="H1313" s="7">
        <v>1320</v>
      </c>
      <c r="I1313" s="7" t="s">
        <v>10</v>
      </c>
      <c r="J1313" s="8">
        <v>38298</v>
      </c>
      <c r="K1313" s="12" t="s">
        <v>20</v>
      </c>
      <c r="L1313" s="9">
        <v>25</v>
      </c>
      <c r="M1313" s="10">
        <v>76.651168243814681</v>
      </c>
      <c r="N1313" s="7" t="s">
        <v>24</v>
      </c>
      <c r="P1313" s="29" t="str">
        <f t="shared" si="360"/>
        <v/>
      </c>
      <c r="Q1313" s="29" t="str">
        <f t="shared" si="361"/>
        <v/>
      </c>
      <c r="R1313" s="29" t="str">
        <f t="shared" si="362"/>
        <v/>
      </c>
      <c r="S1313" s="29">
        <f t="shared" si="363"/>
        <v>1</v>
      </c>
      <c r="T1313" s="32" t="str">
        <f t="shared" si="364"/>
        <v/>
      </c>
      <c r="U1313" s="32" t="str">
        <f t="shared" si="367"/>
        <v/>
      </c>
      <c r="V1313" s="32" t="str">
        <f t="shared" si="368"/>
        <v/>
      </c>
      <c r="W1313" s="41">
        <f t="shared" si="365"/>
        <v>3.0660467297525873</v>
      </c>
      <c r="X1313" s="6">
        <f t="shared" si="366"/>
        <v>0</v>
      </c>
      <c r="Y1313" s="7">
        <f t="shared" si="369"/>
        <v>567</v>
      </c>
      <c r="AA1313" s="7">
        <f t="shared" si="370"/>
        <v>0</v>
      </c>
      <c r="AB1313" s="7" t="str">
        <f t="shared" si="371"/>
        <v/>
      </c>
      <c r="AC1313" s="7">
        <f t="shared" si="372"/>
        <v>0</v>
      </c>
      <c r="AD1313" s="7" t="str">
        <f t="shared" si="373"/>
        <v/>
      </c>
      <c r="AE1313" s="6">
        <f t="shared" si="374"/>
        <v>0</v>
      </c>
      <c r="AF1313" s="69">
        <f t="shared" si="375"/>
        <v>3.0660467297525873</v>
      </c>
      <c r="AG1313" s="6">
        <f t="shared" si="376"/>
        <v>76.651168243814681</v>
      </c>
      <c r="AH1313" s="6">
        <f t="shared" si="377"/>
        <v>431</v>
      </c>
    </row>
    <row r="1314" spans="8:34" x14ac:dyDescent="0.25">
      <c r="H1314" s="7">
        <v>1321</v>
      </c>
      <c r="I1314" s="7" t="s">
        <v>15</v>
      </c>
      <c r="J1314" s="8">
        <v>38683</v>
      </c>
      <c r="K1314" s="12" t="s">
        <v>18</v>
      </c>
      <c r="L1314" s="9">
        <v>82</v>
      </c>
      <c r="M1314" s="10">
        <v>248.26100726872076</v>
      </c>
      <c r="N1314" s="7" t="s">
        <v>21</v>
      </c>
      <c r="P1314" s="29" t="str">
        <f t="shared" si="360"/>
        <v/>
      </c>
      <c r="Q1314" s="29" t="str">
        <f t="shared" si="361"/>
        <v/>
      </c>
      <c r="R1314" s="29" t="str">
        <f t="shared" si="362"/>
        <v/>
      </c>
      <c r="S1314" s="29" t="str">
        <f t="shared" si="363"/>
        <v/>
      </c>
      <c r="T1314" s="32">
        <f t="shared" si="364"/>
        <v>1</v>
      </c>
      <c r="U1314" s="32">
        <f t="shared" si="367"/>
        <v>1</v>
      </c>
      <c r="V1314" s="32" t="str">
        <f t="shared" si="368"/>
        <v/>
      </c>
      <c r="W1314" s="41">
        <f t="shared" si="365"/>
        <v>3.0275732593746434</v>
      </c>
      <c r="X1314" s="6">
        <f t="shared" si="366"/>
        <v>248.26100726872076</v>
      </c>
      <c r="Y1314" s="7">
        <f t="shared" si="369"/>
        <v>83</v>
      </c>
      <c r="AA1314" s="7">
        <f t="shared" si="370"/>
        <v>0</v>
      </c>
      <c r="AB1314" s="7" t="str">
        <f t="shared" si="371"/>
        <v/>
      </c>
      <c r="AC1314" s="7">
        <f t="shared" si="372"/>
        <v>1</v>
      </c>
      <c r="AD1314" s="7">
        <f t="shared" si="373"/>
        <v>82</v>
      </c>
      <c r="AE1314" s="6">
        <f t="shared" si="374"/>
        <v>0</v>
      </c>
      <c r="AF1314" s="69">
        <f t="shared" si="375"/>
        <v>3.0275732593746434</v>
      </c>
      <c r="AG1314" s="6">
        <f t="shared" si="376"/>
        <v>0</v>
      </c>
      <c r="AH1314" s="6">
        <f t="shared" si="377"/>
        <v>604</v>
      </c>
    </row>
    <row r="1315" spans="8:34" x14ac:dyDescent="0.25">
      <c r="H1315" s="7">
        <v>1322</v>
      </c>
      <c r="I1315" s="7" t="s">
        <v>9</v>
      </c>
      <c r="J1315" s="8">
        <v>38342</v>
      </c>
      <c r="K1315" s="12" t="s">
        <v>20</v>
      </c>
      <c r="L1315" s="9">
        <v>4</v>
      </c>
      <c r="M1315" s="10">
        <v>14.48265398333678</v>
      </c>
      <c r="N1315" s="7" t="s">
        <v>23</v>
      </c>
      <c r="P1315" s="29" t="str">
        <f t="shared" si="360"/>
        <v/>
      </c>
      <c r="Q1315" s="29" t="str">
        <f t="shared" si="361"/>
        <v/>
      </c>
      <c r="R1315" s="29" t="str">
        <f t="shared" si="362"/>
        <v/>
      </c>
      <c r="S1315" s="29">
        <f t="shared" si="363"/>
        <v>1</v>
      </c>
      <c r="T1315" s="32" t="str">
        <f t="shared" si="364"/>
        <v/>
      </c>
      <c r="U1315" s="32" t="str">
        <f t="shared" si="367"/>
        <v/>
      </c>
      <c r="V1315" s="32" t="str">
        <f t="shared" si="368"/>
        <v/>
      </c>
      <c r="W1315" s="41">
        <f t="shared" si="365"/>
        <v>3.620663495834195</v>
      </c>
      <c r="X1315" s="6">
        <f t="shared" si="366"/>
        <v>0</v>
      </c>
      <c r="Y1315" s="7">
        <f t="shared" si="369"/>
        <v>567</v>
      </c>
      <c r="AA1315" s="7">
        <f t="shared" si="370"/>
        <v>0</v>
      </c>
      <c r="AB1315" s="7" t="str">
        <f t="shared" si="371"/>
        <v/>
      </c>
      <c r="AC1315" s="7">
        <f t="shared" si="372"/>
        <v>0</v>
      </c>
      <c r="AD1315" s="7" t="str">
        <f t="shared" si="373"/>
        <v/>
      </c>
      <c r="AE1315" s="6">
        <f t="shared" si="374"/>
        <v>0</v>
      </c>
      <c r="AF1315" s="69">
        <f t="shared" si="375"/>
        <v>3.620663495834195</v>
      </c>
      <c r="AG1315" s="6">
        <f t="shared" si="376"/>
        <v>14.48265398333678</v>
      </c>
      <c r="AH1315" s="6">
        <f t="shared" si="377"/>
        <v>574</v>
      </c>
    </row>
    <row r="1316" spans="8:34" x14ac:dyDescent="0.25">
      <c r="H1316" s="7">
        <v>1323</v>
      </c>
      <c r="I1316" s="7" t="s">
        <v>9</v>
      </c>
      <c r="J1316" s="8">
        <v>39068</v>
      </c>
      <c r="K1316" s="12" t="s">
        <v>19</v>
      </c>
      <c r="L1316" s="9">
        <v>22</v>
      </c>
      <c r="M1316" s="10">
        <v>68.226854446694333</v>
      </c>
      <c r="N1316" s="7" t="s">
        <v>21</v>
      </c>
      <c r="P1316" s="29" t="str">
        <f t="shared" si="360"/>
        <v/>
      </c>
      <c r="Q1316" s="29" t="str">
        <f t="shared" si="361"/>
        <v/>
      </c>
      <c r="R1316" s="29" t="str">
        <f t="shared" si="362"/>
        <v/>
      </c>
      <c r="S1316" s="29" t="str">
        <f t="shared" si="363"/>
        <v/>
      </c>
      <c r="T1316" s="32" t="str">
        <f t="shared" si="364"/>
        <v/>
      </c>
      <c r="U1316" s="32" t="str">
        <f t="shared" si="367"/>
        <v/>
      </c>
      <c r="V1316" s="32">
        <f t="shared" si="368"/>
        <v>1</v>
      </c>
      <c r="W1316" s="41">
        <f t="shared" si="365"/>
        <v>3.1012206566679241</v>
      </c>
      <c r="X1316" s="6">
        <f t="shared" si="366"/>
        <v>0</v>
      </c>
      <c r="Y1316" s="7">
        <f t="shared" si="369"/>
        <v>567</v>
      </c>
      <c r="AA1316" s="7">
        <f t="shared" si="370"/>
        <v>0</v>
      </c>
      <c r="AB1316" s="7" t="str">
        <f t="shared" si="371"/>
        <v/>
      </c>
      <c r="AC1316" s="7">
        <f t="shared" si="372"/>
        <v>0</v>
      </c>
      <c r="AD1316" s="7" t="str">
        <f t="shared" si="373"/>
        <v/>
      </c>
      <c r="AE1316" s="6">
        <f t="shared" si="374"/>
        <v>0</v>
      </c>
      <c r="AF1316" s="69">
        <f t="shared" si="375"/>
        <v>3.1012206566679241</v>
      </c>
      <c r="AG1316" s="6">
        <f t="shared" si="376"/>
        <v>0</v>
      </c>
      <c r="AH1316" s="6">
        <f t="shared" si="377"/>
        <v>604</v>
      </c>
    </row>
    <row r="1317" spans="8:34" x14ac:dyDescent="0.25">
      <c r="H1317" s="7">
        <v>1324</v>
      </c>
      <c r="I1317" s="7" t="s">
        <v>9</v>
      </c>
      <c r="J1317" s="8">
        <v>38991</v>
      </c>
      <c r="K1317" s="12" t="s">
        <v>20</v>
      </c>
      <c r="L1317" s="9">
        <v>81</v>
      </c>
      <c r="M1317" s="10">
        <v>244.6243385117169</v>
      </c>
      <c r="N1317" s="7" t="s">
        <v>22</v>
      </c>
      <c r="P1317" s="29" t="str">
        <f t="shared" si="360"/>
        <v/>
      </c>
      <c r="Q1317" s="29" t="str">
        <f t="shared" si="361"/>
        <v/>
      </c>
      <c r="R1317" s="29" t="str">
        <f t="shared" si="362"/>
        <v/>
      </c>
      <c r="S1317" s="29" t="str">
        <f t="shared" si="363"/>
        <v/>
      </c>
      <c r="T1317" s="32" t="str">
        <f t="shared" si="364"/>
        <v/>
      </c>
      <c r="U1317" s="32" t="str">
        <f t="shared" si="367"/>
        <v/>
      </c>
      <c r="V1317" s="32">
        <f t="shared" si="368"/>
        <v>1</v>
      </c>
      <c r="W1317" s="41">
        <f t="shared" si="365"/>
        <v>3.020053561873048</v>
      </c>
      <c r="X1317" s="6">
        <f t="shared" si="366"/>
        <v>0</v>
      </c>
      <c r="Y1317" s="7">
        <f t="shared" si="369"/>
        <v>567</v>
      </c>
      <c r="AA1317" s="7">
        <f t="shared" si="370"/>
        <v>0</v>
      </c>
      <c r="AB1317" s="7" t="str">
        <f t="shared" si="371"/>
        <v/>
      </c>
      <c r="AC1317" s="7">
        <f t="shared" si="372"/>
        <v>0</v>
      </c>
      <c r="AD1317" s="7" t="str">
        <f t="shared" si="373"/>
        <v/>
      </c>
      <c r="AE1317" s="6">
        <f t="shared" si="374"/>
        <v>0</v>
      </c>
      <c r="AF1317" s="69">
        <f t="shared" si="375"/>
        <v>3.020053561873048</v>
      </c>
      <c r="AG1317" s="6">
        <f t="shared" si="376"/>
        <v>0</v>
      </c>
      <c r="AH1317" s="6">
        <f t="shared" si="377"/>
        <v>604</v>
      </c>
    </row>
    <row r="1318" spans="8:34" x14ac:dyDescent="0.25">
      <c r="H1318" s="7">
        <v>1325</v>
      </c>
      <c r="I1318" s="7" t="s">
        <v>10</v>
      </c>
      <c r="J1318" s="8">
        <v>38408</v>
      </c>
      <c r="K1318" s="12" t="s">
        <v>16</v>
      </c>
      <c r="L1318" s="9">
        <v>34</v>
      </c>
      <c r="M1318" s="10">
        <v>103.85172808433745</v>
      </c>
      <c r="N1318" s="7" t="s">
        <v>21</v>
      </c>
      <c r="P1318" s="29" t="str">
        <f t="shared" si="360"/>
        <v/>
      </c>
      <c r="Q1318" s="29" t="str">
        <f t="shared" si="361"/>
        <v/>
      </c>
      <c r="R1318" s="29" t="str">
        <f t="shared" si="362"/>
        <v/>
      </c>
      <c r="S1318" s="29" t="str">
        <f t="shared" si="363"/>
        <v/>
      </c>
      <c r="T1318" s="32" t="str">
        <f t="shared" si="364"/>
        <v/>
      </c>
      <c r="U1318" s="32">
        <f t="shared" si="367"/>
        <v>1</v>
      </c>
      <c r="V1318" s="32" t="str">
        <f t="shared" si="368"/>
        <v/>
      </c>
      <c r="W1318" s="41">
        <f t="shared" si="365"/>
        <v>3.0544625907158074</v>
      </c>
      <c r="X1318" s="6">
        <f t="shared" si="366"/>
        <v>103.85172808433745</v>
      </c>
      <c r="Y1318" s="7">
        <f t="shared" si="369"/>
        <v>355</v>
      </c>
      <c r="AA1318" s="7">
        <f t="shared" si="370"/>
        <v>1</v>
      </c>
      <c r="AB1318" s="7">
        <f t="shared" si="371"/>
        <v>34</v>
      </c>
      <c r="AC1318" s="7">
        <f t="shared" si="372"/>
        <v>0</v>
      </c>
      <c r="AD1318" s="7" t="str">
        <f t="shared" si="373"/>
        <v/>
      </c>
      <c r="AE1318" s="6">
        <f t="shared" si="374"/>
        <v>0</v>
      </c>
      <c r="AF1318" s="69">
        <f t="shared" si="375"/>
        <v>3.0544625907158074</v>
      </c>
      <c r="AG1318" s="6">
        <f t="shared" si="376"/>
        <v>0</v>
      </c>
      <c r="AH1318" s="6">
        <f t="shared" si="377"/>
        <v>604</v>
      </c>
    </row>
    <row r="1319" spans="8:34" x14ac:dyDescent="0.25">
      <c r="H1319" s="7">
        <v>1326</v>
      </c>
      <c r="I1319" s="7" t="s">
        <v>9</v>
      </c>
      <c r="J1319" s="8">
        <v>38309</v>
      </c>
      <c r="K1319" s="12" t="s">
        <v>20</v>
      </c>
      <c r="L1319" s="9">
        <v>89</v>
      </c>
      <c r="M1319" s="10">
        <v>269.74478909487721</v>
      </c>
      <c r="N1319" s="7" t="s">
        <v>24</v>
      </c>
      <c r="P1319" s="29" t="str">
        <f t="shared" si="360"/>
        <v/>
      </c>
      <c r="Q1319" s="29" t="str">
        <f t="shared" si="361"/>
        <v/>
      </c>
      <c r="R1319" s="29" t="str">
        <f t="shared" si="362"/>
        <v/>
      </c>
      <c r="S1319" s="29">
        <f t="shared" si="363"/>
        <v>1</v>
      </c>
      <c r="T1319" s="32" t="str">
        <f t="shared" si="364"/>
        <v/>
      </c>
      <c r="U1319" s="32" t="str">
        <f t="shared" si="367"/>
        <v/>
      </c>
      <c r="V1319" s="32" t="str">
        <f t="shared" si="368"/>
        <v/>
      </c>
      <c r="W1319" s="41">
        <f t="shared" si="365"/>
        <v>3.0308403269087325</v>
      </c>
      <c r="X1319" s="6">
        <f t="shared" si="366"/>
        <v>0</v>
      </c>
      <c r="Y1319" s="7">
        <f t="shared" si="369"/>
        <v>567</v>
      </c>
      <c r="AA1319" s="7">
        <f t="shared" si="370"/>
        <v>0</v>
      </c>
      <c r="AB1319" s="7" t="str">
        <f t="shared" si="371"/>
        <v/>
      </c>
      <c r="AC1319" s="7">
        <f t="shared" si="372"/>
        <v>0</v>
      </c>
      <c r="AD1319" s="7" t="str">
        <f t="shared" si="373"/>
        <v/>
      </c>
      <c r="AE1319" s="6">
        <f t="shared" si="374"/>
        <v>0</v>
      </c>
      <c r="AF1319" s="69">
        <f t="shared" si="375"/>
        <v>3.0308403269087325</v>
      </c>
      <c r="AG1319" s="6">
        <f t="shared" si="376"/>
        <v>269.74478909487721</v>
      </c>
      <c r="AH1319" s="6">
        <f t="shared" si="377"/>
        <v>33</v>
      </c>
    </row>
    <row r="1320" spans="8:34" x14ac:dyDescent="0.25">
      <c r="H1320" s="7">
        <v>1327</v>
      </c>
      <c r="I1320" s="7" t="s">
        <v>10</v>
      </c>
      <c r="J1320" s="8">
        <v>38386</v>
      </c>
      <c r="K1320" s="12" t="s">
        <v>20</v>
      </c>
      <c r="L1320" s="9">
        <v>6</v>
      </c>
      <c r="M1320" s="10">
        <v>20.30969002976488</v>
      </c>
      <c r="N1320" s="7" t="s">
        <v>22</v>
      </c>
      <c r="P1320" s="29" t="str">
        <f t="shared" si="360"/>
        <v/>
      </c>
      <c r="Q1320" s="29" t="str">
        <f t="shared" si="361"/>
        <v/>
      </c>
      <c r="R1320" s="29" t="str">
        <f t="shared" si="362"/>
        <v/>
      </c>
      <c r="S1320" s="29" t="str">
        <f t="shared" si="363"/>
        <v/>
      </c>
      <c r="T1320" s="32" t="str">
        <f t="shared" si="364"/>
        <v/>
      </c>
      <c r="U1320" s="32">
        <f t="shared" si="367"/>
        <v>1</v>
      </c>
      <c r="V1320" s="32" t="str">
        <f t="shared" si="368"/>
        <v/>
      </c>
      <c r="W1320" s="41">
        <f t="shared" si="365"/>
        <v>3.3849483382941465</v>
      </c>
      <c r="X1320" s="6">
        <f t="shared" si="366"/>
        <v>20.30969002976488</v>
      </c>
      <c r="Y1320" s="7">
        <f t="shared" si="369"/>
        <v>521</v>
      </c>
      <c r="AA1320" s="7">
        <f t="shared" si="370"/>
        <v>1</v>
      </c>
      <c r="AB1320" s="7">
        <f t="shared" si="371"/>
        <v>6</v>
      </c>
      <c r="AC1320" s="7">
        <f t="shared" si="372"/>
        <v>0</v>
      </c>
      <c r="AD1320" s="7" t="str">
        <f t="shared" si="373"/>
        <v/>
      </c>
      <c r="AE1320" s="6">
        <f t="shared" si="374"/>
        <v>0</v>
      </c>
      <c r="AF1320" s="69">
        <f t="shared" si="375"/>
        <v>3.3849483382941465</v>
      </c>
      <c r="AG1320" s="6">
        <f t="shared" si="376"/>
        <v>0</v>
      </c>
      <c r="AH1320" s="6">
        <f t="shared" si="377"/>
        <v>604</v>
      </c>
    </row>
    <row r="1321" spans="8:34" x14ac:dyDescent="0.25">
      <c r="H1321" s="7">
        <v>1328</v>
      </c>
      <c r="I1321" s="7" t="s">
        <v>14</v>
      </c>
      <c r="J1321" s="8">
        <v>38529</v>
      </c>
      <c r="K1321" s="12" t="s">
        <v>16</v>
      </c>
      <c r="L1321" s="9">
        <v>78</v>
      </c>
      <c r="M1321" s="10">
        <v>235.99588000674026</v>
      </c>
      <c r="N1321" s="7" t="s">
        <v>21</v>
      </c>
      <c r="P1321" s="29" t="str">
        <f t="shared" si="360"/>
        <v/>
      </c>
      <c r="Q1321" s="29" t="str">
        <f t="shared" si="361"/>
        <v/>
      </c>
      <c r="R1321" s="29" t="str">
        <f t="shared" si="362"/>
        <v/>
      </c>
      <c r="S1321" s="29" t="str">
        <f t="shared" si="363"/>
        <v/>
      </c>
      <c r="T1321" s="32" t="str">
        <f t="shared" si="364"/>
        <v/>
      </c>
      <c r="U1321" s="32">
        <f t="shared" si="367"/>
        <v>1</v>
      </c>
      <c r="V1321" s="32" t="str">
        <f t="shared" si="368"/>
        <v/>
      </c>
      <c r="W1321" s="41">
        <f t="shared" si="365"/>
        <v>3.0255882052146186</v>
      </c>
      <c r="X1321" s="6">
        <f t="shared" si="366"/>
        <v>235.99588000674026</v>
      </c>
      <c r="Y1321" s="7">
        <f t="shared" si="369"/>
        <v>112</v>
      </c>
      <c r="AA1321" s="7">
        <f t="shared" si="370"/>
        <v>0</v>
      </c>
      <c r="AB1321" s="7" t="str">
        <f t="shared" si="371"/>
        <v/>
      </c>
      <c r="AC1321" s="7">
        <f t="shared" si="372"/>
        <v>1</v>
      </c>
      <c r="AD1321" s="7">
        <f t="shared" si="373"/>
        <v>78</v>
      </c>
      <c r="AE1321" s="6">
        <f t="shared" si="374"/>
        <v>0</v>
      </c>
      <c r="AF1321" s="69">
        <f t="shared" si="375"/>
        <v>3.0255882052146186</v>
      </c>
      <c r="AG1321" s="6">
        <f t="shared" si="376"/>
        <v>0</v>
      </c>
      <c r="AH1321" s="6">
        <f t="shared" si="377"/>
        <v>604</v>
      </c>
    </row>
    <row r="1322" spans="8:34" x14ac:dyDescent="0.25">
      <c r="H1322" s="7">
        <v>1329</v>
      </c>
      <c r="I1322" s="7" t="s">
        <v>15</v>
      </c>
      <c r="J1322" s="8">
        <v>38485</v>
      </c>
      <c r="K1322" s="12" t="s">
        <v>17</v>
      </c>
      <c r="L1322" s="9">
        <v>9</v>
      </c>
      <c r="M1322" s="10">
        <v>28.852711267429889</v>
      </c>
      <c r="N1322" s="7" t="s">
        <v>21</v>
      </c>
      <c r="P1322" s="29" t="str">
        <f t="shared" si="360"/>
        <v/>
      </c>
      <c r="Q1322" s="29" t="str">
        <f t="shared" si="361"/>
        <v/>
      </c>
      <c r="R1322" s="29" t="str">
        <f t="shared" si="362"/>
        <v/>
      </c>
      <c r="S1322" s="29" t="str">
        <f t="shared" si="363"/>
        <v/>
      </c>
      <c r="T1322" s="32" t="str">
        <f t="shared" si="364"/>
        <v/>
      </c>
      <c r="U1322" s="32">
        <f t="shared" si="367"/>
        <v>1</v>
      </c>
      <c r="V1322" s="32" t="str">
        <f t="shared" si="368"/>
        <v/>
      </c>
      <c r="W1322" s="41">
        <f t="shared" si="365"/>
        <v>3.2058568074922098</v>
      </c>
      <c r="X1322" s="6">
        <f t="shared" si="366"/>
        <v>28.852711267429889</v>
      </c>
      <c r="Y1322" s="7">
        <f t="shared" si="369"/>
        <v>506</v>
      </c>
      <c r="AA1322" s="7">
        <f t="shared" si="370"/>
        <v>0</v>
      </c>
      <c r="AB1322" s="7" t="str">
        <f t="shared" si="371"/>
        <v/>
      </c>
      <c r="AC1322" s="7">
        <f t="shared" si="372"/>
        <v>1</v>
      </c>
      <c r="AD1322" s="7">
        <f t="shared" si="373"/>
        <v>9</v>
      </c>
      <c r="AE1322" s="6">
        <f t="shared" si="374"/>
        <v>0</v>
      </c>
      <c r="AF1322" s="69">
        <f t="shared" si="375"/>
        <v>3.2058568074922098</v>
      </c>
      <c r="AG1322" s="6">
        <f t="shared" si="376"/>
        <v>0</v>
      </c>
      <c r="AH1322" s="6">
        <f t="shared" si="377"/>
        <v>604</v>
      </c>
    </row>
    <row r="1323" spans="8:34" x14ac:dyDescent="0.25">
      <c r="H1323" s="7">
        <v>1330</v>
      </c>
      <c r="I1323" s="7" t="s">
        <v>12</v>
      </c>
      <c r="J1323" s="8">
        <v>39079</v>
      </c>
      <c r="K1323" s="12" t="s">
        <v>20</v>
      </c>
      <c r="L1323" s="9">
        <v>9</v>
      </c>
      <c r="M1323" s="10">
        <v>29.718118103947955</v>
      </c>
      <c r="N1323" s="7" t="s">
        <v>24</v>
      </c>
      <c r="P1323" s="29" t="str">
        <f t="shared" si="360"/>
        <v/>
      </c>
      <c r="Q1323" s="29" t="str">
        <f t="shared" si="361"/>
        <v/>
      </c>
      <c r="R1323" s="29" t="str">
        <f t="shared" si="362"/>
        <v/>
      </c>
      <c r="S1323" s="29" t="str">
        <f t="shared" si="363"/>
        <v/>
      </c>
      <c r="T1323" s="32" t="str">
        <f t="shared" si="364"/>
        <v/>
      </c>
      <c r="U1323" s="32" t="str">
        <f t="shared" si="367"/>
        <v/>
      </c>
      <c r="V1323" s="32">
        <f t="shared" si="368"/>
        <v>1</v>
      </c>
      <c r="W1323" s="41">
        <f t="shared" si="365"/>
        <v>3.3020131226608838</v>
      </c>
      <c r="X1323" s="6">
        <f t="shared" si="366"/>
        <v>0</v>
      </c>
      <c r="Y1323" s="7">
        <f t="shared" si="369"/>
        <v>567</v>
      </c>
      <c r="AA1323" s="7">
        <f t="shared" si="370"/>
        <v>0</v>
      </c>
      <c r="AB1323" s="7" t="str">
        <f t="shared" si="371"/>
        <v/>
      </c>
      <c r="AC1323" s="7">
        <f t="shared" si="372"/>
        <v>0</v>
      </c>
      <c r="AD1323" s="7" t="str">
        <f t="shared" si="373"/>
        <v/>
      </c>
      <c r="AE1323" s="6">
        <f t="shared" si="374"/>
        <v>0</v>
      </c>
      <c r="AF1323" s="69">
        <f t="shared" si="375"/>
        <v>3.3020131226608838</v>
      </c>
      <c r="AG1323" s="6">
        <f t="shared" si="376"/>
        <v>0</v>
      </c>
      <c r="AH1323" s="6">
        <f t="shared" si="377"/>
        <v>604</v>
      </c>
    </row>
    <row r="1324" spans="8:34" x14ac:dyDescent="0.25">
      <c r="H1324" s="7">
        <v>1331</v>
      </c>
      <c r="I1324" s="7" t="s">
        <v>12</v>
      </c>
      <c r="J1324" s="8">
        <v>38826</v>
      </c>
      <c r="K1324" s="12" t="s">
        <v>18</v>
      </c>
      <c r="L1324" s="9">
        <v>73</v>
      </c>
      <c r="M1324" s="10">
        <v>221.1834991910803</v>
      </c>
      <c r="N1324" s="7" t="s">
        <v>24</v>
      </c>
      <c r="P1324" s="29" t="str">
        <f t="shared" si="360"/>
        <v/>
      </c>
      <c r="Q1324" s="29" t="str">
        <f t="shared" si="361"/>
        <v/>
      </c>
      <c r="R1324" s="29" t="str">
        <f t="shared" si="362"/>
        <v/>
      </c>
      <c r="S1324" s="29" t="str">
        <f t="shared" si="363"/>
        <v/>
      </c>
      <c r="T1324" s="32" t="str">
        <f t="shared" si="364"/>
        <v/>
      </c>
      <c r="U1324" s="32" t="str">
        <f t="shared" si="367"/>
        <v/>
      </c>
      <c r="V1324" s="32">
        <f t="shared" si="368"/>
        <v>1</v>
      </c>
      <c r="W1324" s="41">
        <f t="shared" si="365"/>
        <v>3.029910947823018</v>
      </c>
      <c r="X1324" s="6">
        <f t="shared" si="366"/>
        <v>0</v>
      </c>
      <c r="Y1324" s="7">
        <f t="shared" si="369"/>
        <v>567</v>
      </c>
      <c r="AA1324" s="7">
        <f t="shared" si="370"/>
        <v>0</v>
      </c>
      <c r="AB1324" s="7" t="str">
        <f t="shared" si="371"/>
        <v/>
      </c>
      <c r="AC1324" s="7">
        <f t="shared" si="372"/>
        <v>0</v>
      </c>
      <c r="AD1324" s="7" t="str">
        <f t="shared" si="373"/>
        <v/>
      </c>
      <c r="AE1324" s="6">
        <f t="shared" si="374"/>
        <v>0</v>
      </c>
      <c r="AF1324" s="69">
        <f t="shared" si="375"/>
        <v>3.029910947823018</v>
      </c>
      <c r="AG1324" s="6">
        <f t="shared" si="376"/>
        <v>0</v>
      </c>
      <c r="AH1324" s="6">
        <f t="shared" si="377"/>
        <v>604</v>
      </c>
    </row>
    <row r="1325" spans="8:34" x14ac:dyDescent="0.25">
      <c r="H1325" s="7">
        <v>1332</v>
      </c>
      <c r="I1325" s="7" t="s">
        <v>7</v>
      </c>
      <c r="J1325" s="8">
        <v>38001</v>
      </c>
      <c r="K1325" s="12" t="s">
        <v>17</v>
      </c>
      <c r="L1325" s="9">
        <v>13</v>
      </c>
      <c r="M1325" s="10">
        <v>41.92379193182763</v>
      </c>
      <c r="N1325" s="7" t="s">
        <v>22</v>
      </c>
      <c r="P1325" s="29">
        <f t="shared" si="360"/>
        <v>1</v>
      </c>
      <c r="Q1325" s="29" t="str">
        <f t="shared" si="361"/>
        <v/>
      </c>
      <c r="R1325" s="29" t="str">
        <f t="shared" si="362"/>
        <v/>
      </c>
      <c r="S1325" s="29" t="str">
        <f t="shared" si="363"/>
        <v/>
      </c>
      <c r="T1325" s="32" t="str">
        <f t="shared" si="364"/>
        <v/>
      </c>
      <c r="U1325" s="32" t="str">
        <f t="shared" si="367"/>
        <v/>
      </c>
      <c r="V1325" s="32" t="str">
        <f t="shared" si="368"/>
        <v/>
      </c>
      <c r="W1325" s="41">
        <f t="shared" si="365"/>
        <v>3.2249070716790484</v>
      </c>
      <c r="X1325" s="6">
        <f t="shared" si="366"/>
        <v>0</v>
      </c>
      <c r="Y1325" s="7">
        <f t="shared" si="369"/>
        <v>567</v>
      </c>
      <c r="AA1325" s="7">
        <f t="shared" si="370"/>
        <v>0</v>
      </c>
      <c r="AB1325" s="7" t="str">
        <f t="shared" si="371"/>
        <v/>
      </c>
      <c r="AC1325" s="7">
        <f t="shared" si="372"/>
        <v>0</v>
      </c>
      <c r="AD1325" s="7" t="str">
        <f t="shared" si="373"/>
        <v/>
      </c>
      <c r="AE1325" s="6">
        <f t="shared" si="374"/>
        <v>0</v>
      </c>
      <c r="AF1325" s="69">
        <f t="shared" si="375"/>
        <v>3.2249070716790484</v>
      </c>
      <c r="AG1325" s="6">
        <f t="shared" si="376"/>
        <v>41.92379193182763</v>
      </c>
      <c r="AH1325" s="6">
        <f t="shared" si="377"/>
        <v>495</v>
      </c>
    </row>
    <row r="1326" spans="8:34" x14ac:dyDescent="0.25">
      <c r="H1326" s="7">
        <v>1333</v>
      </c>
      <c r="I1326" s="7" t="s">
        <v>11</v>
      </c>
      <c r="J1326" s="8">
        <v>38419</v>
      </c>
      <c r="K1326" s="12" t="s">
        <v>16</v>
      </c>
      <c r="L1326" s="9">
        <v>14</v>
      </c>
      <c r="M1326" s="10">
        <v>43.998808725631548</v>
      </c>
      <c r="N1326" s="7" t="s">
        <v>22</v>
      </c>
      <c r="P1326" s="29" t="str">
        <f t="shared" si="360"/>
        <v/>
      </c>
      <c r="Q1326" s="29" t="str">
        <f t="shared" si="361"/>
        <v/>
      </c>
      <c r="R1326" s="29" t="str">
        <f t="shared" si="362"/>
        <v/>
      </c>
      <c r="S1326" s="29" t="str">
        <f t="shared" si="363"/>
        <v/>
      </c>
      <c r="T1326" s="32" t="str">
        <f t="shared" si="364"/>
        <v/>
      </c>
      <c r="U1326" s="32">
        <f t="shared" si="367"/>
        <v>1</v>
      </c>
      <c r="V1326" s="32" t="str">
        <f t="shared" si="368"/>
        <v/>
      </c>
      <c r="W1326" s="41">
        <f t="shared" si="365"/>
        <v>3.1427720518308249</v>
      </c>
      <c r="X1326" s="6">
        <f t="shared" si="366"/>
        <v>43.998808725631548</v>
      </c>
      <c r="Y1326" s="7">
        <f t="shared" si="369"/>
        <v>473</v>
      </c>
      <c r="AA1326" s="7">
        <f t="shared" si="370"/>
        <v>1</v>
      </c>
      <c r="AB1326" s="7">
        <f t="shared" si="371"/>
        <v>14</v>
      </c>
      <c r="AC1326" s="7">
        <f t="shared" si="372"/>
        <v>0</v>
      </c>
      <c r="AD1326" s="7" t="str">
        <f t="shared" si="373"/>
        <v/>
      </c>
      <c r="AE1326" s="6">
        <f t="shared" si="374"/>
        <v>0</v>
      </c>
      <c r="AF1326" s="69">
        <f t="shared" si="375"/>
        <v>3.1427720518308249</v>
      </c>
      <c r="AG1326" s="6">
        <f t="shared" si="376"/>
        <v>0</v>
      </c>
      <c r="AH1326" s="6">
        <f t="shared" si="377"/>
        <v>604</v>
      </c>
    </row>
    <row r="1327" spans="8:34" x14ac:dyDescent="0.25">
      <c r="H1327" s="7">
        <v>1334</v>
      </c>
      <c r="I1327" s="7" t="s">
        <v>7</v>
      </c>
      <c r="J1327" s="8">
        <v>38496</v>
      </c>
      <c r="K1327" s="12" t="s">
        <v>19</v>
      </c>
      <c r="L1327" s="9">
        <v>33</v>
      </c>
      <c r="M1327" s="10">
        <v>100.31195245129152</v>
      </c>
      <c r="N1327" s="7" t="s">
        <v>22</v>
      </c>
      <c r="P1327" s="29" t="str">
        <f t="shared" si="360"/>
        <v/>
      </c>
      <c r="Q1327" s="29" t="str">
        <f t="shared" si="361"/>
        <v/>
      </c>
      <c r="R1327" s="29" t="str">
        <f t="shared" si="362"/>
        <v/>
      </c>
      <c r="S1327" s="29" t="str">
        <f t="shared" si="363"/>
        <v/>
      </c>
      <c r="T1327" s="32" t="str">
        <f t="shared" si="364"/>
        <v/>
      </c>
      <c r="U1327" s="32">
        <f t="shared" si="367"/>
        <v>1</v>
      </c>
      <c r="V1327" s="32" t="str">
        <f t="shared" si="368"/>
        <v/>
      </c>
      <c r="W1327" s="41">
        <f t="shared" si="365"/>
        <v>3.0397561348876216</v>
      </c>
      <c r="X1327" s="6">
        <f t="shared" si="366"/>
        <v>100.31195245129152</v>
      </c>
      <c r="Y1327" s="7">
        <f t="shared" si="369"/>
        <v>364</v>
      </c>
      <c r="AA1327" s="7">
        <f t="shared" si="370"/>
        <v>0</v>
      </c>
      <c r="AB1327" s="7" t="str">
        <f t="shared" si="371"/>
        <v/>
      </c>
      <c r="AC1327" s="7">
        <f t="shared" si="372"/>
        <v>1</v>
      </c>
      <c r="AD1327" s="7">
        <f t="shared" si="373"/>
        <v>33</v>
      </c>
      <c r="AE1327" s="6">
        <f t="shared" si="374"/>
        <v>0</v>
      </c>
      <c r="AF1327" s="69">
        <f t="shared" si="375"/>
        <v>3.0397561348876216</v>
      </c>
      <c r="AG1327" s="6">
        <f t="shared" si="376"/>
        <v>0</v>
      </c>
      <c r="AH1327" s="6">
        <f t="shared" si="377"/>
        <v>604</v>
      </c>
    </row>
    <row r="1328" spans="8:34" x14ac:dyDescent="0.25">
      <c r="H1328" s="7">
        <v>1335</v>
      </c>
      <c r="I1328" s="7" t="s">
        <v>7</v>
      </c>
      <c r="J1328" s="8">
        <v>38078</v>
      </c>
      <c r="K1328" s="12" t="s">
        <v>18</v>
      </c>
      <c r="L1328" s="9">
        <v>17</v>
      </c>
      <c r="M1328" s="10">
        <v>53.123119444085049</v>
      </c>
      <c r="N1328" s="7" t="s">
        <v>24</v>
      </c>
      <c r="P1328" s="29" t="str">
        <f t="shared" si="360"/>
        <v/>
      </c>
      <c r="Q1328" s="29">
        <f t="shared" si="361"/>
        <v>1</v>
      </c>
      <c r="R1328" s="29" t="str">
        <f t="shared" si="362"/>
        <v/>
      </c>
      <c r="S1328" s="29" t="str">
        <f t="shared" si="363"/>
        <v/>
      </c>
      <c r="T1328" s="32" t="str">
        <f t="shared" si="364"/>
        <v/>
      </c>
      <c r="U1328" s="32" t="str">
        <f t="shared" si="367"/>
        <v/>
      </c>
      <c r="V1328" s="32" t="str">
        <f t="shared" si="368"/>
        <v/>
      </c>
      <c r="W1328" s="41">
        <f t="shared" si="365"/>
        <v>3.1248893790638266</v>
      </c>
      <c r="X1328" s="6">
        <f t="shared" si="366"/>
        <v>0</v>
      </c>
      <c r="Y1328" s="7">
        <f t="shared" si="369"/>
        <v>567</v>
      </c>
      <c r="AA1328" s="7">
        <f t="shared" si="370"/>
        <v>0</v>
      </c>
      <c r="AB1328" s="7" t="str">
        <f t="shared" si="371"/>
        <v/>
      </c>
      <c r="AC1328" s="7">
        <f t="shared" si="372"/>
        <v>0</v>
      </c>
      <c r="AD1328" s="7" t="str">
        <f t="shared" si="373"/>
        <v/>
      </c>
      <c r="AE1328" s="6">
        <f t="shared" si="374"/>
        <v>0</v>
      </c>
      <c r="AF1328" s="69">
        <f t="shared" si="375"/>
        <v>3.1248893790638266</v>
      </c>
      <c r="AG1328" s="6">
        <f t="shared" si="376"/>
        <v>53.123119444085049</v>
      </c>
      <c r="AH1328" s="6">
        <f t="shared" si="377"/>
        <v>474</v>
      </c>
    </row>
    <row r="1329" spans="8:34" x14ac:dyDescent="0.25">
      <c r="H1329" s="7">
        <v>1336</v>
      </c>
      <c r="I1329" s="7" t="s">
        <v>8</v>
      </c>
      <c r="J1329" s="8">
        <v>38903</v>
      </c>
      <c r="K1329" s="12" t="s">
        <v>17</v>
      </c>
      <c r="L1329" s="9">
        <v>9</v>
      </c>
      <c r="M1329" s="10">
        <v>29.501152192037068</v>
      </c>
      <c r="N1329" s="7" t="s">
        <v>21</v>
      </c>
      <c r="P1329" s="29" t="str">
        <f t="shared" si="360"/>
        <v/>
      </c>
      <c r="Q1329" s="29" t="str">
        <f t="shared" si="361"/>
        <v/>
      </c>
      <c r="R1329" s="29" t="str">
        <f t="shared" si="362"/>
        <v/>
      </c>
      <c r="S1329" s="29" t="str">
        <f t="shared" si="363"/>
        <v/>
      </c>
      <c r="T1329" s="32" t="str">
        <f t="shared" si="364"/>
        <v/>
      </c>
      <c r="U1329" s="32" t="str">
        <f t="shared" si="367"/>
        <v/>
      </c>
      <c r="V1329" s="32">
        <f t="shared" si="368"/>
        <v>1</v>
      </c>
      <c r="W1329" s="41">
        <f t="shared" si="365"/>
        <v>3.2779057991152296</v>
      </c>
      <c r="X1329" s="6">
        <f t="shared" si="366"/>
        <v>0</v>
      </c>
      <c r="Y1329" s="7">
        <f t="shared" si="369"/>
        <v>567</v>
      </c>
      <c r="AA1329" s="7">
        <f t="shared" si="370"/>
        <v>0</v>
      </c>
      <c r="AB1329" s="7" t="str">
        <f t="shared" si="371"/>
        <v/>
      </c>
      <c r="AC1329" s="7">
        <f t="shared" si="372"/>
        <v>0</v>
      </c>
      <c r="AD1329" s="7" t="str">
        <f t="shared" si="373"/>
        <v/>
      </c>
      <c r="AE1329" s="6">
        <f t="shared" si="374"/>
        <v>0</v>
      </c>
      <c r="AF1329" s="69">
        <f t="shared" si="375"/>
        <v>3.2779057991152296</v>
      </c>
      <c r="AG1329" s="6">
        <f t="shared" si="376"/>
        <v>0</v>
      </c>
      <c r="AH1329" s="6">
        <f t="shared" si="377"/>
        <v>604</v>
      </c>
    </row>
    <row r="1330" spans="8:34" x14ac:dyDescent="0.25">
      <c r="H1330" s="7">
        <v>1337</v>
      </c>
      <c r="I1330" s="7" t="s">
        <v>14</v>
      </c>
      <c r="J1330" s="8">
        <v>38771</v>
      </c>
      <c r="K1330" s="12" t="s">
        <v>20</v>
      </c>
      <c r="L1330" s="9">
        <v>15</v>
      </c>
      <c r="M1330" s="10">
        <v>47.311523584864588</v>
      </c>
      <c r="N1330" s="7" t="s">
        <v>22</v>
      </c>
      <c r="P1330" s="29" t="str">
        <f t="shared" si="360"/>
        <v/>
      </c>
      <c r="Q1330" s="29" t="str">
        <f t="shared" si="361"/>
        <v/>
      </c>
      <c r="R1330" s="29" t="str">
        <f t="shared" si="362"/>
        <v/>
      </c>
      <c r="S1330" s="29" t="str">
        <f t="shared" si="363"/>
        <v/>
      </c>
      <c r="T1330" s="32" t="str">
        <f t="shared" si="364"/>
        <v/>
      </c>
      <c r="U1330" s="32" t="str">
        <f t="shared" si="367"/>
        <v/>
      </c>
      <c r="V1330" s="32">
        <f t="shared" si="368"/>
        <v>1</v>
      </c>
      <c r="W1330" s="41">
        <f t="shared" si="365"/>
        <v>3.154101572324306</v>
      </c>
      <c r="X1330" s="6">
        <f t="shared" si="366"/>
        <v>0</v>
      </c>
      <c r="Y1330" s="7">
        <f t="shared" si="369"/>
        <v>567</v>
      </c>
      <c r="AA1330" s="7">
        <f t="shared" si="370"/>
        <v>0</v>
      </c>
      <c r="AB1330" s="7" t="str">
        <f t="shared" si="371"/>
        <v/>
      </c>
      <c r="AC1330" s="7">
        <f t="shared" si="372"/>
        <v>0</v>
      </c>
      <c r="AD1330" s="7" t="str">
        <f t="shared" si="373"/>
        <v/>
      </c>
      <c r="AE1330" s="6">
        <f t="shared" si="374"/>
        <v>0</v>
      </c>
      <c r="AF1330" s="69">
        <f t="shared" si="375"/>
        <v>3.154101572324306</v>
      </c>
      <c r="AG1330" s="6">
        <f t="shared" si="376"/>
        <v>0</v>
      </c>
      <c r="AH1330" s="6">
        <f t="shared" si="377"/>
        <v>604</v>
      </c>
    </row>
    <row r="1331" spans="8:34" x14ac:dyDescent="0.25">
      <c r="H1331" s="7">
        <v>1338</v>
      </c>
      <c r="I1331" s="7" t="s">
        <v>9</v>
      </c>
      <c r="J1331" s="8">
        <v>38969</v>
      </c>
      <c r="K1331" s="12" t="s">
        <v>19</v>
      </c>
      <c r="L1331" s="9">
        <v>50</v>
      </c>
      <c r="M1331" s="10">
        <v>152.31019163589909</v>
      </c>
      <c r="N1331" s="7" t="s">
        <v>24</v>
      </c>
      <c r="P1331" s="29" t="str">
        <f t="shared" si="360"/>
        <v/>
      </c>
      <c r="Q1331" s="29" t="str">
        <f t="shared" si="361"/>
        <v/>
      </c>
      <c r="R1331" s="29" t="str">
        <f t="shared" si="362"/>
        <v/>
      </c>
      <c r="S1331" s="29" t="str">
        <f t="shared" si="363"/>
        <v/>
      </c>
      <c r="T1331" s="32" t="str">
        <f t="shared" si="364"/>
        <v/>
      </c>
      <c r="U1331" s="32" t="str">
        <f t="shared" si="367"/>
        <v/>
      </c>
      <c r="V1331" s="32">
        <f t="shared" si="368"/>
        <v>1</v>
      </c>
      <c r="W1331" s="41">
        <f t="shared" si="365"/>
        <v>3.0462038327179819</v>
      </c>
      <c r="X1331" s="6">
        <f t="shared" si="366"/>
        <v>0</v>
      </c>
      <c r="Y1331" s="7">
        <f t="shared" si="369"/>
        <v>567</v>
      </c>
      <c r="AA1331" s="7">
        <f t="shared" si="370"/>
        <v>0</v>
      </c>
      <c r="AB1331" s="7" t="str">
        <f t="shared" si="371"/>
        <v/>
      </c>
      <c r="AC1331" s="7">
        <f t="shared" si="372"/>
        <v>0</v>
      </c>
      <c r="AD1331" s="7" t="str">
        <f t="shared" si="373"/>
        <v/>
      </c>
      <c r="AE1331" s="6">
        <f t="shared" si="374"/>
        <v>0</v>
      </c>
      <c r="AF1331" s="69">
        <f t="shared" si="375"/>
        <v>3.0462038327179819</v>
      </c>
      <c r="AG1331" s="6">
        <f t="shared" si="376"/>
        <v>0</v>
      </c>
      <c r="AH1331" s="6">
        <f t="shared" si="377"/>
        <v>604</v>
      </c>
    </row>
    <row r="1332" spans="8:34" x14ac:dyDescent="0.25">
      <c r="H1332" s="7">
        <v>1339</v>
      </c>
      <c r="I1332" s="7" t="s">
        <v>14</v>
      </c>
      <c r="J1332" s="8">
        <v>38298</v>
      </c>
      <c r="K1332" s="12" t="s">
        <v>19</v>
      </c>
      <c r="L1332" s="9">
        <v>13</v>
      </c>
      <c r="M1332" s="10">
        <v>40.558759872429341</v>
      </c>
      <c r="N1332" s="7" t="s">
        <v>23</v>
      </c>
      <c r="P1332" s="29" t="str">
        <f t="shared" si="360"/>
        <v/>
      </c>
      <c r="Q1332" s="29" t="str">
        <f t="shared" si="361"/>
        <v/>
      </c>
      <c r="R1332" s="29" t="str">
        <f t="shared" si="362"/>
        <v/>
      </c>
      <c r="S1332" s="29">
        <f t="shared" si="363"/>
        <v>1</v>
      </c>
      <c r="T1332" s="32" t="str">
        <f t="shared" si="364"/>
        <v/>
      </c>
      <c r="U1332" s="32" t="str">
        <f t="shared" si="367"/>
        <v/>
      </c>
      <c r="V1332" s="32" t="str">
        <f t="shared" si="368"/>
        <v/>
      </c>
      <c r="W1332" s="41">
        <f t="shared" si="365"/>
        <v>3.1199046055714876</v>
      </c>
      <c r="X1332" s="6">
        <f t="shared" si="366"/>
        <v>0</v>
      </c>
      <c r="Y1332" s="7">
        <f t="shared" si="369"/>
        <v>567</v>
      </c>
      <c r="AA1332" s="7">
        <f t="shared" si="370"/>
        <v>0</v>
      </c>
      <c r="AB1332" s="7" t="str">
        <f t="shared" si="371"/>
        <v/>
      </c>
      <c r="AC1332" s="7">
        <f t="shared" si="372"/>
        <v>0</v>
      </c>
      <c r="AD1332" s="7" t="str">
        <f t="shared" si="373"/>
        <v/>
      </c>
      <c r="AE1332" s="6">
        <f t="shared" si="374"/>
        <v>0</v>
      </c>
      <c r="AF1332" s="69">
        <f t="shared" si="375"/>
        <v>3.1199046055714876</v>
      </c>
      <c r="AG1332" s="6">
        <f t="shared" si="376"/>
        <v>40.558759872429341</v>
      </c>
      <c r="AH1332" s="6">
        <f t="shared" si="377"/>
        <v>504</v>
      </c>
    </row>
    <row r="1333" spans="8:34" x14ac:dyDescent="0.25">
      <c r="H1333" s="7">
        <v>1340</v>
      </c>
      <c r="I1333" s="7" t="s">
        <v>8</v>
      </c>
      <c r="J1333" s="8">
        <v>38243</v>
      </c>
      <c r="K1333" s="12" t="s">
        <v>17</v>
      </c>
      <c r="L1333" s="9">
        <v>24</v>
      </c>
      <c r="M1333" s="10">
        <v>74.731137309505712</v>
      </c>
      <c r="N1333" s="7" t="s">
        <v>23</v>
      </c>
      <c r="P1333" s="29" t="str">
        <f t="shared" si="360"/>
        <v/>
      </c>
      <c r="Q1333" s="29" t="str">
        <f t="shared" si="361"/>
        <v/>
      </c>
      <c r="R1333" s="29">
        <f t="shared" si="362"/>
        <v>1</v>
      </c>
      <c r="S1333" s="29" t="str">
        <f t="shared" si="363"/>
        <v/>
      </c>
      <c r="T1333" s="32" t="str">
        <f t="shared" si="364"/>
        <v/>
      </c>
      <c r="U1333" s="32" t="str">
        <f t="shared" si="367"/>
        <v/>
      </c>
      <c r="V1333" s="32" t="str">
        <f t="shared" si="368"/>
        <v/>
      </c>
      <c r="W1333" s="41">
        <f t="shared" si="365"/>
        <v>3.1137973878960712</v>
      </c>
      <c r="X1333" s="6">
        <f t="shared" si="366"/>
        <v>0</v>
      </c>
      <c r="Y1333" s="7">
        <f t="shared" si="369"/>
        <v>567</v>
      </c>
      <c r="AA1333" s="7">
        <f t="shared" si="370"/>
        <v>0</v>
      </c>
      <c r="AB1333" s="7" t="str">
        <f t="shared" si="371"/>
        <v/>
      </c>
      <c r="AC1333" s="7">
        <f t="shared" si="372"/>
        <v>0</v>
      </c>
      <c r="AD1333" s="7" t="str">
        <f t="shared" si="373"/>
        <v/>
      </c>
      <c r="AE1333" s="6">
        <f t="shared" si="374"/>
        <v>0</v>
      </c>
      <c r="AF1333" s="69">
        <f t="shared" si="375"/>
        <v>3.1137973878960712</v>
      </c>
      <c r="AG1333" s="6">
        <f t="shared" si="376"/>
        <v>74.731137309505712</v>
      </c>
      <c r="AH1333" s="6">
        <f t="shared" si="377"/>
        <v>435</v>
      </c>
    </row>
    <row r="1334" spans="8:34" x14ac:dyDescent="0.25">
      <c r="H1334" s="7">
        <v>1341</v>
      </c>
      <c r="I1334" s="7" t="s">
        <v>7</v>
      </c>
      <c r="J1334" s="8">
        <v>38716</v>
      </c>
      <c r="K1334" s="12" t="s">
        <v>17</v>
      </c>
      <c r="L1334" s="9">
        <v>77</v>
      </c>
      <c r="M1334" s="10">
        <v>232.89275600525073</v>
      </c>
      <c r="N1334" s="7" t="s">
        <v>21</v>
      </c>
      <c r="P1334" s="29" t="str">
        <f t="shared" si="360"/>
        <v/>
      </c>
      <c r="Q1334" s="29" t="str">
        <f t="shared" si="361"/>
        <v/>
      </c>
      <c r="R1334" s="29" t="str">
        <f t="shared" si="362"/>
        <v/>
      </c>
      <c r="S1334" s="29" t="str">
        <f t="shared" si="363"/>
        <v/>
      </c>
      <c r="T1334" s="32">
        <f t="shared" si="364"/>
        <v>1</v>
      </c>
      <c r="U1334" s="32">
        <f t="shared" si="367"/>
        <v>1</v>
      </c>
      <c r="V1334" s="32" t="str">
        <f t="shared" si="368"/>
        <v/>
      </c>
      <c r="W1334" s="41">
        <f t="shared" si="365"/>
        <v>3.0245812468214379</v>
      </c>
      <c r="X1334" s="6">
        <f t="shared" si="366"/>
        <v>232.89275600525073</v>
      </c>
      <c r="Y1334" s="7">
        <f t="shared" si="369"/>
        <v>120</v>
      </c>
      <c r="AA1334" s="7">
        <f t="shared" si="370"/>
        <v>0</v>
      </c>
      <c r="AB1334" s="7" t="str">
        <f t="shared" si="371"/>
        <v/>
      </c>
      <c r="AC1334" s="7">
        <f t="shared" si="372"/>
        <v>1</v>
      </c>
      <c r="AD1334" s="7">
        <f t="shared" si="373"/>
        <v>77</v>
      </c>
      <c r="AE1334" s="6">
        <f t="shared" si="374"/>
        <v>0</v>
      </c>
      <c r="AF1334" s="69">
        <f t="shared" si="375"/>
        <v>3.0245812468214379</v>
      </c>
      <c r="AG1334" s="6">
        <f t="shared" si="376"/>
        <v>0</v>
      </c>
      <c r="AH1334" s="6">
        <f t="shared" si="377"/>
        <v>604</v>
      </c>
    </row>
    <row r="1335" spans="8:34" x14ac:dyDescent="0.25">
      <c r="H1335" s="7">
        <v>1342</v>
      </c>
      <c r="I1335" s="7" t="s">
        <v>8</v>
      </c>
      <c r="J1335" s="8">
        <v>38848</v>
      </c>
      <c r="K1335" s="12" t="s">
        <v>20</v>
      </c>
      <c r="L1335" s="9">
        <v>21</v>
      </c>
      <c r="M1335" s="10">
        <v>65.214588826582613</v>
      </c>
      <c r="N1335" s="7" t="s">
        <v>24</v>
      </c>
      <c r="P1335" s="29" t="str">
        <f t="shared" si="360"/>
        <v/>
      </c>
      <c r="Q1335" s="29" t="str">
        <f t="shared" si="361"/>
        <v/>
      </c>
      <c r="R1335" s="29" t="str">
        <f t="shared" si="362"/>
        <v/>
      </c>
      <c r="S1335" s="29" t="str">
        <f t="shared" si="363"/>
        <v/>
      </c>
      <c r="T1335" s="32" t="str">
        <f t="shared" si="364"/>
        <v/>
      </c>
      <c r="U1335" s="32" t="str">
        <f t="shared" si="367"/>
        <v/>
      </c>
      <c r="V1335" s="32">
        <f t="shared" si="368"/>
        <v>1</v>
      </c>
      <c r="W1335" s="41">
        <f t="shared" si="365"/>
        <v>3.1054566107896484</v>
      </c>
      <c r="X1335" s="6">
        <f t="shared" si="366"/>
        <v>0</v>
      </c>
      <c r="Y1335" s="7">
        <f t="shared" si="369"/>
        <v>567</v>
      </c>
      <c r="AA1335" s="7">
        <f t="shared" si="370"/>
        <v>0</v>
      </c>
      <c r="AB1335" s="7" t="str">
        <f t="shared" si="371"/>
        <v/>
      </c>
      <c r="AC1335" s="7">
        <f t="shared" si="372"/>
        <v>0</v>
      </c>
      <c r="AD1335" s="7" t="str">
        <f t="shared" si="373"/>
        <v/>
      </c>
      <c r="AE1335" s="6">
        <f t="shared" si="374"/>
        <v>0</v>
      </c>
      <c r="AF1335" s="69">
        <f t="shared" si="375"/>
        <v>3.1054566107896484</v>
      </c>
      <c r="AG1335" s="6">
        <f t="shared" si="376"/>
        <v>0</v>
      </c>
      <c r="AH1335" s="6">
        <f t="shared" si="377"/>
        <v>604</v>
      </c>
    </row>
    <row r="1336" spans="8:34" x14ac:dyDescent="0.25">
      <c r="H1336" s="7">
        <v>1343</v>
      </c>
      <c r="I1336" s="7" t="s">
        <v>15</v>
      </c>
      <c r="J1336" s="8">
        <v>38540</v>
      </c>
      <c r="K1336" s="12" t="s">
        <v>20</v>
      </c>
      <c r="L1336" s="9">
        <v>80</v>
      </c>
      <c r="M1336" s="10">
        <v>240.76226876969253</v>
      </c>
      <c r="N1336" s="7" t="s">
        <v>22</v>
      </c>
      <c r="P1336" s="29" t="str">
        <f t="shared" si="360"/>
        <v/>
      </c>
      <c r="Q1336" s="29" t="str">
        <f t="shared" si="361"/>
        <v/>
      </c>
      <c r="R1336" s="29" t="str">
        <f t="shared" si="362"/>
        <v/>
      </c>
      <c r="S1336" s="29" t="str">
        <f t="shared" si="363"/>
        <v/>
      </c>
      <c r="T1336" s="32" t="str">
        <f t="shared" si="364"/>
        <v/>
      </c>
      <c r="U1336" s="32">
        <f t="shared" si="367"/>
        <v>1</v>
      </c>
      <c r="V1336" s="32" t="str">
        <f t="shared" si="368"/>
        <v/>
      </c>
      <c r="W1336" s="41">
        <f t="shared" si="365"/>
        <v>3.0095283596211564</v>
      </c>
      <c r="X1336" s="6">
        <f t="shared" si="366"/>
        <v>240.76226876969253</v>
      </c>
      <c r="Y1336" s="7">
        <f t="shared" si="369"/>
        <v>99</v>
      </c>
      <c r="AA1336" s="7">
        <f t="shared" si="370"/>
        <v>1</v>
      </c>
      <c r="AB1336" s="7">
        <f t="shared" si="371"/>
        <v>80</v>
      </c>
      <c r="AC1336" s="7">
        <f t="shared" si="372"/>
        <v>0</v>
      </c>
      <c r="AD1336" s="7" t="str">
        <f t="shared" si="373"/>
        <v/>
      </c>
      <c r="AE1336" s="6">
        <f t="shared" si="374"/>
        <v>0</v>
      </c>
      <c r="AF1336" s="69">
        <f t="shared" si="375"/>
        <v>3.0095283596211564</v>
      </c>
      <c r="AG1336" s="6">
        <f t="shared" si="376"/>
        <v>0</v>
      </c>
      <c r="AH1336" s="6">
        <f t="shared" si="377"/>
        <v>604</v>
      </c>
    </row>
    <row r="1337" spans="8:34" x14ac:dyDescent="0.25">
      <c r="H1337" s="7">
        <v>1344</v>
      </c>
      <c r="I1337" s="7" t="s">
        <v>8</v>
      </c>
      <c r="J1337" s="8">
        <v>38298</v>
      </c>
      <c r="K1337" s="12" t="s">
        <v>20</v>
      </c>
      <c r="L1337" s="9">
        <v>56</v>
      </c>
      <c r="M1337" s="10">
        <v>170.50901918623575</v>
      </c>
      <c r="N1337" s="7" t="s">
        <v>21</v>
      </c>
      <c r="P1337" s="29" t="str">
        <f t="shared" si="360"/>
        <v/>
      </c>
      <c r="Q1337" s="29" t="str">
        <f t="shared" si="361"/>
        <v/>
      </c>
      <c r="R1337" s="29" t="str">
        <f t="shared" si="362"/>
        <v/>
      </c>
      <c r="S1337" s="29">
        <f t="shared" si="363"/>
        <v>1</v>
      </c>
      <c r="T1337" s="32" t="str">
        <f t="shared" si="364"/>
        <v/>
      </c>
      <c r="U1337" s="32" t="str">
        <f t="shared" si="367"/>
        <v/>
      </c>
      <c r="V1337" s="32" t="str">
        <f t="shared" si="368"/>
        <v/>
      </c>
      <c r="W1337" s="41">
        <f t="shared" si="365"/>
        <v>3.0448039140399241</v>
      </c>
      <c r="X1337" s="6">
        <f t="shared" si="366"/>
        <v>0</v>
      </c>
      <c r="Y1337" s="7">
        <f t="shared" si="369"/>
        <v>567</v>
      </c>
      <c r="AA1337" s="7">
        <f t="shared" si="370"/>
        <v>0</v>
      </c>
      <c r="AB1337" s="7" t="str">
        <f t="shared" si="371"/>
        <v/>
      </c>
      <c r="AC1337" s="7">
        <f t="shared" si="372"/>
        <v>0</v>
      </c>
      <c r="AD1337" s="7" t="str">
        <f t="shared" si="373"/>
        <v/>
      </c>
      <c r="AE1337" s="6">
        <f t="shared" si="374"/>
        <v>0</v>
      </c>
      <c r="AF1337" s="69">
        <f t="shared" si="375"/>
        <v>3.0448039140399241</v>
      </c>
      <c r="AG1337" s="6">
        <f t="shared" si="376"/>
        <v>170.50901918623575</v>
      </c>
      <c r="AH1337" s="6">
        <f t="shared" si="377"/>
        <v>234</v>
      </c>
    </row>
    <row r="1338" spans="8:34" x14ac:dyDescent="0.25">
      <c r="H1338" s="7">
        <v>1345</v>
      </c>
      <c r="I1338" s="7" t="s">
        <v>12</v>
      </c>
      <c r="J1338" s="8">
        <v>38452</v>
      </c>
      <c r="K1338" s="12" t="s">
        <v>18</v>
      </c>
      <c r="L1338" s="9">
        <v>28</v>
      </c>
      <c r="M1338" s="10">
        <v>86.002698245868487</v>
      </c>
      <c r="N1338" s="7" t="s">
        <v>23</v>
      </c>
      <c r="P1338" s="29" t="str">
        <f t="shared" si="360"/>
        <v/>
      </c>
      <c r="Q1338" s="29" t="str">
        <f t="shared" si="361"/>
        <v/>
      </c>
      <c r="R1338" s="29" t="str">
        <f t="shared" si="362"/>
        <v/>
      </c>
      <c r="S1338" s="29" t="str">
        <f t="shared" si="363"/>
        <v/>
      </c>
      <c r="T1338" s="32" t="str">
        <f t="shared" si="364"/>
        <v/>
      </c>
      <c r="U1338" s="32">
        <f t="shared" si="367"/>
        <v>1</v>
      </c>
      <c r="V1338" s="32" t="str">
        <f t="shared" si="368"/>
        <v/>
      </c>
      <c r="W1338" s="41">
        <f t="shared" si="365"/>
        <v>3.071524937352446</v>
      </c>
      <c r="X1338" s="6">
        <f t="shared" si="366"/>
        <v>86.002698245868487</v>
      </c>
      <c r="Y1338" s="7">
        <f t="shared" si="369"/>
        <v>388</v>
      </c>
      <c r="AA1338" s="7">
        <f t="shared" si="370"/>
        <v>0</v>
      </c>
      <c r="AB1338" s="7" t="str">
        <f t="shared" si="371"/>
        <v/>
      </c>
      <c r="AC1338" s="7">
        <f t="shared" si="372"/>
        <v>1</v>
      </c>
      <c r="AD1338" s="7">
        <f t="shared" si="373"/>
        <v>28</v>
      </c>
      <c r="AE1338" s="6">
        <f t="shared" si="374"/>
        <v>0</v>
      </c>
      <c r="AF1338" s="69">
        <f t="shared" si="375"/>
        <v>3.071524937352446</v>
      </c>
      <c r="AG1338" s="6">
        <f t="shared" si="376"/>
        <v>0</v>
      </c>
      <c r="AH1338" s="6">
        <f t="shared" si="377"/>
        <v>604</v>
      </c>
    </row>
    <row r="1339" spans="8:34" x14ac:dyDescent="0.25">
      <c r="H1339" s="7">
        <v>1346</v>
      </c>
      <c r="I1339" s="7" t="s">
        <v>14</v>
      </c>
      <c r="J1339" s="8">
        <v>38683</v>
      </c>
      <c r="K1339" s="12" t="s">
        <v>19</v>
      </c>
      <c r="L1339" s="9">
        <v>50</v>
      </c>
      <c r="M1339" s="10">
        <v>151.56909496566121</v>
      </c>
      <c r="N1339" s="7" t="s">
        <v>22</v>
      </c>
      <c r="P1339" s="29" t="str">
        <f t="shared" si="360"/>
        <v/>
      </c>
      <c r="Q1339" s="29" t="str">
        <f t="shared" si="361"/>
        <v/>
      </c>
      <c r="R1339" s="29" t="str">
        <f t="shared" si="362"/>
        <v/>
      </c>
      <c r="S1339" s="29" t="str">
        <f t="shared" si="363"/>
        <v/>
      </c>
      <c r="T1339" s="32">
        <f t="shared" si="364"/>
        <v>1</v>
      </c>
      <c r="U1339" s="32">
        <f t="shared" si="367"/>
        <v>1</v>
      </c>
      <c r="V1339" s="32" t="str">
        <f t="shared" si="368"/>
        <v/>
      </c>
      <c r="W1339" s="41">
        <f t="shared" si="365"/>
        <v>3.031381899313224</v>
      </c>
      <c r="X1339" s="6">
        <f t="shared" si="366"/>
        <v>151.56909496566121</v>
      </c>
      <c r="Y1339" s="7">
        <f t="shared" si="369"/>
        <v>270</v>
      </c>
      <c r="AA1339" s="7">
        <f t="shared" si="370"/>
        <v>0</v>
      </c>
      <c r="AB1339" s="7" t="str">
        <f t="shared" si="371"/>
        <v/>
      </c>
      <c r="AC1339" s="7">
        <f t="shared" si="372"/>
        <v>1</v>
      </c>
      <c r="AD1339" s="7">
        <f t="shared" si="373"/>
        <v>50</v>
      </c>
      <c r="AE1339" s="6">
        <f t="shared" si="374"/>
        <v>0</v>
      </c>
      <c r="AF1339" s="69">
        <f t="shared" si="375"/>
        <v>3.031381899313224</v>
      </c>
      <c r="AG1339" s="6">
        <f t="shared" si="376"/>
        <v>0</v>
      </c>
      <c r="AH1339" s="6">
        <f t="shared" si="377"/>
        <v>604</v>
      </c>
    </row>
    <row r="1340" spans="8:34" x14ac:dyDescent="0.25">
      <c r="H1340" s="7">
        <v>1347</v>
      </c>
      <c r="I1340" s="7" t="s">
        <v>12</v>
      </c>
      <c r="J1340" s="8">
        <v>38452</v>
      </c>
      <c r="K1340" s="12" t="s">
        <v>16</v>
      </c>
      <c r="L1340" s="9">
        <v>23</v>
      </c>
      <c r="M1340" s="10">
        <v>71.405303018372905</v>
      </c>
      <c r="N1340" s="7" t="s">
        <v>24</v>
      </c>
      <c r="P1340" s="29" t="str">
        <f t="shared" si="360"/>
        <v/>
      </c>
      <c r="Q1340" s="29" t="str">
        <f t="shared" si="361"/>
        <v/>
      </c>
      <c r="R1340" s="29" t="str">
        <f t="shared" si="362"/>
        <v/>
      </c>
      <c r="S1340" s="29" t="str">
        <f t="shared" si="363"/>
        <v/>
      </c>
      <c r="T1340" s="32" t="str">
        <f t="shared" si="364"/>
        <v/>
      </c>
      <c r="U1340" s="32">
        <f t="shared" si="367"/>
        <v>1</v>
      </c>
      <c r="V1340" s="32" t="str">
        <f t="shared" si="368"/>
        <v/>
      </c>
      <c r="W1340" s="41">
        <f t="shared" si="365"/>
        <v>3.10457839210317</v>
      </c>
      <c r="X1340" s="6">
        <f t="shared" si="366"/>
        <v>71.405303018372905</v>
      </c>
      <c r="Y1340" s="7">
        <f t="shared" si="369"/>
        <v>424</v>
      </c>
      <c r="AA1340" s="7">
        <f t="shared" si="370"/>
        <v>0</v>
      </c>
      <c r="AB1340" s="7" t="str">
        <f t="shared" si="371"/>
        <v/>
      </c>
      <c r="AC1340" s="7">
        <f t="shared" si="372"/>
        <v>1</v>
      </c>
      <c r="AD1340" s="7">
        <f t="shared" si="373"/>
        <v>23</v>
      </c>
      <c r="AE1340" s="6">
        <f t="shared" si="374"/>
        <v>0</v>
      </c>
      <c r="AF1340" s="69">
        <f t="shared" si="375"/>
        <v>3.10457839210317</v>
      </c>
      <c r="AG1340" s="6">
        <f t="shared" si="376"/>
        <v>0</v>
      </c>
      <c r="AH1340" s="6">
        <f t="shared" si="377"/>
        <v>604</v>
      </c>
    </row>
    <row r="1341" spans="8:34" x14ac:dyDescent="0.25">
      <c r="H1341" s="7">
        <v>1348</v>
      </c>
      <c r="I1341" s="7" t="s">
        <v>14</v>
      </c>
      <c r="J1341" s="8">
        <v>38144</v>
      </c>
      <c r="K1341" s="12" t="s">
        <v>17</v>
      </c>
      <c r="L1341" s="9">
        <v>77</v>
      </c>
      <c r="M1341" s="10">
        <v>232.85049996581651</v>
      </c>
      <c r="N1341" s="7" t="s">
        <v>22</v>
      </c>
      <c r="P1341" s="29" t="str">
        <f t="shared" si="360"/>
        <v/>
      </c>
      <c r="Q1341" s="29">
        <f t="shared" si="361"/>
        <v>1</v>
      </c>
      <c r="R1341" s="29" t="str">
        <f t="shared" si="362"/>
        <v/>
      </c>
      <c r="S1341" s="29" t="str">
        <f t="shared" si="363"/>
        <v/>
      </c>
      <c r="T1341" s="32" t="str">
        <f t="shared" si="364"/>
        <v/>
      </c>
      <c r="U1341" s="32" t="str">
        <f t="shared" si="367"/>
        <v/>
      </c>
      <c r="V1341" s="32" t="str">
        <f t="shared" si="368"/>
        <v/>
      </c>
      <c r="W1341" s="41">
        <f t="shared" si="365"/>
        <v>3.0240324670885261</v>
      </c>
      <c r="X1341" s="6">
        <f t="shared" si="366"/>
        <v>0</v>
      </c>
      <c r="Y1341" s="7">
        <f t="shared" si="369"/>
        <v>567</v>
      </c>
      <c r="AA1341" s="7">
        <f t="shared" si="370"/>
        <v>0</v>
      </c>
      <c r="AB1341" s="7" t="str">
        <f t="shared" si="371"/>
        <v/>
      </c>
      <c r="AC1341" s="7">
        <f t="shared" si="372"/>
        <v>0</v>
      </c>
      <c r="AD1341" s="7" t="str">
        <f t="shared" si="373"/>
        <v/>
      </c>
      <c r="AE1341" s="6">
        <f t="shared" si="374"/>
        <v>0</v>
      </c>
      <c r="AF1341" s="69">
        <f t="shared" si="375"/>
        <v>3.0240324670885261</v>
      </c>
      <c r="AG1341" s="6">
        <f t="shared" si="376"/>
        <v>232.85049996581651</v>
      </c>
      <c r="AH1341" s="6">
        <f t="shared" si="377"/>
        <v>111</v>
      </c>
    </row>
    <row r="1342" spans="8:34" x14ac:dyDescent="0.25">
      <c r="H1342" s="7">
        <v>1349</v>
      </c>
      <c r="I1342" s="7" t="s">
        <v>7</v>
      </c>
      <c r="J1342" s="8">
        <v>38034</v>
      </c>
      <c r="K1342" s="12" t="s">
        <v>20</v>
      </c>
      <c r="L1342" s="9">
        <v>56</v>
      </c>
      <c r="M1342" s="10">
        <v>170.26270071526079</v>
      </c>
      <c r="N1342" s="7" t="s">
        <v>24</v>
      </c>
      <c r="P1342" s="29">
        <f t="shared" si="360"/>
        <v>1</v>
      </c>
      <c r="Q1342" s="29" t="str">
        <f t="shared" si="361"/>
        <v/>
      </c>
      <c r="R1342" s="29" t="str">
        <f t="shared" si="362"/>
        <v/>
      </c>
      <c r="S1342" s="29" t="str">
        <f t="shared" si="363"/>
        <v/>
      </c>
      <c r="T1342" s="32" t="str">
        <f t="shared" si="364"/>
        <v/>
      </c>
      <c r="U1342" s="32" t="str">
        <f t="shared" si="367"/>
        <v/>
      </c>
      <c r="V1342" s="32" t="str">
        <f t="shared" si="368"/>
        <v/>
      </c>
      <c r="W1342" s="41">
        <f t="shared" si="365"/>
        <v>3.0404053699153715</v>
      </c>
      <c r="X1342" s="6">
        <f t="shared" si="366"/>
        <v>0</v>
      </c>
      <c r="Y1342" s="7">
        <f t="shared" si="369"/>
        <v>567</v>
      </c>
      <c r="AA1342" s="7">
        <f t="shared" si="370"/>
        <v>0</v>
      </c>
      <c r="AB1342" s="7" t="str">
        <f t="shared" si="371"/>
        <v/>
      </c>
      <c r="AC1342" s="7">
        <f t="shared" si="372"/>
        <v>0</v>
      </c>
      <c r="AD1342" s="7" t="str">
        <f t="shared" si="373"/>
        <v/>
      </c>
      <c r="AE1342" s="6">
        <f t="shared" si="374"/>
        <v>0</v>
      </c>
      <c r="AF1342" s="69">
        <f t="shared" si="375"/>
        <v>3.0404053699153715</v>
      </c>
      <c r="AG1342" s="6">
        <f t="shared" si="376"/>
        <v>170.26270071526079</v>
      </c>
      <c r="AH1342" s="6">
        <f t="shared" si="377"/>
        <v>235</v>
      </c>
    </row>
    <row r="1343" spans="8:34" x14ac:dyDescent="0.25">
      <c r="H1343" s="7">
        <v>1350</v>
      </c>
      <c r="I1343" s="7" t="s">
        <v>15</v>
      </c>
      <c r="J1343" s="8">
        <v>38826</v>
      </c>
      <c r="K1343" s="12" t="s">
        <v>17</v>
      </c>
      <c r="L1343" s="9">
        <v>26</v>
      </c>
      <c r="M1343" s="10">
        <v>79.7600955182413</v>
      </c>
      <c r="N1343" s="7" t="s">
        <v>24</v>
      </c>
      <c r="P1343" s="29" t="str">
        <f t="shared" si="360"/>
        <v/>
      </c>
      <c r="Q1343" s="29" t="str">
        <f t="shared" si="361"/>
        <v/>
      </c>
      <c r="R1343" s="29" t="str">
        <f t="shared" si="362"/>
        <v/>
      </c>
      <c r="S1343" s="29" t="str">
        <f t="shared" si="363"/>
        <v/>
      </c>
      <c r="T1343" s="32" t="str">
        <f t="shared" si="364"/>
        <v/>
      </c>
      <c r="U1343" s="32" t="str">
        <f t="shared" si="367"/>
        <v/>
      </c>
      <c r="V1343" s="32">
        <f t="shared" si="368"/>
        <v>1</v>
      </c>
      <c r="W1343" s="41">
        <f t="shared" si="365"/>
        <v>3.0676959814708193</v>
      </c>
      <c r="X1343" s="6">
        <f t="shared" si="366"/>
        <v>0</v>
      </c>
      <c r="Y1343" s="7">
        <f t="shared" si="369"/>
        <v>567</v>
      </c>
      <c r="AA1343" s="7">
        <f t="shared" si="370"/>
        <v>0</v>
      </c>
      <c r="AB1343" s="7" t="str">
        <f t="shared" si="371"/>
        <v/>
      </c>
      <c r="AC1343" s="7">
        <f t="shared" si="372"/>
        <v>0</v>
      </c>
      <c r="AD1343" s="7" t="str">
        <f t="shared" si="373"/>
        <v/>
      </c>
      <c r="AE1343" s="6">
        <f t="shared" si="374"/>
        <v>0</v>
      </c>
      <c r="AF1343" s="69">
        <f t="shared" si="375"/>
        <v>3.0676959814708193</v>
      </c>
      <c r="AG1343" s="6">
        <f t="shared" si="376"/>
        <v>0</v>
      </c>
      <c r="AH1343" s="6">
        <f t="shared" si="377"/>
        <v>604</v>
      </c>
    </row>
    <row r="1344" spans="8:34" x14ac:dyDescent="0.25">
      <c r="H1344" s="7">
        <v>1351</v>
      </c>
      <c r="I1344" s="7" t="s">
        <v>9</v>
      </c>
      <c r="J1344" s="8">
        <v>38034</v>
      </c>
      <c r="K1344" s="12" t="s">
        <v>18</v>
      </c>
      <c r="L1344" s="9">
        <v>18</v>
      </c>
      <c r="M1344" s="10">
        <v>55.931706737093798</v>
      </c>
      <c r="N1344" s="7" t="s">
        <v>21</v>
      </c>
      <c r="P1344" s="29">
        <f t="shared" si="360"/>
        <v>1</v>
      </c>
      <c r="Q1344" s="29" t="str">
        <f t="shared" si="361"/>
        <v/>
      </c>
      <c r="R1344" s="29" t="str">
        <f t="shared" si="362"/>
        <v/>
      </c>
      <c r="S1344" s="29" t="str">
        <f t="shared" si="363"/>
        <v/>
      </c>
      <c r="T1344" s="32" t="str">
        <f t="shared" si="364"/>
        <v/>
      </c>
      <c r="U1344" s="32" t="str">
        <f t="shared" si="367"/>
        <v/>
      </c>
      <c r="V1344" s="32" t="str">
        <f t="shared" si="368"/>
        <v/>
      </c>
      <c r="W1344" s="41">
        <f t="shared" si="365"/>
        <v>3.1073170409496553</v>
      </c>
      <c r="X1344" s="6">
        <f t="shared" si="366"/>
        <v>0</v>
      </c>
      <c r="Y1344" s="7">
        <f t="shared" si="369"/>
        <v>567</v>
      </c>
      <c r="AA1344" s="7">
        <f t="shared" si="370"/>
        <v>0</v>
      </c>
      <c r="AB1344" s="7" t="str">
        <f t="shared" si="371"/>
        <v/>
      </c>
      <c r="AC1344" s="7">
        <f t="shared" si="372"/>
        <v>0</v>
      </c>
      <c r="AD1344" s="7" t="str">
        <f t="shared" si="373"/>
        <v/>
      </c>
      <c r="AE1344" s="6">
        <f t="shared" si="374"/>
        <v>0</v>
      </c>
      <c r="AF1344" s="69">
        <f t="shared" si="375"/>
        <v>3.1073170409496553</v>
      </c>
      <c r="AG1344" s="6">
        <f t="shared" si="376"/>
        <v>55.931706737093798</v>
      </c>
      <c r="AH1344" s="6">
        <f t="shared" si="377"/>
        <v>471</v>
      </c>
    </row>
    <row r="1345" spans="8:34" x14ac:dyDescent="0.25">
      <c r="H1345" s="7">
        <v>1352</v>
      </c>
      <c r="I1345" s="7" t="s">
        <v>12</v>
      </c>
      <c r="J1345" s="8">
        <v>38034</v>
      </c>
      <c r="K1345" s="12" t="s">
        <v>17</v>
      </c>
      <c r="L1345" s="9">
        <v>40</v>
      </c>
      <c r="M1345" s="10">
        <v>121.10292526674064</v>
      </c>
      <c r="N1345" s="7" t="s">
        <v>21</v>
      </c>
      <c r="P1345" s="29">
        <f t="shared" si="360"/>
        <v>1</v>
      </c>
      <c r="Q1345" s="29" t="str">
        <f t="shared" si="361"/>
        <v/>
      </c>
      <c r="R1345" s="29" t="str">
        <f t="shared" si="362"/>
        <v/>
      </c>
      <c r="S1345" s="29" t="str">
        <f t="shared" si="363"/>
        <v/>
      </c>
      <c r="T1345" s="32" t="str">
        <f t="shared" si="364"/>
        <v/>
      </c>
      <c r="U1345" s="32" t="str">
        <f t="shared" si="367"/>
        <v/>
      </c>
      <c r="V1345" s="32" t="str">
        <f t="shared" si="368"/>
        <v/>
      </c>
      <c r="W1345" s="41">
        <f t="shared" si="365"/>
        <v>3.0275731316685159</v>
      </c>
      <c r="X1345" s="6">
        <f t="shared" si="366"/>
        <v>0</v>
      </c>
      <c r="Y1345" s="7">
        <f t="shared" si="369"/>
        <v>567</v>
      </c>
      <c r="AA1345" s="7">
        <f t="shared" si="370"/>
        <v>0</v>
      </c>
      <c r="AB1345" s="7" t="str">
        <f t="shared" si="371"/>
        <v/>
      </c>
      <c r="AC1345" s="7">
        <f t="shared" si="372"/>
        <v>0</v>
      </c>
      <c r="AD1345" s="7" t="str">
        <f t="shared" si="373"/>
        <v/>
      </c>
      <c r="AE1345" s="6">
        <f t="shared" si="374"/>
        <v>0</v>
      </c>
      <c r="AF1345" s="69">
        <f t="shared" si="375"/>
        <v>3.0275731316685159</v>
      </c>
      <c r="AG1345" s="6">
        <f t="shared" si="376"/>
        <v>121.10292526674064</v>
      </c>
      <c r="AH1345" s="6">
        <f t="shared" si="377"/>
        <v>332</v>
      </c>
    </row>
    <row r="1346" spans="8:34" x14ac:dyDescent="0.25">
      <c r="H1346" s="7">
        <v>1353</v>
      </c>
      <c r="I1346" s="7" t="s">
        <v>8</v>
      </c>
      <c r="J1346" s="8">
        <v>38034</v>
      </c>
      <c r="K1346" s="12" t="s">
        <v>20</v>
      </c>
      <c r="L1346" s="9">
        <v>75</v>
      </c>
      <c r="M1346" s="10">
        <v>227.06641475515934</v>
      </c>
      <c r="N1346" s="7" t="s">
        <v>21</v>
      </c>
      <c r="P1346" s="29">
        <f t="shared" si="360"/>
        <v>1</v>
      </c>
      <c r="Q1346" s="29" t="str">
        <f t="shared" si="361"/>
        <v/>
      </c>
      <c r="R1346" s="29" t="str">
        <f t="shared" si="362"/>
        <v/>
      </c>
      <c r="S1346" s="29" t="str">
        <f t="shared" si="363"/>
        <v/>
      </c>
      <c r="T1346" s="32" t="str">
        <f t="shared" si="364"/>
        <v/>
      </c>
      <c r="U1346" s="32" t="str">
        <f t="shared" si="367"/>
        <v/>
      </c>
      <c r="V1346" s="32" t="str">
        <f t="shared" si="368"/>
        <v/>
      </c>
      <c r="W1346" s="41">
        <f t="shared" si="365"/>
        <v>3.0275521967354577</v>
      </c>
      <c r="X1346" s="6">
        <f t="shared" si="366"/>
        <v>0</v>
      </c>
      <c r="Y1346" s="7">
        <f t="shared" si="369"/>
        <v>567</v>
      </c>
      <c r="AA1346" s="7">
        <f t="shared" si="370"/>
        <v>0</v>
      </c>
      <c r="AB1346" s="7" t="str">
        <f t="shared" si="371"/>
        <v/>
      </c>
      <c r="AC1346" s="7">
        <f t="shared" si="372"/>
        <v>0</v>
      </c>
      <c r="AD1346" s="7" t="str">
        <f t="shared" si="373"/>
        <v/>
      </c>
      <c r="AE1346" s="6">
        <f t="shared" si="374"/>
        <v>0</v>
      </c>
      <c r="AF1346" s="69">
        <f t="shared" si="375"/>
        <v>3.0275521967354577</v>
      </c>
      <c r="AG1346" s="6">
        <f t="shared" si="376"/>
        <v>227.06641475515934</v>
      </c>
      <c r="AH1346" s="6">
        <f t="shared" si="377"/>
        <v>121</v>
      </c>
    </row>
    <row r="1347" spans="8:34" x14ac:dyDescent="0.25">
      <c r="H1347" s="7">
        <v>1354</v>
      </c>
      <c r="I1347" s="7" t="s">
        <v>11</v>
      </c>
      <c r="J1347" s="8">
        <v>38408</v>
      </c>
      <c r="K1347" s="12" t="s">
        <v>19</v>
      </c>
      <c r="L1347" s="9">
        <v>61</v>
      </c>
      <c r="M1347" s="10">
        <v>184.75393471553485</v>
      </c>
      <c r="N1347" s="7" t="s">
        <v>22</v>
      </c>
      <c r="P1347" s="29" t="str">
        <f t="shared" ref="P1347:P1410" si="378">IF(AND((MONTH(J1347))&lt;4,YEAR(J1347)=2004),1,"")</f>
        <v/>
      </c>
      <c r="Q1347" s="29" t="str">
        <f t="shared" ref="Q1347:Q1410" si="379">IF(AND(3&lt;(MONTH(J1347)),(MONTH(J1347)&lt;7),YEAR(J1347)=2004),1,"")</f>
        <v/>
      </c>
      <c r="R1347" s="29" t="str">
        <f t="shared" ref="R1347:R1410" si="380">IF(AND(6&lt;(MONTH(J1347)),(MONTH(J1347)&lt;10),YEAR(J1347)=2004),1,"")</f>
        <v/>
      </c>
      <c r="S1347" s="29" t="str">
        <f t="shared" ref="S1347:S1410" si="381">IF(AND(9&lt;(MONTH(J1347)),(MONTH(J1347)&lt;13),YEAR(J1347)=2004),1,"")</f>
        <v/>
      </c>
      <c r="T1347" s="32" t="str">
        <f t="shared" ref="T1347:T1410" si="382">IF(AND((9&lt;MONTH(J1347)),YEAR(J1347)=2005),1,"")</f>
        <v/>
      </c>
      <c r="U1347" s="32">
        <f t="shared" si="367"/>
        <v>1</v>
      </c>
      <c r="V1347" s="32" t="str">
        <f t="shared" si="368"/>
        <v/>
      </c>
      <c r="W1347" s="41">
        <f t="shared" ref="W1347:W1410" si="383">IF(L1347&gt;0,M1347/L1347,"")</f>
        <v>3.0287530281235222</v>
      </c>
      <c r="X1347" s="6">
        <f t="shared" ref="X1347:X1410" si="384">IF(U1347=1,M1347,0)</f>
        <v>184.75393471553485</v>
      </c>
      <c r="Y1347" s="7">
        <f t="shared" si="369"/>
        <v>199</v>
      </c>
      <c r="AA1347" s="7">
        <f t="shared" si="370"/>
        <v>1</v>
      </c>
      <c r="AB1347" s="7">
        <f t="shared" si="371"/>
        <v>61</v>
      </c>
      <c r="AC1347" s="7">
        <f t="shared" si="372"/>
        <v>0</v>
      </c>
      <c r="AD1347" s="7" t="str">
        <f t="shared" si="373"/>
        <v/>
      </c>
      <c r="AE1347" s="6">
        <f t="shared" si="374"/>
        <v>0</v>
      </c>
      <c r="AF1347" s="69">
        <f t="shared" si="375"/>
        <v>3.0287530281235222</v>
      </c>
      <c r="AG1347" s="6">
        <f t="shared" si="376"/>
        <v>0</v>
      </c>
      <c r="AH1347" s="6">
        <f t="shared" si="377"/>
        <v>604</v>
      </c>
    </row>
    <row r="1348" spans="8:34" x14ac:dyDescent="0.25">
      <c r="H1348" s="7">
        <v>1355</v>
      </c>
      <c r="I1348" s="7" t="s">
        <v>9</v>
      </c>
      <c r="J1348" s="8">
        <v>38342</v>
      </c>
      <c r="K1348" s="12" t="s">
        <v>19</v>
      </c>
      <c r="L1348" s="9">
        <v>35</v>
      </c>
      <c r="M1348" s="10">
        <v>106.73579162164692</v>
      </c>
      <c r="N1348" s="7" t="s">
        <v>23</v>
      </c>
      <c r="P1348" s="29" t="str">
        <f t="shared" si="378"/>
        <v/>
      </c>
      <c r="Q1348" s="29" t="str">
        <f t="shared" si="379"/>
        <v/>
      </c>
      <c r="R1348" s="29" t="str">
        <f t="shared" si="380"/>
        <v/>
      </c>
      <c r="S1348" s="29">
        <f t="shared" si="381"/>
        <v>1</v>
      </c>
      <c r="T1348" s="32" t="str">
        <f t="shared" si="382"/>
        <v/>
      </c>
      <c r="U1348" s="32" t="str">
        <f t="shared" ref="U1348:U1411" si="385">IF(YEAR(J1348)=2005,1,"")</f>
        <v/>
      </c>
      <c r="V1348" s="32" t="str">
        <f t="shared" ref="V1348:V1411" si="386">IF(YEAR(J1348)=2006,1,"")</f>
        <v/>
      </c>
      <c r="W1348" s="41">
        <f t="shared" si="383"/>
        <v>3.0495940463327691</v>
      </c>
      <c r="X1348" s="6">
        <f t="shared" si="384"/>
        <v>0</v>
      </c>
      <c r="Y1348" s="7">
        <f t="shared" ref="Y1348:Y1411" si="387">RANK(X1348,$X$3:$X$1893)</f>
        <v>567</v>
      </c>
      <c r="AA1348" s="7">
        <f t="shared" ref="AA1348:AA1411" si="388">IF(AND(OR((MONTH(J1348))=1,(MONTH(J1348))=2,(MONTH(J1348))=3,(MONTH(J1348))=7,(MONTH(J1348))=8,(MONTH(J1348))=9),YEAR(J1348)=2005),1,0)</f>
        <v>0</v>
      </c>
      <c r="AB1348" s="7" t="str">
        <f t="shared" ref="AB1348:AB1411" si="389">IF(AA1348=1,L1348,"")</f>
        <v/>
      </c>
      <c r="AC1348" s="7">
        <f t="shared" ref="AC1348:AC1411" si="390">IF(AND(OR((MONTH(J1348))=4,(MONTH(J1348))=5,(MONTH(J1348))=6,(MONTH(J1348))=10,(MONTH(J1348))=11,(MONTH(J1348))=12),YEAR(J1348)=2005),1,0)</f>
        <v>0</v>
      </c>
      <c r="AD1348" s="7" t="str">
        <f t="shared" ref="AD1348:AD1411" si="391">IF(AC1348=1,L1348,"")</f>
        <v/>
      </c>
      <c r="AE1348" s="6">
        <f t="shared" ref="AE1348:AE1411" si="392">IF(L1348&lt;0,L1348,0)</f>
        <v>0</v>
      </c>
      <c r="AF1348" s="69">
        <f t="shared" ref="AF1348:AF1411" si="393">IF(L1348&gt;0,W1348,"")</f>
        <v>3.0495940463327691</v>
      </c>
      <c r="AG1348" s="6">
        <f t="shared" ref="AG1348:AG1411" si="394">IF(AND((M1348&gt;0),(YEAR(J1348)=2004)),M1348,0)</f>
        <v>106.73579162164692</v>
      </c>
      <c r="AH1348" s="6">
        <f t="shared" ref="AH1348:AH1411" si="395">RANK(AG1348,$AG$3:$AG$1893)</f>
        <v>358</v>
      </c>
    </row>
    <row r="1349" spans="8:34" x14ac:dyDescent="0.25">
      <c r="H1349" s="7">
        <v>1356</v>
      </c>
      <c r="I1349" s="7" t="s">
        <v>15</v>
      </c>
      <c r="J1349" s="8">
        <v>38562</v>
      </c>
      <c r="K1349" s="12" t="s">
        <v>18</v>
      </c>
      <c r="L1349" s="9">
        <v>42</v>
      </c>
      <c r="M1349" s="10">
        <v>127.74297314827389</v>
      </c>
      <c r="N1349" s="7" t="s">
        <v>23</v>
      </c>
      <c r="P1349" s="29" t="str">
        <f t="shared" si="378"/>
        <v/>
      </c>
      <c r="Q1349" s="29" t="str">
        <f t="shared" si="379"/>
        <v/>
      </c>
      <c r="R1349" s="29" t="str">
        <f t="shared" si="380"/>
        <v/>
      </c>
      <c r="S1349" s="29" t="str">
        <f t="shared" si="381"/>
        <v/>
      </c>
      <c r="T1349" s="32" t="str">
        <f t="shared" si="382"/>
        <v/>
      </c>
      <c r="U1349" s="32">
        <f t="shared" si="385"/>
        <v>1</v>
      </c>
      <c r="V1349" s="32" t="str">
        <f t="shared" si="386"/>
        <v/>
      </c>
      <c r="W1349" s="41">
        <f t="shared" si="383"/>
        <v>3.0414993606731877</v>
      </c>
      <c r="X1349" s="6">
        <f t="shared" si="384"/>
        <v>127.74297314827389</v>
      </c>
      <c r="Y1349" s="7">
        <f t="shared" si="387"/>
        <v>306</v>
      </c>
      <c r="AA1349" s="7">
        <f t="shared" si="388"/>
        <v>1</v>
      </c>
      <c r="AB1349" s="7">
        <f t="shared" si="389"/>
        <v>42</v>
      </c>
      <c r="AC1349" s="7">
        <f t="shared" si="390"/>
        <v>0</v>
      </c>
      <c r="AD1349" s="7" t="str">
        <f t="shared" si="391"/>
        <v/>
      </c>
      <c r="AE1349" s="6">
        <f t="shared" si="392"/>
        <v>0</v>
      </c>
      <c r="AF1349" s="69">
        <f t="shared" si="393"/>
        <v>3.0414993606731877</v>
      </c>
      <c r="AG1349" s="6">
        <f t="shared" si="394"/>
        <v>0</v>
      </c>
      <c r="AH1349" s="6">
        <f t="shared" si="395"/>
        <v>604</v>
      </c>
    </row>
    <row r="1350" spans="8:34" x14ac:dyDescent="0.25">
      <c r="H1350" s="7">
        <v>1357</v>
      </c>
      <c r="I1350" s="7" t="s">
        <v>8</v>
      </c>
      <c r="J1350" s="8">
        <v>38309</v>
      </c>
      <c r="K1350" s="12" t="s">
        <v>16</v>
      </c>
      <c r="L1350" s="9">
        <v>47</v>
      </c>
      <c r="M1350" s="10">
        <v>142.58640939942609</v>
      </c>
      <c r="N1350" s="7" t="s">
        <v>21</v>
      </c>
      <c r="P1350" s="29" t="str">
        <f t="shared" si="378"/>
        <v/>
      </c>
      <c r="Q1350" s="29" t="str">
        <f t="shared" si="379"/>
        <v/>
      </c>
      <c r="R1350" s="29" t="str">
        <f t="shared" si="380"/>
        <v/>
      </c>
      <c r="S1350" s="29">
        <f t="shared" si="381"/>
        <v>1</v>
      </c>
      <c r="T1350" s="32" t="str">
        <f t="shared" si="382"/>
        <v/>
      </c>
      <c r="U1350" s="32" t="str">
        <f t="shared" si="385"/>
        <v/>
      </c>
      <c r="V1350" s="32" t="str">
        <f t="shared" si="386"/>
        <v/>
      </c>
      <c r="W1350" s="41">
        <f t="shared" si="383"/>
        <v>3.0337533914771506</v>
      </c>
      <c r="X1350" s="6">
        <f t="shared" si="384"/>
        <v>0</v>
      </c>
      <c r="Y1350" s="7">
        <f t="shared" si="387"/>
        <v>567</v>
      </c>
      <c r="AA1350" s="7">
        <f t="shared" si="388"/>
        <v>0</v>
      </c>
      <c r="AB1350" s="7" t="str">
        <f t="shared" si="389"/>
        <v/>
      </c>
      <c r="AC1350" s="7">
        <f t="shared" si="390"/>
        <v>0</v>
      </c>
      <c r="AD1350" s="7" t="str">
        <f t="shared" si="391"/>
        <v/>
      </c>
      <c r="AE1350" s="6">
        <f t="shared" si="392"/>
        <v>0</v>
      </c>
      <c r="AF1350" s="69">
        <f t="shared" si="393"/>
        <v>3.0337533914771506</v>
      </c>
      <c r="AG1350" s="6">
        <f t="shared" si="394"/>
        <v>142.58640939942609</v>
      </c>
      <c r="AH1350" s="6">
        <f t="shared" si="395"/>
        <v>291</v>
      </c>
    </row>
    <row r="1351" spans="8:34" x14ac:dyDescent="0.25">
      <c r="H1351" s="7">
        <v>1358</v>
      </c>
      <c r="I1351" s="7" t="s">
        <v>9</v>
      </c>
      <c r="J1351" s="8">
        <v>38276</v>
      </c>
      <c r="K1351" s="12" t="s">
        <v>20</v>
      </c>
      <c r="L1351" s="9">
        <v>74</v>
      </c>
      <c r="M1351" s="10">
        <v>225.01925553650543</v>
      </c>
      <c r="N1351" s="7" t="s">
        <v>21</v>
      </c>
      <c r="P1351" s="29" t="str">
        <f t="shared" si="378"/>
        <v/>
      </c>
      <c r="Q1351" s="29" t="str">
        <f t="shared" si="379"/>
        <v/>
      </c>
      <c r="R1351" s="29" t="str">
        <f t="shared" si="380"/>
        <v/>
      </c>
      <c r="S1351" s="29">
        <f t="shared" si="381"/>
        <v>1</v>
      </c>
      <c r="T1351" s="32" t="str">
        <f t="shared" si="382"/>
        <v/>
      </c>
      <c r="U1351" s="32" t="str">
        <f t="shared" si="385"/>
        <v/>
      </c>
      <c r="V1351" s="32" t="str">
        <f t="shared" si="386"/>
        <v/>
      </c>
      <c r="W1351" s="41">
        <f t="shared" si="383"/>
        <v>3.0408007504933168</v>
      </c>
      <c r="X1351" s="6">
        <f t="shared" si="384"/>
        <v>0</v>
      </c>
      <c r="Y1351" s="7">
        <f t="shared" si="387"/>
        <v>567</v>
      </c>
      <c r="AA1351" s="7">
        <f t="shared" si="388"/>
        <v>0</v>
      </c>
      <c r="AB1351" s="7" t="str">
        <f t="shared" si="389"/>
        <v/>
      </c>
      <c r="AC1351" s="7">
        <f t="shared" si="390"/>
        <v>0</v>
      </c>
      <c r="AD1351" s="7" t="str">
        <f t="shared" si="391"/>
        <v/>
      </c>
      <c r="AE1351" s="6">
        <f t="shared" si="392"/>
        <v>0</v>
      </c>
      <c r="AF1351" s="69">
        <f t="shared" si="393"/>
        <v>3.0408007504933168</v>
      </c>
      <c r="AG1351" s="6">
        <f t="shared" si="394"/>
        <v>225.01925553650543</v>
      </c>
      <c r="AH1351" s="6">
        <f t="shared" si="395"/>
        <v>125</v>
      </c>
    </row>
    <row r="1352" spans="8:34" x14ac:dyDescent="0.25">
      <c r="H1352" s="7">
        <v>1359</v>
      </c>
      <c r="I1352" s="7" t="s">
        <v>9</v>
      </c>
      <c r="J1352" s="8">
        <v>38496</v>
      </c>
      <c r="K1352" s="12" t="s">
        <v>20</v>
      </c>
      <c r="L1352" s="9">
        <v>55</v>
      </c>
      <c r="M1352" s="10">
        <v>166.25169597348713</v>
      </c>
      <c r="N1352" s="7" t="s">
        <v>23</v>
      </c>
      <c r="P1352" s="29" t="str">
        <f t="shared" si="378"/>
        <v/>
      </c>
      <c r="Q1352" s="29" t="str">
        <f t="shared" si="379"/>
        <v/>
      </c>
      <c r="R1352" s="29" t="str">
        <f t="shared" si="380"/>
        <v/>
      </c>
      <c r="S1352" s="29" t="str">
        <f t="shared" si="381"/>
        <v/>
      </c>
      <c r="T1352" s="32" t="str">
        <f t="shared" si="382"/>
        <v/>
      </c>
      <c r="U1352" s="32">
        <f t="shared" si="385"/>
        <v>1</v>
      </c>
      <c r="V1352" s="32" t="str">
        <f t="shared" si="386"/>
        <v/>
      </c>
      <c r="W1352" s="41">
        <f t="shared" si="383"/>
        <v>3.0227581086088571</v>
      </c>
      <c r="X1352" s="6">
        <f t="shared" si="384"/>
        <v>166.25169597348713</v>
      </c>
      <c r="Y1352" s="7">
        <f t="shared" si="387"/>
        <v>235</v>
      </c>
      <c r="AA1352" s="7">
        <f t="shared" si="388"/>
        <v>0</v>
      </c>
      <c r="AB1352" s="7" t="str">
        <f t="shared" si="389"/>
        <v/>
      </c>
      <c r="AC1352" s="7">
        <f t="shared" si="390"/>
        <v>1</v>
      </c>
      <c r="AD1352" s="7">
        <f t="shared" si="391"/>
        <v>55</v>
      </c>
      <c r="AE1352" s="6">
        <f t="shared" si="392"/>
        <v>0</v>
      </c>
      <c r="AF1352" s="69">
        <f t="shared" si="393"/>
        <v>3.0227581086088571</v>
      </c>
      <c r="AG1352" s="6">
        <f t="shared" si="394"/>
        <v>0</v>
      </c>
      <c r="AH1352" s="6">
        <f t="shared" si="395"/>
        <v>604</v>
      </c>
    </row>
    <row r="1353" spans="8:34" x14ac:dyDescent="0.25">
      <c r="H1353" s="7">
        <v>1360</v>
      </c>
      <c r="I1353" s="7" t="s">
        <v>10</v>
      </c>
      <c r="J1353" s="8">
        <v>38617</v>
      </c>
      <c r="K1353" s="12" t="s">
        <v>17</v>
      </c>
      <c r="L1353" s="9">
        <v>87</v>
      </c>
      <c r="M1353" s="10">
        <v>263.11074857106775</v>
      </c>
      <c r="N1353" s="7" t="s">
        <v>23</v>
      </c>
      <c r="P1353" s="29" t="str">
        <f t="shared" si="378"/>
        <v/>
      </c>
      <c r="Q1353" s="29" t="str">
        <f t="shared" si="379"/>
        <v/>
      </c>
      <c r="R1353" s="29" t="str">
        <f t="shared" si="380"/>
        <v/>
      </c>
      <c r="S1353" s="29" t="str">
        <f t="shared" si="381"/>
        <v/>
      </c>
      <c r="T1353" s="32" t="str">
        <f t="shared" si="382"/>
        <v/>
      </c>
      <c r="U1353" s="32">
        <f t="shared" si="385"/>
        <v>1</v>
      </c>
      <c r="V1353" s="32" t="str">
        <f t="shared" si="386"/>
        <v/>
      </c>
      <c r="W1353" s="41">
        <f t="shared" si="383"/>
        <v>3.024261477828365</v>
      </c>
      <c r="X1353" s="6">
        <f t="shared" si="384"/>
        <v>263.11074857106775</v>
      </c>
      <c r="Y1353" s="7">
        <f t="shared" si="387"/>
        <v>58</v>
      </c>
      <c r="AA1353" s="7">
        <f t="shared" si="388"/>
        <v>1</v>
      </c>
      <c r="AB1353" s="7">
        <f t="shared" si="389"/>
        <v>87</v>
      </c>
      <c r="AC1353" s="7">
        <f t="shared" si="390"/>
        <v>0</v>
      </c>
      <c r="AD1353" s="7" t="str">
        <f t="shared" si="391"/>
        <v/>
      </c>
      <c r="AE1353" s="6">
        <f t="shared" si="392"/>
        <v>0</v>
      </c>
      <c r="AF1353" s="69">
        <f t="shared" si="393"/>
        <v>3.024261477828365</v>
      </c>
      <c r="AG1353" s="6">
        <f t="shared" si="394"/>
        <v>0</v>
      </c>
      <c r="AH1353" s="6">
        <f t="shared" si="395"/>
        <v>604</v>
      </c>
    </row>
    <row r="1354" spans="8:34" x14ac:dyDescent="0.25">
      <c r="H1354" s="7">
        <v>1361</v>
      </c>
      <c r="I1354" s="7" t="s">
        <v>9</v>
      </c>
      <c r="J1354" s="8">
        <v>38166</v>
      </c>
      <c r="K1354" s="12" t="s">
        <v>18</v>
      </c>
      <c r="L1354" s="9">
        <v>75</v>
      </c>
      <c r="M1354" s="10">
        <v>227.32916430473495</v>
      </c>
      <c r="N1354" s="7" t="s">
        <v>21</v>
      </c>
      <c r="P1354" s="29" t="str">
        <f t="shared" si="378"/>
        <v/>
      </c>
      <c r="Q1354" s="29">
        <f t="shared" si="379"/>
        <v>1</v>
      </c>
      <c r="R1354" s="29" t="str">
        <f t="shared" si="380"/>
        <v/>
      </c>
      <c r="S1354" s="29" t="str">
        <f t="shared" si="381"/>
        <v/>
      </c>
      <c r="T1354" s="32" t="str">
        <f t="shared" si="382"/>
        <v/>
      </c>
      <c r="U1354" s="32" t="str">
        <f t="shared" si="385"/>
        <v/>
      </c>
      <c r="V1354" s="32" t="str">
        <f t="shared" si="386"/>
        <v/>
      </c>
      <c r="W1354" s="41">
        <f t="shared" si="383"/>
        <v>3.0310555240631327</v>
      </c>
      <c r="X1354" s="6">
        <f t="shared" si="384"/>
        <v>0</v>
      </c>
      <c r="Y1354" s="7">
        <f t="shared" si="387"/>
        <v>567</v>
      </c>
      <c r="AA1354" s="7">
        <f t="shared" si="388"/>
        <v>0</v>
      </c>
      <c r="AB1354" s="7" t="str">
        <f t="shared" si="389"/>
        <v/>
      </c>
      <c r="AC1354" s="7">
        <f t="shared" si="390"/>
        <v>0</v>
      </c>
      <c r="AD1354" s="7" t="str">
        <f t="shared" si="391"/>
        <v/>
      </c>
      <c r="AE1354" s="6">
        <f t="shared" si="392"/>
        <v>0</v>
      </c>
      <c r="AF1354" s="69">
        <f t="shared" si="393"/>
        <v>3.0310555240631327</v>
      </c>
      <c r="AG1354" s="6">
        <f t="shared" si="394"/>
        <v>227.32916430473495</v>
      </c>
      <c r="AH1354" s="6">
        <f t="shared" si="395"/>
        <v>120</v>
      </c>
    </row>
    <row r="1355" spans="8:34" x14ac:dyDescent="0.25">
      <c r="H1355" s="7">
        <v>1362</v>
      </c>
      <c r="I1355" s="7" t="s">
        <v>13</v>
      </c>
      <c r="J1355" s="8">
        <v>38881</v>
      </c>
      <c r="K1355" s="12" t="s">
        <v>18</v>
      </c>
      <c r="L1355" s="9">
        <v>91</v>
      </c>
      <c r="M1355" s="10">
        <v>274.60744776638205</v>
      </c>
      <c r="N1355" s="7" t="s">
        <v>23</v>
      </c>
      <c r="P1355" s="29" t="str">
        <f t="shared" si="378"/>
        <v/>
      </c>
      <c r="Q1355" s="29" t="str">
        <f t="shared" si="379"/>
        <v/>
      </c>
      <c r="R1355" s="29" t="str">
        <f t="shared" si="380"/>
        <v/>
      </c>
      <c r="S1355" s="29" t="str">
        <f t="shared" si="381"/>
        <v/>
      </c>
      <c r="T1355" s="32" t="str">
        <f t="shared" si="382"/>
        <v/>
      </c>
      <c r="U1355" s="32" t="str">
        <f t="shared" si="385"/>
        <v/>
      </c>
      <c r="V1355" s="32">
        <f t="shared" si="386"/>
        <v>1</v>
      </c>
      <c r="W1355" s="41">
        <f t="shared" si="383"/>
        <v>3.0176642611690334</v>
      </c>
      <c r="X1355" s="6">
        <f t="shared" si="384"/>
        <v>0</v>
      </c>
      <c r="Y1355" s="7">
        <f t="shared" si="387"/>
        <v>567</v>
      </c>
      <c r="AA1355" s="7">
        <f t="shared" si="388"/>
        <v>0</v>
      </c>
      <c r="AB1355" s="7" t="str">
        <f t="shared" si="389"/>
        <v/>
      </c>
      <c r="AC1355" s="7">
        <f t="shared" si="390"/>
        <v>0</v>
      </c>
      <c r="AD1355" s="7" t="str">
        <f t="shared" si="391"/>
        <v/>
      </c>
      <c r="AE1355" s="6">
        <f t="shared" si="392"/>
        <v>0</v>
      </c>
      <c r="AF1355" s="69">
        <f t="shared" si="393"/>
        <v>3.0176642611690334</v>
      </c>
      <c r="AG1355" s="6">
        <f t="shared" si="394"/>
        <v>0</v>
      </c>
      <c r="AH1355" s="6">
        <f t="shared" si="395"/>
        <v>604</v>
      </c>
    </row>
    <row r="1356" spans="8:34" x14ac:dyDescent="0.25">
      <c r="H1356" s="7">
        <v>1363</v>
      </c>
      <c r="I1356" s="7" t="s">
        <v>9</v>
      </c>
      <c r="J1356" s="8">
        <v>38705</v>
      </c>
      <c r="K1356" s="12" t="s">
        <v>17</v>
      </c>
      <c r="L1356" s="9">
        <v>79</v>
      </c>
      <c r="M1356" s="10">
        <v>238.20578213903983</v>
      </c>
      <c r="N1356" s="7" t="s">
        <v>21</v>
      </c>
      <c r="P1356" s="29" t="str">
        <f t="shared" si="378"/>
        <v/>
      </c>
      <c r="Q1356" s="29" t="str">
        <f t="shared" si="379"/>
        <v/>
      </c>
      <c r="R1356" s="29" t="str">
        <f t="shared" si="380"/>
        <v/>
      </c>
      <c r="S1356" s="29" t="str">
        <f t="shared" si="381"/>
        <v/>
      </c>
      <c r="T1356" s="32">
        <f t="shared" si="382"/>
        <v>1</v>
      </c>
      <c r="U1356" s="32">
        <f t="shared" si="385"/>
        <v>1</v>
      </c>
      <c r="V1356" s="32" t="str">
        <f t="shared" si="386"/>
        <v/>
      </c>
      <c r="W1356" s="41">
        <f t="shared" si="383"/>
        <v>3.0152630650511369</v>
      </c>
      <c r="X1356" s="6">
        <f t="shared" si="384"/>
        <v>238.20578213903983</v>
      </c>
      <c r="Y1356" s="7">
        <f t="shared" si="387"/>
        <v>110</v>
      </c>
      <c r="AA1356" s="7">
        <f t="shared" si="388"/>
        <v>0</v>
      </c>
      <c r="AB1356" s="7" t="str">
        <f t="shared" si="389"/>
        <v/>
      </c>
      <c r="AC1356" s="7">
        <f t="shared" si="390"/>
        <v>1</v>
      </c>
      <c r="AD1356" s="7">
        <f t="shared" si="391"/>
        <v>79</v>
      </c>
      <c r="AE1356" s="6">
        <f t="shared" si="392"/>
        <v>0</v>
      </c>
      <c r="AF1356" s="69">
        <f t="shared" si="393"/>
        <v>3.0152630650511369</v>
      </c>
      <c r="AG1356" s="6">
        <f t="shared" si="394"/>
        <v>0</v>
      </c>
      <c r="AH1356" s="6">
        <f t="shared" si="395"/>
        <v>604</v>
      </c>
    </row>
    <row r="1357" spans="8:34" x14ac:dyDescent="0.25">
      <c r="H1357" s="7">
        <v>1364</v>
      </c>
      <c r="I1357" s="7" t="s">
        <v>15</v>
      </c>
      <c r="J1357" s="8">
        <v>38155</v>
      </c>
      <c r="K1357" s="12" t="s">
        <v>20</v>
      </c>
      <c r="L1357" s="9">
        <v>31</v>
      </c>
      <c r="M1357" s="10">
        <v>94.915314626942674</v>
      </c>
      <c r="N1357" s="7" t="s">
        <v>22</v>
      </c>
      <c r="P1357" s="29" t="str">
        <f t="shared" si="378"/>
        <v/>
      </c>
      <c r="Q1357" s="29">
        <f t="shared" si="379"/>
        <v>1</v>
      </c>
      <c r="R1357" s="29" t="str">
        <f t="shared" si="380"/>
        <v/>
      </c>
      <c r="S1357" s="29" t="str">
        <f t="shared" si="381"/>
        <v/>
      </c>
      <c r="T1357" s="32" t="str">
        <f t="shared" si="382"/>
        <v/>
      </c>
      <c r="U1357" s="32" t="str">
        <f t="shared" si="385"/>
        <v/>
      </c>
      <c r="V1357" s="32" t="str">
        <f t="shared" si="386"/>
        <v/>
      </c>
      <c r="W1357" s="41">
        <f t="shared" si="383"/>
        <v>3.0617843428046023</v>
      </c>
      <c r="X1357" s="6">
        <f t="shared" si="384"/>
        <v>0</v>
      </c>
      <c r="Y1357" s="7">
        <f t="shared" si="387"/>
        <v>567</v>
      </c>
      <c r="AA1357" s="7">
        <f t="shared" si="388"/>
        <v>0</v>
      </c>
      <c r="AB1357" s="7" t="str">
        <f t="shared" si="389"/>
        <v/>
      </c>
      <c r="AC1357" s="7">
        <f t="shared" si="390"/>
        <v>0</v>
      </c>
      <c r="AD1357" s="7" t="str">
        <f t="shared" si="391"/>
        <v/>
      </c>
      <c r="AE1357" s="6">
        <f t="shared" si="392"/>
        <v>0</v>
      </c>
      <c r="AF1357" s="69">
        <f t="shared" si="393"/>
        <v>3.0617843428046023</v>
      </c>
      <c r="AG1357" s="6">
        <f t="shared" si="394"/>
        <v>94.915314626942674</v>
      </c>
      <c r="AH1357" s="6">
        <f t="shared" si="395"/>
        <v>385</v>
      </c>
    </row>
    <row r="1358" spans="8:34" x14ac:dyDescent="0.25">
      <c r="H1358" s="7">
        <v>1365</v>
      </c>
      <c r="I1358" s="7" t="s">
        <v>8</v>
      </c>
      <c r="J1358" s="8">
        <v>38265</v>
      </c>
      <c r="K1358" s="12" t="s">
        <v>16</v>
      </c>
      <c r="L1358" s="9">
        <v>36</v>
      </c>
      <c r="M1358" s="10">
        <v>109.8683994875889</v>
      </c>
      <c r="N1358" s="7" t="s">
        <v>22</v>
      </c>
      <c r="P1358" s="29" t="str">
        <f t="shared" si="378"/>
        <v/>
      </c>
      <c r="Q1358" s="29" t="str">
        <f t="shared" si="379"/>
        <v/>
      </c>
      <c r="R1358" s="29" t="str">
        <f t="shared" si="380"/>
        <v/>
      </c>
      <c r="S1358" s="29">
        <f t="shared" si="381"/>
        <v>1</v>
      </c>
      <c r="T1358" s="32" t="str">
        <f t="shared" si="382"/>
        <v/>
      </c>
      <c r="U1358" s="32" t="str">
        <f t="shared" si="385"/>
        <v/>
      </c>
      <c r="V1358" s="32" t="str">
        <f t="shared" si="386"/>
        <v/>
      </c>
      <c r="W1358" s="41">
        <f t="shared" si="383"/>
        <v>3.0518999857663585</v>
      </c>
      <c r="X1358" s="6">
        <f t="shared" si="384"/>
        <v>0</v>
      </c>
      <c r="Y1358" s="7">
        <f t="shared" si="387"/>
        <v>567</v>
      </c>
      <c r="AA1358" s="7">
        <f t="shared" si="388"/>
        <v>0</v>
      </c>
      <c r="AB1358" s="7" t="str">
        <f t="shared" si="389"/>
        <v/>
      </c>
      <c r="AC1358" s="7">
        <f t="shared" si="390"/>
        <v>0</v>
      </c>
      <c r="AD1358" s="7" t="str">
        <f t="shared" si="391"/>
        <v/>
      </c>
      <c r="AE1358" s="6">
        <f t="shared" si="392"/>
        <v>0</v>
      </c>
      <c r="AF1358" s="69">
        <f t="shared" si="393"/>
        <v>3.0518999857663585</v>
      </c>
      <c r="AG1358" s="6">
        <f t="shared" si="394"/>
        <v>109.8683994875889</v>
      </c>
      <c r="AH1358" s="6">
        <f t="shared" si="395"/>
        <v>355</v>
      </c>
    </row>
    <row r="1359" spans="8:34" x14ac:dyDescent="0.25">
      <c r="H1359" s="7">
        <v>1366</v>
      </c>
      <c r="I1359" s="7" t="s">
        <v>14</v>
      </c>
      <c r="J1359" s="8">
        <v>38166</v>
      </c>
      <c r="K1359" s="12" t="s">
        <v>20</v>
      </c>
      <c r="L1359" s="9">
        <v>80</v>
      </c>
      <c r="M1359" s="10">
        <v>242.06313932235889</v>
      </c>
      <c r="N1359" s="7" t="s">
        <v>21</v>
      </c>
      <c r="P1359" s="29" t="str">
        <f t="shared" si="378"/>
        <v/>
      </c>
      <c r="Q1359" s="29">
        <f t="shared" si="379"/>
        <v>1</v>
      </c>
      <c r="R1359" s="29" t="str">
        <f t="shared" si="380"/>
        <v/>
      </c>
      <c r="S1359" s="29" t="str">
        <f t="shared" si="381"/>
        <v/>
      </c>
      <c r="T1359" s="32" t="str">
        <f t="shared" si="382"/>
        <v/>
      </c>
      <c r="U1359" s="32" t="str">
        <f t="shared" si="385"/>
        <v/>
      </c>
      <c r="V1359" s="32" t="str">
        <f t="shared" si="386"/>
        <v/>
      </c>
      <c r="W1359" s="41">
        <f t="shared" si="383"/>
        <v>3.0257892415294863</v>
      </c>
      <c r="X1359" s="6">
        <f t="shared" si="384"/>
        <v>0</v>
      </c>
      <c r="Y1359" s="7">
        <f t="shared" si="387"/>
        <v>567</v>
      </c>
      <c r="AA1359" s="7">
        <f t="shared" si="388"/>
        <v>0</v>
      </c>
      <c r="AB1359" s="7" t="str">
        <f t="shared" si="389"/>
        <v/>
      </c>
      <c r="AC1359" s="7">
        <f t="shared" si="390"/>
        <v>0</v>
      </c>
      <c r="AD1359" s="7" t="str">
        <f t="shared" si="391"/>
        <v/>
      </c>
      <c r="AE1359" s="6">
        <f t="shared" si="392"/>
        <v>0</v>
      </c>
      <c r="AF1359" s="69">
        <f t="shared" si="393"/>
        <v>3.0257892415294863</v>
      </c>
      <c r="AG1359" s="6">
        <f t="shared" si="394"/>
        <v>242.06313932235889</v>
      </c>
      <c r="AH1359" s="6">
        <f t="shared" si="395"/>
        <v>84</v>
      </c>
    </row>
    <row r="1360" spans="8:34" x14ac:dyDescent="0.25">
      <c r="H1360" s="7">
        <v>1367</v>
      </c>
      <c r="I1360" s="7" t="s">
        <v>7</v>
      </c>
      <c r="J1360" s="8">
        <v>38793</v>
      </c>
      <c r="K1360" s="12" t="s">
        <v>17</v>
      </c>
      <c r="L1360" s="9">
        <v>32</v>
      </c>
      <c r="M1360" s="10">
        <v>98.105863423861408</v>
      </c>
      <c r="N1360" s="7" t="s">
        <v>24</v>
      </c>
      <c r="P1360" s="29" t="str">
        <f t="shared" si="378"/>
        <v/>
      </c>
      <c r="Q1360" s="29" t="str">
        <f t="shared" si="379"/>
        <v/>
      </c>
      <c r="R1360" s="29" t="str">
        <f t="shared" si="380"/>
        <v/>
      </c>
      <c r="S1360" s="29" t="str">
        <f t="shared" si="381"/>
        <v/>
      </c>
      <c r="T1360" s="32" t="str">
        <f t="shared" si="382"/>
        <v/>
      </c>
      <c r="U1360" s="32" t="str">
        <f t="shared" si="385"/>
        <v/>
      </c>
      <c r="V1360" s="32">
        <f t="shared" si="386"/>
        <v>1</v>
      </c>
      <c r="W1360" s="41">
        <f t="shared" si="383"/>
        <v>3.065808231995669</v>
      </c>
      <c r="X1360" s="6">
        <f t="shared" si="384"/>
        <v>0</v>
      </c>
      <c r="Y1360" s="7">
        <f t="shared" si="387"/>
        <v>567</v>
      </c>
      <c r="AA1360" s="7">
        <f t="shared" si="388"/>
        <v>0</v>
      </c>
      <c r="AB1360" s="7" t="str">
        <f t="shared" si="389"/>
        <v/>
      </c>
      <c r="AC1360" s="7">
        <f t="shared" si="390"/>
        <v>0</v>
      </c>
      <c r="AD1360" s="7" t="str">
        <f t="shared" si="391"/>
        <v/>
      </c>
      <c r="AE1360" s="6">
        <f t="shared" si="392"/>
        <v>0</v>
      </c>
      <c r="AF1360" s="69">
        <f t="shared" si="393"/>
        <v>3.065808231995669</v>
      </c>
      <c r="AG1360" s="6">
        <f t="shared" si="394"/>
        <v>0</v>
      </c>
      <c r="AH1360" s="6">
        <f t="shared" si="395"/>
        <v>604</v>
      </c>
    </row>
    <row r="1361" spans="8:34" x14ac:dyDescent="0.25">
      <c r="H1361" s="7">
        <v>1368</v>
      </c>
      <c r="I1361" s="7" t="s">
        <v>10</v>
      </c>
      <c r="J1361" s="8">
        <v>38166</v>
      </c>
      <c r="K1361" s="12" t="s">
        <v>19</v>
      </c>
      <c r="L1361" s="9">
        <v>29</v>
      </c>
      <c r="M1361" s="10">
        <v>89.172802878693929</v>
      </c>
      <c r="N1361" s="7" t="s">
        <v>23</v>
      </c>
      <c r="P1361" s="29" t="str">
        <f t="shared" si="378"/>
        <v/>
      </c>
      <c r="Q1361" s="29">
        <f t="shared" si="379"/>
        <v>1</v>
      </c>
      <c r="R1361" s="29" t="str">
        <f t="shared" si="380"/>
        <v/>
      </c>
      <c r="S1361" s="29" t="str">
        <f t="shared" si="381"/>
        <v/>
      </c>
      <c r="T1361" s="32" t="str">
        <f t="shared" si="382"/>
        <v/>
      </c>
      <c r="U1361" s="32" t="str">
        <f t="shared" si="385"/>
        <v/>
      </c>
      <c r="V1361" s="32" t="str">
        <f t="shared" si="386"/>
        <v/>
      </c>
      <c r="W1361" s="41">
        <f t="shared" si="383"/>
        <v>3.0749242371963423</v>
      </c>
      <c r="X1361" s="6">
        <f t="shared" si="384"/>
        <v>0</v>
      </c>
      <c r="Y1361" s="7">
        <f t="shared" si="387"/>
        <v>567</v>
      </c>
      <c r="AA1361" s="7">
        <f t="shared" si="388"/>
        <v>0</v>
      </c>
      <c r="AB1361" s="7" t="str">
        <f t="shared" si="389"/>
        <v/>
      </c>
      <c r="AC1361" s="7">
        <f t="shared" si="390"/>
        <v>0</v>
      </c>
      <c r="AD1361" s="7" t="str">
        <f t="shared" si="391"/>
        <v/>
      </c>
      <c r="AE1361" s="6">
        <f t="shared" si="392"/>
        <v>0</v>
      </c>
      <c r="AF1361" s="69">
        <f t="shared" si="393"/>
        <v>3.0749242371963423</v>
      </c>
      <c r="AG1361" s="6">
        <f t="shared" si="394"/>
        <v>89.172802878693929</v>
      </c>
      <c r="AH1361" s="6">
        <f t="shared" si="395"/>
        <v>404</v>
      </c>
    </row>
    <row r="1362" spans="8:34" x14ac:dyDescent="0.25">
      <c r="H1362" s="7">
        <v>1369</v>
      </c>
      <c r="I1362" s="7" t="s">
        <v>8</v>
      </c>
      <c r="J1362" s="8">
        <v>38485</v>
      </c>
      <c r="K1362" s="12" t="s">
        <v>18</v>
      </c>
      <c r="L1362" s="9">
        <v>64</v>
      </c>
      <c r="M1362" s="10">
        <v>193.51676296767636</v>
      </c>
      <c r="N1362" s="7" t="s">
        <v>23</v>
      </c>
      <c r="P1362" s="29" t="str">
        <f t="shared" si="378"/>
        <v/>
      </c>
      <c r="Q1362" s="29" t="str">
        <f t="shared" si="379"/>
        <v/>
      </c>
      <c r="R1362" s="29" t="str">
        <f t="shared" si="380"/>
        <v/>
      </c>
      <c r="S1362" s="29" t="str">
        <f t="shared" si="381"/>
        <v/>
      </c>
      <c r="T1362" s="32" t="str">
        <f t="shared" si="382"/>
        <v/>
      </c>
      <c r="U1362" s="32">
        <f t="shared" si="385"/>
        <v>1</v>
      </c>
      <c r="V1362" s="32" t="str">
        <f t="shared" si="386"/>
        <v/>
      </c>
      <c r="W1362" s="41">
        <f t="shared" si="383"/>
        <v>3.0236994213699431</v>
      </c>
      <c r="X1362" s="6">
        <f t="shared" si="384"/>
        <v>193.51676296767636</v>
      </c>
      <c r="Y1362" s="7">
        <f t="shared" si="387"/>
        <v>188</v>
      </c>
      <c r="AA1362" s="7">
        <f t="shared" si="388"/>
        <v>0</v>
      </c>
      <c r="AB1362" s="7" t="str">
        <f t="shared" si="389"/>
        <v/>
      </c>
      <c r="AC1362" s="7">
        <f t="shared" si="390"/>
        <v>1</v>
      </c>
      <c r="AD1362" s="7">
        <f t="shared" si="391"/>
        <v>64</v>
      </c>
      <c r="AE1362" s="6">
        <f t="shared" si="392"/>
        <v>0</v>
      </c>
      <c r="AF1362" s="69">
        <f t="shared" si="393"/>
        <v>3.0236994213699431</v>
      </c>
      <c r="AG1362" s="6">
        <f t="shared" si="394"/>
        <v>0</v>
      </c>
      <c r="AH1362" s="6">
        <f t="shared" si="395"/>
        <v>604</v>
      </c>
    </row>
    <row r="1363" spans="8:34" x14ac:dyDescent="0.25">
      <c r="H1363" s="7">
        <v>1370</v>
      </c>
      <c r="I1363" s="7" t="s">
        <v>12</v>
      </c>
      <c r="J1363" s="8">
        <v>38056</v>
      </c>
      <c r="K1363" s="12" t="s">
        <v>17</v>
      </c>
      <c r="L1363" s="9">
        <v>27</v>
      </c>
      <c r="M1363" s="10">
        <v>83.668497347720773</v>
      </c>
      <c r="N1363" s="7" t="s">
        <v>23</v>
      </c>
      <c r="P1363" s="29">
        <f t="shared" si="378"/>
        <v>1</v>
      </c>
      <c r="Q1363" s="29" t="str">
        <f t="shared" si="379"/>
        <v/>
      </c>
      <c r="R1363" s="29" t="str">
        <f t="shared" si="380"/>
        <v/>
      </c>
      <c r="S1363" s="29" t="str">
        <f t="shared" si="381"/>
        <v/>
      </c>
      <c r="T1363" s="32" t="str">
        <f t="shared" si="382"/>
        <v/>
      </c>
      <c r="U1363" s="32" t="str">
        <f t="shared" si="385"/>
        <v/>
      </c>
      <c r="V1363" s="32" t="str">
        <f t="shared" si="386"/>
        <v/>
      </c>
      <c r="W1363" s="41">
        <f t="shared" si="383"/>
        <v>3.0988332351007695</v>
      </c>
      <c r="X1363" s="6">
        <f t="shared" si="384"/>
        <v>0</v>
      </c>
      <c r="Y1363" s="7">
        <f t="shared" si="387"/>
        <v>567</v>
      </c>
      <c r="AA1363" s="7">
        <f t="shared" si="388"/>
        <v>0</v>
      </c>
      <c r="AB1363" s="7" t="str">
        <f t="shared" si="389"/>
        <v/>
      </c>
      <c r="AC1363" s="7">
        <f t="shared" si="390"/>
        <v>0</v>
      </c>
      <c r="AD1363" s="7" t="str">
        <f t="shared" si="391"/>
        <v/>
      </c>
      <c r="AE1363" s="6">
        <f t="shared" si="392"/>
        <v>0</v>
      </c>
      <c r="AF1363" s="69">
        <f t="shared" si="393"/>
        <v>3.0988332351007695</v>
      </c>
      <c r="AG1363" s="6">
        <f t="shared" si="394"/>
        <v>83.668497347720773</v>
      </c>
      <c r="AH1363" s="6">
        <f t="shared" si="395"/>
        <v>414</v>
      </c>
    </row>
    <row r="1364" spans="8:34" x14ac:dyDescent="0.25">
      <c r="H1364" s="7">
        <v>1371</v>
      </c>
      <c r="I1364" s="7" t="s">
        <v>15</v>
      </c>
      <c r="J1364" s="8">
        <v>38254</v>
      </c>
      <c r="K1364" s="12" t="s">
        <v>17</v>
      </c>
      <c r="L1364" s="9">
        <v>36</v>
      </c>
      <c r="M1364" s="10">
        <v>109.80928591136637</v>
      </c>
      <c r="N1364" s="7" t="s">
        <v>23</v>
      </c>
      <c r="P1364" s="29" t="str">
        <f t="shared" si="378"/>
        <v/>
      </c>
      <c r="Q1364" s="29" t="str">
        <f t="shared" si="379"/>
        <v/>
      </c>
      <c r="R1364" s="29">
        <f t="shared" si="380"/>
        <v>1</v>
      </c>
      <c r="S1364" s="29" t="str">
        <f t="shared" si="381"/>
        <v/>
      </c>
      <c r="T1364" s="32" t="str">
        <f t="shared" si="382"/>
        <v/>
      </c>
      <c r="U1364" s="32" t="str">
        <f t="shared" si="385"/>
        <v/>
      </c>
      <c r="V1364" s="32" t="str">
        <f t="shared" si="386"/>
        <v/>
      </c>
      <c r="W1364" s="41">
        <f t="shared" si="383"/>
        <v>3.0502579419823994</v>
      </c>
      <c r="X1364" s="6">
        <f t="shared" si="384"/>
        <v>0</v>
      </c>
      <c r="Y1364" s="7">
        <f t="shared" si="387"/>
        <v>567</v>
      </c>
      <c r="AA1364" s="7">
        <f t="shared" si="388"/>
        <v>0</v>
      </c>
      <c r="AB1364" s="7" t="str">
        <f t="shared" si="389"/>
        <v/>
      </c>
      <c r="AC1364" s="7">
        <f t="shared" si="390"/>
        <v>0</v>
      </c>
      <c r="AD1364" s="7" t="str">
        <f t="shared" si="391"/>
        <v/>
      </c>
      <c r="AE1364" s="6">
        <f t="shared" si="392"/>
        <v>0</v>
      </c>
      <c r="AF1364" s="69">
        <f t="shared" si="393"/>
        <v>3.0502579419823994</v>
      </c>
      <c r="AG1364" s="6">
        <f t="shared" si="394"/>
        <v>109.80928591136637</v>
      </c>
      <c r="AH1364" s="6">
        <f t="shared" si="395"/>
        <v>356</v>
      </c>
    </row>
    <row r="1365" spans="8:34" x14ac:dyDescent="0.25">
      <c r="H1365" s="7">
        <v>1372</v>
      </c>
      <c r="I1365" s="7" t="s">
        <v>7</v>
      </c>
      <c r="J1365" s="8">
        <v>39057</v>
      </c>
      <c r="K1365" s="12" t="s">
        <v>20</v>
      </c>
      <c r="L1365" s="9">
        <v>36</v>
      </c>
      <c r="M1365" s="10">
        <v>109.45657773500436</v>
      </c>
      <c r="N1365" s="7" t="s">
        <v>23</v>
      </c>
      <c r="P1365" s="29" t="str">
        <f t="shared" si="378"/>
        <v/>
      </c>
      <c r="Q1365" s="29" t="str">
        <f t="shared" si="379"/>
        <v/>
      </c>
      <c r="R1365" s="29" t="str">
        <f t="shared" si="380"/>
        <v/>
      </c>
      <c r="S1365" s="29" t="str">
        <f t="shared" si="381"/>
        <v/>
      </c>
      <c r="T1365" s="32" t="str">
        <f t="shared" si="382"/>
        <v/>
      </c>
      <c r="U1365" s="32" t="str">
        <f t="shared" si="385"/>
        <v/>
      </c>
      <c r="V1365" s="32">
        <f t="shared" si="386"/>
        <v>1</v>
      </c>
      <c r="W1365" s="41">
        <f t="shared" si="383"/>
        <v>3.04046049263901</v>
      </c>
      <c r="X1365" s="6">
        <f t="shared" si="384"/>
        <v>0</v>
      </c>
      <c r="Y1365" s="7">
        <f t="shared" si="387"/>
        <v>567</v>
      </c>
      <c r="AA1365" s="7">
        <f t="shared" si="388"/>
        <v>0</v>
      </c>
      <c r="AB1365" s="7" t="str">
        <f t="shared" si="389"/>
        <v/>
      </c>
      <c r="AC1365" s="7">
        <f t="shared" si="390"/>
        <v>0</v>
      </c>
      <c r="AD1365" s="7" t="str">
        <f t="shared" si="391"/>
        <v/>
      </c>
      <c r="AE1365" s="6">
        <f t="shared" si="392"/>
        <v>0</v>
      </c>
      <c r="AF1365" s="69">
        <f t="shared" si="393"/>
        <v>3.04046049263901</v>
      </c>
      <c r="AG1365" s="6">
        <f t="shared" si="394"/>
        <v>0</v>
      </c>
      <c r="AH1365" s="6">
        <f t="shared" si="395"/>
        <v>604</v>
      </c>
    </row>
    <row r="1366" spans="8:34" x14ac:dyDescent="0.25">
      <c r="H1366" s="7">
        <v>1373</v>
      </c>
      <c r="I1366" s="7" t="s">
        <v>14</v>
      </c>
      <c r="J1366" s="8">
        <v>39013</v>
      </c>
      <c r="K1366" s="12" t="s">
        <v>20</v>
      </c>
      <c r="L1366" s="9">
        <v>32</v>
      </c>
      <c r="M1366" s="10">
        <v>97.343399963409695</v>
      </c>
      <c r="N1366" s="7" t="s">
        <v>21</v>
      </c>
      <c r="P1366" s="29" t="str">
        <f t="shared" si="378"/>
        <v/>
      </c>
      <c r="Q1366" s="29" t="str">
        <f t="shared" si="379"/>
        <v/>
      </c>
      <c r="R1366" s="29" t="str">
        <f t="shared" si="380"/>
        <v/>
      </c>
      <c r="S1366" s="29" t="str">
        <f t="shared" si="381"/>
        <v/>
      </c>
      <c r="T1366" s="32" t="str">
        <f t="shared" si="382"/>
        <v/>
      </c>
      <c r="U1366" s="32" t="str">
        <f t="shared" si="385"/>
        <v/>
      </c>
      <c r="V1366" s="32">
        <f t="shared" si="386"/>
        <v>1</v>
      </c>
      <c r="W1366" s="41">
        <f t="shared" si="383"/>
        <v>3.041981248856553</v>
      </c>
      <c r="X1366" s="6">
        <f t="shared" si="384"/>
        <v>0</v>
      </c>
      <c r="Y1366" s="7">
        <f t="shared" si="387"/>
        <v>567</v>
      </c>
      <c r="AA1366" s="7">
        <f t="shared" si="388"/>
        <v>0</v>
      </c>
      <c r="AB1366" s="7" t="str">
        <f t="shared" si="389"/>
        <v/>
      </c>
      <c r="AC1366" s="7">
        <f t="shared" si="390"/>
        <v>0</v>
      </c>
      <c r="AD1366" s="7" t="str">
        <f t="shared" si="391"/>
        <v/>
      </c>
      <c r="AE1366" s="6">
        <f t="shared" si="392"/>
        <v>0</v>
      </c>
      <c r="AF1366" s="69">
        <f t="shared" si="393"/>
        <v>3.041981248856553</v>
      </c>
      <c r="AG1366" s="6">
        <f t="shared" si="394"/>
        <v>0</v>
      </c>
      <c r="AH1366" s="6">
        <f t="shared" si="395"/>
        <v>604</v>
      </c>
    </row>
    <row r="1367" spans="8:34" x14ac:dyDescent="0.25">
      <c r="H1367" s="7">
        <v>1374</v>
      </c>
      <c r="I1367" s="7" t="s">
        <v>12</v>
      </c>
      <c r="J1367" s="8">
        <v>38958</v>
      </c>
      <c r="K1367" s="12" t="s">
        <v>20</v>
      </c>
      <c r="L1367" s="9">
        <v>9</v>
      </c>
      <c r="M1367" s="10">
        <v>29.173034652532433</v>
      </c>
      <c r="N1367" s="7" t="s">
        <v>24</v>
      </c>
      <c r="P1367" s="29" t="str">
        <f t="shared" si="378"/>
        <v/>
      </c>
      <c r="Q1367" s="29" t="str">
        <f t="shared" si="379"/>
        <v/>
      </c>
      <c r="R1367" s="29" t="str">
        <f t="shared" si="380"/>
        <v/>
      </c>
      <c r="S1367" s="29" t="str">
        <f t="shared" si="381"/>
        <v/>
      </c>
      <c r="T1367" s="32" t="str">
        <f t="shared" si="382"/>
        <v/>
      </c>
      <c r="U1367" s="32" t="str">
        <f t="shared" si="385"/>
        <v/>
      </c>
      <c r="V1367" s="32">
        <f t="shared" si="386"/>
        <v>1</v>
      </c>
      <c r="W1367" s="41">
        <f t="shared" si="383"/>
        <v>3.2414482947258261</v>
      </c>
      <c r="X1367" s="6">
        <f t="shared" si="384"/>
        <v>0</v>
      </c>
      <c r="Y1367" s="7">
        <f t="shared" si="387"/>
        <v>567</v>
      </c>
      <c r="AA1367" s="7">
        <f t="shared" si="388"/>
        <v>0</v>
      </c>
      <c r="AB1367" s="7" t="str">
        <f t="shared" si="389"/>
        <v/>
      </c>
      <c r="AC1367" s="7">
        <f t="shared" si="390"/>
        <v>0</v>
      </c>
      <c r="AD1367" s="7" t="str">
        <f t="shared" si="391"/>
        <v/>
      </c>
      <c r="AE1367" s="6">
        <f t="shared" si="392"/>
        <v>0</v>
      </c>
      <c r="AF1367" s="69">
        <f t="shared" si="393"/>
        <v>3.2414482947258261</v>
      </c>
      <c r="AG1367" s="6">
        <f t="shared" si="394"/>
        <v>0</v>
      </c>
      <c r="AH1367" s="6">
        <f t="shared" si="395"/>
        <v>604</v>
      </c>
    </row>
    <row r="1368" spans="8:34" x14ac:dyDescent="0.25">
      <c r="H1368" s="7">
        <v>1375</v>
      </c>
      <c r="I1368" s="7" t="s">
        <v>10</v>
      </c>
      <c r="J1368" s="8">
        <v>38859</v>
      </c>
      <c r="K1368" s="12" t="s">
        <v>18</v>
      </c>
      <c r="L1368" s="9">
        <v>78</v>
      </c>
      <c r="M1368" s="10">
        <v>235.63570757894917</v>
      </c>
      <c r="N1368" s="7" t="s">
        <v>24</v>
      </c>
      <c r="P1368" s="29" t="str">
        <f t="shared" si="378"/>
        <v/>
      </c>
      <c r="Q1368" s="29" t="str">
        <f t="shared" si="379"/>
        <v/>
      </c>
      <c r="R1368" s="29" t="str">
        <f t="shared" si="380"/>
        <v/>
      </c>
      <c r="S1368" s="29" t="str">
        <f t="shared" si="381"/>
        <v/>
      </c>
      <c r="T1368" s="32" t="str">
        <f t="shared" si="382"/>
        <v/>
      </c>
      <c r="U1368" s="32" t="str">
        <f t="shared" si="385"/>
        <v/>
      </c>
      <c r="V1368" s="32">
        <f t="shared" si="386"/>
        <v>1</v>
      </c>
      <c r="W1368" s="41">
        <f t="shared" si="383"/>
        <v>3.0209706099865277</v>
      </c>
      <c r="X1368" s="6">
        <f t="shared" si="384"/>
        <v>0</v>
      </c>
      <c r="Y1368" s="7">
        <f t="shared" si="387"/>
        <v>567</v>
      </c>
      <c r="AA1368" s="7">
        <f t="shared" si="388"/>
        <v>0</v>
      </c>
      <c r="AB1368" s="7" t="str">
        <f t="shared" si="389"/>
        <v/>
      </c>
      <c r="AC1368" s="7">
        <f t="shared" si="390"/>
        <v>0</v>
      </c>
      <c r="AD1368" s="7" t="str">
        <f t="shared" si="391"/>
        <v/>
      </c>
      <c r="AE1368" s="6">
        <f t="shared" si="392"/>
        <v>0</v>
      </c>
      <c r="AF1368" s="69">
        <f t="shared" si="393"/>
        <v>3.0209706099865277</v>
      </c>
      <c r="AG1368" s="6">
        <f t="shared" si="394"/>
        <v>0</v>
      </c>
      <c r="AH1368" s="6">
        <f t="shared" si="395"/>
        <v>604</v>
      </c>
    </row>
    <row r="1369" spans="8:34" x14ac:dyDescent="0.25">
      <c r="H1369" s="7">
        <v>1376</v>
      </c>
      <c r="I1369" s="7" t="s">
        <v>10</v>
      </c>
      <c r="J1369" s="8">
        <v>38375</v>
      </c>
      <c r="K1369" s="12" t="s">
        <v>19</v>
      </c>
      <c r="L1369" s="9">
        <v>55</v>
      </c>
      <c r="M1369" s="10">
        <v>167.69300314757166</v>
      </c>
      <c r="N1369" s="7" t="s">
        <v>23</v>
      </c>
      <c r="P1369" s="29" t="str">
        <f t="shared" si="378"/>
        <v/>
      </c>
      <c r="Q1369" s="29" t="str">
        <f t="shared" si="379"/>
        <v/>
      </c>
      <c r="R1369" s="29" t="str">
        <f t="shared" si="380"/>
        <v/>
      </c>
      <c r="S1369" s="29" t="str">
        <f t="shared" si="381"/>
        <v/>
      </c>
      <c r="T1369" s="32" t="str">
        <f t="shared" si="382"/>
        <v/>
      </c>
      <c r="U1369" s="32">
        <f t="shared" si="385"/>
        <v>1</v>
      </c>
      <c r="V1369" s="32" t="str">
        <f t="shared" si="386"/>
        <v/>
      </c>
      <c r="W1369" s="41">
        <f t="shared" si="383"/>
        <v>3.0489636935922122</v>
      </c>
      <c r="X1369" s="6">
        <f t="shared" si="384"/>
        <v>167.69300314757166</v>
      </c>
      <c r="Y1369" s="7">
        <f t="shared" si="387"/>
        <v>230</v>
      </c>
      <c r="AA1369" s="7">
        <f t="shared" si="388"/>
        <v>1</v>
      </c>
      <c r="AB1369" s="7">
        <f t="shared" si="389"/>
        <v>55</v>
      </c>
      <c r="AC1369" s="7">
        <f t="shared" si="390"/>
        <v>0</v>
      </c>
      <c r="AD1369" s="7" t="str">
        <f t="shared" si="391"/>
        <v/>
      </c>
      <c r="AE1369" s="6">
        <f t="shared" si="392"/>
        <v>0</v>
      </c>
      <c r="AF1369" s="69">
        <f t="shared" si="393"/>
        <v>3.0489636935922122</v>
      </c>
      <c r="AG1369" s="6">
        <f t="shared" si="394"/>
        <v>0</v>
      </c>
      <c r="AH1369" s="6">
        <f t="shared" si="395"/>
        <v>604</v>
      </c>
    </row>
    <row r="1370" spans="8:34" x14ac:dyDescent="0.25">
      <c r="H1370" s="7">
        <v>1377</v>
      </c>
      <c r="I1370" s="7" t="s">
        <v>8</v>
      </c>
      <c r="J1370" s="8">
        <v>38221</v>
      </c>
      <c r="K1370" s="12" t="s">
        <v>20</v>
      </c>
      <c r="L1370" s="9">
        <v>79</v>
      </c>
      <c r="M1370" s="10">
        <v>239.25822655633112</v>
      </c>
      <c r="N1370" s="7" t="s">
        <v>21</v>
      </c>
      <c r="P1370" s="29" t="str">
        <f t="shared" si="378"/>
        <v/>
      </c>
      <c r="Q1370" s="29" t="str">
        <f t="shared" si="379"/>
        <v/>
      </c>
      <c r="R1370" s="29">
        <f t="shared" si="380"/>
        <v>1</v>
      </c>
      <c r="S1370" s="29" t="str">
        <f t="shared" si="381"/>
        <v/>
      </c>
      <c r="T1370" s="32" t="str">
        <f t="shared" si="382"/>
        <v/>
      </c>
      <c r="U1370" s="32" t="str">
        <f t="shared" si="385"/>
        <v/>
      </c>
      <c r="V1370" s="32" t="str">
        <f t="shared" si="386"/>
        <v/>
      </c>
      <c r="W1370" s="41">
        <f t="shared" si="383"/>
        <v>3.0285851462826723</v>
      </c>
      <c r="X1370" s="6">
        <f t="shared" si="384"/>
        <v>0</v>
      </c>
      <c r="Y1370" s="7">
        <f t="shared" si="387"/>
        <v>567</v>
      </c>
      <c r="AA1370" s="7">
        <f t="shared" si="388"/>
        <v>0</v>
      </c>
      <c r="AB1370" s="7" t="str">
        <f t="shared" si="389"/>
        <v/>
      </c>
      <c r="AC1370" s="7">
        <f t="shared" si="390"/>
        <v>0</v>
      </c>
      <c r="AD1370" s="7" t="str">
        <f t="shared" si="391"/>
        <v/>
      </c>
      <c r="AE1370" s="6">
        <f t="shared" si="392"/>
        <v>0</v>
      </c>
      <c r="AF1370" s="69">
        <f t="shared" si="393"/>
        <v>3.0285851462826723</v>
      </c>
      <c r="AG1370" s="6">
        <f t="shared" si="394"/>
        <v>239.25822655633112</v>
      </c>
      <c r="AH1370" s="6">
        <f t="shared" si="395"/>
        <v>93</v>
      </c>
    </row>
    <row r="1371" spans="8:34" x14ac:dyDescent="0.25">
      <c r="H1371" s="7">
        <v>1378</v>
      </c>
      <c r="I1371" s="7" t="s">
        <v>8</v>
      </c>
      <c r="J1371" s="8">
        <v>37990</v>
      </c>
      <c r="K1371" s="12" t="s">
        <v>16</v>
      </c>
      <c r="L1371" s="9">
        <v>9</v>
      </c>
      <c r="M1371" s="10">
        <v>29.36931208514244</v>
      </c>
      <c r="N1371" s="7" t="s">
        <v>21</v>
      </c>
      <c r="P1371" s="29">
        <f t="shared" si="378"/>
        <v>1</v>
      </c>
      <c r="Q1371" s="29" t="str">
        <f t="shared" si="379"/>
        <v/>
      </c>
      <c r="R1371" s="29" t="str">
        <f t="shared" si="380"/>
        <v/>
      </c>
      <c r="S1371" s="29" t="str">
        <f t="shared" si="381"/>
        <v/>
      </c>
      <c r="T1371" s="32" t="str">
        <f t="shared" si="382"/>
        <v/>
      </c>
      <c r="U1371" s="32" t="str">
        <f t="shared" si="385"/>
        <v/>
      </c>
      <c r="V1371" s="32" t="str">
        <f t="shared" si="386"/>
        <v/>
      </c>
      <c r="W1371" s="41">
        <f t="shared" si="383"/>
        <v>3.2632568983491601</v>
      </c>
      <c r="X1371" s="6">
        <f t="shared" si="384"/>
        <v>0</v>
      </c>
      <c r="Y1371" s="7">
        <f t="shared" si="387"/>
        <v>567</v>
      </c>
      <c r="AA1371" s="7">
        <f t="shared" si="388"/>
        <v>0</v>
      </c>
      <c r="AB1371" s="7" t="str">
        <f t="shared" si="389"/>
        <v/>
      </c>
      <c r="AC1371" s="7">
        <f t="shared" si="390"/>
        <v>0</v>
      </c>
      <c r="AD1371" s="7" t="str">
        <f t="shared" si="391"/>
        <v/>
      </c>
      <c r="AE1371" s="6">
        <f t="shared" si="392"/>
        <v>0</v>
      </c>
      <c r="AF1371" s="69">
        <f t="shared" si="393"/>
        <v>3.2632568983491601</v>
      </c>
      <c r="AG1371" s="6">
        <f t="shared" si="394"/>
        <v>29.36931208514244</v>
      </c>
      <c r="AH1371" s="6">
        <f t="shared" si="395"/>
        <v>532</v>
      </c>
    </row>
    <row r="1372" spans="8:34" x14ac:dyDescent="0.25">
      <c r="H1372" s="7">
        <v>1379</v>
      </c>
      <c r="I1372" s="7" t="s">
        <v>7</v>
      </c>
      <c r="J1372" s="8">
        <v>39068</v>
      </c>
      <c r="K1372" s="12" t="s">
        <v>18</v>
      </c>
      <c r="L1372" s="9">
        <v>4</v>
      </c>
      <c r="M1372" s="10">
        <v>14.276329980408619</v>
      </c>
      <c r="N1372" s="7" t="s">
        <v>23</v>
      </c>
      <c r="P1372" s="29" t="str">
        <f t="shared" si="378"/>
        <v/>
      </c>
      <c r="Q1372" s="29" t="str">
        <f t="shared" si="379"/>
        <v/>
      </c>
      <c r="R1372" s="29" t="str">
        <f t="shared" si="380"/>
        <v/>
      </c>
      <c r="S1372" s="29" t="str">
        <f t="shared" si="381"/>
        <v/>
      </c>
      <c r="T1372" s="32" t="str">
        <f t="shared" si="382"/>
        <v/>
      </c>
      <c r="U1372" s="32" t="str">
        <f t="shared" si="385"/>
        <v/>
      </c>
      <c r="V1372" s="32">
        <f t="shared" si="386"/>
        <v>1</v>
      </c>
      <c r="W1372" s="41">
        <f t="shared" si="383"/>
        <v>3.5690824951021547</v>
      </c>
      <c r="X1372" s="6">
        <f t="shared" si="384"/>
        <v>0</v>
      </c>
      <c r="Y1372" s="7">
        <f t="shared" si="387"/>
        <v>567</v>
      </c>
      <c r="AA1372" s="7">
        <f t="shared" si="388"/>
        <v>0</v>
      </c>
      <c r="AB1372" s="7" t="str">
        <f t="shared" si="389"/>
        <v/>
      </c>
      <c r="AC1372" s="7">
        <f t="shared" si="390"/>
        <v>0</v>
      </c>
      <c r="AD1372" s="7" t="str">
        <f t="shared" si="391"/>
        <v/>
      </c>
      <c r="AE1372" s="6">
        <f t="shared" si="392"/>
        <v>0</v>
      </c>
      <c r="AF1372" s="69">
        <f t="shared" si="393"/>
        <v>3.5690824951021547</v>
      </c>
      <c r="AG1372" s="6">
        <f t="shared" si="394"/>
        <v>0</v>
      </c>
      <c r="AH1372" s="6">
        <f t="shared" si="395"/>
        <v>604</v>
      </c>
    </row>
    <row r="1373" spans="8:34" x14ac:dyDescent="0.25">
      <c r="H1373" s="7">
        <v>1380</v>
      </c>
      <c r="I1373" s="7" t="s">
        <v>8</v>
      </c>
      <c r="J1373" s="8">
        <v>38826</v>
      </c>
      <c r="K1373" s="12" t="s">
        <v>20</v>
      </c>
      <c r="L1373" s="9">
        <v>6</v>
      </c>
      <c r="M1373" s="10">
        <v>20.165246376870389</v>
      </c>
      <c r="N1373" s="7" t="s">
        <v>22</v>
      </c>
      <c r="P1373" s="29" t="str">
        <f t="shared" si="378"/>
        <v/>
      </c>
      <c r="Q1373" s="29" t="str">
        <f t="shared" si="379"/>
        <v/>
      </c>
      <c r="R1373" s="29" t="str">
        <f t="shared" si="380"/>
        <v/>
      </c>
      <c r="S1373" s="29" t="str">
        <f t="shared" si="381"/>
        <v/>
      </c>
      <c r="T1373" s="32" t="str">
        <f t="shared" si="382"/>
        <v/>
      </c>
      <c r="U1373" s="32" t="str">
        <f t="shared" si="385"/>
        <v/>
      </c>
      <c r="V1373" s="32">
        <f t="shared" si="386"/>
        <v>1</v>
      </c>
      <c r="W1373" s="41">
        <f t="shared" si="383"/>
        <v>3.3608743961450647</v>
      </c>
      <c r="X1373" s="6">
        <f t="shared" si="384"/>
        <v>0</v>
      </c>
      <c r="Y1373" s="7">
        <f t="shared" si="387"/>
        <v>567</v>
      </c>
      <c r="AA1373" s="7">
        <f t="shared" si="388"/>
        <v>0</v>
      </c>
      <c r="AB1373" s="7" t="str">
        <f t="shared" si="389"/>
        <v/>
      </c>
      <c r="AC1373" s="7">
        <f t="shared" si="390"/>
        <v>0</v>
      </c>
      <c r="AD1373" s="7" t="str">
        <f t="shared" si="391"/>
        <v/>
      </c>
      <c r="AE1373" s="6">
        <f t="shared" si="392"/>
        <v>0</v>
      </c>
      <c r="AF1373" s="69">
        <f t="shared" si="393"/>
        <v>3.3608743961450647</v>
      </c>
      <c r="AG1373" s="6">
        <f t="shared" si="394"/>
        <v>0</v>
      </c>
      <c r="AH1373" s="6">
        <f t="shared" si="395"/>
        <v>604</v>
      </c>
    </row>
    <row r="1374" spans="8:34" x14ac:dyDescent="0.25">
      <c r="H1374" s="7">
        <v>1381</v>
      </c>
      <c r="I1374" s="7" t="s">
        <v>15</v>
      </c>
      <c r="J1374" s="8">
        <v>38496</v>
      </c>
      <c r="K1374" s="12" t="s">
        <v>16</v>
      </c>
      <c r="L1374" s="9">
        <v>18</v>
      </c>
      <c r="M1374" s="10">
        <v>55.91901948813328</v>
      </c>
      <c r="N1374" s="7" t="s">
        <v>22</v>
      </c>
      <c r="P1374" s="29" t="str">
        <f t="shared" si="378"/>
        <v/>
      </c>
      <c r="Q1374" s="29" t="str">
        <f t="shared" si="379"/>
        <v/>
      </c>
      <c r="R1374" s="29" t="str">
        <f t="shared" si="380"/>
        <v/>
      </c>
      <c r="S1374" s="29" t="str">
        <f t="shared" si="381"/>
        <v/>
      </c>
      <c r="T1374" s="32" t="str">
        <f t="shared" si="382"/>
        <v/>
      </c>
      <c r="U1374" s="32">
        <f t="shared" si="385"/>
        <v>1</v>
      </c>
      <c r="V1374" s="32" t="str">
        <f t="shared" si="386"/>
        <v/>
      </c>
      <c r="W1374" s="41">
        <f t="shared" si="383"/>
        <v>3.1066121937851823</v>
      </c>
      <c r="X1374" s="6">
        <f t="shared" si="384"/>
        <v>55.91901948813328</v>
      </c>
      <c r="Y1374" s="7">
        <f t="shared" si="387"/>
        <v>452</v>
      </c>
      <c r="AA1374" s="7">
        <f t="shared" si="388"/>
        <v>0</v>
      </c>
      <c r="AB1374" s="7" t="str">
        <f t="shared" si="389"/>
        <v/>
      </c>
      <c r="AC1374" s="7">
        <f t="shared" si="390"/>
        <v>1</v>
      </c>
      <c r="AD1374" s="7">
        <f t="shared" si="391"/>
        <v>18</v>
      </c>
      <c r="AE1374" s="6">
        <f t="shared" si="392"/>
        <v>0</v>
      </c>
      <c r="AF1374" s="69">
        <f t="shared" si="393"/>
        <v>3.1066121937851823</v>
      </c>
      <c r="AG1374" s="6">
        <f t="shared" si="394"/>
        <v>0</v>
      </c>
      <c r="AH1374" s="6">
        <f t="shared" si="395"/>
        <v>604</v>
      </c>
    </row>
    <row r="1375" spans="8:34" x14ac:dyDescent="0.25">
      <c r="H1375" s="7">
        <v>1382</v>
      </c>
      <c r="I1375" s="7" t="s">
        <v>10</v>
      </c>
      <c r="J1375" s="8">
        <v>38650</v>
      </c>
      <c r="K1375" s="12" t="s">
        <v>16</v>
      </c>
      <c r="L1375" s="9">
        <v>14</v>
      </c>
      <c r="M1375" s="10">
        <v>44.491260768813873</v>
      </c>
      <c r="N1375" s="7" t="s">
        <v>23</v>
      </c>
      <c r="P1375" s="29" t="str">
        <f t="shared" si="378"/>
        <v/>
      </c>
      <c r="Q1375" s="29" t="str">
        <f t="shared" si="379"/>
        <v/>
      </c>
      <c r="R1375" s="29" t="str">
        <f t="shared" si="380"/>
        <v/>
      </c>
      <c r="S1375" s="29" t="str">
        <f t="shared" si="381"/>
        <v/>
      </c>
      <c r="T1375" s="32">
        <f t="shared" si="382"/>
        <v>1</v>
      </c>
      <c r="U1375" s="32">
        <f t="shared" si="385"/>
        <v>1</v>
      </c>
      <c r="V1375" s="32" t="str">
        <f t="shared" si="386"/>
        <v/>
      </c>
      <c r="W1375" s="41">
        <f t="shared" si="383"/>
        <v>3.1779471977724194</v>
      </c>
      <c r="X1375" s="6">
        <f t="shared" si="384"/>
        <v>44.491260768813873</v>
      </c>
      <c r="Y1375" s="7">
        <f t="shared" si="387"/>
        <v>470</v>
      </c>
      <c r="AA1375" s="7">
        <f t="shared" si="388"/>
        <v>0</v>
      </c>
      <c r="AB1375" s="7" t="str">
        <f t="shared" si="389"/>
        <v/>
      </c>
      <c r="AC1375" s="7">
        <f t="shared" si="390"/>
        <v>1</v>
      </c>
      <c r="AD1375" s="7">
        <f t="shared" si="391"/>
        <v>14</v>
      </c>
      <c r="AE1375" s="6">
        <f t="shared" si="392"/>
        <v>0</v>
      </c>
      <c r="AF1375" s="69">
        <f t="shared" si="393"/>
        <v>3.1779471977724194</v>
      </c>
      <c r="AG1375" s="6">
        <f t="shared" si="394"/>
        <v>0</v>
      </c>
      <c r="AH1375" s="6">
        <f t="shared" si="395"/>
        <v>604</v>
      </c>
    </row>
    <row r="1376" spans="8:34" x14ac:dyDescent="0.25">
      <c r="H1376" s="7">
        <v>1383</v>
      </c>
      <c r="I1376" s="7" t="s">
        <v>12</v>
      </c>
      <c r="J1376" s="8">
        <v>38947</v>
      </c>
      <c r="K1376" s="12" t="s">
        <v>17</v>
      </c>
      <c r="L1376" s="9">
        <v>91</v>
      </c>
      <c r="M1376" s="10">
        <v>275.50447930379551</v>
      </c>
      <c r="N1376" s="7" t="s">
        <v>24</v>
      </c>
      <c r="P1376" s="29" t="str">
        <f t="shared" si="378"/>
        <v/>
      </c>
      <c r="Q1376" s="29" t="str">
        <f t="shared" si="379"/>
        <v/>
      </c>
      <c r="R1376" s="29" t="str">
        <f t="shared" si="380"/>
        <v/>
      </c>
      <c r="S1376" s="29" t="str">
        <f t="shared" si="381"/>
        <v/>
      </c>
      <c r="T1376" s="32" t="str">
        <f t="shared" si="382"/>
        <v/>
      </c>
      <c r="U1376" s="32" t="str">
        <f t="shared" si="385"/>
        <v/>
      </c>
      <c r="V1376" s="32">
        <f t="shared" si="386"/>
        <v>1</v>
      </c>
      <c r="W1376" s="41">
        <f t="shared" si="383"/>
        <v>3.0275217505911596</v>
      </c>
      <c r="X1376" s="6">
        <f t="shared" si="384"/>
        <v>0</v>
      </c>
      <c r="Y1376" s="7">
        <f t="shared" si="387"/>
        <v>567</v>
      </c>
      <c r="AA1376" s="7">
        <f t="shared" si="388"/>
        <v>0</v>
      </c>
      <c r="AB1376" s="7" t="str">
        <f t="shared" si="389"/>
        <v/>
      </c>
      <c r="AC1376" s="7">
        <f t="shared" si="390"/>
        <v>0</v>
      </c>
      <c r="AD1376" s="7" t="str">
        <f t="shared" si="391"/>
        <v/>
      </c>
      <c r="AE1376" s="6">
        <f t="shared" si="392"/>
        <v>0</v>
      </c>
      <c r="AF1376" s="69">
        <f t="shared" si="393"/>
        <v>3.0275217505911596</v>
      </c>
      <c r="AG1376" s="6">
        <f t="shared" si="394"/>
        <v>0</v>
      </c>
      <c r="AH1376" s="6">
        <f t="shared" si="395"/>
        <v>604</v>
      </c>
    </row>
    <row r="1377" spans="8:34" x14ac:dyDescent="0.25">
      <c r="H1377" s="7">
        <v>1384</v>
      </c>
      <c r="I1377" s="7" t="s">
        <v>10</v>
      </c>
      <c r="J1377" s="8">
        <v>38694</v>
      </c>
      <c r="K1377" s="12" t="s">
        <v>16</v>
      </c>
      <c r="L1377" s="9">
        <v>74</v>
      </c>
      <c r="M1377" s="10">
        <v>224.07187760825997</v>
      </c>
      <c r="N1377" s="7" t="s">
        <v>21</v>
      </c>
      <c r="P1377" s="29" t="str">
        <f t="shared" si="378"/>
        <v/>
      </c>
      <c r="Q1377" s="29" t="str">
        <f t="shared" si="379"/>
        <v/>
      </c>
      <c r="R1377" s="29" t="str">
        <f t="shared" si="380"/>
        <v/>
      </c>
      <c r="S1377" s="29" t="str">
        <f t="shared" si="381"/>
        <v/>
      </c>
      <c r="T1377" s="32">
        <f t="shared" si="382"/>
        <v>1</v>
      </c>
      <c r="U1377" s="32">
        <f t="shared" si="385"/>
        <v>1</v>
      </c>
      <c r="V1377" s="32" t="str">
        <f t="shared" si="386"/>
        <v/>
      </c>
      <c r="W1377" s="41">
        <f t="shared" si="383"/>
        <v>3.0279983460575672</v>
      </c>
      <c r="X1377" s="6">
        <f t="shared" si="384"/>
        <v>224.07187760825997</v>
      </c>
      <c r="Y1377" s="7">
        <f t="shared" si="387"/>
        <v>134</v>
      </c>
      <c r="AA1377" s="7">
        <f t="shared" si="388"/>
        <v>0</v>
      </c>
      <c r="AB1377" s="7" t="str">
        <f t="shared" si="389"/>
        <v/>
      </c>
      <c r="AC1377" s="7">
        <f t="shared" si="390"/>
        <v>1</v>
      </c>
      <c r="AD1377" s="7">
        <f t="shared" si="391"/>
        <v>74</v>
      </c>
      <c r="AE1377" s="6">
        <f t="shared" si="392"/>
        <v>0</v>
      </c>
      <c r="AF1377" s="69">
        <f t="shared" si="393"/>
        <v>3.0279983460575672</v>
      </c>
      <c r="AG1377" s="6">
        <f t="shared" si="394"/>
        <v>0</v>
      </c>
      <c r="AH1377" s="6">
        <f t="shared" si="395"/>
        <v>604</v>
      </c>
    </row>
    <row r="1378" spans="8:34" x14ac:dyDescent="0.25">
      <c r="H1378" s="7">
        <v>1385</v>
      </c>
      <c r="I1378" s="7" t="s">
        <v>7</v>
      </c>
      <c r="J1378" s="8">
        <v>38199</v>
      </c>
      <c r="K1378" s="12" t="s">
        <v>17</v>
      </c>
      <c r="L1378" s="9">
        <v>47</v>
      </c>
      <c r="M1378" s="10">
        <v>143.8575641603407</v>
      </c>
      <c r="N1378" s="7" t="s">
        <v>23</v>
      </c>
      <c r="P1378" s="29" t="str">
        <f t="shared" si="378"/>
        <v/>
      </c>
      <c r="Q1378" s="29" t="str">
        <f t="shared" si="379"/>
        <v/>
      </c>
      <c r="R1378" s="29">
        <f t="shared" si="380"/>
        <v>1</v>
      </c>
      <c r="S1378" s="29" t="str">
        <f t="shared" si="381"/>
        <v/>
      </c>
      <c r="T1378" s="32" t="str">
        <f t="shared" si="382"/>
        <v/>
      </c>
      <c r="U1378" s="32" t="str">
        <f t="shared" si="385"/>
        <v/>
      </c>
      <c r="V1378" s="32" t="str">
        <f t="shared" si="386"/>
        <v/>
      </c>
      <c r="W1378" s="41">
        <f t="shared" si="383"/>
        <v>3.0607992374540576</v>
      </c>
      <c r="X1378" s="6">
        <f t="shared" si="384"/>
        <v>0</v>
      </c>
      <c r="Y1378" s="7">
        <f t="shared" si="387"/>
        <v>567</v>
      </c>
      <c r="AA1378" s="7">
        <f t="shared" si="388"/>
        <v>0</v>
      </c>
      <c r="AB1378" s="7" t="str">
        <f t="shared" si="389"/>
        <v/>
      </c>
      <c r="AC1378" s="7">
        <f t="shared" si="390"/>
        <v>0</v>
      </c>
      <c r="AD1378" s="7" t="str">
        <f t="shared" si="391"/>
        <v/>
      </c>
      <c r="AE1378" s="6">
        <f t="shared" si="392"/>
        <v>0</v>
      </c>
      <c r="AF1378" s="69">
        <f t="shared" si="393"/>
        <v>3.0607992374540576</v>
      </c>
      <c r="AG1378" s="6">
        <f t="shared" si="394"/>
        <v>143.8575641603407</v>
      </c>
      <c r="AH1378" s="6">
        <f t="shared" si="395"/>
        <v>284</v>
      </c>
    </row>
    <row r="1379" spans="8:34" x14ac:dyDescent="0.25">
      <c r="H1379" s="7">
        <v>1386</v>
      </c>
      <c r="I1379" s="7" t="s">
        <v>11</v>
      </c>
      <c r="J1379" s="8">
        <v>39024</v>
      </c>
      <c r="K1379" s="12" t="s">
        <v>18</v>
      </c>
      <c r="L1379" s="9">
        <v>28</v>
      </c>
      <c r="M1379" s="10">
        <v>86.468289532216389</v>
      </c>
      <c r="N1379" s="7" t="s">
        <v>21</v>
      </c>
      <c r="P1379" s="29" t="str">
        <f t="shared" si="378"/>
        <v/>
      </c>
      <c r="Q1379" s="29" t="str">
        <f t="shared" si="379"/>
        <v/>
      </c>
      <c r="R1379" s="29" t="str">
        <f t="shared" si="380"/>
        <v/>
      </c>
      <c r="S1379" s="29" t="str">
        <f t="shared" si="381"/>
        <v/>
      </c>
      <c r="T1379" s="32" t="str">
        <f t="shared" si="382"/>
        <v/>
      </c>
      <c r="U1379" s="32" t="str">
        <f t="shared" si="385"/>
        <v/>
      </c>
      <c r="V1379" s="32">
        <f t="shared" si="386"/>
        <v>1</v>
      </c>
      <c r="W1379" s="41">
        <f t="shared" si="383"/>
        <v>3.0881531975791567</v>
      </c>
      <c r="X1379" s="6">
        <f t="shared" si="384"/>
        <v>0</v>
      </c>
      <c r="Y1379" s="7">
        <f t="shared" si="387"/>
        <v>567</v>
      </c>
      <c r="AA1379" s="7">
        <f t="shared" si="388"/>
        <v>0</v>
      </c>
      <c r="AB1379" s="7" t="str">
        <f t="shared" si="389"/>
        <v/>
      </c>
      <c r="AC1379" s="7">
        <f t="shared" si="390"/>
        <v>0</v>
      </c>
      <c r="AD1379" s="7" t="str">
        <f t="shared" si="391"/>
        <v/>
      </c>
      <c r="AE1379" s="6">
        <f t="shared" si="392"/>
        <v>0</v>
      </c>
      <c r="AF1379" s="69">
        <f t="shared" si="393"/>
        <v>3.0881531975791567</v>
      </c>
      <c r="AG1379" s="6">
        <f t="shared" si="394"/>
        <v>0</v>
      </c>
      <c r="AH1379" s="6">
        <f t="shared" si="395"/>
        <v>604</v>
      </c>
    </row>
    <row r="1380" spans="8:34" x14ac:dyDescent="0.25">
      <c r="H1380" s="7">
        <v>1387</v>
      </c>
      <c r="I1380" s="7" t="s">
        <v>11</v>
      </c>
      <c r="J1380" s="8">
        <v>38980</v>
      </c>
      <c r="K1380" s="12" t="s">
        <v>16</v>
      </c>
      <c r="L1380" s="9">
        <v>21</v>
      </c>
      <c r="M1380" s="10">
        <v>64.784207766072953</v>
      </c>
      <c r="N1380" s="7" t="s">
        <v>23</v>
      </c>
      <c r="P1380" s="29" t="str">
        <f t="shared" si="378"/>
        <v/>
      </c>
      <c r="Q1380" s="29" t="str">
        <f t="shared" si="379"/>
        <v/>
      </c>
      <c r="R1380" s="29" t="str">
        <f t="shared" si="380"/>
        <v/>
      </c>
      <c r="S1380" s="29" t="str">
        <f t="shared" si="381"/>
        <v/>
      </c>
      <c r="T1380" s="32" t="str">
        <f t="shared" si="382"/>
        <v/>
      </c>
      <c r="U1380" s="32" t="str">
        <f t="shared" si="385"/>
        <v/>
      </c>
      <c r="V1380" s="32">
        <f t="shared" si="386"/>
        <v>1</v>
      </c>
      <c r="W1380" s="41">
        <f t="shared" si="383"/>
        <v>3.0849622745749024</v>
      </c>
      <c r="X1380" s="6">
        <f t="shared" si="384"/>
        <v>0</v>
      </c>
      <c r="Y1380" s="7">
        <f t="shared" si="387"/>
        <v>567</v>
      </c>
      <c r="AA1380" s="7">
        <f t="shared" si="388"/>
        <v>0</v>
      </c>
      <c r="AB1380" s="7" t="str">
        <f t="shared" si="389"/>
        <v/>
      </c>
      <c r="AC1380" s="7">
        <f t="shared" si="390"/>
        <v>0</v>
      </c>
      <c r="AD1380" s="7" t="str">
        <f t="shared" si="391"/>
        <v/>
      </c>
      <c r="AE1380" s="6">
        <f t="shared" si="392"/>
        <v>0</v>
      </c>
      <c r="AF1380" s="69">
        <f t="shared" si="393"/>
        <v>3.0849622745749024</v>
      </c>
      <c r="AG1380" s="6">
        <f t="shared" si="394"/>
        <v>0</v>
      </c>
      <c r="AH1380" s="6">
        <f t="shared" si="395"/>
        <v>604</v>
      </c>
    </row>
    <row r="1381" spans="8:34" x14ac:dyDescent="0.25">
      <c r="H1381" s="7">
        <v>1388</v>
      </c>
      <c r="I1381" s="7" t="s">
        <v>12</v>
      </c>
      <c r="J1381" s="8">
        <v>38441</v>
      </c>
      <c r="K1381" s="12" t="s">
        <v>18</v>
      </c>
      <c r="L1381" s="9">
        <v>52</v>
      </c>
      <c r="M1381" s="10">
        <v>157.69424365413772</v>
      </c>
      <c r="N1381" s="7" t="s">
        <v>21</v>
      </c>
      <c r="P1381" s="29" t="str">
        <f t="shared" si="378"/>
        <v/>
      </c>
      <c r="Q1381" s="29" t="str">
        <f t="shared" si="379"/>
        <v/>
      </c>
      <c r="R1381" s="29" t="str">
        <f t="shared" si="380"/>
        <v/>
      </c>
      <c r="S1381" s="29" t="str">
        <f t="shared" si="381"/>
        <v/>
      </c>
      <c r="T1381" s="32" t="str">
        <f t="shared" si="382"/>
        <v/>
      </c>
      <c r="U1381" s="32">
        <f t="shared" si="385"/>
        <v>1</v>
      </c>
      <c r="V1381" s="32" t="str">
        <f t="shared" si="386"/>
        <v/>
      </c>
      <c r="W1381" s="41">
        <f t="shared" si="383"/>
        <v>3.0325816087334179</v>
      </c>
      <c r="X1381" s="6">
        <f t="shared" si="384"/>
        <v>157.69424365413772</v>
      </c>
      <c r="Y1381" s="7">
        <f t="shared" si="387"/>
        <v>249</v>
      </c>
      <c r="AA1381" s="7">
        <f t="shared" si="388"/>
        <v>1</v>
      </c>
      <c r="AB1381" s="7">
        <f t="shared" si="389"/>
        <v>52</v>
      </c>
      <c r="AC1381" s="7">
        <f t="shared" si="390"/>
        <v>0</v>
      </c>
      <c r="AD1381" s="7" t="str">
        <f t="shared" si="391"/>
        <v/>
      </c>
      <c r="AE1381" s="6">
        <f t="shared" si="392"/>
        <v>0</v>
      </c>
      <c r="AF1381" s="69">
        <f t="shared" si="393"/>
        <v>3.0325816087334179</v>
      </c>
      <c r="AG1381" s="6">
        <f t="shared" si="394"/>
        <v>0</v>
      </c>
      <c r="AH1381" s="6">
        <f t="shared" si="395"/>
        <v>604</v>
      </c>
    </row>
    <row r="1382" spans="8:34" x14ac:dyDescent="0.25">
      <c r="H1382" s="7">
        <v>1389</v>
      </c>
      <c r="I1382" s="7" t="s">
        <v>10</v>
      </c>
      <c r="J1382" s="8">
        <v>38166</v>
      </c>
      <c r="K1382" s="12" t="s">
        <v>19</v>
      </c>
      <c r="L1382" s="9">
        <v>33</v>
      </c>
      <c r="M1382" s="10">
        <v>101.08856134949143</v>
      </c>
      <c r="N1382" s="7" t="s">
        <v>21</v>
      </c>
      <c r="P1382" s="29" t="str">
        <f t="shared" si="378"/>
        <v/>
      </c>
      <c r="Q1382" s="29">
        <f t="shared" si="379"/>
        <v>1</v>
      </c>
      <c r="R1382" s="29" t="str">
        <f t="shared" si="380"/>
        <v/>
      </c>
      <c r="S1382" s="29" t="str">
        <f t="shared" si="381"/>
        <v/>
      </c>
      <c r="T1382" s="32" t="str">
        <f t="shared" si="382"/>
        <v/>
      </c>
      <c r="U1382" s="32" t="str">
        <f t="shared" si="385"/>
        <v/>
      </c>
      <c r="V1382" s="32" t="str">
        <f t="shared" si="386"/>
        <v/>
      </c>
      <c r="W1382" s="41">
        <f t="shared" si="383"/>
        <v>3.0632897378633768</v>
      </c>
      <c r="X1382" s="6">
        <f t="shared" si="384"/>
        <v>0</v>
      </c>
      <c r="Y1382" s="7">
        <f t="shared" si="387"/>
        <v>567</v>
      </c>
      <c r="AA1382" s="7">
        <f t="shared" si="388"/>
        <v>0</v>
      </c>
      <c r="AB1382" s="7" t="str">
        <f t="shared" si="389"/>
        <v/>
      </c>
      <c r="AC1382" s="7">
        <f t="shared" si="390"/>
        <v>0</v>
      </c>
      <c r="AD1382" s="7" t="str">
        <f t="shared" si="391"/>
        <v/>
      </c>
      <c r="AE1382" s="6">
        <f t="shared" si="392"/>
        <v>0</v>
      </c>
      <c r="AF1382" s="69">
        <f t="shared" si="393"/>
        <v>3.0632897378633768</v>
      </c>
      <c r="AG1382" s="6">
        <f t="shared" si="394"/>
        <v>101.08856134949143</v>
      </c>
      <c r="AH1382" s="6">
        <f t="shared" si="395"/>
        <v>371</v>
      </c>
    </row>
    <row r="1383" spans="8:34" x14ac:dyDescent="0.25">
      <c r="H1383" s="7">
        <v>1390</v>
      </c>
      <c r="I1383" s="7" t="s">
        <v>11</v>
      </c>
      <c r="J1383" s="8">
        <v>38023</v>
      </c>
      <c r="K1383" s="12" t="s">
        <v>20</v>
      </c>
      <c r="L1383" s="9">
        <v>-7</v>
      </c>
      <c r="M1383" s="10">
        <v>-19.437923961194201</v>
      </c>
      <c r="N1383" s="7" t="s">
        <v>24</v>
      </c>
      <c r="P1383" s="29">
        <f t="shared" si="378"/>
        <v>1</v>
      </c>
      <c r="Q1383" s="29" t="str">
        <f t="shared" si="379"/>
        <v/>
      </c>
      <c r="R1383" s="29" t="str">
        <f t="shared" si="380"/>
        <v/>
      </c>
      <c r="S1383" s="29" t="str">
        <f t="shared" si="381"/>
        <v/>
      </c>
      <c r="T1383" s="32" t="str">
        <f t="shared" si="382"/>
        <v/>
      </c>
      <c r="U1383" s="32" t="str">
        <f t="shared" si="385"/>
        <v/>
      </c>
      <c r="V1383" s="32" t="str">
        <f t="shared" si="386"/>
        <v/>
      </c>
      <c r="W1383" s="41" t="str">
        <f t="shared" si="383"/>
        <v/>
      </c>
      <c r="X1383" s="6">
        <f t="shared" si="384"/>
        <v>0</v>
      </c>
      <c r="Y1383" s="7">
        <f t="shared" si="387"/>
        <v>567</v>
      </c>
      <c r="AA1383" s="7">
        <f t="shared" si="388"/>
        <v>0</v>
      </c>
      <c r="AB1383" s="7" t="str">
        <f t="shared" si="389"/>
        <v/>
      </c>
      <c r="AC1383" s="7">
        <f t="shared" si="390"/>
        <v>0</v>
      </c>
      <c r="AD1383" s="7" t="str">
        <f t="shared" si="391"/>
        <v/>
      </c>
      <c r="AE1383" s="6">
        <f t="shared" si="392"/>
        <v>-7</v>
      </c>
      <c r="AF1383" s="69" t="str">
        <f t="shared" si="393"/>
        <v/>
      </c>
      <c r="AG1383" s="6">
        <f t="shared" si="394"/>
        <v>0</v>
      </c>
      <c r="AH1383" s="6">
        <f t="shared" si="395"/>
        <v>604</v>
      </c>
    </row>
    <row r="1384" spans="8:34" x14ac:dyDescent="0.25">
      <c r="H1384" s="7">
        <v>1391</v>
      </c>
      <c r="I1384" s="7" t="s">
        <v>12</v>
      </c>
      <c r="J1384" s="8">
        <v>38078</v>
      </c>
      <c r="K1384" s="12" t="s">
        <v>17</v>
      </c>
      <c r="L1384" s="9">
        <v>12</v>
      </c>
      <c r="M1384" s="10">
        <v>38.2380881700618</v>
      </c>
      <c r="N1384" s="7" t="s">
        <v>21</v>
      </c>
      <c r="P1384" s="29" t="str">
        <f t="shared" si="378"/>
        <v/>
      </c>
      <c r="Q1384" s="29">
        <f t="shared" si="379"/>
        <v>1</v>
      </c>
      <c r="R1384" s="29" t="str">
        <f t="shared" si="380"/>
        <v/>
      </c>
      <c r="S1384" s="29" t="str">
        <f t="shared" si="381"/>
        <v/>
      </c>
      <c r="T1384" s="32" t="str">
        <f t="shared" si="382"/>
        <v/>
      </c>
      <c r="U1384" s="32" t="str">
        <f t="shared" si="385"/>
        <v/>
      </c>
      <c r="V1384" s="32" t="str">
        <f t="shared" si="386"/>
        <v/>
      </c>
      <c r="W1384" s="41">
        <f t="shared" si="383"/>
        <v>3.1865073475051502</v>
      </c>
      <c r="X1384" s="6">
        <f t="shared" si="384"/>
        <v>0</v>
      </c>
      <c r="Y1384" s="7">
        <f t="shared" si="387"/>
        <v>567</v>
      </c>
      <c r="AA1384" s="7">
        <f t="shared" si="388"/>
        <v>0</v>
      </c>
      <c r="AB1384" s="7" t="str">
        <f t="shared" si="389"/>
        <v/>
      </c>
      <c r="AC1384" s="7">
        <f t="shared" si="390"/>
        <v>0</v>
      </c>
      <c r="AD1384" s="7" t="str">
        <f t="shared" si="391"/>
        <v/>
      </c>
      <c r="AE1384" s="6">
        <f t="shared" si="392"/>
        <v>0</v>
      </c>
      <c r="AF1384" s="69">
        <f t="shared" si="393"/>
        <v>3.1865073475051502</v>
      </c>
      <c r="AG1384" s="6">
        <f t="shared" si="394"/>
        <v>38.2380881700618</v>
      </c>
      <c r="AH1384" s="6">
        <f t="shared" si="395"/>
        <v>509</v>
      </c>
    </row>
    <row r="1385" spans="8:34" x14ac:dyDescent="0.25">
      <c r="H1385" s="7">
        <v>1392</v>
      </c>
      <c r="I1385" s="7" t="s">
        <v>10</v>
      </c>
      <c r="J1385" s="8">
        <v>38045</v>
      </c>
      <c r="K1385" s="12" t="s">
        <v>16</v>
      </c>
      <c r="L1385" s="9">
        <v>1</v>
      </c>
      <c r="M1385" s="10">
        <v>4.5049727728030682</v>
      </c>
      <c r="N1385" s="7" t="s">
        <v>21</v>
      </c>
      <c r="P1385" s="29">
        <f t="shared" si="378"/>
        <v>1</v>
      </c>
      <c r="Q1385" s="29" t="str">
        <f t="shared" si="379"/>
        <v/>
      </c>
      <c r="R1385" s="29" t="str">
        <f t="shared" si="380"/>
        <v/>
      </c>
      <c r="S1385" s="29" t="str">
        <f t="shared" si="381"/>
        <v/>
      </c>
      <c r="T1385" s="32" t="str">
        <f t="shared" si="382"/>
        <v/>
      </c>
      <c r="U1385" s="32" t="str">
        <f t="shared" si="385"/>
        <v/>
      </c>
      <c r="V1385" s="32" t="str">
        <f t="shared" si="386"/>
        <v/>
      </c>
      <c r="W1385" s="41">
        <f t="shared" si="383"/>
        <v>4.5049727728030682</v>
      </c>
      <c r="X1385" s="6">
        <f t="shared" si="384"/>
        <v>0</v>
      </c>
      <c r="Y1385" s="7">
        <f t="shared" si="387"/>
        <v>567</v>
      </c>
      <c r="AA1385" s="7">
        <f t="shared" si="388"/>
        <v>0</v>
      </c>
      <c r="AB1385" s="7" t="str">
        <f t="shared" si="389"/>
        <v/>
      </c>
      <c r="AC1385" s="7">
        <f t="shared" si="390"/>
        <v>0</v>
      </c>
      <c r="AD1385" s="7" t="str">
        <f t="shared" si="391"/>
        <v/>
      </c>
      <c r="AE1385" s="6">
        <f t="shared" si="392"/>
        <v>0</v>
      </c>
      <c r="AF1385" s="69">
        <f t="shared" si="393"/>
        <v>4.5049727728030682</v>
      </c>
      <c r="AG1385" s="6">
        <f t="shared" si="394"/>
        <v>4.5049727728030682</v>
      </c>
      <c r="AH1385" s="6">
        <f t="shared" si="395"/>
        <v>595</v>
      </c>
    </row>
    <row r="1386" spans="8:34" x14ac:dyDescent="0.25">
      <c r="H1386" s="7">
        <v>1393</v>
      </c>
      <c r="I1386" s="7" t="s">
        <v>7</v>
      </c>
      <c r="J1386" s="8">
        <v>38012</v>
      </c>
      <c r="K1386" s="12" t="s">
        <v>20</v>
      </c>
      <c r="L1386" s="9">
        <v>56</v>
      </c>
      <c r="M1386" s="10">
        <v>169.75770217815491</v>
      </c>
      <c r="N1386" s="7" t="s">
        <v>21</v>
      </c>
      <c r="P1386" s="29">
        <f t="shared" si="378"/>
        <v>1</v>
      </c>
      <c r="Q1386" s="29" t="str">
        <f t="shared" si="379"/>
        <v/>
      </c>
      <c r="R1386" s="29" t="str">
        <f t="shared" si="380"/>
        <v/>
      </c>
      <c r="S1386" s="29" t="str">
        <f t="shared" si="381"/>
        <v/>
      </c>
      <c r="T1386" s="32" t="str">
        <f t="shared" si="382"/>
        <v/>
      </c>
      <c r="U1386" s="32" t="str">
        <f t="shared" si="385"/>
        <v/>
      </c>
      <c r="V1386" s="32" t="str">
        <f t="shared" si="386"/>
        <v/>
      </c>
      <c r="W1386" s="41">
        <f t="shared" si="383"/>
        <v>3.0313875388956233</v>
      </c>
      <c r="X1386" s="6">
        <f t="shared" si="384"/>
        <v>0</v>
      </c>
      <c r="Y1386" s="7">
        <f t="shared" si="387"/>
        <v>567</v>
      </c>
      <c r="AA1386" s="7">
        <f t="shared" si="388"/>
        <v>0</v>
      </c>
      <c r="AB1386" s="7" t="str">
        <f t="shared" si="389"/>
        <v/>
      </c>
      <c r="AC1386" s="7">
        <f t="shared" si="390"/>
        <v>0</v>
      </c>
      <c r="AD1386" s="7" t="str">
        <f t="shared" si="391"/>
        <v/>
      </c>
      <c r="AE1386" s="6">
        <f t="shared" si="392"/>
        <v>0</v>
      </c>
      <c r="AF1386" s="69">
        <f t="shared" si="393"/>
        <v>3.0313875388956233</v>
      </c>
      <c r="AG1386" s="6">
        <f t="shared" si="394"/>
        <v>169.75770217815491</v>
      </c>
      <c r="AH1386" s="6">
        <f t="shared" si="395"/>
        <v>239</v>
      </c>
    </row>
    <row r="1387" spans="8:34" x14ac:dyDescent="0.25">
      <c r="H1387" s="7">
        <v>1394</v>
      </c>
      <c r="I1387" s="7" t="s">
        <v>12</v>
      </c>
      <c r="J1387" s="8">
        <v>38529</v>
      </c>
      <c r="K1387" s="12" t="s">
        <v>18</v>
      </c>
      <c r="L1387" s="9">
        <v>34</v>
      </c>
      <c r="M1387" s="10">
        <v>104.47706646910852</v>
      </c>
      <c r="N1387" s="7" t="s">
        <v>21</v>
      </c>
      <c r="P1387" s="29" t="str">
        <f t="shared" si="378"/>
        <v/>
      </c>
      <c r="Q1387" s="29" t="str">
        <f t="shared" si="379"/>
        <v/>
      </c>
      <c r="R1387" s="29" t="str">
        <f t="shared" si="380"/>
        <v/>
      </c>
      <c r="S1387" s="29" t="str">
        <f t="shared" si="381"/>
        <v/>
      </c>
      <c r="T1387" s="32" t="str">
        <f t="shared" si="382"/>
        <v/>
      </c>
      <c r="U1387" s="32">
        <f t="shared" si="385"/>
        <v>1</v>
      </c>
      <c r="V1387" s="32" t="str">
        <f t="shared" si="386"/>
        <v/>
      </c>
      <c r="W1387" s="41">
        <f t="shared" si="383"/>
        <v>3.0728548961502504</v>
      </c>
      <c r="X1387" s="6">
        <f t="shared" si="384"/>
        <v>104.47706646910852</v>
      </c>
      <c r="Y1387" s="7">
        <f t="shared" si="387"/>
        <v>350</v>
      </c>
      <c r="AA1387" s="7">
        <f t="shared" si="388"/>
        <v>0</v>
      </c>
      <c r="AB1387" s="7" t="str">
        <f t="shared" si="389"/>
        <v/>
      </c>
      <c r="AC1387" s="7">
        <f t="shared" si="390"/>
        <v>1</v>
      </c>
      <c r="AD1387" s="7">
        <f t="shared" si="391"/>
        <v>34</v>
      </c>
      <c r="AE1387" s="6">
        <f t="shared" si="392"/>
        <v>0</v>
      </c>
      <c r="AF1387" s="69">
        <f t="shared" si="393"/>
        <v>3.0728548961502504</v>
      </c>
      <c r="AG1387" s="6">
        <f t="shared" si="394"/>
        <v>0</v>
      </c>
      <c r="AH1387" s="6">
        <f t="shared" si="395"/>
        <v>604</v>
      </c>
    </row>
    <row r="1388" spans="8:34" x14ac:dyDescent="0.25">
      <c r="H1388" s="7">
        <v>1395</v>
      </c>
      <c r="I1388" s="7" t="s">
        <v>15</v>
      </c>
      <c r="J1388" s="8">
        <v>38408</v>
      </c>
      <c r="K1388" s="12" t="s">
        <v>18</v>
      </c>
      <c r="L1388" s="9">
        <v>83</v>
      </c>
      <c r="M1388" s="10">
        <v>250.38974883045833</v>
      </c>
      <c r="N1388" s="7" t="s">
        <v>22</v>
      </c>
      <c r="P1388" s="29" t="str">
        <f t="shared" si="378"/>
        <v/>
      </c>
      <c r="Q1388" s="29" t="str">
        <f t="shared" si="379"/>
        <v/>
      </c>
      <c r="R1388" s="29" t="str">
        <f t="shared" si="380"/>
        <v/>
      </c>
      <c r="S1388" s="29" t="str">
        <f t="shared" si="381"/>
        <v/>
      </c>
      <c r="T1388" s="32" t="str">
        <f t="shared" si="382"/>
        <v/>
      </c>
      <c r="U1388" s="32">
        <f t="shared" si="385"/>
        <v>1</v>
      </c>
      <c r="V1388" s="32" t="str">
        <f t="shared" si="386"/>
        <v/>
      </c>
      <c r="W1388" s="41">
        <f t="shared" si="383"/>
        <v>3.0167439618127512</v>
      </c>
      <c r="X1388" s="6">
        <f t="shared" si="384"/>
        <v>250.38974883045833</v>
      </c>
      <c r="Y1388" s="7">
        <f t="shared" si="387"/>
        <v>82</v>
      </c>
      <c r="AA1388" s="7">
        <f t="shared" si="388"/>
        <v>1</v>
      </c>
      <c r="AB1388" s="7">
        <f t="shared" si="389"/>
        <v>83</v>
      </c>
      <c r="AC1388" s="7">
        <f t="shared" si="390"/>
        <v>0</v>
      </c>
      <c r="AD1388" s="7" t="str">
        <f t="shared" si="391"/>
        <v/>
      </c>
      <c r="AE1388" s="6">
        <f t="shared" si="392"/>
        <v>0</v>
      </c>
      <c r="AF1388" s="69">
        <f t="shared" si="393"/>
        <v>3.0167439618127512</v>
      </c>
      <c r="AG1388" s="6">
        <f t="shared" si="394"/>
        <v>0</v>
      </c>
      <c r="AH1388" s="6">
        <f t="shared" si="395"/>
        <v>604</v>
      </c>
    </row>
    <row r="1389" spans="8:34" x14ac:dyDescent="0.25">
      <c r="H1389" s="7">
        <v>1396</v>
      </c>
      <c r="I1389" s="7" t="s">
        <v>11</v>
      </c>
      <c r="J1389" s="8">
        <v>38430</v>
      </c>
      <c r="K1389" s="12" t="s">
        <v>16</v>
      </c>
      <c r="L1389" s="9">
        <v>-4</v>
      </c>
      <c r="M1389" s="10">
        <v>-10.155624843092607</v>
      </c>
      <c r="N1389" s="7" t="s">
        <v>21</v>
      </c>
      <c r="P1389" s="29" t="str">
        <f t="shared" si="378"/>
        <v/>
      </c>
      <c r="Q1389" s="29" t="str">
        <f t="shared" si="379"/>
        <v/>
      </c>
      <c r="R1389" s="29" t="str">
        <f t="shared" si="380"/>
        <v/>
      </c>
      <c r="S1389" s="29" t="str">
        <f t="shared" si="381"/>
        <v/>
      </c>
      <c r="T1389" s="32" t="str">
        <f t="shared" si="382"/>
        <v/>
      </c>
      <c r="U1389" s="32">
        <f t="shared" si="385"/>
        <v>1</v>
      </c>
      <c r="V1389" s="32" t="str">
        <f t="shared" si="386"/>
        <v/>
      </c>
      <c r="W1389" s="41" t="str">
        <f t="shared" si="383"/>
        <v/>
      </c>
      <c r="X1389" s="6">
        <f t="shared" si="384"/>
        <v>-10.155624843092607</v>
      </c>
      <c r="Y1389" s="7">
        <f t="shared" si="387"/>
        <v>1861</v>
      </c>
      <c r="AA1389" s="7">
        <f t="shared" si="388"/>
        <v>1</v>
      </c>
      <c r="AB1389" s="7">
        <f t="shared" si="389"/>
        <v>-4</v>
      </c>
      <c r="AC1389" s="7">
        <f t="shared" si="390"/>
        <v>0</v>
      </c>
      <c r="AD1389" s="7" t="str">
        <f t="shared" si="391"/>
        <v/>
      </c>
      <c r="AE1389" s="6">
        <f t="shared" si="392"/>
        <v>-4</v>
      </c>
      <c r="AF1389" s="69" t="str">
        <f t="shared" si="393"/>
        <v/>
      </c>
      <c r="AG1389" s="6">
        <f t="shared" si="394"/>
        <v>0</v>
      </c>
      <c r="AH1389" s="6">
        <f t="shared" si="395"/>
        <v>604</v>
      </c>
    </row>
    <row r="1390" spans="8:34" x14ac:dyDescent="0.25">
      <c r="H1390" s="7">
        <v>1397</v>
      </c>
      <c r="I1390" s="7" t="s">
        <v>12</v>
      </c>
      <c r="J1390" s="8">
        <v>38386</v>
      </c>
      <c r="K1390" s="12" t="s">
        <v>18</v>
      </c>
      <c r="L1390" s="9">
        <v>9</v>
      </c>
      <c r="M1390" s="10">
        <v>29.703664221901175</v>
      </c>
      <c r="N1390" s="7" t="s">
        <v>21</v>
      </c>
      <c r="P1390" s="29" t="str">
        <f t="shared" si="378"/>
        <v/>
      </c>
      <c r="Q1390" s="29" t="str">
        <f t="shared" si="379"/>
        <v/>
      </c>
      <c r="R1390" s="29" t="str">
        <f t="shared" si="380"/>
        <v/>
      </c>
      <c r="S1390" s="29" t="str">
        <f t="shared" si="381"/>
        <v/>
      </c>
      <c r="T1390" s="32" t="str">
        <f t="shared" si="382"/>
        <v/>
      </c>
      <c r="U1390" s="32">
        <f t="shared" si="385"/>
        <v>1</v>
      </c>
      <c r="V1390" s="32" t="str">
        <f t="shared" si="386"/>
        <v/>
      </c>
      <c r="W1390" s="41">
        <f t="shared" si="383"/>
        <v>3.3004071357667972</v>
      </c>
      <c r="X1390" s="6">
        <f t="shared" si="384"/>
        <v>29.703664221901175</v>
      </c>
      <c r="Y1390" s="7">
        <f t="shared" si="387"/>
        <v>501</v>
      </c>
      <c r="AA1390" s="7">
        <f t="shared" si="388"/>
        <v>1</v>
      </c>
      <c r="AB1390" s="7">
        <f t="shared" si="389"/>
        <v>9</v>
      </c>
      <c r="AC1390" s="7">
        <f t="shared" si="390"/>
        <v>0</v>
      </c>
      <c r="AD1390" s="7" t="str">
        <f t="shared" si="391"/>
        <v/>
      </c>
      <c r="AE1390" s="6">
        <f t="shared" si="392"/>
        <v>0</v>
      </c>
      <c r="AF1390" s="69">
        <f t="shared" si="393"/>
        <v>3.3004071357667972</v>
      </c>
      <c r="AG1390" s="6">
        <f t="shared" si="394"/>
        <v>0</v>
      </c>
      <c r="AH1390" s="6">
        <f t="shared" si="395"/>
        <v>604</v>
      </c>
    </row>
    <row r="1391" spans="8:34" x14ac:dyDescent="0.25">
      <c r="H1391" s="7">
        <v>1398</v>
      </c>
      <c r="I1391" s="7" t="s">
        <v>8</v>
      </c>
      <c r="J1391" s="8">
        <v>38122</v>
      </c>
      <c r="K1391" s="12" t="s">
        <v>16</v>
      </c>
      <c r="L1391" s="9">
        <v>64</v>
      </c>
      <c r="M1391" s="10">
        <v>193.99078398349641</v>
      </c>
      <c r="N1391" s="7" t="s">
        <v>23</v>
      </c>
      <c r="P1391" s="29" t="str">
        <f t="shared" si="378"/>
        <v/>
      </c>
      <c r="Q1391" s="29">
        <f t="shared" si="379"/>
        <v>1</v>
      </c>
      <c r="R1391" s="29" t="str">
        <f t="shared" si="380"/>
        <v/>
      </c>
      <c r="S1391" s="29" t="str">
        <f t="shared" si="381"/>
        <v/>
      </c>
      <c r="T1391" s="32" t="str">
        <f t="shared" si="382"/>
        <v/>
      </c>
      <c r="U1391" s="32" t="str">
        <f t="shared" si="385"/>
        <v/>
      </c>
      <c r="V1391" s="32" t="str">
        <f t="shared" si="386"/>
        <v/>
      </c>
      <c r="W1391" s="41">
        <f t="shared" si="383"/>
        <v>3.0311059997421315</v>
      </c>
      <c r="X1391" s="6">
        <f t="shared" si="384"/>
        <v>0</v>
      </c>
      <c r="Y1391" s="7">
        <f t="shared" si="387"/>
        <v>567</v>
      </c>
      <c r="AA1391" s="7">
        <f t="shared" si="388"/>
        <v>0</v>
      </c>
      <c r="AB1391" s="7" t="str">
        <f t="shared" si="389"/>
        <v/>
      </c>
      <c r="AC1391" s="7">
        <f t="shared" si="390"/>
        <v>0</v>
      </c>
      <c r="AD1391" s="7" t="str">
        <f t="shared" si="391"/>
        <v/>
      </c>
      <c r="AE1391" s="6">
        <f t="shared" si="392"/>
        <v>0</v>
      </c>
      <c r="AF1391" s="69">
        <f t="shared" si="393"/>
        <v>3.0311059997421315</v>
      </c>
      <c r="AG1391" s="6">
        <f t="shared" si="394"/>
        <v>193.99078398349641</v>
      </c>
      <c r="AH1391" s="6">
        <f t="shared" si="395"/>
        <v>184</v>
      </c>
    </row>
    <row r="1392" spans="8:34" x14ac:dyDescent="0.25">
      <c r="H1392" s="7">
        <v>1399</v>
      </c>
      <c r="I1392" s="7" t="s">
        <v>15</v>
      </c>
      <c r="J1392" s="8">
        <v>38122</v>
      </c>
      <c r="K1392" s="12" t="s">
        <v>17</v>
      </c>
      <c r="L1392" s="9">
        <v>13</v>
      </c>
      <c r="M1392" s="10">
        <v>40.947424828889474</v>
      </c>
      <c r="N1392" s="7" t="s">
        <v>21</v>
      </c>
      <c r="P1392" s="29" t="str">
        <f t="shared" si="378"/>
        <v/>
      </c>
      <c r="Q1392" s="29">
        <f t="shared" si="379"/>
        <v>1</v>
      </c>
      <c r="R1392" s="29" t="str">
        <f t="shared" si="380"/>
        <v/>
      </c>
      <c r="S1392" s="29" t="str">
        <f t="shared" si="381"/>
        <v/>
      </c>
      <c r="T1392" s="32" t="str">
        <f t="shared" si="382"/>
        <v/>
      </c>
      <c r="U1392" s="32" t="str">
        <f t="shared" si="385"/>
        <v/>
      </c>
      <c r="V1392" s="32" t="str">
        <f t="shared" si="386"/>
        <v/>
      </c>
      <c r="W1392" s="41">
        <f t="shared" si="383"/>
        <v>3.1498019099145749</v>
      </c>
      <c r="X1392" s="6">
        <f t="shared" si="384"/>
        <v>0</v>
      </c>
      <c r="Y1392" s="7">
        <f t="shared" si="387"/>
        <v>567</v>
      </c>
      <c r="AA1392" s="7">
        <f t="shared" si="388"/>
        <v>0</v>
      </c>
      <c r="AB1392" s="7" t="str">
        <f t="shared" si="389"/>
        <v/>
      </c>
      <c r="AC1392" s="7">
        <f t="shared" si="390"/>
        <v>0</v>
      </c>
      <c r="AD1392" s="7" t="str">
        <f t="shared" si="391"/>
        <v/>
      </c>
      <c r="AE1392" s="6">
        <f t="shared" si="392"/>
        <v>0</v>
      </c>
      <c r="AF1392" s="69">
        <f t="shared" si="393"/>
        <v>3.1498019099145749</v>
      </c>
      <c r="AG1392" s="6">
        <f t="shared" si="394"/>
        <v>40.947424828889474</v>
      </c>
      <c r="AH1392" s="6">
        <f t="shared" si="395"/>
        <v>501</v>
      </c>
    </row>
    <row r="1393" spans="8:34" x14ac:dyDescent="0.25">
      <c r="H1393" s="7">
        <v>1400</v>
      </c>
      <c r="I1393" s="7" t="s">
        <v>10</v>
      </c>
      <c r="J1393" s="8">
        <v>38100</v>
      </c>
      <c r="K1393" s="12" t="s">
        <v>17</v>
      </c>
      <c r="L1393" s="9">
        <v>9</v>
      </c>
      <c r="M1393" s="10">
        <v>28.683682099948655</v>
      </c>
      <c r="N1393" s="7" t="s">
        <v>21</v>
      </c>
      <c r="P1393" s="29" t="str">
        <f t="shared" si="378"/>
        <v/>
      </c>
      <c r="Q1393" s="29">
        <f t="shared" si="379"/>
        <v>1</v>
      </c>
      <c r="R1393" s="29" t="str">
        <f t="shared" si="380"/>
        <v/>
      </c>
      <c r="S1393" s="29" t="str">
        <f t="shared" si="381"/>
        <v/>
      </c>
      <c r="T1393" s="32" t="str">
        <f t="shared" si="382"/>
        <v/>
      </c>
      <c r="U1393" s="32" t="str">
        <f t="shared" si="385"/>
        <v/>
      </c>
      <c r="V1393" s="32" t="str">
        <f t="shared" si="386"/>
        <v/>
      </c>
      <c r="W1393" s="41">
        <f t="shared" si="383"/>
        <v>3.1870757888831838</v>
      </c>
      <c r="X1393" s="6">
        <f t="shared" si="384"/>
        <v>0</v>
      </c>
      <c r="Y1393" s="7">
        <f t="shared" si="387"/>
        <v>567</v>
      </c>
      <c r="AA1393" s="7">
        <f t="shared" si="388"/>
        <v>0</v>
      </c>
      <c r="AB1393" s="7" t="str">
        <f t="shared" si="389"/>
        <v/>
      </c>
      <c r="AC1393" s="7">
        <f t="shared" si="390"/>
        <v>0</v>
      </c>
      <c r="AD1393" s="7" t="str">
        <f t="shared" si="391"/>
        <v/>
      </c>
      <c r="AE1393" s="6">
        <f t="shared" si="392"/>
        <v>0</v>
      </c>
      <c r="AF1393" s="69">
        <f t="shared" si="393"/>
        <v>3.1870757888831838</v>
      </c>
      <c r="AG1393" s="6">
        <f t="shared" si="394"/>
        <v>28.683682099948655</v>
      </c>
      <c r="AH1393" s="6">
        <f t="shared" si="395"/>
        <v>538</v>
      </c>
    </row>
    <row r="1394" spans="8:34" x14ac:dyDescent="0.25">
      <c r="H1394" s="7">
        <v>1401</v>
      </c>
      <c r="I1394" s="7" t="s">
        <v>13</v>
      </c>
      <c r="J1394" s="8">
        <v>38980</v>
      </c>
      <c r="K1394" s="12" t="s">
        <v>17</v>
      </c>
      <c r="L1394" s="9">
        <v>6</v>
      </c>
      <c r="M1394" s="10">
        <v>19.546281446888681</v>
      </c>
      <c r="N1394" s="7" t="s">
        <v>23</v>
      </c>
      <c r="P1394" s="29" t="str">
        <f t="shared" si="378"/>
        <v/>
      </c>
      <c r="Q1394" s="29" t="str">
        <f t="shared" si="379"/>
        <v/>
      </c>
      <c r="R1394" s="29" t="str">
        <f t="shared" si="380"/>
        <v/>
      </c>
      <c r="S1394" s="29" t="str">
        <f t="shared" si="381"/>
        <v/>
      </c>
      <c r="T1394" s="32" t="str">
        <f t="shared" si="382"/>
        <v/>
      </c>
      <c r="U1394" s="32" t="str">
        <f t="shared" si="385"/>
        <v/>
      </c>
      <c r="V1394" s="32">
        <f t="shared" si="386"/>
        <v>1</v>
      </c>
      <c r="W1394" s="41">
        <f t="shared" si="383"/>
        <v>3.2577135744814467</v>
      </c>
      <c r="X1394" s="6">
        <f t="shared" si="384"/>
        <v>0</v>
      </c>
      <c r="Y1394" s="7">
        <f t="shared" si="387"/>
        <v>567</v>
      </c>
      <c r="AA1394" s="7">
        <f t="shared" si="388"/>
        <v>0</v>
      </c>
      <c r="AB1394" s="7" t="str">
        <f t="shared" si="389"/>
        <v/>
      </c>
      <c r="AC1394" s="7">
        <f t="shared" si="390"/>
        <v>0</v>
      </c>
      <c r="AD1394" s="7" t="str">
        <f t="shared" si="391"/>
        <v/>
      </c>
      <c r="AE1394" s="6">
        <f t="shared" si="392"/>
        <v>0</v>
      </c>
      <c r="AF1394" s="69">
        <f t="shared" si="393"/>
        <v>3.2577135744814467</v>
      </c>
      <c r="AG1394" s="6">
        <f t="shared" si="394"/>
        <v>0</v>
      </c>
      <c r="AH1394" s="6">
        <f t="shared" si="395"/>
        <v>604</v>
      </c>
    </row>
    <row r="1395" spans="8:34" x14ac:dyDescent="0.25">
      <c r="H1395" s="7">
        <v>1402</v>
      </c>
      <c r="I1395" s="7" t="s">
        <v>9</v>
      </c>
      <c r="J1395" s="8">
        <v>38859</v>
      </c>
      <c r="K1395" s="12" t="s">
        <v>18</v>
      </c>
      <c r="L1395" s="9">
        <v>55</v>
      </c>
      <c r="M1395" s="10">
        <v>167.0921059108752</v>
      </c>
      <c r="N1395" s="7" t="s">
        <v>22</v>
      </c>
      <c r="P1395" s="29" t="str">
        <f t="shared" si="378"/>
        <v/>
      </c>
      <c r="Q1395" s="29" t="str">
        <f t="shared" si="379"/>
        <v/>
      </c>
      <c r="R1395" s="29" t="str">
        <f t="shared" si="380"/>
        <v/>
      </c>
      <c r="S1395" s="29" t="str">
        <f t="shared" si="381"/>
        <v/>
      </c>
      <c r="T1395" s="32" t="str">
        <f t="shared" si="382"/>
        <v/>
      </c>
      <c r="U1395" s="32" t="str">
        <f t="shared" si="385"/>
        <v/>
      </c>
      <c r="V1395" s="32">
        <f t="shared" si="386"/>
        <v>1</v>
      </c>
      <c r="W1395" s="41">
        <f t="shared" si="383"/>
        <v>3.0380382892886399</v>
      </c>
      <c r="X1395" s="6">
        <f t="shared" si="384"/>
        <v>0</v>
      </c>
      <c r="Y1395" s="7">
        <f t="shared" si="387"/>
        <v>567</v>
      </c>
      <c r="AA1395" s="7">
        <f t="shared" si="388"/>
        <v>0</v>
      </c>
      <c r="AB1395" s="7" t="str">
        <f t="shared" si="389"/>
        <v/>
      </c>
      <c r="AC1395" s="7">
        <f t="shared" si="390"/>
        <v>0</v>
      </c>
      <c r="AD1395" s="7" t="str">
        <f t="shared" si="391"/>
        <v/>
      </c>
      <c r="AE1395" s="6">
        <f t="shared" si="392"/>
        <v>0</v>
      </c>
      <c r="AF1395" s="69">
        <f t="shared" si="393"/>
        <v>3.0380382892886399</v>
      </c>
      <c r="AG1395" s="6">
        <f t="shared" si="394"/>
        <v>0</v>
      </c>
      <c r="AH1395" s="6">
        <f t="shared" si="395"/>
        <v>604</v>
      </c>
    </row>
    <row r="1396" spans="8:34" x14ac:dyDescent="0.25">
      <c r="H1396" s="7">
        <v>1403</v>
      </c>
      <c r="I1396" s="7" t="s">
        <v>14</v>
      </c>
      <c r="J1396" s="8">
        <v>38870</v>
      </c>
      <c r="K1396" s="12" t="s">
        <v>19</v>
      </c>
      <c r="L1396" s="9">
        <v>64</v>
      </c>
      <c r="M1396" s="10">
        <v>194.83490930195086</v>
      </c>
      <c r="N1396" s="7" t="s">
        <v>21</v>
      </c>
      <c r="P1396" s="29" t="str">
        <f t="shared" si="378"/>
        <v/>
      </c>
      <c r="Q1396" s="29" t="str">
        <f t="shared" si="379"/>
        <v/>
      </c>
      <c r="R1396" s="29" t="str">
        <f t="shared" si="380"/>
        <v/>
      </c>
      <c r="S1396" s="29" t="str">
        <f t="shared" si="381"/>
        <v/>
      </c>
      <c r="T1396" s="32" t="str">
        <f t="shared" si="382"/>
        <v/>
      </c>
      <c r="U1396" s="32" t="str">
        <f t="shared" si="385"/>
        <v/>
      </c>
      <c r="V1396" s="32">
        <f t="shared" si="386"/>
        <v>1</v>
      </c>
      <c r="W1396" s="41">
        <f t="shared" si="383"/>
        <v>3.0442954578429822</v>
      </c>
      <c r="X1396" s="6">
        <f t="shared" si="384"/>
        <v>0</v>
      </c>
      <c r="Y1396" s="7">
        <f t="shared" si="387"/>
        <v>567</v>
      </c>
      <c r="AA1396" s="7">
        <f t="shared" si="388"/>
        <v>0</v>
      </c>
      <c r="AB1396" s="7" t="str">
        <f t="shared" si="389"/>
        <v/>
      </c>
      <c r="AC1396" s="7">
        <f t="shared" si="390"/>
        <v>0</v>
      </c>
      <c r="AD1396" s="7" t="str">
        <f t="shared" si="391"/>
        <v/>
      </c>
      <c r="AE1396" s="6">
        <f t="shared" si="392"/>
        <v>0</v>
      </c>
      <c r="AF1396" s="69">
        <f t="shared" si="393"/>
        <v>3.0442954578429822</v>
      </c>
      <c r="AG1396" s="6">
        <f t="shared" si="394"/>
        <v>0</v>
      </c>
      <c r="AH1396" s="6">
        <f t="shared" si="395"/>
        <v>604</v>
      </c>
    </row>
    <row r="1397" spans="8:34" x14ac:dyDescent="0.25">
      <c r="H1397" s="7">
        <v>1404</v>
      </c>
      <c r="I1397" s="7" t="s">
        <v>7</v>
      </c>
      <c r="J1397" s="8">
        <v>38518</v>
      </c>
      <c r="K1397" s="12" t="s">
        <v>17</v>
      </c>
      <c r="L1397" s="9">
        <v>27</v>
      </c>
      <c r="M1397" s="10">
        <v>82.654748876430304</v>
      </c>
      <c r="N1397" s="7" t="s">
        <v>24</v>
      </c>
      <c r="P1397" s="29" t="str">
        <f t="shared" si="378"/>
        <v/>
      </c>
      <c r="Q1397" s="29" t="str">
        <f t="shared" si="379"/>
        <v/>
      </c>
      <c r="R1397" s="29" t="str">
        <f t="shared" si="380"/>
        <v/>
      </c>
      <c r="S1397" s="29" t="str">
        <f t="shared" si="381"/>
        <v/>
      </c>
      <c r="T1397" s="32" t="str">
        <f t="shared" si="382"/>
        <v/>
      </c>
      <c r="U1397" s="32">
        <f t="shared" si="385"/>
        <v>1</v>
      </c>
      <c r="V1397" s="32" t="str">
        <f t="shared" si="386"/>
        <v/>
      </c>
      <c r="W1397" s="41">
        <f t="shared" si="383"/>
        <v>3.0612869954233446</v>
      </c>
      <c r="X1397" s="6">
        <f t="shared" si="384"/>
        <v>82.654748876430304</v>
      </c>
      <c r="Y1397" s="7">
        <f t="shared" si="387"/>
        <v>398</v>
      </c>
      <c r="AA1397" s="7">
        <f t="shared" si="388"/>
        <v>0</v>
      </c>
      <c r="AB1397" s="7" t="str">
        <f t="shared" si="389"/>
        <v/>
      </c>
      <c r="AC1397" s="7">
        <f t="shared" si="390"/>
        <v>1</v>
      </c>
      <c r="AD1397" s="7">
        <f t="shared" si="391"/>
        <v>27</v>
      </c>
      <c r="AE1397" s="6">
        <f t="shared" si="392"/>
        <v>0</v>
      </c>
      <c r="AF1397" s="69">
        <f t="shared" si="393"/>
        <v>3.0612869954233446</v>
      </c>
      <c r="AG1397" s="6">
        <f t="shared" si="394"/>
        <v>0</v>
      </c>
      <c r="AH1397" s="6">
        <f t="shared" si="395"/>
        <v>604</v>
      </c>
    </row>
    <row r="1398" spans="8:34" x14ac:dyDescent="0.25">
      <c r="H1398" s="7">
        <v>1405</v>
      </c>
      <c r="I1398" s="7" t="s">
        <v>14</v>
      </c>
      <c r="J1398" s="8">
        <v>38276</v>
      </c>
      <c r="K1398" s="12" t="s">
        <v>17</v>
      </c>
      <c r="L1398" s="9">
        <v>4</v>
      </c>
      <c r="M1398" s="10">
        <v>14.358367110038117</v>
      </c>
      <c r="N1398" s="7" t="s">
        <v>23</v>
      </c>
      <c r="P1398" s="29" t="str">
        <f t="shared" si="378"/>
        <v/>
      </c>
      <c r="Q1398" s="29" t="str">
        <f t="shared" si="379"/>
        <v/>
      </c>
      <c r="R1398" s="29" t="str">
        <f t="shared" si="380"/>
        <v/>
      </c>
      <c r="S1398" s="29">
        <f t="shared" si="381"/>
        <v>1</v>
      </c>
      <c r="T1398" s="32" t="str">
        <f t="shared" si="382"/>
        <v/>
      </c>
      <c r="U1398" s="32" t="str">
        <f t="shared" si="385"/>
        <v/>
      </c>
      <c r="V1398" s="32" t="str">
        <f t="shared" si="386"/>
        <v/>
      </c>
      <c r="W1398" s="41">
        <f t="shared" si="383"/>
        <v>3.5895917775095292</v>
      </c>
      <c r="X1398" s="6">
        <f t="shared" si="384"/>
        <v>0</v>
      </c>
      <c r="Y1398" s="7">
        <f t="shared" si="387"/>
        <v>567</v>
      </c>
      <c r="AA1398" s="7">
        <f t="shared" si="388"/>
        <v>0</v>
      </c>
      <c r="AB1398" s="7" t="str">
        <f t="shared" si="389"/>
        <v/>
      </c>
      <c r="AC1398" s="7">
        <f t="shared" si="390"/>
        <v>0</v>
      </c>
      <c r="AD1398" s="7" t="str">
        <f t="shared" si="391"/>
        <v/>
      </c>
      <c r="AE1398" s="6">
        <f t="shared" si="392"/>
        <v>0</v>
      </c>
      <c r="AF1398" s="69">
        <f t="shared" si="393"/>
        <v>3.5895917775095292</v>
      </c>
      <c r="AG1398" s="6">
        <f t="shared" si="394"/>
        <v>14.358367110038117</v>
      </c>
      <c r="AH1398" s="6">
        <f t="shared" si="395"/>
        <v>575</v>
      </c>
    </row>
    <row r="1399" spans="8:34" x14ac:dyDescent="0.25">
      <c r="H1399" s="7">
        <v>1406</v>
      </c>
      <c r="I1399" s="7" t="s">
        <v>15</v>
      </c>
      <c r="J1399" s="8">
        <v>38661</v>
      </c>
      <c r="K1399" s="12" t="s">
        <v>17</v>
      </c>
      <c r="L1399" s="9">
        <v>17</v>
      </c>
      <c r="M1399" s="10">
        <v>53.450226015325889</v>
      </c>
      <c r="N1399" s="7" t="s">
        <v>22</v>
      </c>
      <c r="P1399" s="29" t="str">
        <f t="shared" si="378"/>
        <v/>
      </c>
      <c r="Q1399" s="29" t="str">
        <f t="shared" si="379"/>
        <v/>
      </c>
      <c r="R1399" s="29" t="str">
        <f t="shared" si="380"/>
        <v/>
      </c>
      <c r="S1399" s="29" t="str">
        <f t="shared" si="381"/>
        <v/>
      </c>
      <c r="T1399" s="32">
        <f t="shared" si="382"/>
        <v>1</v>
      </c>
      <c r="U1399" s="32">
        <f t="shared" si="385"/>
        <v>1</v>
      </c>
      <c r="V1399" s="32" t="str">
        <f t="shared" si="386"/>
        <v/>
      </c>
      <c r="W1399" s="41">
        <f t="shared" si="383"/>
        <v>3.1441309420779935</v>
      </c>
      <c r="X1399" s="6">
        <f t="shared" si="384"/>
        <v>53.450226015325889</v>
      </c>
      <c r="Y1399" s="7">
        <f t="shared" si="387"/>
        <v>455</v>
      </c>
      <c r="AA1399" s="7">
        <f t="shared" si="388"/>
        <v>0</v>
      </c>
      <c r="AB1399" s="7" t="str">
        <f t="shared" si="389"/>
        <v/>
      </c>
      <c r="AC1399" s="7">
        <f t="shared" si="390"/>
        <v>1</v>
      </c>
      <c r="AD1399" s="7">
        <f t="shared" si="391"/>
        <v>17</v>
      </c>
      <c r="AE1399" s="6">
        <f t="shared" si="392"/>
        <v>0</v>
      </c>
      <c r="AF1399" s="69">
        <f t="shared" si="393"/>
        <v>3.1441309420779935</v>
      </c>
      <c r="AG1399" s="6">
        <f t="shared" si="394"/>
        <v>0</v>
      </c>
      <c r="AH1399" s="6">
        <f t="shared" si="395"/>
        <v>604</v>
      </c>
    </row>
    <row r="1400" spans="8:34" x14ac:dyDescent="0.25">
      <c r="H1400" s="7">
        <v>1407</v>
      </c>
      <c r="I1400" s="7" t="s">
        <v>9</v>
      </c>
      <c r="J1400" s="8">
        <v>38947</v>
      </c>
      <c r="K1400" s="12" t="s">
        <v>17</v>
      </c>
      <c r="L1400" s="9">
        <v>24</v>
      </c>
      <c r="M1400" s="10">
        <v>74.287417398883491</v>
      </c>
      <c r="N1400" s="7" t="s">
        <v>24</v>
      </c>
      <c r="P1400" s="29" t="str">
        <f t="shared" si="378"/>
        <v/>
      </c>
      <c r="Q1400" s="29" t="str">
        <f t="shared" si="379"/>
        <v/>
      </c>
      <c r="R1400" s="29" t="str">
        <f t="shared" si="380"/>
        <v/>
      </c>
      <c r="S1400" s="29" t="str">
        <f t="shared" si="381"/>
        <v/>
      </c>
      <c r="T1400" s="32" t="str">
        <f t="shared" si="382"/>
        <v/>
      </c>
      <c r="U1400" s="32" t="str">
        <f t="shared" si="385"/>
        <v/>
      </c>
      <c r="V1400" s="32">
        <f t="shared" si="386"/>
        <v>1</v>
      </c>
      <c r="W1400" s="41">
        <f t="shared" si="383"/>
        <v>3.0953090582868121</v>
      </c>
      <c r="X1400" s="6">
        <f t="shared" si="384"/>
        <v>0</v>
      </c>
      <c r="Y1400" s="7">
        <f t="shared" si="387"/>
        <v>567</v>
      </c>
      <c r="AA1400" s="7">
        <f t="shared" si="388"/>
        <v>0</v>
      </c>
      <c r="AB1400" s="7" t="str">
        <f t="shared" si="389"/>
        <v/>
      </c>
      <c r="AC1400" s="7">
        <f t="shared" si="390"/>
        <v>0</v>
      </c>
      <c r="AD1400" s="7" t="str">
        <f t="shared" si="391"/>
        <v/>
      </c>
      <c r="AE1400" s="6">
        <f t="shared" si="392"/>
        <v>0</v>
      </c>
      <c r="AF1400" s="69">
        <f t="shared" si="393"/>
        <v>3.0953090582868121</v>
      </c>
      <c r="AG1400" s="6">
        <f t="shared" si="394"/>
        <v>0</v>
      </c>
      <c r="AH1400" s="6">
        <f t="shared" si="395"/>
        <v>604</v>
      </c>
    </row>
    <row r="1401" spans="8:34" x14ac:dyDescent="0.25">
      <c r="H1401" s="7">
        <v>1408</v>
      </c>
      <c r="I1401" s="7" t="s">
        <v>13</v>
      </c>
      <c r="J1401" s="8">
        <v>38694</v>
      </c>
      <c r="K1401" s="12" t="s">
        <v>17</v>
      </c>
      <c r="L1401" s="9">
        <v>87</v>
      </c>
      <c r="M1401" s="10">
        <v>262.8805946680697</v>
      </c>
      <c r="N1401" s="7" t="s">
        <v>23</v>
      </c>
      <c r="P1401" s="29" t="str">
        <f t="shared" si="378"/>
        <v/>
      </c>
      <c r="Q1401" s="29" t="str">
        <f t="shared" si="379"/>
        <v/>
      </c>
      <c r="R1401" s="29" t="str">
        <f t="shared" si="380"/>
        <v/>
      </c>
      <c r="S1401" s="29" t="str">
        <f t="shared" si="381"/>
        <v/>
      </c>
      <c r="T1401" s="32">
        <f t="shared" si="382"/>
        <v>1</v>
      </c>
      <c r="U1401" s="32">
        <f t="shared" si="385"/>
        <v>1</v>
      </c>
      <c r="V1401" s="32" t="str">
        <f t="shared" si="386"/>
        <v/>
      </c>
      <c r="W1401" s="41">
        <f t="shared" si="383"/>
        <v>3.021616030667468</v>
      </c>
      <c r="X1401" s="6">
        <f t="shared" si="384"/>
        <v>262.8805946680697</v>
      </c>
      <c r="Y1401" s="7">
        <f t="shared" si="387"/>
        <v>59</v>
      </c>
      <c r="AA1401" s="7">
        <f t="shared" si="388"/>
        <v>0</v>
      </c>
      <c r="AB1401" s="7" t="str">
        <f t="shared" si="389"/>
        <v/>
      </c>
      <c r="AC1401" s="7">
        <f t="shared" si="390"/>
        <v>1</v>
      </c>
      <c r="AD1401" s="7">
        <f t="shared" si="391"/>
        <v>87</v>
      </c>
      <c r="AE1401" s="6">
        <f t="shared" si="392"/>
        <v>0</v>
      </c>
      <c r="AF1401" s="69">
        <f t="shared" si="393"/>
        <v>3.021616030667468</v>
      </c>
      <c r="AG1401" s="6">
        <f t="shared" si="394"/>
        <v>0</v>
      </c>
      <c r="AH1401" s="6">
        <f t="shared" si="395"/>
        <v>604</v>
      </c>
    </row>
    <row r="1402" spans="8:34" x14ac:dyDescent="0.25">
      <c r="H1402" s="7">
        <v>1409</v>
      </c>
      <c r="I1402" s="7" t="s">
        <v>10</v>
      </c>
      <c r="J1402" s="8">
        <v>38309</v>
      </c>
      <c r="K1402" s="12" t="s">
        <v>20</v>
      </c>
      <c r="L1402" s="9">
        <v>10</v>
      </c>
      <c r="M1402" s="10">
        <v>31.759227784320323</v>
      </c>
      <c r="N1402" s="7" t="s">
        <v>24</v>
      </c>
      <c r="P1402" s="29" t="str">
        <f t="shared" si="378"/>
        <v/>
      </c>
      <c r="Q1402" s="29" t="str">
        <f t="shared" si="379"/>
        <v/>
      </c>
      <c r="R1402" s="29" t="str">
        <f t="shared" si="380"/>
        <v/>
      </c>
      <c r="S1402" s="29">
        <f t="shared" si="381"/>
        <v>1</v>
      </c>
      <c r="T1402" s="32" t="str">
        <f t="shared" si="382"/>
        <v/>
      </c>
      <c r="U1402" s="32" t="str">
        <f t="shared" si="385"/>
        <v/>
      </c>
      <c r="V1402" s="32" t="str">
        <f t="shared" si="386"/>
        <v/>
      </c>
      <c r="W1402" s="41">
        <f t="shared" si="383"/>
        <v>3.1759227784320325</v>
      </c>
      <c r="X1402" s="6">
        <f t="shared" si="384"/>
        <v>0</v>
      </c>
      <c r="Y1402" s="7">
        <f t="shared" si="387"/>
        <v>567</v>
      </c>
      <c r="AA1402" s="7">
        <f t="shared" si="388"/>
        <v>0</v>
      </c>
      <c r="AB1402" s="7" t="str">
        <f t="shared" si="389"/>
        <v/>
      </c>
      <c r="AC1402" s="7">
        <f t="shared" si="390"/>
        <v>0</v>
      </c>
      <c r="AD1402" s="7" t="str">
        <f t="shared" si="391"/>
        <v/>
      </c>
      <c r="AE1402" s="6">
        <f t="shared" si="392"/>
        <v>0</v>
      </c>
      <c r="AF1402" s="69">
        <f t="shared" si="393"/>
        <v>3.1759227784320325</v>
      </c>
      <c r="AG1402" s="6">
        <f t="shared" si="394"/>
        <v>31.759227784320323</v>
      </c>
      <c r="AH1402" s="6">
        <f t="shared" si="395"/>
        <v>530</v>
      </c>
    </row>
    <row r="1403" spans="8:34" x14ac:dyDescent="0.25">
      <c r="H1403" s="7">
        <v>1410</v>
      </c>
      <c r="I1403" s="7" t="s">
        <v>12</v>
      </c>
      <c r="J1403" s="8">
        <v>38276</v>
      </c>
      <c r="K1403" s="12" t="s">
        <v>20</v>
      </c>
      <c r="L1403" s="9">
        <v>0</v>
      </c>
      <c r="M1403" s="10">
        <v>1.8311339455634805</v>
      </c>
      <c r="N1403" s="7" t="s">
        <v>22</v>
      </c>
      <c r="P1403" s="29" t="str">
        <f t="shared" si="378"/>
        <v/>
      </c>
      <c r="Q1403" s="29" t="str">
        <f t="shared" si="379"/>
        <v/>
      </c>
      <c r="R1403" s="29" t="str">
        <f t="shared" si="380"/>
        <v/>
      </c>
      <c r="S1403" s="29">
        <f t="shared" si="381"/>
        <v>1</v>
      </c>
      <c r="T1403" s="32" t="str">
        <f t="shared" si="382"/>
        <v/>
      </c>
      <c r="U1403" s="32" t="str">
        <f t="shared" si="385"/>
        <v/>
      </c>
      <c r="V1403" s="32" t="str">
        <f t="shared" si="386"/>
        <v/>
      </c>
      <c r="W1403" s="41" t="str">
        <f t="shared" si="383"/>
        <v/>
      </c>
      <c r="X1403" s="6">
        <f t="shared" si="384"/>
        <v>0</v>
      </c>
      <c r="Y1403" s="7">
        <f t="shared" si="387"/>
        <v>567</v>
      </c>
      <c r="AA1403" s="7">
        <f t="shared" si="388"/>
        <v>0</v>
      </c>
      <c r="AB1403" s="7" t="str">
        <f t="shared" si="389"/>
        <v/>
      </c>
      <c r="AC1403" s="7">
        <f t="shared" si="390"/>
        <v>0</v>
      </c>
      <c r="AD1403" s="7" t="str">
        <f t="shared" si="391"/>
        <v/>
      </c>
      <c r="AE1403" s="6">
        <f t="shared" si="392"/>
        <v>0</v>
      </c>
      <c r="AF1403" s="69" t="str">
        <f t="shared" si="393"/>
        <v/>
      </c>
      <c r="AG1403" s="6">
        <f t="shared" si="394"/>
        <v>1.8311339455634805</v>
      </c>
      <c r="AH1403" s="6">
        <f t="shared" si="395"/>
        <v>600</v>
      </c>
    </row>
    <row r="1404" spans="8:34" x14ac:dyDescent="0.25">
      <c r="H1404" s="7">
        <v>1411</v>
      </c>
      <c r="I1404" s="7" t="s">
        <v>12</v>
      </c>
      <c r="J1404" s="8">
        <v>38375</v>
      </c>
      <c r="K1404" s="12" t="s">
        <v>17</v>
      </c>
      <c r="L1404" s="9">
        <v>73</v>
      </c>
      <c r="M1404" s="10">
        <v>221.0091797499388</v>
      </c>
      <c r="N1404" s="7" t="s">
        <v>22</v>
      </c>
      <c r="P1404" s="29" t="str">
        <f t="shared" si="378"/>
        <v/>
      </c>
      <c r="Q1404" s="29" t="str">
        <f t="shared" si="379"/>
        <v/>
      </c>
      <c r="R1404" s="29" t="str">
        <f t="shared" si="380"/>
        <v/>
      </c>
      <c r="S1404" s="29" t="str">
        <f t="shared" si="381"/>
        <v/>
      </c>
      <c r="T1404" s="32" t="str">
        <f t="shared" si="382"/>
        <v/>
      </c>
      <c r="U1404" s="32">
        <f t="shared" si="385"/>
        <v>1</v>
      </c>
      <c r="V1404" s="32" t="str">
        <f t="shared" si="386"/>
        <v/>
      </c>
      <c r="W1404" s="41">
        <f t="shared" si="383"/>
        <v>3.0275230102731343</v>
      </c>
      <c r="X1404" s="6">
        <f t="shared" si="384"/>
        <v>221.0091797499388</v>
      </c>
      <c r="Y1404" s="7">
        <f t="shared" si="387"/>
        <v>139</v>
      </c>
      <c r="AA1404" s="7">
        <f t="shared" si="388"/>
        <v>1</v>
      </c>
      <c r="AB1404" s="7">
        <f t="shared" si="389"/>
        <v>73</v>
      </c>
      <c r="AC1404" s="7">
        <f t="shared" si="390"/>
        <v>0</v>
      </c>
      <c r="AD1404" s="7" t="str">
        <f t="shared" si="391"/>
        <v/>
      </c>
      <c r="AE1404" s="6">
        <f t="shared" si="392"/>
        <v>0</v>
      </c>
      <c r="AF1404" s="69">
        <f t="shared" si="393"/>
        <v>3.0275230102731343</v>
      </c>
      <c r="AG1404" s="6">
        <f t="shared" si="394"/>
        <v>0</v>
      </c>
      <c r="AH1404" s="6">
        <f t="shared" si="395"/>
        <v>604</v>
      </c>
    </row>
    <row r="1405" spans="8:34" x14ac:dyDescent="0.25">
      <c r="H1405" s="7">
        <v>1412</v>
      </c>
      <c r="I1405" s="7" t="s">
        <v>8</v>
      </c>
      <c r="J1405" s="8">
        <v>38067</v>
      </c>
      <c r="K1405" s="12" t="s">
        <v>17</v>
      </c>
      <c r="L1405" s="9">
        <v>66</v>
      </c>
      <c r="M1405" s="10">
        <v>200.12198246327054</v>
      </c>
      <c r="N1405" s="7" t="s">
        <v>22</v>
      </c>
      <c r="P1405" s="29">
        <f t="shared" si="378"/>
        <v>1</v>
      </c>
      <c r="Q1405" s="29" t="str">
        <f t="shared" si="379"/>
        <v/>
      </c>
      <c r="R1405" s="29" t="str">
        <f t="shared" si="380"/>
        <v/>
      </c>
      <c r="S1405" s="29" t="str">
        <f t="shared" si="381"/>
        <v/>
      </c>
      <c r="T1405" s="32" t="str">
        <f t="shared" si="382"/>
        <v/>
      </c>
      <c r="U1405" s="32" t="str">
        <f t="shared" si="385"/>
        <v/>
      </c>
      <c r="V1405" s="32" t="str">
        <f t="shared" si="386"/>
        <v/>
      </c>
      <c r="W1405" s="41">
        <f t="shared" si="383"/>
        <v>3.0321512494434932</v>
      </c>
      <c r="X1405" s="6">
        <f t="shared" si="384"/>
        <v>0</v>
      </c>
      <c r="Y1405" s="7">
        <f t="shared" si="387"/>
        <v>567</v>
      </c>
      <c r="AA1405" s="7">
        <f t="shared" si="388"/>
        <v>0</v>
      </c>
      <c r="AB1405" s="7" t="str">
        <f t="shared" si="389"/>
        <v/>
      </c>
      <c r="AC1405" s="7">
        <f t="shared" si="390"/>
        <v>0</v>
      </c>
      <c r="AD1405" s="7" t="str">
        <f t="shared" si="391"/>
        <v/>
      </c>
      <c r="AE1405" s="6">
        <f t="shared" si="392"/>
        <v>0</v>
      </c>
      <c r="AF1405" s="69">
        <f t="shared" si="393"/>
        <v>3.0321512494434932</v>
      </c>
      <c r="AG1405" s="6">
        <f t="shared" si="394"/>
        <v>200.12198246327054</v>
      </c>
      <c r="AH1405" s="6">
        <f t="shared" si="395"/>
        <v>174</v>
      </c>
    </row>
    <row r="1406" spans="8:34" x14ac:dyDescent="0.25">
      <c r="H1406" s="7">
        <v>1413</v>
      </c>
      <c r="I1406" s="7" t="s">
        <v>7</v>
      </c>
      <c r="J1406" s="8">
        <v>38947</v>
      </c>
      <c r="K1406" s="12" t="s">
        <v>17</v>
      </c>
      <c r="L1406" s="9">
        <v>70</v>
      </c>
      <c r="M1406" s="10">
        <v>211.75333647455852</v>
      </c>
      <c r="N1406" s="7" t="s">
        <v>23</v>
      </c>
      <c r="P1406" s="29" t="str">
        <f t="shared" si="378"/>
        <v/>
      </c>
      <c r="Q1406" s="29" t="str">
        <f t="shared" si="379"/>
        <v/>
      </c>
      <c r="R1406" s="29" t="str">
        <f t="shared" si="380"/>
        <v/>
      </c>
      <c r="S1406" s="29" t="str">
        <f t="shared" si="381"/>
        <v/>
      </c>
      <c r="T1406" s="32" t="str">
        <f t="shared" si="382"/>
        <v/>
      </c>
      <c r="U1406" s="32" t="str">
        <f t="shared" si="385"/>
        <v/>
      </c>
      <c r="V1406" s="32">
        <f t="shared" si="386"/>
        <v>1</v>
      </c>
      <c r="W1406" s="41">
        <f t="shared" si="383"/>
        <v>3.0250476639222645</v>
      </c>
      <c r="X1406" s="6">
        <f t="shared" si="384"/>
        <v>0</v>
      </c>
      <c r="Y1406" s="7">
        <f t="shared" si="387"/>
        <v>567</v>
      </c>
      <c r="AA1406" s="7">
        <f t="shared" si="388"/>
        <v>0</v>
      </c>
      <c r="AB1406" s="7" t="str">
        <f t="shared" si="389"/>
        <v/>
      </c>
      <c r="AC1406" s="7">
        <f t="shared" si="390"/>
        <v>0</v>
      </c>
      <c r="AD1406" s="7" t="str">
        <f t="shared" si="391"/>
        <v/>
      </c>
      <c r="AE1406" s="6">
        <f t="shared" si="392"/>
        <v>0</v>
      </c>
      <c r="AF1406" s="69">
        <f t="shared" si="393"/>
        <v>3.0250476639222645</v>
      </c>
      <c r="AG1406" s="6">
        <f t="shared" si="394"/>
        <v>0</v>
      </c>
      <c r="AH1406" s="6">
        <f t="shared" si="395"/>
        <v>604</v>
      </c>
    </row>
    <row r="1407" spans="8:34" x14ac:dyDescent="0.25">
      <c r="H1407" s="7">
        <v>1414</v>
      </c>
      <c r="I1407" s="7" t="s">
        <v>10</v>
      </c>
      <c r="J1407" s="8">
        <v>38331</v>
      </c>
      <c r="K1407" s="12" t="s">
        <v>18</v>
      </c>
      <c r="L1407" s="9">
        <v>78</v>
      </c>
      <c r="M1407" s="10">
        <v>235.90596023209099</v>
      </c>
      <c r="N1407" s="7" t="s">
        <v>24</v>
      </c>
      <c r="P1407" s="29" t="str">
        <f t="shared" si="378"/>
        <v/>
      </c>
      <c r="Q1407" s="29" t="str">
        <f t="shared" si="379"/>
        <v/>
      </c>
      <c r="R1407" s="29" t="str">
        <f t="shared" si="380"/>
        <v/>
      </c>
      <c r="S1407" s="29">
        <f t="shared" si="381"/>
        <v>1</v>
      </c>
      <c r="T1407" s="32" t="str">
        <f t="shared" si="382"/>
        <v/>
      </c>
      <c r="U1407" s="32" t="str">
        <f t="shared" si="385"/>
        <v/>
      </c>
      <c r="V1407" s="32" t="str">
        <f t="shared" si="386"/>
        <v/>
      </c>
      <c r="W1407" s="41">
        <f t="shared" si="383"/>
        <v>3.02443538759091</v>
      </c>
      <c r="X1407" s="6">
        <f t="shared" si="384"/>
        <v>0</v>
      </c>
      <c r="Y1407" s="7">
        <f t="shared" si="387"/>
        <v>567</v>
      </c>
      <c r="AA1407" s="7">
        <f t="shared" si="388"/>
        <v>0</v>
      </c>
      <c r="AB1407" s="7" t="str">
        <f t="shared" si="389"/>
        <v/>
      </c>
      <c r="AC1407" s="7">
        <f t="shared" si="390"/>
        <v>0</v>
      </c>
      <c r="AD1407" s="7" t="str">
        <f t="shared" si="391"/>
        <v/>
      </c>
      <c r="AE1407" s="6">
        <f t="shared" si="392"/>
        <v>0</v>
      </c>
      <c r="AF1407" s="69">
        <f t="shared" si="393"/>
        <v>3.02443538759091</v>
      </c>
      <c r="AG1407" s="6">
        <f t="shared" si="394"/>
        <v>235.90596023209099</v>
      </c>
      <c r="AH1407" s="6">
        <f t="shared" si="395"/>
        <v>105</v>
      </c>
    </row>
    <row r="1408" spans="8:34" x14ac:dyDescent="0.25">
      <c r="H1408" s="7">
        <v>1415</v>
      </c>
      <c r="I1408" s="7" t="s">
        <v>14</v>
      </c>
      <c r="J1408" s="8">
        <v>38661</v>
      </c>
      <c r="K1408" s="12" t="s">
        <v>20</v>
      </c>
      <c r="L1408" s="9">
        <v>22</v>
      </c>
      <c r="M1408" s="10">
        <v>66.965065793990505</v>
      </c>
      <c r="N1408" s="7" t="s">
        <v>24</v>
      </c>
      <c r="P1408" s="29" t="str">
        <f t="shared" si="378"/>
        <v/>
      </c>
      <c r="Q1408" s="29" t="str">
        <f t="shared" si="379"/>
        <v/>
      </c>
      <c r="R1408" s="29" t="str">
        <f t="shared" si="380"/>
        <v/>
      </c>
      <c r="S1408" s="29" t="str">
        <f t="shared" si="381"/>
        <v/>
      </c>
      <c r="T1408" s="32">
        <f t="shared" si="382"/>
        <v>1</v>
      </c>
      <c r="U1408" s="32">
        <f t="shared" si="385"/>
        <v>1</v>
      </c>
      <c r="V1408" s="32" t="str">
        <f t="shared" si="386"/>
        <v/>
      </c>
      <c r="W1408" s="41">
        <f t="shared" si="383"/>
        <v>3.0438666269995682</v>
      </c>
      <c r="X1408" s="6">
        <f t="shared" si="384"/>
        <v>66.965065793990505</v>
      </c>
      <c r="Y1408" s="7">
        <f t="shared" si="387"/>
        <v>433</v>
      </c>
      <c r="AA1408" s="7">
        <f t="shared" si="388"/>
        <v>0</v>
      </c>
      <c r="AB1408" s="7" t="str">
        <f t="shared" si="389"/>
        <v/>
      </c>
      <c r="AC1408" s="7">
        <f t="shared" si="390"/>
        <v>1</v>
      </c>
      <c r="AD1408" s="7">
        <f t="shared" si="391"/>
        <v>22</v>
      </c>
      <c r="AE1408" s="6">
        <f t="shared" si="392"/>
        <v>0</v>
      </c>
      <c r="AF1408" s="69">
        <f t="shared" si="393"/>
        <v>3.0438666269995682</v>
      </c>
      <c r="AG1408" s="6">
        <f t="shared" si="394"/>
        <v>0</v>
      </c>
      <c r="AH1408" s="6">
        <f t="shared" si="395"/>
        <v>604</v>
      </c>
    </row>
    <row r="1409" spans="8:34" x14ac:dyDescent="0.25">
      <c r="H1409" s="7">
        <v>1416</v>
      </c>
      <c r="I1409" s="7" t="s">
        <v>13</v>
      </c>
      <c r="J1409" s="8">
        <v>38265</v>
      </c>
      <c r="K1409" s="12" t="s">
        <v>20</v>
      </c>
      <c r="L1409" s="9">
        <v>21</v>
      </c>
      <c r="M1409" s="10">
        <v>65.217462708012192</v>
      </c>
      <c r="N1409" s="7" t="s">
        <v>21</v>
      </c>
      <c r="P1409" s="29" t="str">
        <f t="shared" si="378"/>
        <v/>
      </c>
      <c r="Q1409" s="29" t="str">
        <f t="shared" si="379"/>
        <v/>
      </c>
      <c r="R1409" s="29" t="str">
        <f t="shared" si="380"/>
        <v/>
      </c>
      <c r="S1409" s="29">
        <f t="shared" si="381"/>
        <v>1</v>
      </c>
      <c r="T1409" s="32" t="str">
        <f t="shared" si="382"/>
        <v/>
      </c>
      <c r="U1409" s="32" t="str">
        <f t="shared" si="385"/>
        <v/>
      </c>
      <c r="V1409" s="32" t="str">
        <f t="shared" si="386"/>
        <v/>
      </c>
      <c r="W1409" s="41">
        <f t="shared" si="383"/>
        <v>3.1055934622862948</v>
      </c>
      <c r="X1409" s="6">
        <f t="shared" si="384"/>
        <v>0</v>
      </c>
      <c r="Y1409" s="7">
        <f t="shared" si="387"/>
        <v>567</v>
      </c>
      <c r="AA1409" s="7">
        <f t="shared" si="388"/>
        <v>0</v>
      </c>
      <c r="AB1409" s="7" t="str">
        <f t="shared" si="389"/>
        <v/>
      </c>
      <c r="AC1409" s="7">
        <f t="shared" si="390"/>
        <v>0</v>
      </c>
      <c r="AD1409" s="7" t="str">
        <f t="shared" si="391"/>
        <v/>
      </c>
      <c r="AE1409" s="6">
        <f t="shared" si="392"/>
        <v>0</v>
      </c>
      <c r="AF1409" s="69">
        <f t="shared" si="393"/>
        <v>3.1055934622862948</v>
      </c>
      <c r="AG1409" s="6">
        <f t="shared" si="394"/>
        <v>65.217462708012192</v>
      </c>
      <c r="AH1409" s="6">
        <f t="shared" si="395"/>
        <v>451</v>
      </c>
    </row>
    <row r="1410" spans="8:34" x14ac:dyDescent="0.25">
      <c r="H1410" s="7">
        <v>1417</v>
      </c>
      <c r="I1410" s="7" t="s">
        <v>7</v>
      </c>
      <c r="J1410" s="8">
        <v>38276</v>
      </c>
      <c r="K1410" s="12" t="s">
        <v>17</v>
      </c>
      <c r="L1410" s="9">
        <v>8</v>
      </c>
      <c r="M1410" s="10">
        <v>25.824952877477109</v>
      </c>
      <c r="N1410" s="7" t="s">
        <v>24</v>
      </c>
      <c r="P1410" s="29" t="str">
        <f t="shared" si="378"/>
        <v/>
      </c>
      <c r="Q1410" s="29" t="str">
        <f t="shared" si="379"/>
        <v/>
      </c>
      <c r="R1410" s="29" t="str">
        <f t="shared" si="380"/>
        <v/>
      </c>
      <c r="S1410" s="29">
        <f t="shared" si="381"/>
        <v>1</v>
      </c>
      <c r="T1410" s="32" t="str">
        <f t="shared" si="382"/>
        <v/>
      </c>
      <c r="U1410" s="32" t="str">
        <f t="shared" si="385"/>
        <v/>
      </c>
      <c r="V1410" s="32" t="str">
        <f t="shared" si="386"/>
        <v/>
      </c>
      <c r="W1410" s="41">
        <f t="shared" si="383"/>
        <v>3.2281191096846387</v>
      </c>
      <c r="X1410" s="6">
        <f t="shared" si="384"/>
        <v>0</v>
      </c>
      <c r="Y1410" s="7">
        <f t="shared" si="387"/>
        <v>567</v>
      </c>
      <c r="AA1410" s="7">
        <f t="shared" si="388"/>
        <v>0</v>
      </c>
      <c r="AB1410" s="7" t="str">
        <f t="shared" si="389"/>
        <v/>
      </c>
      <c r="AC1410" s="7">
        <f t="shared" si="390"/>
        <v>0</v>
      </c>
      <c r="AD1410" s="7" t="str">
        <f t="shared" si="391"/>
        <v/>
      </c>
      <c r="AE1410" s="6">
        <f t="shared" si="392"/>
        <v>0</v>
      </c>
      <c r="AF1410" s="69">
        <f t="shared" si="393"/>
        <v>3.2281191096846387</v>
      </c>
      <c r="AG1410" s="6">
        <f t="shared" si="394"/>
        <v>25.824952877477109</v>
      </c>
      <c r="AH1410" s="6">
        <f t="shared" si="395"/>
        <v>543</v>
      </c>
    </row>
    <row r="1411" spans="8:34" x14ac:dyDescent="0.25">
      <c r="H1411" s="7">
        <v>1418</v>
      </c>
      <c r="I1411" s="7" t="s">
        <v>9</v>
      </c>
      <c r="J1411" s="8">
        <v>38034</v>
      </c>
      <c r="K1411" s="12" t="s">
        <v>20</v>
      </c>
      <c r="L1411" s="9">
        <v>62</v>
      </c>
      <c r="M1411" s="10">
        <v>187.80112722106594</v>
      </c>
      <c r="N1411" s="7" t="s">
        <v>23</v>
      </c>
      <c r="P1411" s="29">
        <f t="shared" ref="P1411:P1474" si="396">IF(AND((MONTH(J1411))&lt;4,YEAR(J1411)=2004),1,"")</f>
        <v>1</v>
      </c>
      <c r="Q1411" s="29" t="str">
        <f t="shared" ref="Q1411:Q1474" si="397">IF(AND(3&lt;(MONTH(J1411)),(MONTH(J1411)&lt;7),YEAR(J1411)=2004),1,"")</f>
        <v/>
      </c>
      <c r="R1411" s="29" t="str">
        <f t="shared" ref="R1411:R1474" si="398">IF(AND(6&lt;(MONTH(J1411)),(MONTH(J1411)&lt;10),YEAR(J1411)=2004),1,"")</f>
        <v/>
      </c>
      <c r="S1411" s="29" t="str">
        <f t="shared" ref="S1411:S1474" si="399">IF(AND(9&lt;(MONTH(J1411)),(MONTH(J1411)&lt;13),YEAR(J1411)=2004),1,"")</f>
        <v/>
      </c>
      <c r="T1411" s="32" t="str">
        <f t="shared" ref="T1411:T1474" si="400">IF(AND((9&lt;MONTH(J1411)),YEAR(J1411)=2005),1,"")</f>
        <v/>
      </c>
      <c r="U1411" s="32" t="str">
        <f t="shared" si="385"/>
        <v/>
      </c>
      <c r="V1411" s="32" t="str">
        <f t="shared" si="386"/>
        <v/>
      </c>
      <c r="W1411" s="41">
        <f t="shared" ref="W1411:W1474" si="401">IF(L1411&gt;0,M1411/L1411,"")</f>
        <v>3.0290504390494508</v>
      </c>
      <c r="X1411" s="6">
        <f t="shared" ref="X1411:X1474" si="402">IF(U1411=1,M1411,0)</f>
        <v>0</v>
      </c>
      <c r="Y1411" s="7">
        <f t="shared" si="387"/>
        <v>567</v>
      </c>
      <c r="AA1411" s="7">
        <f t="shared" si="388"/>
        <v>0</v>
      </c>
      <c r="AB1411" s="7" t="str">
        <f t="shared" si="389"/>
        <v/>
      </c>
      <c r="AC1411" s="7">
        <f t="shared" si="390"/>
        <v>0</v>
      </c>
      <c r="AD1411" s="7" t="str">
        <f t="shared" si="391"/>
        <v/>
      </c>
      <c r="AE1411" s="6">
        <f t="shared" si="392"/>
        <v>0</v>
      </c>
      <c r="AF1411" s="69">
        <f t="shared" si="393"/>
        <v>3.0290504390494508</v>
      </c>
      <c r="AG1411" s="6">
        <f t="shared" si="394"/>
        <v>187.80112722106594</v>
      </c>
      <c r="AH1411" s="6">
        <f t="shared" si="395"/>
        <v>204</v>
      </c>
    </row>
    <row r="1412" spans="8:34" x14ac:dyDescent="0.25">
      <c r="H1412" s="7">
        <v>1419</v>
      </c>
      <c r="I1412" s="7" t="s">
        <v>11</v>
      </c>
      <c r="J1412" s="8">
        <v>38848</v>
      </c>
      <c r="K1412" s="12" t="s">
        <v>20</v>
      </c>
      <c r="L1412" s="9">
        <v>81</v>
      </c>
      <c r="M1412" s="10">
        <v>244.50746507200088</v>
      </c>
      <c r="N1412" s="7" t="s">
        <v>24</v>
      </c>
      <c r="P1412" s="29" t="str">
        <f t="shared" si="396"/>
        <v/>
      </c>
      <c r="Q1412" s="29" t="str">
        <f t="shared" si="397"/>
        <v/>
      </c>
      <c r="R1412" s="29" t="str">
        <f t="shared" si="398"/>
        <v/>
      </c>
      <c r="S1412" s="29" t="str">
        <f t="shared" si="399"/>
        <v/>
      </c>
      <c r="T1412" s="32" t="str">
        <f t="shared" si="400"/>
        <v/>
      </c>
      <c r="U1412" s="32" t="str">
        <f t="shared" ref="U1412:U1475" si="403">IF(YEAR(J1412)=2005,1,"")</f>
        <v/>
      </c>
      <c r="V1412" s="32">
        <f t="shared" ref="V1412:V1475" si="404">IF(YEAR(J1412)=2006,1,"")</f>
        <v>1</v>
      </c>
      <c r="W1412" s="41">
        <f t="shared" si="401"/>
        <v>3.0186106799012453</v>
      </c>
      <c r="X1412" s="6">
        <f t="shared" si="402"/>
        <v>0</v>
      </c>
      <c r="Y1412" s="7">
        <f t="shared" ref="Y1412:Y1475" si="405">RANK(X1412,$X$3:$X$1893)</f>
        <v>567</v>
      </c>
      <c r="AA1412" s="7">
        <f t="shared" ref="AA1412:AA1475" si="406">IF(AND(OR((MONTH(J1412))=1,(MONTH(J1412))=2,(MONTH(J1412))=3,(MONTH(J1412))=7,(MONTH(J1412))=8,(MONTH(J1412))=9),YEAR(J1412)=2005),1,0)</f>
        <v>0</v>
      </c>
      <c r="AB1412" s="7" t="str">
        <f t="shared" ref="AB1412:AB1475" si="407">IF(AA1412=1,L1412,"")</f>
        <v/>
      </c>
      <c r="AC1412" s="7">
        <f t="shared" ref="AC1412:AC1475" si="408">IF(AND(OR((MONTH(J1412))=4,(MONTH(J1412))=5,(MONTH(J1412))=6,(MONTH(J1412))=10,(MONTH(J1412))=11,(MONTH(J1412))=12),YEAR(J1412)=2005),1,0)</f>
        <v>0</v>
      </c>
      <c r="AD1412" s="7" t="str">
        <f t="shared" ref="AD1412:AD1475" si="409">IF(AC1412=1,L1412,"")</f>
        <v/>
      </c>
      <c r="AE1412" s="6">
        <f t="shared" ref="AE1412:AE1475" si="410">IF(L1412&lt;0,L1412,0)</f>
        <v>0</v>
      </c>
      <c r="AF1412" s="69">
        <f t="shared" ref="AF1412:AF1475" si="411">IF(L1412&gt;0,W1412,"")</f>
        <v>3.0186106799012453</v>
      </c>
      <c r="AG1412" s="6">
        <f t="shared" ref="AG1412:AG1475" si="412">IF(AND((M1412&gt;0),(YEAR(J1412)=2004)),M1412,0)</f>
        <v>0</v>
      </c>
      <c r="AH1412" s="6">
        <f t="shared" ref="AH1412:AH1475" si="413">RANK(AG1412,$AG$3:$AG$1893)</f>
        <v>604</v>
      </c>
    </row>
    <row r="1413" spans="8:34" x14ac:dyDescent="0.25">
      <c r="H1413" s="7">
        <v>1420</v>
      </c>
      <c r="I1413" s="7" t="s">
        <v>10</v>
      </c>
      <c r="J1413" s="8">
        <v>38342</v>
      </c>
      <c r="K1413" s="12" t="s">
        <v>17</v>
      </c>
      <c r="L1413" s="9">
        <v>72</v>
      </c>
      <c r="M1413" s="10">
        <v>218.17265722795503</v>
      </c>
      <c r="N1413" s="7" t="s">
        <v>24</v>
      </c>
      <c r="P1413" s="29" t="str">
        <f t="shared" si="396"/>
        <v/>
      </c>
      <c r="Q1413" s="29" t="str">
        <f t="shared" si="397"/>
        <v/>
      </c>
      <c r="R1413" s="29" t="str">
        <f t="shared" si="398"/>
        <v/>
      </c>
      <c r="S1413" s="29">
        <f t="shared" si="399"/>
        <v>1</v>
      </c>
      <c r="T1413" s="32" t="str">
        <f t="shared" si="400"/>
        <v/>
      </c>
      <c r="U1413" s="32" t="str">
        <f t="shared" si="403"/>
        <v/>
      </c>
      <c r="V1413" s="32" t="str">
        <f t="shared" si="404"/>
        <v/>
      </c>
      <c r="W1413" s="41">
        <f t="shared" si="401"/>
        <v>3.0301757948327088</v>
      </c>
      <c r="X1413" s="6">
        <f t="shared" si="402"/>
        <v>0</v>
      </c>
      <c r="Y1413" s="7">
        <f t="shared" si="405"/>
        <v>567</v>
      </c>
      <c r="AA1413" s="7">
        <f t="shared" si="406"/>
        <v>0</v>
      </c>
      <c r="AB1413" s="7" t="str">
        <f t="shared" si="407"/>
        <v/>
      </c>
      <c r="AC1413" s="7">
        <f t="shared" si="408"/>
        <v>0</v>
      </c>
      <c r="AD1413" s="7" t="str">
        <f t="shared" si="409"/>
        <v/>
      </c>
      <c r="AE1413" s="6">
        <f t="shared" si="410"/>
        <v>0</v>
      </c>
      <c r="AF1413" s="69">
        <f t="shared" si="411"/>
        <v>3.0301757948327088</v>
      </c>
      <c r="AG1413" s="6">
        <f t="shared" si="412"/>
        <v>218.17265722795503</v>
      </c>
      <c r="AH1413" s="6">
        <f t="shared" si="413"/>
        <v>137</v>
      </c>
    </row>
    <row r="1414" spans="8:34" x14ac:dyDescent="0.25">
      <c r="H1414" s="7">
        <v>1421</v>
      </c>
      <c r="I1414" s="7" t="s">
        <v>8</v>
      </c>
      <c r="J1414" s="8">
        <v>39002</v>
      </c>
      <c r="K1414" s="12" t="s">
        <v>16</v>
      </c>
      <c r="L1414" s="9">
        <v>13</v>
      </c>
      <c r="M1414" s="10">
        <v>41.356875522020459</v>
      </c>
      <c r="N1414" s="7" t="s">
        <v>23</v>
      </c>
      <c r="P1414" s="29" t="str">
        <f t="shared" si="396"/>
        <v/>
      </c>
      <c r="Q1414" s="29" t="str">
        <f t="shared" si="397"/>
        <v/>
      </c>
      <c r="R1414" s="29" t="str">
        <f t="shared" si="398"/>
        <v/>
      </c>
      <c r="S1414" s="29" t="str">
        <f t="shared" si="399"/>
        <v/>
      </c>
      <c r="T1414" s="32" t="str">
        <f t="shared" si="400"/>
        <v/>
      </c>
      <c r="U1414" s="32" t="str">
        <f t="shared" si="403"/>
        <v/>
      </c>
      <c r="V1414" s="32">
        <f t="shared" si="404"/>
        <v>1</v>
      </c>
      <c r="W1414" s="41">
        <f t="shared" si="401"/>
        <v>3.1812981170784971</v>
      </c>
      <c r="X1414" s="6">
        <f t="shared" si="402"/>
        <v>0</v>
      </c>
      <c r="Y1414" s="7">
        <f t="shared" si="405"/>
        <v>567</v>
      </c>
      <c r="AA1414" s="7">
        <f t="shared" si="406"/>
        <v>0</v>
      </c>
      <c r="AB1414" s="7" t="str">
        <f t="shared" si="407"/>
        <v/>
      </c>
      <c r="AC1414" s="7">
        <f t="shared" si="408"/>
        <v>0</v>
      </c>
      <c r="AD1414" s="7" t="str">
        <f t="shared" si="409"/>
        <v/>
      </c>
      <c r="AE1414" s="6">
        <f t="shared" si="410"/>
        <v>0</v>
      </c>
      <c r="AF1414" s="69">
        <f t="shared" si="411"/>
        <v>3.1812981170784971</v>
      </c>
      <c r="AG1414" s="6">
        <f t="shared" si="412"/>
        <v>0</v>
      </c>
      <c r="AH1414" s="6">
        <f t="shared" si="413"/>
        <v>604</v>
      </c>
    </row>
    <row r="1415" spans="8:34" x14ac:dyDescent="0.25">
      <c r="H1415" s="7">
        <v>1422</v>
      </c>
      <c r="I1415" s="7" t="s">
        <v>7</v>
      </c>
      <c r="J1415" s="8">
        <v>38595</v>
      </c>
      <c r="K1415" s="12" t="s">
        <v>19</v>
      </c>
      <c r="L1415" s="9">
        <v>52</v>
      </c>
      <c r="M1415" s="10">
        <v>157.41873231061072</v>
      </c>
      <c r="N1415" s="7" t="s">
        <v>21</v>
      </c>
      <c r="P1415" s="29" t="str">
        <f t="shared" si="396"/>
        <v/>
      </c>
      <c r="Q1415" s="29" t="str">
        <f t="shared" si="397"/>
        <v/>
      </c>
      <c r="R1415" s="29" t="str">
        <f t="shared" si="398"/>
        <v/>
      </c>
      <c r="S1415" s="29" t="str">
        <f t="shared" si="399"/>
        <v/>
      </c>
      <c r="T1415" s="32" t="str">
        <f t="shared" si="400"/>
        <v/>
      </c>
      <c r="U1415" s="32">
        <f t="shared" si="403"/>
        <v>1</v>
      </c>
      <c r="V1415" s="32" t="str">
        <f t="shared" si="404"/>
        <v/>
      </c>
      <c r="W1415" s="41">
        <f t="shared" si="401"/>
        <v>3.027283313665591</v>
      </c>
      <c r="X1415" s="6">
        <f t="shared" si="402"/>
        <v>157.41873231061072</v>
      </c>
      <c r="Y1415" s="7">
        <f t="shared" si="405"/>
        <v>250</v>
      </c>
      <c r="AA1415" s="7">
        <f t="shared" si="406"/>
        <v>1</v>
      </c>
      <c r="AB1415" s="7">
        <f t="shared" si="407"/>
        <v>52</v>
      </c>
      <c r="AC1415" s="7">
        <f t="shared" si="408"/>
        <v>0</v>
      </c>
      <c r="AD1415" s="7" t="str">
        <f t="shared" si="409"/>
        <v/>
      </c>
      <c r="AE1415" s="6">
        <f t="shared" si="410"/>
        <v>0</v>
      </c>
      <c r="AF1415" s="69">
        <f t="shared" si="411"/>
        <v>3.027283313665591</v>
      </c>
      <c r="AG1415" s="6">
        <f t="shared" si="412"/>
        <v>0</v>
      </c>
      <c r="AH1415" s="6">
        <f t="shared" si="413"/>
        <v>604</v>
      </c>
    </row>
    <row r="1416" spans="8:34" x14ac:dyDescent="0.25">
      <c r="H1416" s="7">
        <v>1423</v>
      </c>
      <c r="I1416" s="7" t="s">
        <v>12</v>
      </c>
      <c r="J1416" s="8">
        <v>38738</v>
      </c>
      <c r="K1416" s="12" t="s">
        <v>16</v>
      </c>
      <c r="L1416" s="9">
        <v>49</v>
      </c>
      <c r="M1416" s="10">
        <v>148.10679359164916</v>
      </c>
      <c r="N1416" s="7" t="s">
        <v>23</v>
      </c>
      <c r="P1416" s="29" t="str">
        <f t="shared" si="396"/>
        <v/>
      </c>
      <c r="Q1416" s="29" t="str">
        <f t="shared" si="397"/>
        <v/>
      </c>
      <c r="R1416" s="29" t="str">
        <f t="shared" si="398"/>
        <v/>
      </c>
      <c r="S1416" s="29" t="str">
        <f t="shared" si="399"/>
        <v/>
      </c>
      <c r="T1416" s="32" t="str">
        <f t="shared" si="400"/>
        <v/>
      </c>
      <c r="U1416" s="32" t="str">
        <f t="shared" si="403"/>
        <v/>
      </c>
      <c r="V1416" s="32">
        <f t="shared" si="404"/>
        <v>1</v>
      </c>
      <c r="W1416" s="41">
        <f t="shared" si="401"/>
        <v>3.0225876243193706</v>
      </c>
      <c r="X1416" s="6">
        <f t="shared" si="402"/>
        <v>0</v>
      </c>
      <c r="Y1416" s="7">
        <f t="shared" si="405"/>
        <v>567</v>
      </c>
      <c r="AA1416" s="7">
        <f t="shared" si="406"/>
        <v>0</v>
      </c>
      <c r="AB1416" s="7" t="str">
        <f t="shared" si="407"/>
        <v/>
      </c>
      <c r="AC1416" s="7">
        <f t="shared" si="408"/>
        <v>0</v>
      </c>
      <c r="AD1416" s="7" t="str">
        <f t="shared" si="409"/>
        <v/>
      </c>
      <c r="AE1416" s="6">
        <f t="shared" si="410"/>
        <v>0</v>
      </c>
      <c r="AF1416" s="69">
        <f t="shared" si="411"/>
        <v>3.0225876243193706</v>
      </c>
      <c r="AG1416" s="6">
        <f t="shared" si="412"/>
        <v>0</v>
      </c>
      <c r="AH1416" s="6">
        <f t="shared" si="413"/>
        <v>604</v>
      </c>
    </row>
    <row r="1417" spans="8:34" x14ac:dyDescent="0.25">
      <c r="H1417" s="7">
        <v>1424</v>
      </c>
      <c r="I1417" s="7" t="s">
        <v>12</v>
      </c>
      <c r="J1417" s="8">
        <v>38067</v>
      </c>
      <c r="K1417" s="12" t="s">
        <v>16</v>
      </c>
      <c r="L1417" s="9">
        <v>82</v>
      </c>
      <c r="M1417" s="10">
        <v>248.16915651860171</v>
      </c>
      <c r="N1417" s="7" t="s">
        <v>21</v>
      </c>
      <c r="P1417" s="29">
        <f t="shared" si="396"/>
        <v>1</v>
      </c>
      <c r="Q1417" s="29" t="str">
        <f t="shared" si="397"/>
        <v/>
      </c>
      <c r="R1417" s="29" t="str">
        <f t="shared" si="398"/>
        <v/>
      </c>
      <c r="S1417" s="29" t="str">
        <f t="shared" si="399"/>
        <v/>
      </c>
      <c r="T1417" s="32" t="str">
        <f t="shared" si="400"/>
        <v/>
      </c>
      <c r="U1417" s="32" t="str">
        <f t="shared" si="403"/>
        <v/>
      </c>
      <c r="V1417" s="32" t="str">
        <f t="shared" si="404"/>
        <v/>
      </c>
      <c r="W1417" s="41">
        <f t="shared" si="401"/>
        <v>3.0264531282756306</v>
      </c>
      <c r="X1417" s="6">
        <f t="shared" si="402"/>
        <v>0</v>
      </c>
      <c r="Y1417" s="7">
        <f t="shared" si="405"/>
        <v>567</v>
      </c>
      <c r="AA1417" s="7">
        <f t="shared" si="406"/>
        <v>0</v>
      </c>
      <c r="AB1417" s="7" t="str">
        <f t="shared" si="407"/>
        <v/>
      </c>
      <c r="AC1417" s="7">
        <f t="shared" si="408"/>
        <v>0</v>
      </c>
      <c r="AD1417" s="7" t="str">
        <f t="shared" si="409"/>
        <v/>
      </c>
      <c r="AE1417" s="6">
        <f t="shared" si="410"/>
        <v>0</v>
      </c>
      <c r="AF1417" s="69">
        <f t="shared" si="411"/>
        <v>3.0264531282756306</v>
      </c>
      <c r="AG1417" s="6">
        <f t="shared" si="412"/>
        <v>248.16915651860171</v>
      </c>
      <c r="AH1417" s="6">
        <f t="shared" si="413"/>
        <v>70</v>
      </c>
    </row>
    <row r="1418" spans="8:34" x14ac:dyDescent="0.25">
      <c r="H1418" s="7">
        <v>1425</v>
      </c>
      <c r="I1418" s="7" t="s">
        <v>10</v>
      </c>
      <c r="J1418" s="8">
        <v>38815</v>
      </c>
      <c r="K1418" s="12" t="s">
        <v>16</v>
      </c>
      <c r="L1418" s="9">
        <v>5</v>
      </c>
      <c r="M1418" s="10">
        <v>17.015690322490627</v>
      </c>
      <c r="N1418" s="7" t="s">
        <v>22</v>
      </c>
      <c r="P1418" s="29" t="str">
        <f t="shared" si="396"/>
        <v/>
      </c>
      <c r="Q1418" s="29" t="str">
        <f t="shared" si="397"/>
        <v/>
      </c>
      <c r="R1418" s="29" t="str">
        <f t="shared" si="398"/>
        <v/>
      </c>
      <c r="S1418" s="29" t="str">
        <f t="shared" si="399"/>
        <v/>
      </c>
      <c r="T1418" s="32" t="str">
        <f t="shared" si="400"/>
        <v/>
      </c>
      <c r="U1418" s="32" t="str">
        <f t="shared" si="403"/>
        <v/>
      </c>
      <c r="V1418" s="32">
        <f t="shared" si="404"/>
        <v>1</v>
      </c>
      <c r="W1418" s="41">
        <f t="shared" si="401"/>
        <v>3.4031380644981253</v>
      </c>
      <c r="X1418" s="6">
        <f t="shared" si="402"/>
        <v>0</v>
      </c>
      <c r="Y1418" s="7">
        <f t="shared" si="405"/>
        <v>567</v>
      </c>
      <c r="AA1418" s="7">
        <f t="shared" si="406"/>
        <v>0</v>
      </c>
      <c r="AB1418" s="7" t="str">
        <f t="shared" si="407"/>
        <v/>
      </c>
      <c r="AC1418" s="7">
        <f t="shared" si="408"/>
        <v>0</v>
      </c>
      <c r="AD1418" s="7" t="str">
        <f t="shared" si="409"/>
        <v/>
      </c>
      <c r="AE1418" s="6">
        <f t="shared" si="410"/>
        <v>0</v>
      </c>
      <c r="AF1418" s="69">
        <f t="shared" si="411"/>
        <v>3.4031380644981253</v>
      </c>
      <c r="AG1418" s="6">
        <f t="shared" si="412"/>
        <v>0</v>
      </c>
      <c r="AH1418" s="6">
        <f t="shared" si="413"/>
        <v>604</v>
      </c>
    </row>
    <row r="1419" spans="8:34" x14ac:dyDescent="0.25">
      <c r="H1419" s="7">
        <v>1426</v>
      </c>
      <c r="I1419" s="7" t="s">
        <v>14</v>
      </c>
      <c r="J1419" s="8">
        <v>38617</v>
      </c>
      <c r="K1419" s="12" t="s">
        <v>20</v>
      </c>
      <c r="L1419" s="9">
        <v>45</v>
      </c>
      <c r="M1419" s="10">
        <v>136.85630897508477</v>
      </c>
      <c r="N1419" s="7" t="s">
        <v>23</v>
      </c>
      <c r="P1419" s="29" t="str">
        <f t="shared" si="396"/>
        <v/>
      </c>
      <c r="Q1419" s="29" t="str">
        <f t="shared" si="397"/>
        <v/>
      </c>
      <c r="R1419" s="29" t="str">
        <f t="shared" si="398"/>
        <v/>
      </c>
      <c r="S1419" s="29" t="str">
        <f t="shared" si="399"/>
        <v/>
      </c>
      <c r="T1419" s="32" t="str">
        <f t="shared" si="400"/>
        <v/>
      </c>
      <c r="U1419" s="32">
        <f t="shared" si="403"/>
        <v>1</v>
      </c>
      <c r="V1419" s="32" t="str">
        <f t="shared" si="404"/>
        <v/>
      </c>
      <c r="W1419" s="41">
        <f t="shared" si="401"/>
        <v>3.0412513105574392</v>
      </c>
      <c r="X1419" s="6">
        <f t="shared" si="402"/>
        <v>136.85630897508477</v>
      </c>
      <c r="Y1419" s="7">
        <f t="shared" si="405"/>
        <v>296</v>
      </c>
      <c r="AA1419" s="7">
        <f t="shared" si="406"/>
        <v>1</v>
      </c>
      <c r="AB1419" s="7">
        <f t="shared" si="407"/>
        <v>45</v>
      </c>
      <c r="AC1419" s="7">
        <f t="shared" si="408"/>
        <v>0</v>
      </c>
      <c r="AD1419" s="7" t="str">
        <f t="shared" si="409"/>
        <v/>
      </c>
      <c r="AE1419" s="6">
        <f t="shared" si="410"/>
        <v>0</v>
      </c>
      <c r="AF1419" s="69">
        <f t="shared" si="411"/>
        <v>3.0412513105574392</v>
      </c>
      <c r="AG1419" s="6">
        <f t="shared" si="412"/>
        <v>0</v>
      </c>
      <c r="AH1419" s="6">
        <f t="shared" si="413"/>
        <v>604</v>
      </c>
    </row>
    <row r="1420" spans="8:34" x14ac:dyDescent="0.25">
      <c r="H1420" s="7">
        <v>1427</v>
      </c>
      <c r="I1420" s="7" t="s">
        <v>13</v>
      </c>
      <c r="J1420" s="8">
        <v>38694</v>
      </c>
      <c r="K1420" s="12" t="s">
        <v>20</v>
      </c>
      <c r="L1420" s="9">
        <v>-10</v>
      </c>
      <c r="M1420" s="10">
        <v>-27.350902782330042</v>
      </c>
      <c r="N1420" s="7" t="s">
        <v>22</v>
      </c>
      <c r="P1420" s="29" t="str">
        <f t="shared" si="396"/>
        <v/>
      </c>
      <c r="Q1420" s="29" t="str">
        <f t="shared" si="397"/>
        <v/>
      </c>
      <c r="R1420" s="29" t="str">
        <f t="shared" si="398"/>
        <v/>
      </c>
      <c r="S1420" s="29" t="str">
        <f t="shared" si="399"/>
        <v/>
      </c>
      <c r="T1420" s="32">
        <f t="shared" si="400"/>
        <v>1</v>
      </c>
      <c r="U1420" s="32">
        <f t="shared" si="403"/>
        <v>1</v>
      </c>
      <c r="V1420" s="32" t="str">
        <f t="shared" si="404"/>
        <v/>
      </c>
      <c r="W1420" s="41" t="str">
        <f t="shared" si="401"/>
        <v/>
      </c>
      <c r="X1420" s="6">
        <f t="shared" si="402"/>
        <v>-27.350902782330042</v>
      </c>
      <c r="Y1420" s="7">
        <f t="shared" si="405"/>
        <v>1889</v>
      </c>
      <c r="AA1420" s="7">
        <f t="shared" si="406"/>
        <v>0</v>
      </c>
      <c r="AB1420" s="7" t="str">
        <f t="shared" si="407"/>
        <v/>
      </c>
      <c r="AC1420" s="7">
        <f t="shared" si="408"/>
        <v>1</v>
      </c>
      <c r="AD1420" s="7">
        <f t="shared" si="409"/>
        <v>-10</v>
      </c>
      <c r="AE1420" s="6">
        <f t="shared" si="410"/>
        <v>-10</v>
      </c>
      <c r="AF1420" s="69" t="str">
        <f t="shared" si="411"/>
        <v/>
      </c>
      <c r="AG1420" s="6">
        <f t="shared" si="412"/>
        <v>0</v>
      </c>
      <c r="AH1420" s="6">
        <f t="shared" si="413"/>
        <v>604</v>
      </c>
    </row>
    <row r="1421" spans="8:34" x14ac:dyDescent="0.25">
      <c r="H1421" s="7">
        <v>1428</v>
      </c>
      <c r="I1421" s="7" t="s">
        <v>9</v>
      </c>
      <c r="J1421" s="8">
        <v>39057</v>
      </c>
      <c r="K1421" s="12" t="s">
        <v>16</v>
      </c>
      <c r="L1421" s="9">
        <v>53</v>
      </c>
      <c r="M1421" s="10">
        <v>160.85164058435507</v>
      </c>
      <c r="N1421" s="7" t="s">
        <v>22</v>
      </c>
      <c r="P1421" s="29" t="str">
        <f t="shared" si="396"/>
        <v/>
      </c>
      <c r="Q1421" s="29" t="str">
        <f t="shared" si="397"/>
        <v/>
      </c>
      <c r="R1421" s="29" t="str">
        <f t="shared" si="398"/>
        <v/>
      </c>
      <c r="S1421" s="29" t="str">
        <f t="shared" si="399"/>
        <v/>
      </c>
      <c r="T1421" s="32" t="str">
        <f t="shared" si="400"/>
        <v/>
      </c>
      <c r="U1421" s="32" t="str">
        <f t="shared" si="403"/>
        <v/>
      </c>
      <c r="V1421" s="32">
        <f t="shared" si="404"/>
        <v>1</v>
      </c>
      <c r="W1421" s="41">
        <f t="shared" si="401"/>
        <v>3.0349366147991521</v>
      </c>
      <c r="X1421" s="6">
        <f t="shared" si="402"/>
        <v>0</v>
      </c>
      <c r="Y1421" s="7">
        <f t="shared" si="405"/>
        <v>567</v>
      </c>
      <c r="AA1421" s="7">
        <f t="shared" si="406"/>
        <v>0</v>
      </c>
      <c r="AB1421" s="7" t="str">
        <f t="shared" si="407"/>
        <v/>
      </c>
      <c r="AC1421" s="7">
        <f t="shared" si="408"/>
        <v>0</v>
      </c>
      <c r="AD1421" s="7" t="str">
        <f t="shared" si="409"/>
        <v/>
      </c>
      <c r="AE1421" s="6">
        <f t="shared" si="410"/>
        <v>0</v>
      </c>
      <c r="AF1421" s="69">
        <f t="shared" si="411"/>
        <v>3.0349366147991521</v>
      </c>
      <c r="AG1421" s="6">
        <f t="shared" si="412"/>
        <v>0</v>
      </c>
      <c r="AH1421" s="6">
        <f t="shared" si="413"/>
        <v>604</v>
      </c>
    </row>
    <row r="1422" spans="8:34" x14ac:dyDescent="0.25">
      <c r="H1422" s="7">
        <v>1429</v>
      </c>
      <c r="I1422" s="7" t="s">
        <v>8</v>
      </c>
      <c r="J1422" s="8">
        <v>38441</v>
      </c>
      <c r="K1422" s="12" t="s">
        <v>19</v>
      </c>
      <c r="L1422" s="9">
        <v>24</v>
      </c>
      <c r="M1422" s="10">
        <v>73.616064458141409</v>
      </c>
      <c r="N1422" s="7" t="s">
        <v>24</v>
      </c>
      <c r="P1422" s="29" t="str">
        <f t="shared" si="396"/>
        <v/>
      </c>
      <c r="Q1422" s="29" t="str">
        <f t="shared" si="397"/>
        <v/>
      </c>
      <c r="R1422" s="29" t="str">
        <f t="shared" si="398"/>
        <v/>
      </c>
      <c r="S1422" s="29" t="str">
        <f t="shared" si="399"/>
        <v/>
      </c>
      <c r="T1422" s="32" t="str">
        <f t="shared" si="400"/>
        <v/>
      </c>
      <c r="U1422" s="32">
        <f t="shared" si="403"/>
        <v>1</v>
      </c>
      <c r="V1422" s="32" t="str">
        <f t="shared" si="404"/>
        <v/>
      </c>
      <c r="W1422" s="41">
        <f t="shared" si="401"/>
        <v>3.0673360190892254</v>
      </c>
      <c r="X1422" s="6">
        <f t="shared" si="402"/>
        <v>73.616064458141409</v>
      </c>
      <c r="Y1422" s="7">
        <f t="shared" si="405"/>
        <v>419</v>
      </c>
      <c r="AA1422" s="7">
        <f t="shared" si="406"/>
        <v>1</v>
      </c>
      <c r="AB1422" s="7">
        <f t="shared" si="407"/>
        <v>24</v>
      </c>
      <c r="AC1422" s="7">
        <f t="shared" si="408"/>
        <v>0</v>
      </c>
      <c r="AD1422" s="7" t="str">
        <f t="shared" si="409"/>
        <v/>
      </c>
      <c r="AE1422" s="6">
        <f t="shared" si="410"/>
        <v>0</v>
      </c>
      <c r="AF1422" s="69">
        <f t="shared" si="411"/>
        <v>3.0673360190892254</v>
      </c>
      <c r="AG1422" s="6">
        <f t="shared" si="412"/>
        <v>0</v>
      </c>
      <c r="AH1422" s="6">
        <f t="shared" si="413"/>
        <v>604</v>
      </c>
    </row>
    <row r="1423" spans="8:34" x14ac:dyDescent="0.25">
      <c r="H1423" s="7">
        <v>1430</v>
      </c>
      <c r="I1423" s="7" t="s">
        <v>12</v>
      </c>
      <c r="J1423" s="8">
        <v>38914</v>
      </c>
      <c r="K1423" s="12" t="s">
        <v>17</v>
      </c>
      <c r="L1423" s="9">
        <v>27</v>
      </c>
      <c r="M1423" s="10">
        <v>83.23212229417976</v>
      </c>
      <c r="N1423" s="7" t="s">
        <v>22</v>
      </c>
      <c r="P1423" s="29" t="str">
        <f t="shared" si="396"/>
        <v/>
      </c>
      <c r="Q1423" s="29" t="str">
        <f t="shared" si="397"/>
        <v/>
      </c>
      <c r="R1423" s="29" t="str">
        <f t="shared" si="398"/>
        <v/>
      </c>
      <c r="S1423" s="29" t="str">
        <f t="shared" si="399"/>
        <v/>
      </c>
      <c r="T1423" s="32" t="str">
        <f t="shared" si="400"/>
        <v/>
      </c>
      <c r="U1423" s="32" t="str">
        <f t="shared" si="403"/>
        <v/>
      </c>
      <c r="V1423" s="32">
        <f t="shared" si="404"/>
        <v>1</v>
      </c>
      <c r="W1423" s="41">
        <f t="shared" si="401"/>
        <v>3.082671196080732</v>
      </c>
      <c r="X1423" s="6">
        <f t="shared" si="402"/>
        <v>0</v>
      </c>
      <c r="Y1423" s="7">
        <f t="shared" si="405"/>
        <v>567</v>
      </c>
      <c r="AA1423" s="7">
        <f t="shared" si="406"/>
        <v>0</v>
      </c>
      <c r="AB1423" s="7" t="str">
        <f t="shared" si="407"/>
        <v/>
      </c>
      <c r="AC1423" s="7">
        <f t="shared" si="408"/>
        <v>0</v>
      </c>
      <c r="AD1423" s="7" t="str">
        <f t="shared" si="409"/>
        <v/>
      </c>
      <c r="AE1423" s="6">
        <f t="shared" si="410"/>
        <v>0</v>
      </c>
      <c r="AF1423" s="69">
        <f t="shared" si="411"/>
        <v>3.082671196080732</v>
      </c>
      <c r="AG1423" s="6">
        <f t="shared" si="412"/>
        <v>0</v>
      </c>
      <c r="AH1423" s="6">
        <f t="shared" si="413"/>
        <v>604</v>
      </c>
    </row>
    <row r="1424" spans="8:34" x14ac:dyDescent="0.25">
      <c r="H1424" s="7">
        <v>1431</v>
      </c>
      <c r="I1424" s="7" t="s">
        <v>14</v>
      </c>
      <c r="J1424" s="8">
        <v>38837</v>
      </c>
      <c r="K1424" s="12" t="s">
        <v>18</v>
      </c>
      <c r="L1424" s="9">
        <v>52</v>
      </c>
      <c r="M1424" s="10">
        <v>158.63001694196066</v>
      </c>
      <c r="N1424" s="7" t="s">
        <v>23</v>
      </c>
      <c r="P1424" s="29" t="str">
        <f t="shared" si="396"/>
        <v/>
      </c>
      <c r="Q1424" s="29" t="str">
        <f t="shared" si="397"/>
        <v/>
      </c>
      <c r="R1424" s="29" t="str">
        <f t="shared" si="398"/>
        <v/>
      </c>
      <c r="S1424" s="29" t="str">
        <f t="shared" si="399"/>
        <v/>
      </c>
      <c r="T1424" s="32" t="str">
        <f t="shared" si="400"/>
        <v/>
      </c>
      <c r="U1424" s="32" t="str">
        <f t="shared" si="403"/>
        <v/>
      </c>
      <c r="V1424" s="32">
        <f t="shared" si="404"/>
        <v>1</v>
      </c>
      <c r="W1424" s="41">
        <f t="shared" si="401"/>
        <v>3.0505772488838589</v>
      </c>
      <c r="X1424" s="6">
        <f t="shared" si="402"/>
        <v>0</v>
      </c>
      <c r="Y1424" s="7">
        <f t="shared" si="405"/>
        <v>567</v>
      </c>
      <c r="AA1424" s="7">
        <f t="shared" si="406"/>
        <v>0</v>
      </c>
      <c r="AB1424" s="7" t="str">
        <f t="shared" si="407"/>
        <v/>
      </c>
      <c r="AC1424" s="7">
        <f t="shared" si="408"/>
        <v>0</v>
      </c>
      <c r="AD1424" s="7" t="str">
        <f t="shared" si="409"/>
        <v/>
      </c>
      <c r="AE1424" s="6">
        <f t="shared" si="410"/>
        <v>0</v>
      </c>
      <c r="AF1424" s="69">
        <f t="shared" si="411"/>
        <v>3.0505772488838589</v>
      </c>
      <c r="AG1424" s="6">
        <f t="shared" si="412"/>
        <v>0</v>
      </c>
      <c r="AH1424" s="6">
        <f t="shared" si="413"/>
        <v>604</v>
      </c>
    </row>
    <row r="1425" spans="8:34" x14ac:dyDescent="0.25">
      <c r="H1425" s="7">
        <v>1432</v>
      </c>
      <c r="I1425" s="7" t="s">
        <v>10</v>
      </c>
      <c r="J1425" s="8">
        <v>39013</v>
      </c>
      <c r="K1425" s="12" t="s">
        <v>18</v>
      </c>
      <c r="L1425" s="9">
        <v>0</v>
      </c>
      <c r="M1425" s="10">
        <v>1.7815728693963861</v>
      </c>
      <c r="N1425" s="7" t="s">
        <v>24</v>
      </c>
      <c r="P1425" s="29" t="str">
        <f t="shared" si="396"/>
        <v/>
      </c>
      <c r="Q1425" s="29" t="str">
        <f t="shared" si="397"/>
        <v/>
      </c>
      <c r="R1425" s="29" t="str">
        <f t="shared" si="398"/>
        <v/>
      </c>
      <c r="S1425" s="29" t="str">
        <f t="shared" si="399"/>
        <v/>
      </c>
      <c r="T1425" s="32" t="str">
        <f t="shared" si="400"/>
        <v/>
      </c>
      <c r="U1425" s="32" t="str">
        <f t="shared" si="403"/>
        <v/>
      </c>
      <c r="V1425" s="32">
        <f t="shared" si="404"/>
        <v>1</v>
      </c>
      <c r="W1425" s="41" t="str">
        <f t="shared" si="401"/>
        <v/>
      </c>
      <c r="X1425" s="6">
        <f t="shared" si="402"/>
        <v>0</v>
      </c>
      <c r="Y1425" s="7">
        <f t="shared" si="405"/>
        <v>567</v>
      </c>
      <c r="AA1425" s="7">
        <f t="shared" si="406"/>
        <v>0</v>
      </c>
      <c r="AB1425" s="7" t="str">
        <f t="shared" si="407"/>
        <v/>
      </c>
      <c r="AC1425" s="7">
        <f t="shared" si="408"/>
        <v>0</v>
      </c>
      <c r="AD1425" s="7" t="str">
        <f t="shared" si="409"/>
        <v/>
      </c>
      <c r="AE1425" s="6">
        <f t="shared" si="410"/>
        <v>0</v>
      </c>
      <c r="AF1425" s="69" t="str">
        <f t="shared" si="411"/>
        <v/>
      </c>
      <c r="AG1425" s="6">
        <f t="shared" si="412"/>
        <v>0</v>
      </c>
      <c r="AH1425" s="6">
        <f t="shared" si="413"/>
        <v>604</v>
      </c>
    </row>
    <row r="1426" spans="8:34" x14ac:dyDescent="0.25">
      <c r="H1426" s="7">
        <v>1433</v>
      </c>
      <c r="I1426" s="7" t="s">
        <v>12</v>
      </c>
      <c r="J1426" s="8">
        <v>38155</v>
      </c>
      <c r="K1426" s="12" t="s">
        <v>20</v>
      </c>
      <c r="L1426" s="9">
        <v>92</v>
      </c>
      <c r="M1426" s="10">
        <v>278.65173044503393</v>
      </c>
      <c r="N1426" s="7" t="s">
        <v>24</v>
      </c>
      <c r="P1426" s="29" t="str">
        <f t="shared" si="396"/>
        <v/>
      </c>
      <c r="Q1426" s="29">
        <f t="shared" si="397"/>
        <v>1</v>
      </c>
      <c r="R1426" s="29" t="str">
        <f t="shared" si="398"/>
        <v/>
      </c>
      <c r="S1426" s="29" t="str">
        <f t="shared" si="399"/>
        <v/>
      </c>
      <c r="T1426" s="32" t="str">
        <f t="shared" si="400"/>
        <v/>
      </c>
      <c r="U1426" s="32" t="str">
        <f t="shared" si="403"/>
        <v/>
      </c>
      <c r="V1426" s="32" t="str">
        <f t="shared" si="404"/>
        <v/>
      </c>
      <c r="W1426" s="41">
        <f t="shared" si="401"/>
        <v>3.0288231570112383</v>
      </c>
      <c r="X1426" s="6">
        <f t="shared" si="402"/>
        <v>0</v>
      </c>
      <c r="Y1426" s="7">
        <f t="shared" si="405"/>
        <v>567</v>
      </c>
      <c r="AA1426" s="7">
        <f t="shared" si="406"/>
        <v>0</v>
      </c>
      <c r="AB1426" s="7" t="str">
        <f t="shared" si="407"/>
        <v/>
      </c>
      <c r="AC1426" s="7">
        <f t="shared" si="408"/>
        <v>0</v>
      </c>
      <c r="AD1426" s="7" t="str">
        <f t="shared" si="409"/>
        <v/>
      </c>
      <c r="AE1426" s="6">
        <f t="shared" si="410"/>
        <v>0</v>
      </c>
      <c r="AF1426" s="69">
        <f t="shared" si="411"/>
        <v>3.0288231570112383</v>
      </c>
      <c r="AG1426" s="6">
        <f t="shared" si="412"/>
        <v>278.65173044503393</v>
      </c>
      <c r="AH1426" s="6">
        <f t="shared" si="413"/>
        <v>18</v>
      </c>
    </row>
    <row r="1427" spans="8:34" x14ac:dyDescent="0.25">
      <c r="H1427" s="7">
        <v>1434</v>
      </c>
      <c r="I1427" s="7" t="s">
        <v>13</v>
      </c>
      <c r="J1427" s="8">
        <v>39013</v>
      </c>
      <c r="K1427" s="12" t="s">
        <v>20</v>
      </c>
      <c r="L1427" s="9">
        <v>22</v>
      </c>
      <c r="M1427" s="10">
        <v>67.706785390101601</v>
      </c>
      <c r="N1427" s="7" t="s">
        <v>24</v>
      </c>
      <c r="P1427" s="29" t="str">
        <f t="shared" si="396"/>
        <v/>
      </c>
      <c r="Q1427" s="29" t="str">
        <f t="shared" si="397"/>
        <v/>
      </c>
      <c r="R1427" s="29" t="str">
        <f t="shared" si="398"/>
        <v/>
      </c>
      <c r="S1427" s="29" t="str">
        <f t="shared" si="399"/>
        <v/>
      </c>
      <c r="T1427" s="32" t="str">
        <f t="shared" si="400"/>
        <v/>
      </c>
      <c r="U1427" s="32" t="str">
        <f t="shared" si="403"/>
        <v/>
      </c>
      <c r="V1427" s="32">
        <f t="shared" si="404"/>
        <v>1</v>
      </c>
      <c r="W1427" s="41">
        <f t="shared" si="401"/>
        <v>3.0775811540955273</v>
      </c>
      <c r="X1427" s="6">
        <f t="shared" si="402"/>
        <v>0</v>
      </c>
      <c r="Y1427" s="7">
        <f t="shared" si="405"/>
        <v>567</v>
      </c>
      <c r="AA1427" s="7">
        <f t="shared" si="406"/>
        <v>0</v>
      </c>
      <c r="AB1427" s="7" t="str">
        <f t="shared" si="407"/>
        <v/>
      </c>
      <c r="AC1427" s="7">
        <f t="shared" si="408"/>
        <v>0</v>
      </c>
      <c r="AD1427" s="7" t="str">
        <f t="shared" si="409"/>
        <v/>
      </c>
      <c r="AE1427" s="6">
        <f t="shared" si="410"/>
        <v>0</v>
      </c>
      <c r="AF1427" s="69">
        <f t="shared" si="411"/>
        <v>3.0775811540955273</v>
      </c>
      <c r="AG1427" s="6">
        <f t="shared" si="412"/>
        <v>0</v>
      </c>
      <c r="AH1427" s="6">
        <f t="shared" si="413"/>
        <v>604</v>
      </c>
    </row>
    <row r="1428" spans="8:34" x14ac:dyDescent="0.25">
      <c r="H1428" s="7">
        <v>1435</v>
      </c>
      <c r="I1428" s="7" t="s">
        <v>15</v>
      </c>
      <c r="J1428" s="8">
        <v>38837</v>
      </c>
      <c r="K1428" s="12" t="s">
        <v>16</v>
      </c>
      <c r="L1428" s="9">
        <v>67</v>
      </c>
      <c r="M1428" s="10">
        <v>202.90370530776514</v>
      </c>
      <c r="N1428" s="7" t="s">
        <v>23</v>
      </c>
      <c r="P1428" s="29" t="str">
        <f t="shared" si="396"/>
        <v/>
      </c>
      <c r="Q1428" s="29" t="str">
        <f t="shared" si="397"/>
        <v/>
      </c>
      <c r="R1428" s="29" t="str">
        <f t="shared" si="398"/>
        <v/>
      </c>
      <c r="S1428" s="29" t="str">
        <f t="shared" si="399"/>
        <v/>
      </c>
      <c r="T1428" s="32" t="str">
        <f t="shared" si="400"/>
        <v/>
      </c>
      <c r="U1428" s="32" t="str">
        <f t="shared" si="403"/>
        <v/>
      </c>
      <c r="V1428" s="32">
        <f t="shared" si="404"/>
        <v>1</v>
      </c>
      <c r="W1428" s="41">
        <f t="shared" si="401"/>
        <v>3.0284135120561961</v>
      </c>
      <c r="X1428" s="6">
        <f t="shared" si="402"/>
        <v>0</v>
      </c>
      <c r="Y1428" s="7">
        <f t="shared" si="405"/>
        <v>567</v>
      </c>
      <c r="AA1428" s="7">
        <f t="shared" si="406"/>
        <v>0</v>
      </c>
      <c r="AB1428" s="7" t="str">
        <f t="shared" si="407"/>
        <v/>
      </c>
      <c r="AC1428" s="7">
        <f t="shared" si="408"/>
        <v>0</v>
      </c>
      <c r="AD1428" s="7" t="str">
        <f t="shared" si="409"/>
        <v/>
      </c>
      <c r="AE1428" s="6">
        <f t="shared" si="410"/>
        <v>0</v>
      </c>
      <c r="AF1428" s="69">
        <f t="shared" si="411"/>
        <v>3.0284135120561961</v>
      </c>
      <c r="AG1428" s="6">
        <f t="shared" si="412"/>
        <v>0</v>
      </c>
      <c r="AH1428" s="6">
        <f t="shared" si="413"/>
        <v>604</v>
      </c>
    </row>
    <row r="1429" spans="8:34" x14ac:dyDescent="0.25">
      <c r="H1429" s="7">
        <v>1436</v>
      </c>
      <c r="I1429" s="7" t="s">
        <v>10</v>
      </c>
      <c r="J1429" s="8">
        <v>38639</v>
      </c>
      <c r="K1429" s="12" t="s">
        <v>20</v>
      </c>
      <c r="L1429" s="9">
        <v>7</v>
      </c>
      <c r="M1429" s="10">
        <v>23.034327347174614</v>
      </c>
      <c r="N1429" s="7" t="s">
        <v>23</v>
      </c>
      <c r="P1429" s="29" t="str">
        <f t="shared" si="396"/>
        <v/>
      </c>
      <c r="Q1429" s="29" t="str">
        <f t="shared" si="397"/>
        <v/>
      </c>
      <c r="R1429" s="29" t="str">
        <f t="shared" si="398"/>
        <v/>
      </c>
      <c r="S1429" s="29" t="str">
        <f t="shared" si="399"/>
        <v/>
      </c>
      <c r="T1429" s="32">
        <f t="shared" si="400"/>
        <v>1</v>
      </c>
      <c r="U1429" s="32">
        <f t="shared" si="403"/>
        <v>1</v>
      </c>
      <c r="V1429" s="32" t="str">
        <f t="shared" si="404"/>
        <v/>
      </c>
      <c r="W1429" s="41">
        <f t="shared" si="401"/>
        <v>3.2906181924535161</v>
      </c>
      <c r="X1429" s="6">
        <f t="shared" si="402"/>
        <v>23.034327347174614</v>
      </c>
      <c r="Y1429" s="7">
        <f t="shared" si="405"/>
        <v>520</v>
      </c>
      <c r="AA1429" s="7">
        <f t="shared" si="406"/>
        <v>0</v>
      </c>
      <c r="AB1429" s="7" t="str">
        <f t="shared" si="407"/>
        <v/>
      </c>
      <c r="AC1429" s="7">
        <f t="shared" si="408"/>
        <v>1</v>
      </c>
      <c r="AD1429" s="7">
        <f t="shared" si="409"/>
        <v>7</v>
      </c>
      <c r="AE1429" s="6">
        <f t="shared" si="410"/>
        <v>0</v>
      </c>
      <c r="AF1429" s="69">
        <f t="shared" si="411"/>
        <v>3.2906181924535161</v>
      </c>
      <c r="AG1429" s="6">
        <f t="shared" si="412"/>
        <v>0</v>
      </c>
      <c r="AH1429" s="6">
        <f t="shared" si="413"/>
        <v>604</v>
      </c>
    </row>
    <row r="1430" spans="8:34" x14ac:dyDescent="0.25">
      <c r="H1430" s="7">
        <v>1437</v>
      </c>
      <c r="I1430" s="7" t="s">
        <v>15</v>
      </c>
      <c r="J1430" s="8">
        <v>38122</v>
      </c>
      <c r="K1430" s="12" t="s">
        <v>16</v>
      </c>
      <c r="L1430" s="9">
        <v>-10</v>
      </c>
      <c r="M1430" s="10">
        <v>-27.962734354764166</v>
      </c>
      <c r="N1430" s="7" t="s">
        <v>21</v>
      </c>
      <c r="P1430" s="29" t="str">
        <f t="shared" si="396"/>
        <v/>
      </c>
      <c r="Q1430" s="29">
        <f t="shared" si="397"/>
        <v>1</v>
      </c>
      <c r="R1430" s="29" t="str">
        <f t="shared" si="398"/>
        <v/>
      </c>
      <c r="S1430" s="29" t="str">
        <f t="shared" si="399"/>
        <v/>
      </c>
      <c r="T1430" s="32" t="str">
        <f t="shared" si="400"/>
        <v/>
      </c>
      <c r="U1430" s="32" t="str">
        <f t="shared" si="403"/>
        <v/>
      </c>
      <c r="V1430" s="32" t="str">
        <f t="shared" si="404"/>
        <v/>
      </c>
      <c r="W1430" s="41" t="str">
        <f t="shared" si="401"/>
        <v/>
      </c>
      <c r="X1430" s="6">
        <f t="shared" si="402"/>
        <v>0</v>
      </c>
      <c r="Y1430" s="7">
        <f t="shared" si="405"/>
        <v>567</v>
      </c>
      <c r="AA1430" s="7">
        <f t="shared" si="406"/>
        <v>0</v>
      </c>
      <c r="AB1430" s="7" t="str">
        <f t="shared" si="407"/>
        <v/>
      </c>
      <c r="AC1430" s="7">
        <f t="shared" si="408"/>
        <v>0</v>
      </c>
      <c r="AD1430" s="7" t="str">
        <f t="shared" si="409"/>
        <v/>
      </c>
      <c r="AE1430" s="6">
        <f t="shared" si="410"/>
        <v>-10</v>
      </c>
      <c r="AF1430" s="69" t="str">
        <f t="shared" si="411"/>
        <v/>
      </c>
      <c r="AG1430" s="6">
        <f t="shared" si="412"/>
        <v>0</v>
      </c>
      <c r="AH1430" s="6">
        <f t="shared" si="413"/>
        <v>604</v>
      </c>
    </row>
    <row r="1431" spans="8:34" x14ac:dyDescent="0.25">
      <c r="H1431" s="7">
        <v>1438</v>
      </c>
      <c r="I1431" s="7" t="s">
        <v>11</v>
      </c>
      <c r="J1431" s="8">
        <v>38947</v>
      </c>
      <c r="K1431" s="12" t="s">
        <v>20</v>
      </c>
      <c r="L1431" s="9">
        <v>10</v>
      </c>
      <c r="M1431" s="10">
        <v>31.667217946817743</v>
      </c>
      <c r="N1431" s="7" t="s">
        <v>22</v>
      </c>
      <c r="P1431" s="29" t="str">
        <f t="shared" si="396"/>
        <v/>
      </c>
      <c r="Q1431" s="29" t="str">
        <f t="shared" si="397"/>
        <v/>
      </c>
      <c r="R1431" s="29" t="str">
        <f t="shared" si="398"/>
        <v/>
      </c>
      <c r="S1431" s="29" t="str">
        <f t="shared" si="399"/>
        <v/>
      </c>
      <c r="T1431" s="32" t="str">
        <f t="shared" si="400"/>
        <v/>
      </c>
      <c r="U1431" s="32" t="str">
        <f t="shared" si="403"/>
        <v/>
      </c>
      <c r="V1431" s="32">
        <f t="shared" si="404"/>
        <v>1</v>
      </c>
      <c r="W1431" s="41">
        <f t="shared" si="401"/>
        <v>3.1667217946817745</v>
      </c>
      <c r="X1431" s="6">
        <f t="shared" si="402"/>
        <v>0</v>
      </c>
      <c r="Y1431" s="7">
        <f t="shared" si="405"/>
        <v>567</v>
      </c>
      <c r="AA1431" s="7">
        <f t="shared" si="406"/>
        <v>0</v>
      </c>
      <c r="AB1431" s="7" t="str">
        <f t="shared" si="407"/>
        <v/>
      </c>
      <c r="AC1431" s="7">
        <f t="shared" si="408"/>
        <v>0</v>
      </c>
      <c r="AD1431" s="7" t="str">
        <f t="shared" si="409"/>
        <v/>
      </c>
      <c r="AE1431" s="6">
        <f t="shared" si="410"/>
        <v>0</v>
      </c>
      <c r="AF1431" s="69">
        <f t="shared" si="411"/>
        <v>3.1667217946817745</v>
      </c>
      <c r="AG1431" s="6">
        <f t="shared" si="412"/>
        <v>0</v>
      </c>
      <c r="AH1431" s="6">
        <f t="shared" si="413"/>
        <v>604</v>
      </c>
    </row>
    <row r="1432" spans="8:34" x14ac:dyDescent="0.25">
      <c r="H1432" s="7">
        <v>1439</v>
      </c>
      <c r="I1432" s="7" t="s">
        <v>12</v>
      </c>
      <c r="J1432" s="8">
        <v>38529</v>
      </c>
      <c r="K1432" s="12" t="s">
        <v>18</v>
      </c>
      <c r="L1432" s="9">
        <v>15</v>
      </c>
      <c r="M1432" s="10">
        <v>46.477551483409364</v>
      </c>
      <c r="N1432" s="7" t="s">
        <v>22</v>
      </c>
      <c r="P1432" s="29" t="str">
        <f t="shared" si="396"/>
        <v/>
      </c>
      <c r="Q1432" s="29" t="str">
        <f t="shared" si="397"/>
        <v/>
      </c>
      <c r="R1432" s="29" t="str">
        <f t="shared" si="398"/>
        <v/>
      </c>
      <c r="S1432" s="29" t="str">
        <f t="shared" si="399"/>
        <v/>
      </c>
      <c r="T1432" s="32" t="str">
        <f t="shared" si="400"/>
        <v/>
      </c>
      <c r="U1432" s="32">
        <f t="shared" si="403"/>
        <v>1</v>
      </c>
      <c r="V1432" s="32" t="str">
        <f t="shared" si="404"/>
        <v/>
      </c>
      <c r="W1432" s="41">
        <f t="shared" si="401"/>
        <v>3.0985034322272909</v>
      </c>
      <c r="X1432" s="6">
        <f t="shared" si="402"/>
        <v>46.477551483409364</v>
      </c>
      <c r="Y1432" s="7">
        <f t="shared" si="405"/>
        <v>468</v>
      </c>
      <c r="AA1432" s="7">
        <f t="shared" si="406"/>
        <v>0</v>
      </c>
      <c r="AB1432" s="7" t="str">
        <f t="shared" si="407"/>
        <v/>
      </c>
      <c r="AC1432" s="7">
        <f t="shared" si="408"/>
        <v>1</v>
      </c>
      <c r="AD1432" s="7">
        <f t="shared" si="409"/>
        <v>15</v>
      </c>
      <c r="AE1432" s="6">
        <f t="shared" si="410"/>
        <v>0</v>
      </c>
      <c r="AF1432" s="69">
        <f t="shared" si="411"/>
        <v>3.0985034322272909</v>
      </c>
      <c r="AG1432" s="6">
        <f t="shared" si="412"/>
        <v>0</v>
      </c>
      <c r="AH1432" s="6">
        <f t="shared" si="413"/>
        <v>604</v>
      </c>
    </row>
    <row r="1433" spans="8:34" x14ac:dyDescent="0.25">
      <c r="H1433" s="7">
        <v>1440</v>
      </c>
      <c r="I1433" s="7" t="s">
        <v>9</v>
      </c>
      <c r="J1433" s="8">
        <v>38529</v>
      </c>
      <c r="K1433" s="12" t="s">
        <v>19</v>
      </c>
      <c r="L1433" s="9">
        <v>0</v>
      </c>
      <c r="M1433" s="10">
        <v>2.1309055922780948</v>
      </c>
      <c r="N1433" s="7" t="s">
        <v>21</v>
      </c>
      <c r="P1433" s="29" t="str">
        <f t="shared" si="396"/>
        <v/>
      </c>
      <c r="Q1433" s="29" t="str">
        <f t="shared" si="397"/>
        <v/>
      </c>
      <c r="R1433" s="29" t="str">
        <f t="shared" si="398"/>
        <v/>
      </c>
      <c r="S1433" s="29" t="str">
        <f t="shared" si="399"/>
        <v/>
      </c>
      <c r="T1433" s="32" t="str">
        <f t="shared" si="400"/>
        <v/>
      </c>
      <c r="U1433" s="32">
        <f t="shared" si="403"/>
        <v>1</v>
      </c>
      <c r="V1433" s="32" t="str">
        <f t="shared" si="404"/>
        <v/>
      </c>
      <c r="W1433" s="41" t="str">
        <f t="shared" si="401"/>
        <v/>
      </c>
      <c r="X1433" s="6">
        <f t="shared" si="402"/>
        <v>2.1309055922780948</v>
      </c>
      <c r="Y1433" s="7">
        <f t="shared" si="405"/>
        <v>563</v>
      </c>
      <c r="AA1433" s="7">
        <f t="shared" si="406"/>
        <v>0</v>
      </c>
      <c r="AB1433" s="7" t="str">
        <f t="shared" si="407"/>
        <v/>
      </c>
      <c r="AC1433" s="7">
        <f t="shared" si="408"/>
        <v>1</v>
      </c>
      <c r="AD1433" s="7">
        <f t="shared" si="409"/>
        <v>0</v>
      </c>
      <c r="AE1433" s="6">
        <f t="shared" si="410"/>
        <v>0</v>
      </c>
      <c r="AF1433" s="69" t="str">
        <f t="shared" si="411"/>
        <v/>
      </c>
      <c r="AG1433" s="6">
        <f t="shared" si="412"/>
        <v>0</v>
      </c>
      <c r="AH1433" s="6">
        <f t="shared" si="413"/>
        <v>604</v>
      </c>
    </row>
    <row r="1434" spans="8:34" x14ac:dyDescent="0.25">
      <c r="H1434" s="7">
        <v>1441</v>
      </c>
      <c r="I1434" s="7" t="s">
        <v>10</v>
      </c>
      <c r="J1434" s="8">
        <v>38793</v>
      </c>
      <c r="K1434" s="12" t="s">
        <v>18</v>
      </c>
      <c r="L1434" s="9">
        <v>93</v>
      </c>
      <c r="M1434" s="10">
        <v>280.90891395594838</v>
      </c>
      <c r="N1434" s="7" t="s">
        <v>24</v>
      </c>
      <c r="P1434" s="29" t="str">
        <f t="shared" si="396"/>
        <v/>
      </c>
      <c r="Q1434" s="29" t="str">
        <f t="shared" si="397"/>
        <v/>
      </c>
      <c r="R1434" s="29" t="str">
        <f t="shared" si="398"/>
        <v/>
      </c>
      <c r="S1434" s="29" t="str">
        <f t="shared" si="399"/>
        <v/>
      </c>
      <c r="T1434" s="32" t="str">
        <f t="shared" si="400"/>
        <v/>
      </c>
      <c r="U1434" s="32" t="str">
        <f t="shared" si="403"/>
        <v/>
      </c>
      <c r="V1434" s="32">
        <f t="shared" si="404"/>
        <v>1</v>
      </c>
      <c r="W1434" s="41">
        <f t="shared" si="401"/>
        <v>3.020525956515574</v>
      </c>
      <c r="X1434" s="6">
        <f t="shared" si="402"/>
        <v>0</v>
      </c>
      <c r="Y1434" s="7">
        <f t="shared" si="405"/>
        <v>567</v>
      </c>
      <c r="AA1434" s="7">
        <f t="shared" si="406"/>
        <v>0</v>
      </c>
      <c r="AB1434" s="7" t="str">
        <f t="shared" si="407"/>
        <v/>
      </c>
      <c r="AC1434" s="7">
        <f t="shared" si="408"/>
        <v>0</v>
      </c>
      <c r="AD1434" s="7" t="str">
        <f t="shared" si="409"/>
        <v/>
      </c>
      <c r="AE1434" s="6">
        <f t="shared" si="410"/>
        <v>0</v>
      </c>
      <c r="AF1434" s="69">
        <f t="shared" si="411"/>
        <v>3.020525956515574</v>
      </c>
      <c r="AG1434" s="6">
        <f t="shared" si="412"/>
        <v>0</v>
      </c>
      <c r="AH1434" s="6">
        <f t="shared" si="413"/>
        <v>604</v>
      </c>
    </row>
    <row r="1435" spans="8:34" x14ac:dyDescent="0.25">
      <c r="H1435" s="7">
        <v>1442</v>
      </c>
      <c r="I1435" s="7" t="s">
        <v>8</v>
      </c>
      <c r="J1435" s="8">
        <v>38738</v>
      </c>
      <c r="K1435" s="12" t="s">
        <v>18</v>
      </c>
      <c r="L1435" s="9">
        <v>57</v>
      </c>
      <c r="M1435" s="10">
        <v>172.62177980113168</v>
      </c>
      <c r="N1435" s="7" t="s">
        <v>23</v>
      </c>
      <c r="P1435" s="29" t="str">
        <f t="shared" si="396"/>
        <v/>
      </c>
      <c r="Q1435" s="29" t="str">
        <f t="shared" si="397"/>
        <v/>
      </c>
      <c r="R1435" s="29" t="str">
        <f t="shared" si="398"/>
        <v/>
      </c>
      <c r="S1435" s="29" t="str">
        <f t="shared" si="399"/>
        <v/>
      </c>
      <c r="T1435" s="32" t="str">
        <f t="shared" si="400"/>
        <v/>
      </c>
      <c r="U1435" s="32" t="str">
        <f t="shared" si="403"/>
        <v/>
      </c>
      <c r="V1435" s="32">
        <f t="shared" si="404"/>
        <v>1</v>
      </c>
      <c r="W1435" s="41">
        <f t="shared" si="401"/>
        <v>3.0284522772128364</v>
      </c>
      <c r="X1435" s="6">
        <f t="shared" si="402"/>
        <v>0</v>
      </c>
      <c r="Y1435" s="7">
        <f t="shared" si="405"/>
        <v>567</v>
      </c>
      <c r="AA1435" s="7">
        <f t="shared" si="406"/>
        <v>0</v>
      </c>
      <c r="AB1435" s="7" t="str">
        <f t="shared" si="407"/>
        <v/>
      </c>
      <c r="AC1435" s="7">
        <f t="shared" si="408"/>
        <v>0</v>
      </c>
      <c r="AD1435" s="7" t="str">
        <f t="shared" si="409"/>
        <v/>
      </c>
      <c r="AE1435" s="6">
        <f t="shared" si="410"/>
        <v>0</v>
      </c>
      <c r="AF1435" s="69">
        <f t="shared" si="411"/>
        <v>3.0284522772128364</v>
      </c>
      <c r="AG1435" s="6">
        <f t="shared" si="412"/>
        <v>0</v>
      </c>
      <c r="AH1435" s="6">
        <f t="shared" si="413"/>
        <v>604</v>
      </c>
    </row>
    <row r="1436" spans="8:34" x14ac:dyDescent="0.25">
      <c r="H1436" s="7">
        <v>1443</v>
      </c>
      <c r="I1436" s="7" t="s">
        <v>12</v>
      </c>
      <c r="J1436" s="8">
        <v>38254</v>
      </c>
      <c r="K1436" s="12" t="s">
        <v>17</v>
      </c>
      <c r="L1436" s="9">
        <v>69</v>
      </c>
      <c r="M1436" s="10">
        <v>208.76551379204989</v>
      </c>
      <c r="N1436" s="7" t="s">
        <v>23</v>
      </c>
      <c r="P1436" s="29" t="str">
        <f t="shared" si="396"/>
        <v/>
      </c>
      <c r="Q1436" s="29" t="str">
        <f t="shared" si="397"/>
        <v/>
      </c>
      <c r="R1436" s="29">
        <f t="shared" si="398"/>
        <v>1</v>
      </c>
      <c r="S1436" s="29" t="str">
        <f t="shared" si="399"/>
        <v/>
      </c>
      <c r="T1436" s="32" t="str">
        <f t="shared" si="400"/>
        <v/>
      </c>
      <c r="U1436" s="32" t="str">
        <f t="shared" si="403"/>
        <v/>
      </c>
      <c r="V1436" s="32" t="str">
        <f t="shared" si="404"/>
        <v/>
      </c>
      <c r="W1436" s="41">
        <f t="shared" si="401"/>
        <v>3.02558715640652</v>
      </c>
      <c r="X1436" s="6">
        <f t="shared" si="402"/>
        <v>0</v>
      </c>
      <c r="Y1436" s="7">
        <f t="shared" si="405"/>
        <v>567</v>
      </c>
      <c r="AA1436" s="7">
        <f t="shared" si="406"/>
        <v>0</v>
      </c>
      <c r="AB1436" s="7" t="str">
        <f t="shared" si="407"/>
        <v/>
      </c>
      <c r="AC1436" s="7">
        <f t="shared" si="408"/>
        <v>0</v>
      </c>
      <c r="AD1436" s="7" t="str">
        <f t="shared" si="409"/>
        <v/>
      </c>
      <c r="AE1436" s="6">
        <f t="shared" si="410"/>
        <v>0</v>
      </c>
      <c r="AF1436" s="69">
        <f t="shared" si="411"/>
        <v>3.02558715640652</v>
      </c>
      <c r="AG1436" s="6">
        <f t="shared" si="412"/>
        <v>208.76551379204989</v>
      </c>
      <c r="AH1436" s="6">
        <f t="shared" si="413"/>
        <v>159</v>
      </c>
    </row>
    <row r="1437" spans="8:34" x14ac:dyDescent="0.25">
      <c r="H1437" s="7">
        <v>1444</v>
      </c>
      <c r="I1437" s="7" t="s">
        <v>15</v>
      </c>
      <c r="J1437" s="8">
        <v>38716</v>
      </c>
      <c r="K1437" s="12" t="s">
        <v>18</v>
      </c>
      <c r="L1437" s="9">
        <v>53</v>
      </c>
      <c r="M1437" s="10">
        <v>161.64817183248223</v>
      </c>
      <c r="N1437" s="7" t="s">
        <v>21</v>
      </c>
      <c r="P1437" s="29" t="str">
        <f t="shared" si="396"/>
        <v/>
      </c>
      <c r="Q1437" s="29" t="str">
        <f t="shared" si="397"/>
        <v/>
      </c>
      <c r="R1437" s="29" t="str">
        <f t="shared" si="398"/>
        <v/>
      </c>
      <c r="S1437" s="29" t="str">
        <f t="shared" si="399"/>
        <v/>
      </c>
      <c r="T1437" s="32">
        <f t="shared" si="400"/>
        <v>1</v>
      </c>
      <c r="U1437" s="32">
        <f t="shared" si="403"/>
        <v>1</v>
      </c>
      <c r="V1437" s="32" t="str">
        <f t="shared" si="404"/>
        <v/>
      </c>
      <c r="W1437" s="41">
        <f t="shared" si="401"/>
        <v>3.0499655062732498</v>
      </c>
      <c r="X1437" s="6">
        <f t="shared" si="402"/>
        <v>161.64817183248223</v>
      </c>
      <c r="Y1437" s="7">
        <f t="shared" si="405"/>
        <v>236</v>
      </c>
      <c r="AA1437" s="7">
        <f t="shared" si="406"/>
        <v>0</v>
      </c>
      <c r="AB1437" s="7" t="str">
        <f t="shared" si="407"/>
        <v/>
      </c>
      <c r="AC1437" s="7">
        <f t="shared" si="408"/>
        <v>1</v>
      </c>
      <c r="AD1437" s="7">
        <f t="shared" si="409"/>
        <v>53</v>
      </c>
      <c r="AE1437" s="6">
        <f t="shared" si="410"/>
        <v>0</v>
      </c>
      <c r="AF1437" s="69">
        <f t="shared" si="411"/>
        <v>3.0499655062732498</v>
      </c>
      <c r="AG1437" s="6">
        <f t="shared" si="412"/>
        <v>0</v>
      </c>
      <c r="AH1437" s="6">
        <f t="shared" si="413"/>
        <v>604</v>
      </c>
    </row>
    <row r="1438" spans="8:34" x14ac:dyDescent="0.25">
      <c r="H1438" s="7">
        <v>1445</v>
      </c>
      <c r="I1438" s="7" t="s">
        <v>9</v>
      </c>
      <c r="J1438" s="8">
        <v>39013</v>
      </c>
      <c r="K1438" s="12" t="s">
        <v>19</v>
      </c>
      <c r="L1438" s="9">
        <v>67</v>
      </c>
      <c r="M1438" s="10">
        <v>203.5655299819017</v>
      </c>
      <c r="N1438" s="7" t="s">
        <v>21</v>
      </c>
      <c r="P1438" s="29" t="str">
        <f t="shared" si="396"/>
        <v/>
      </c>
      <c r="Q1438" s="29" t="str">
        <f t="shared" si="397"/>
        <v/>
      </c>
      <c r="R1438" s="29" t="str">
        <f t="shared" si="398"/>
        <v/>
      </c>
      <c r="S1438" s="29" t="str">
        <f t="shared" si="399"/>
        <v/>
      </c>
      <c r="T1438" s="32" t="str">
        <f t="shared" si="400"/>
        <v/>
      </c>
      <c r="U1438" s="32" t="str">
        <f t="shared" si="403"/>
        <v/>
      </c>
      <c r="V1438" s="32">
        <f t="shared" si="404"/>
        <v>1</v>
      </c>
      <c r="W1438" s="41">
        <f t="shared" si="401"/>
        <v>3.0382914922671898</v>
      </c>
      <c r="X1438" s="6">
        <f t="shared" si="402"/>
        <v>0</v>
      </c>
      <c r="Y1438" s="7">
        <f t="shared" si="405"/>
        <v>567</v>
      </c>
      <c r="AA1438" s="7">
        <f t="shared" si="406"/>
        <v>0</v>
      </c>
      <c r="AB1438" s="7" t="str">
        <f t="shared" si="407"/>
        <v/>
      </c>
      <c r="AC1438" s="7">
        <f t="shared" si="408"/>
        <v>0</v>
      </c>
      <c r="AD1438" s="7" t="str">
        <f t="shared" si="409"/>
        <v/>
      </c>
      <c r="AE1438" s="6">
        <f t="shared" si="410"/>
        <v>0</v>
      </c>
      <c r="AF1438" s="69">
        <f t="shared" si="411"/>
        <v>3.0382914922671898</v>
      </c>
      <c r="AG1438" s="6">
        <f t="shared" si="412"/>
        <v>0</v>
      </c>
      <c r="AH1438" s="6">
        <f t="shared" si="413"/>
        <v>604</v>
      </c>
    </row>
    <row r="1439" spans="8:34" x14ac:dyDescent="0.25">
      <c r="H1439" s="7">
        <v>1446</v>
      </c>
      <c r="I1439" s="7" t="s">
        <v>15</v>
      </c>
      <c r="J1439" s="8">
        <v>38078</v>
      </c>
      <c r="K1439" s="12" t="s">
        <v>16</v>
      </c>
      <c r="L1439" s="9">
        <v>23</v>
      </c>
      <c r="M1439" s="10">
        <v>70.708152765050201</v>
      </c>
      <c r="N1439" s="7" t="s">
        <v>24</v>
      </c>
      <c r="P1439" s="29" t="str">
        <f t="shared" si="396"/>
        <v/>
      </c>
      <c r="Q1439" s="29">
        <f t="shared" si="397"/>
        <v>1</v>
      </c>
      <c r="R1439" s="29" t="str">
        <f t="shared" si="398"/>
        <v/>
      </c>
      <c r="S1439" s="29" t="str">
        <f t="shared" si="399"/>
        <v/>
      </c>
      <c r="T1439" s="32" t="str">
        <f t="shared" si="400"/>
        <v/>
      </c>
      <c r="U1439" s="32" t="str">
        <f t="shared" si="403"/>
        <v/>
      </c>
      <c r="V1439" s="32" t="str">
        <f t="shared" si="404"/>
        <v/>
      </c>
      <c r="W1439" s="41">
        <f t="shared" si="401"/>
        <v>3.0742675115239217</v>
      </c>
      <c r="X1439" s="6">
        <f t="shared" si="402"/>
        <v>0</v>
      </c>
      <c r="Y1439" s="7">
        <f t="shared" si="405"/>
        <v>567</v>
      </c>
      <c r="AA1439" s="7">
        <f t="shared" si="406"/>
        <v>0</v>
      </c>
      <c r="AB1439" s="7" t="str">
        <f t="shared" si="407"/>
        <v/>
      </c>
      <c r="AC1439" s="7">
        <f t="shared" si="408"/>
        <v>0</v>
      </c>
      <c r="AD1439" s="7" t="str">
        <f t="shared" si="409"/>
        <v/>
      </c>
      <c r="AE1439" s="6">
        <f t="shared" si="410"/>
        <v>0</v>
      </c>
      <c r="AF1439" s="69">
        <f t="shared" si="411"/>
        <v>3.0742675115239217</v>
      </c>
      <c r="AG1439" s="6">
        <f t="shared" si="412"/>
        <v>70.708152765050201</v>
      </c>
      <c r="AH1439" s="6">
        <f t="shared" si="413"/>
        <v>442</v>
      </c>
    </row>
    <row r="1440" spans="8:34" x14ac:dyDescent="0.25">
      <c r="H1440" s="7">
        <v>1447</v>
      </c>
      <c r="I1440" s="7" t="s">
        <v>11</v>
      </c>
      <c r="J1440" s="8">
        <v>38155</v>
      </c>
      <c r="K1440" s="12" t="s">
        <v>20</v>
      </c>
      <c r="L1440" s="9">
        <v>43</v>
      </c>
      <c r="M1440" s="10">
        <v>131.16019141346013</v>
      </c>
      <c r="N1440" s="7" t="s">
        <v>23</v>
      </c>
      <c r="P1440" s="29" t="str">
        <f t="shared" si="396"/>
        <v/>
      </c>
      <c r="Q1440" s="29">
        <f t="shared" si="397"/>
        <v>1</v>
      </c>
      <c r="R1440" s="29" t="str">
        <f t="shared" si="398"/>
        <v/>
      </c>
      <c r="S1440" s="29" t="str">
        <f t="shared" si="399"/>
        <v/>
      </c>
      <c r="T1440" s="32" t="str">
        <f t="shared" si="400"/>
        <v/>
      </c>
      <c r="U1440" s="32" t="str">
        <f t="shared" si="403"/>
        <v/>
      </c>
      <c r="V1440" s="32" t="str">
        <f t="shared" si="404"/>
        <v/>
      </c>
      <c r="W1440" s="41">
        <f t="shared" si="401"/>
        <v>3.0502370096153517</v>
      </c>
      <c r="X1440" s="6">
        <f t="shared" si="402"/>
        <v>0</v>
      </c>
      <c r="Y1440" s="7">
        <f t="shared" si="405"/>
        <v>567</v>
      </c>
      <c r="AA1440" s="7">
        <f t="shared" si="406"/>
        <v>0</v>
      </c>
      <c r="AB1440" s="7" t="str">
        <f t="shared" si="407"/>
        <v/>
      </c>
      <c r="AC1440" s="7">
        <f t="shared" si="408"/>
        <v>0</v>
      </c>
      <c r="AD1440" s="7" t="str">
        <f t="shared" si="409"/>
        <v/>
      </c>
      <c r="AE1440" s="6">
        <f t="shared" si="410"/>
        <v>0</v>
      </c>
      <c r="AF1440" s="69">
        <f t="shared" si="411"/>
        <v>3.0502370096153517</v>
      </c>
      <c r="AG1440" s="6">
        <f t="shared" si="412"/>
        <v>131.16019141346013</v>
      </c>
      <c r="AH1440" s="6">
        <f t="shared" si="413"/>
        <v>314</v>
      </c>
    </row>
    <row r="1441" spans="8:34" x14ac:dyDescent="0.25">
      <c r="H1441" s="7">
        <v>1448</v>
      </c>
      <c r="I1441" s="7" t="s">
        <v>14</v>
      </c>
      <c r="J1441" s="8">
        <v>39013</v>
      </c>
      <c r="K1441" s="12" t="s">
        <v>17</v>
      </c>
      <c r="L1441" s="9">
        <v>69</v>
      </c>
      <c r="M1441" s="10">
        <v>209.39515625574666</v>
      </c>
      <c r="N1441" s="7" t="s">
        <v>23</v>
      </c>
      <c r="P1441" s="29" t="str">
        <f t="shared" si="396"/>
        <v/>
      </c>
      <c r="Q1441" s="29" t="str">
        <f t="shared" si="397"/>
        <v/>
      </c>
      <c r="R1441" s="29" t="str">
        <f t="shared" si="398"/>
        <v/>
      </c>
      <c r="S1441" s="29" t="str">
        <f t="shared" si="399"/>
        <v/>
      </c>
      <c r="T1441" s="32" t="str">
        <f t="shared" si="400"/>
        <v/>
      </c>
      <c r="U1441" s="32" t="str">
        <f t="shared" si="403"/>
        <v/>
      </c>
      <c r="V1441" s="32">
        <f t="shared" si="404"/>
        <v>1</v>
      </c>
      <c r="W1441" s="41">
        <f t="shared" si="401"/>
        <v>3.0347124095035749</v>
      </c>
      <c r="X1441" s="6">
        <f t="shared" si="402"/>
        <v>0</v>
      </c>
      <c r="Y1441" s="7">
        <f t="shared" si="405"/>
        <v>567</v>
      </c>
      <c r="AA1441" s="7">
        <f t="shared" si="406"/>
        <v>0</v>
      </c>
      <c r="AB1441" s="7" t="str">
        <f t="shared" si="407"/>
        <v/>
      </c>
      <c r="AC1441" s="7">
        <f t="shared" si="408"/>
        <v>0</v>
      </c>
      <c r="AD1441" s="7" t="str">
        <f t="shared" si="409"/>
        <v/>
      </c>
      <c r="AE1441" s="6">
        <f t="shared" si="410"/>
        <v>0</v>
      </c>
      <c r="AF1441" s="69">
        <f t="shared" si="411"/>
        <v>3.0347124095035749</v>
      </c>
      <c r="AG1441" s="6">
        <f t="shared" si="412"/>
        <v>0</v>
      </c>
      <c r="AH1441" s="6">
        <f t="shared" si="413"/>
        <v>604</v>
      </c>
    </row>
    <row r="1442" spans="8:34" x14ac:dyDescent="0.25">
      <c r="H1442" s="7">
        <v>1449</v>
      </c>
      <c r="I1442" s="7" t="s">
        <v>8</v>
      </c>
      <c r="J1442" s="8">
        <v>38991</v>
      </c>
      <c r="K1442" s="12" t="s">
        <v>19</v>
      </c>
      <c r="L1442" s="9">
        <v>45</v>
      </c>
      <c r="M1442" s="10">
        <v>136.50342219375273</v>
      </c>
      <c r="N1442" s="7" t="s">
        <v>22</v>
      </c>
      <c r="P1442" s="29" t="str">
        <f t="shared" si="396"/>
        <v/>
      </c>
      <c r="Q1442" s="29" t="str">
        <f t="shared" si="397"/>
        <v/>
      </c>
      <c r="R1442" s="29" t="str">
        <f t="shared" si="398"/>
        <v/>
      </c>
      <c r="S1442" s="29" t="str">
        <f t="shared" si="399"/>
        <v/>
      </c>
      <c r="T1442" s="32" t="str">
        <f t="shared" si="400"/>
        <v/>
      </c>
      <c r="U1442" s="32" t="str">
        <f t="shared" si="403"/>
        <v/>
      </c>
      <c r="V1442" s="32">
        <f t="shared" si="404"/>
        <v>1</v>
      </c>
      <c r="W1442" s="41">
        <f t="shared" si="401"/>
        <v>3.0334093820833941</v>
      </c>
      <c r="X1442" s="6">
        <f t="shared" si="402"/>
        <v>0</v>
      </c>
      <c r="Y1442" s="7">
        <f t="shared" si="405"/>
        <v>567</v>
      </c>
      <c r="AA1442" s="7">
        <f t="shared" si="406"/>
        <v>0</v>
      </c>
      <c r="AB1442" s="7" t="str">
        <f t="shared" si="407"/>
        <v/>
      </c>
      <c r="AC1442" s="7">
        <f t="shared" si="408"/>
        <v>0</v>
      </c>
      <c r="AD1442" s="7" t="str">
        <f t="shared" si="409"/>
        <v/>
      </c>
      <c r="AE1442" s="6">
        <f t="shared" si="410"/>
        <v>0</v>
      </c>
      <c r="AF1442" s="69">
        <f t="shared" si="411"/>
        <v>3.0334093820833941</v>
      </c>
      <c r="AG1442" s="6">
        <f t="shared" si="412"/>
        <v>0</v>
      </c>
      <c r="AH1442" s="6">
        <f t="shared" si="413"/>
        <v>604</v>
      </c>
    </row>
    <row r="1443" spans="8:34" x14ac:dyDescent="0.25">
      <c r="H1443" s="7">
        <v>1450</v>
      </c>
      <c r="I1443" s="7" t="s">
        <v>10</v>
      </c>
      <c r="J1443" s="8">
        <v>38661</v>
      </c>
      <c r="K1443" s="12" t="s">
        <v>16</v>
      </c>
      <c r="L1443" s="9">
        <v>70</v>
      </c>
      <c r="M1443" s="10">
        <v>211.70097135907523</v>
      </c>
      <c r="N1443" s="7" t="s">
        <v>23</v>
      </c>
      <c r="P1443" s="29" t="str">
        <f t="shared" si="396"/>
        <v/>
      </c>
      <c r="Q1443" s="29" t="str">
        <f t="shared" si="397"/>
        <v/>
      </c>
      <c r="R1443" s="29" t="str">
        <f t="shared" si="398"/>
        <v/>
      </c>
      <c r="S1443" s="29" t="str">
        <f t="shared" si="399"/>
        <v/>
      </c>
      <c r="T1443" s="32">
        <f t="shared" si="400"/>
        <v>1</v>
      </c>
      <c r="U1443" s="32">
        <f t="shared" si="403"/>
        <v>1</v>
      </c>
      <c r="V1443" s="32" t="str">
        <f t="shared" si="404"/>
        <v/>
      </c>
      <c r="W1443" s="41">
        <f t="shared" si="401"/>
        <v>3.0242995908439316</v>
      </c>
      <c r="X1443" s="6">
        <f t="shared" si="402"/>
        <v>211.70097135907523</v>
      </c>
      <c r="Y1443" s="7">
        <f t="shared" si="405"/>
        <v>161</v>
      </c>
      <c r="AA1443" s="7">
        <f t="shared" si="406"/>
        <v>0</v>
      </c>
      <c r="AB1443" s="7" t="str">
        <f t="shared" si="407"/>
        <v/>
      </c>
      <c r="AC1443" s="7">
        <f t="shared" si="408"/>
        <v>1</v>
      </c>
      <c r="AD1443" s="7">
        <f t="shared" si="409"/>
        <v>70</v>
      </c>
      <c r="AE1443" s="6">
        <f t="shared" si="410"/>
        <v>0</v>
      </c>
      <c r="AF1443" s="69">
        <f t="shared" si="411"/>
        <v>3.0242995908439316</v>
      </c>
      <c r="AG1443" s="6">
        <f t="shared" si="412"/>
        <v>0</v>
      </c>
      <c r="AH1443" s="6">
        <f t="shared" si="413"/>
        <v>604</v>
      </c>
    </row>
    <row r="1444" spans="8:34" x14ac:dyDescent="0.25">
      <c r="H1444" s="7">
        <v>1451</v>
      </c>
      <c r="I1444" s="7" t="s">
        <v>11</v>
      </c>
      <c r="J1444" s="8">
        <v>39013</v>
      </c>
      <c r="K1444" s="12" t="s">
        <v>20</v>
      </c>
      <c r="L1444" s="9">
        <v>91</v>
      </c>
      <c r="M1444" s="10">
        <v>274.50140154950032</v>
      </c>
      <c r="N1444" s="7" t="s">
        <v>24</v>
      </c>
      <c r="P1444" s="29" t="str">
        <f t="shared" si="396"/>
        <v/>
      </c>
      <c r="Q1444" s="29" t="str">
        <f t="shared" si="397"/>
        <v/>
      </c>
      <c r="R1444" s="29" t="str">
        <f t="shared" si="398"/>
        <v/>
      </c>
      <c r="S1444" s="29" t="str">
        <f t="shared" si="399"/>
        <v/>
      </c>
      <c r="T1444" s="32" t="str">
        <f t="shared" si="400"/>
        <v/>
      </c>
      <c r="U1444" s="32" t="str">
        <f t="shared" si="403"/>
        <v/>
      </c>
      <c r="V1444" s="32">
        <f t="shared" si="404"/>
        <v>1</v>
      </c>
      <c r="W1444" s="41">
        <f t="shared" si="401"/>
        <v>3.016498918126377</v>
      </c>
      <c r="X1444" s="6">
        <f t="shared" si="402"/>
        <v>0</v>
      </c>
      <c r="Y1444" s="7">
        <f t="shared" si="405"/>
        <v>567</v>
      </c>
      <c r="AA1444" s="7">
        <f t="shared" si="406"/>
        <v>0</v>
      </c>
      <c r="AB1444" s="7" t="str">
        <f t="shared" si="407"/>
        <v/>
      </c>
      <c r="AC1444" s="7">
        <f t="shared" si="408"/>
        <v>0</v>
      </c>
      <c r="AD1444" s="7" t="str">
        <f t="shared" si="409"/>
        <v/>
      </c>
      <c r="AE1444" s="6">
        <f t="shared" si="410"/>
        <v>0</v>
      </c>
      <c r="AF1444" s="69">
        <f t="shared" si="411"/>
        <v>3.016498918126377</v>
      </c>
      <c r="AG1444" s="6">
        <f t="shared" si="412"/>
        <v>0</v>
      </c>
      <c r="AH1444" s="6">
        <f t="shared" si="413"/>
        <v>604</v>
      </c>
    </row>
    <row r="1445" spans="8:34" x14ac:dyDescent="0.25">
      <c r="H1445" s="7">
        <v>1452</v>
      </c>
      <c r="I1445" s="7" t="s">
        <v>13</v>
      </c>
      <c r="J1445" s="8">
        <v>39068</v>
      </c>
      <c r="K1445" s="12" t="s">
        <v>20</v>
      </c>
      <c r="L1445" s="9">
        <v>33</v>
      </c>
      <c r="M1445" s="10">
        <v>100.48140496751634</v>
      </c>
      <c r="N1445" s="7" t="s">
        <v>22</v>
      </c>
      <c r="P1445" s="29" t="str">
        <f t="shared" si="396"/>
        <v/>
      </c>
      <c r="Q1445" s="29" t="str">
        <f t="shared" si="397"/>
        <v/>
      </c>
      <c r="R1445" s="29" t="str">
        <f t="shared" si="398"/>
        <v/>
      </c>
      <c r="S1445" s="29" t="str">
        <f t="shared" si="399"/>
        <v/>
      </c>
      <c r="T1445" s="32" t="str">
        <f t="shared" si="400"/>
        <v/>
      </c>
      <c r="U1445" s="32" t="str">
        <f t="shared" si="403"/>
        <v/>
      </c>
      <c r="V1445" s="32">
        <f t="shared" si="404"/>
        <v>1</v>
      </c>
      <c r="W1445" s="41">
        <f t="shared" si="401"/>
        <v>3.0448910596217074</v>
      </c>
      <c r="X1445" s="6">
        <f t="shared" si="402"/>
        <v>0</v>
      </c>
      <c r="Y1445" s="7">
        <f t="shared" si="405"/>
        <v>567</v>
      </c>
      <c r="AA1445" s="7">
        <f t="shared" si="406"/>
        <v>0</v>
      </c>
      <c r="AB1445" s="7" t="str">
        <f t="shared" si="407"/>
        <v/>
      </c>
      <c r="AC1445" s="7">
        <f t="shared" si="408"/>
        <v>0</v>
      </c>
      <c r="AD1445" s="7" t="str">
        <f t="shared" si="409"/>
        <v/>
      </c>
      <c r="AE1445" s="6">
        <f t="shared" si="410"/>
        <v>0</v>
      </c>
      <c r="AF1445" s="69">
        <f t="shared" si="411"/>
        <v>3.0448910596217074</v>
      </c>
      <c r="AG1445" s="6">
        <f t="shared" si="412"/>
        <v>0</v>
      </c>
      <c r="AH1445" s="6">
        <f t="shared" si="413"/>
        <v>604</v>
      </c>
    </row>
    <row r="1446" spans="8:34" x14ac:dyDescent="0.25">
      <c r="H1446" s="7">
        <v>1453</v>
      </c>
      <c r="I1446" s="7" t="s">
        <v>11</v>
      </c>
      <c r="J1446" s="8">
        <v>38936</v>
      </c>
      <c r="K1446" s="12" t="s">
        <v>18</v>
      </c>
      <c r="L1446" s="9">
        <v>90</v>
      </c>
      <c r="M1446" s="10">
        <v>272.35779457225038</v>
      </c>
      <c r="N1446" s="7" t="s">
        <v>22</v>
      </c>
      <c r="P1446" s="29" t="str">
        <f t="shared" si="396"/>
        <v/>
      </c>
      <c r="Q1446" s="29" t="str">
        <f t="shared" si="397"/>
        <v/>
      </c>
      <c r="R1446" s="29" t="str">
        <f t="shared" si="398"/>
        <v/>
      </c>
      <c r="S1446" s="29" t="str">
        <f t="shared" si="399"/>
        <v/>
      </c>
      <c r="T1446" s="32" t="str">
        <f t="shared" si="400"/>
        <v/>
      </c>
      <c r="U1446" s="32" t="str">
        <f t="shared" si="403"/>
        <v/>
      </c>
      <c r="V1446" s="32">
        <f t="shared" si="404"/>
        <v>1</v>
      </c>
      <c r="W1446" s="41">
        <f t="shared" si="401"/>
        <v>3.0261977174694485</v>
      </c>
      <c r="X1446" s="6">
        <f t="shared" si="402"/>
        <v>0</v>
      </c>
      <c r="Y1446" s="7">
        <f t="shared" si="405"/>
        <v>567</v>
      </c>
      <c r="AA1446" s="7">
        <f t="shared" si="406"/>
        <v>0</v>
      </c>
      <c r="AB1446" s="7" t="str">
        <f t="shared" si="407"/>
        <v/>
      </c>
      <c r="AC1446" s="7">
        <f t="shared" si="408"/>
        <v>0</v>
      </c>
      <c r="AD1446" s="7" t="str">
        <f t="shared" si="409"/>
        <v/>
      </c>
      <c r="AE1446" s="6">
        <f t="shared" si="410"/>
        <v>0</v>
      </c>
      <c r="AF1446" s="69">
        <f t="shared" si="411"/>
        <v>3.0261977174694485</v>
      </c>
      <c r="AG1446" s="6">
        <f t="shared" si="412"/>
        <v>0</v>
      </c>
      <c r="AH1446" s="6">
        <f t="shared" si="413"/>
        <v>604</v>
      </c>
    </row>
    <row r="1447" spans="8:34" x14ac:dyDescent="0.25">
      <c r="H1447" s="7">
        <v>1454</v>
      </c>
      <c r="I1447" s="7" t="s">
        <v>11</v>
      </c>
      <c r="J1447" s="8">
        <v>38342</v>
      </c>
      <c r="K1447" s="12" t="s">
        <v>20</v>
      </c>
      <c r="L1447" s="9">
        <v>17</v>
      </c>
      <c r="M1447" s="10">
        <v>52.516260583580817</v>
      </c>
      <c r="N1447" s="7" t="s">
        <v>24</v>
      </c>
      <c r="P1447" s="29" t="str">
        <f t="shared" si="396"/>
        <v/>
      </c>
      <c r="Q1447" s="29" t="str">
        <f t="shared" si="397"/>
        <v/>
      </c>
      <c r="R1447" s="29" t="str">
        <f t="shared" si="398"/>
        <v/>
      </c>
      <c r="S1447" s="29">
        <f t="shared" si="399"/>
        <v>1</v>
      </c>
      <c r="T1447" s="32" t="str">
        <f t="shared" si="400"/>
        <v/>
      </c>
      <c r="U1447" s="32" t="str">
        <f t="shared" si="403"/>
        <v/>
      </c>
      <c r="V1447" s="32" t="str">
        <f t="shared" si="404"/>
        <v/>
      </c>
      <c r="W1447" s="41">
        <f t="shared" si="401"/>
        <v>3.0891917990341655</v>
      </c>
      <c r="X1447" s="6">
        <f t="shared" si="402"/>
        <v>0</v>
      </c>
      <c r="Y1447" s="7">
        <f t="shared" si="405"/>
        <v>567</v>
      </c>
      <c r="AA1447" s="7">
        <f t="shared" si="406"/>
        <v>0</v>
      </c>
      <c r="AB1447" s="7" t="str">
        <f t="shared" si="407"/>
        <v/>
      </c>
      <c r="AC1447" s="7">
        <f t="shared" si="408"/>
        <v>0</v>
      </c>
      <c r="AD1447" s="7" t="str">
        <f t="shared" si="409"/>
        <v/>
      </c>
      <c r="AE1447" s="6">
        <f t="shared" si="410"/>
        <v>0</v>
      </c>
      <c r="AF1447" s="69">
        <f t="shared" si="411"/>
        <v>3.0891917990341655</v>
      </c>
      <c r="AG1447" s="6">
        <f t="shared" si="412"/>
        <v>52.516260583580817</v>
      </c>
      <c r="AH1447" s="6">
        <f t="shared" si="413"/>
        <v>475</v>
      </c>
    </row>
    <row r="1448" spans="8:34" x14ac:dyDescent="0.25">
      <c r="H1448" s="7">
        <v>1455</v>
      </c>
      <c r="I1448" s="7" t="s">
        <v>10</v>
      </c>
      <c r="J1448" s="8">
        <v>38199</v>
      </c>
      <c r="K1448" s="12" t="s">
        <v>16</v>
      </c>
      <c r="L1448" s="9">
        <v>-7</v>
      </c>
      <c r="M1448" s="10">
        <v>-18.916737992903691</v>
      </c>
      <c r="N1448" s="7" t="s">
        <v>24</v>
      </c>
      <c r="P1448" s="29" t="str">
        <f t="shared" si="396"/>
        <v/>
      </c>
      <c r="Q1448" s="29" t="str">
        <f t="shared" si="397"/>
        <v/>
      </c>
      <c r="R1448" s="29">
        <f t="shared" si="398"/>
        <v>1</v>
      </c>
      <c r="S1448" s="29" t="str">
        <f t="shared" si="399"/>
        <v/>
      </c>
      <c r="T1448" s="32" t="str">
        <f t="shared" si="400"/>
        <v/>
      </c>
      <c r="U1448" s="32" t="str">
        <f t="shared" si="403"/>
        <v/>
      </c>
      <c r="V1448" s="32" t="str">
        <f t="shared" si="404"/>
        <v/>
      </c>
      <c r="W1448" s="41" t="str">
        <f t="shared" si="401"/>
        <v/>
      </c>
      <c r="X1448" s="6">
        <f t="shared" si="402"/>
        <v>0</v>
      </c>
      <c r="Y1448" s="7">
        <f t="shared" si="405"/>
        <v>567</v>
      </c>
      <c r="AA1448" s="7">
        <f t="shared" si="406"/>
        <v>0</v>
      </c>
      <c r="AB1448" s="7" t="str">
        <f t="shared" si="407"/>
        <v/>
      </c>
      <c r="AC1448" s="7">
        <f t="shared" si="408"/>
        <v>0</v>
      </c>
      <c r="AD1448" s="7" t="str">
        <f t="shared" si="409"/>
        <v/>
      </c>
      <c r="AE1448" s="6">
        <f t="shared" si="410"/>
        <v>-7</v>
      </c>
      <c r="AF1448" s="69" t="str">
        <f t="shared" si="411"/>
        <v/>
      </c>
      <c r="AG1448" s="6">
        <f t="shared" si="412"/>
        <v>0</v>
      </c>
      <c r="AH1448" s="6">
        <f t="shared" si="413"/>
        <v>604</v>
      </c>
    </row>
    <row r="1449" spans="8:34" x14ac:dyDescent="0.25">
      <c r="H1449" s="7">
        <v>1456</v>
      </c>
      <c r="I1449" s="7" t="s">
        <v>9</v>
      </c>
      <c r="J1449" s="8">
        <v>38232</v>
      </c>
      <c r="K1449" s="12" t="s">
        <v>20</v>
      </c>
      <c r="L1449" s="9">
        <v>21</v>
      </c>
      <c r="M1449" s="10">
        <v>64.912642276982112</v>
      </c>
      <c r="N1449" s="7" t="s">
        <v>23</v>
      </c>
      <c r="P1449" s="29" t="str">
        <f t="shared" si="396"/>
        <v/>
      </c>
      <c r="Q1449" s="29" t="str">
        <f t="shared" si="397"/>
        <v/>
      </c>
      <c r="R1449" s="29">
        <f t="shared" si="398"/>
        <v>1</v>
      </c>
      <c r="S1449" s="29" t="str">
        <f t="shared" si="399"/>
        <v/>
      </c>
      <c r="T1449" s="32" t="str">
        <f t="shared" si="400"/>
        <v/>
      </c>
      <c r="U1449" s="32" t="str">
        <f t="shared" si="403"/>
        <v/>
      </c>
      <c r="V1449" s="32" t="str">
        <f t="shared" si="404"/>
        <v/>
      </c>
      <c r="W1449" s="41">
        <f t="shared" si="401"/>
        <v>3.0910782036658149</v>
      </c>
      <c r="X1449" s="6">
        <f t="shared" si="402"/>
        <v>0</v>
      </c>
      <c r="Y1449" s="7">
        <f t="shared" si="405"/>
        <v>567</v>
      </c>
      <c r="AA1449" s="7">
        <f t="shared" si="406"/>
        <v>0</v>
      </c>
      <c r="AB1449" s="7" t="str">
        <f t="shared" si="407"/>
        <v/>
      </c>
      <c r="AC1449" s="7">
        <f t="shared" si="408"/>
        <v>0</v>
      </c>
      <c r="AD1449" s="7" t="str">
        <f t="shared" si="409"/>
        <v/>
      </c>
      <c r="AE1449" s="6">
        <f t="shared" si="410"/>
        <v>0</v>
      </c>
      <c r="AF1449" s="69">
        <f t="shared" si="411"/>
        <v>3.0910782036658149</v>
      </c>
      <c r="AG1449" s="6">
        <f t="shared" si="412"/>
        <v>64.912642276982112</v>
      </c>
      <c r="AH1449" s="6">
        <f t="shared" si="413"/>
        <v>452</v>
      </c>
    </row>
    <row r="1450" spans="8:34" x14ac:dyDescent="0.25">
      <c r="H1450" s="7">
        <v>1457</v>
      </c>
      <c r="I1450" s="7" t="s">
        <v>14</v>
      </c>
      <c r="J1450" s="8">
        <v>38573</v>
      </c>
      <c r="K1450" s="12" t="s">
        <v>18</v>
      </c>
      <c r="L1450" s="9">
        <v>14</v>
      </c>
      <c r="M1450" s="10">
        <v>44.327818174178198</v>
      </c>
      <c r="N1450" s="7" t="s">
        <v>22</v>
      </c>
      <c r="P1450" s="29" t="str">
        <f t="shared" si="396"/>
        <v/>
      </c>
      <c r="Q1450" s="29" t="str">
        <f t="shared" si="397"/>
        <v/>
      </c>
      <c r="R1450" s="29" t="str">
        <f t="shared" si="398"/>
        <v/>
      </c>
      <c r="S1450" s="29" t="str">
        <f t="shared" si="399"/>
        <v/>
      </c>
      <c r="T1450" s="32" t="str">
        <f t="shared" si="400"/>
        <v/>
      </c>
      <c r="U1450" s="32">
        <f t="shared" si="403"/>
        <v>1</v>
      </c>
      <c r="V1450" s="32" t="str">
        <f t="shared" si="404"/>
        <v/>
      </c>
      <c r="W1450" s="41">
        <f t="shared" si="401"/>
        <v>3.1662727267270143</v>
      </c>
      <c r="X1450" s="6">
        <f t="shared" si="402"/>
        <v>44.327818174178198</v>
      </c>
      <c r="Y1450" s="7">
        <f t="shared" si="405"/>
        <v>471</v>
      </c>
      <c r="AA1450" s="7">
        <f t="shared" si="406"/>
        <v>1</v>
      </c>
      <c r="AB1450" s="7">
        <f t="shared" si="407"/>
        <v>14</v>
      </c>
      <c r="AC1450" s="7">
        <f t="shared" si="408"/>
        <v>0</v>
      </c>
      <c r="AD1450" s="7" t="str">
        <f t="shared" si="409"/>
        <v/>
      </c>
      <c r="AE1450" s="6">
        <f t="shared" si="410"/>
        <v>0</v>
      </c>
      <c r="AF1450" s="69">
        <f t="shared" si="411"/>
        <v>3.1662727267270143</v>
      </c>
      <c r="AG1450" s="6">
        <f t="shared" si="412"/>
        <v>0</v>
      </c>
      <c r="AH1450" s="6">
        <f t="shared" si="413"/>
        <v>604</v>
      </c>
    </row>
    <row r="1451" spans="8:34" x14ac:dyDescent="0.25">
      <c r="H1451" s="7">
        <v>1458</v>
      </c>
      <c r="I1451" s="7" t="s">
        <v>10</v>
      </c>
      <c r="J1451" s="8">
        <v>38826</v>
      </c>
      <c r="K1451" s="12" t="s">
        <v>19</v>
      </c>
      <c r="L1451" s="9">
        <v>84</v>
      </c>
      <c r="M1451" s="10">
        <v>254.27232164491826</v>
      </c>
      <c r="N1451" s="7" t="s">
        <v>24</v>
      </c>
      <c r="P1451" s="29" t="str">
        <f t="shared" si="396"/>
        <v/>
      </c>
      <c r="Q1451" s="29" t="str">
        <f t="shared" si="397"/>
        <v/>
      </c>
      <c r="R1451" s="29" t="str">
        <f t="shared" si="398"/>
        <v/>
      </c>
      <c r="S1451" s="29" t="str">
        <f t="shared" si="399"/>
        <v/>
      </c>
      <c r="T1451" s="32" t="str">
        <f t="shared" si="400"/>
        <v/>
      </c>
      <c r="U1451" s="32" t="str">
        <f t="shared" si="403"/>
        <v/>
      </c>
      <c r="V1451" s="32">
        <f t="shared" si="404"/>
        <v>1</v>
      </c>
      <c r="W1451" s="41">
        <f t="shared" si="401"/>
        <v>3.0270514481537889</v>
      </c>
      <c r="X1451" s="6">
        <f t="shared" si="402"/>
        <v>0</v>
      </c>
      <c r="Y1451" s="7">
        <f t="shared" si="405"/>
        <v>567</v>
      </c>
      <c r="AA1451" s="7">
        <f t="shared" si="406"/>
        <v>0</v>
      </c>
      <c r="AB1451" s="7" t="str">
        <f t="shared" si="407"/>
        <v/>
      </c>
      <c r="AC1451" s="7">
        <f t="shared" si="408"/>
        <v>0</v>
      </c>
      <c r="AD1451" s="7" t="str">
        <f t="shared" si="409"/>
        <v/>
      </c>
      <c r="AE1451" s="6">
        <f t="shared" si="410"/>
        <v>0</v>
      </c>
      <c r="AF1451" s="69">
        <f t="shared" si="411"/>
        <v>3.0270514481537889</v>
      </c>
      <c r="AG1451" s="6">
        <f t="shared" si="412"/>
        <v>0</v>
      </c>
      <c r="AH1451" s="6">
        <f t="shared" si="413"/>
        <v>604</v>
      </c>
    </row>
    <row r="1452" spans="8:34" x14ac:dyDescent="0.25">
      <c r="H1452" s="7">
        <v>1459</v>
      </c>
      <c r="I1452" s="7" t="s">
        <v>12</v>
      </c>
      <c r="J1452" s="8">
        <v>38738</v>
      </c>
      <c r="K1452" s="12" t="s">
        <v>19</v>
      </c>
      <c r="L1452" s="9">
        <v>92</v>
      </c>
      <c r="M1452" s="10">
        <v>278.12892270091868</v>
      </c>
      <c r="N1452" s="7" t="s">
        <v>23</v>
      </c>
      <c r="P1452" s="29" t="str">
        <f t="shared" si="396"/>
        <v/>
      </c>
      <c r="Q1452" s="29" t="str">
        <f t="shared" si="397"/>
        <v/>
      </c>
      <c r="R1452" s="29" t="str">
        <f t="shared" si="398"/>
        <v/>
      </c>
      <c r="S1452" s="29" t="str">
        <f t="shared" si="399"/>
        <v/>
      </c>
      <c r="T1452" s="32" t="str">
        <f t="shared" si="400"/>
        <v/>
      </c>
      <c r="U1452" s="32" t="str">
        <f t="shared" si="403"/>
        <v/>
      </c>
      <c r="V1452" s="32">
        <f t="shared" si="404"/>
        <v>1</v>
      </c>
      <c r="W1452" s="41">
        <f t="shared" si="401"/>
        <v>3.0231404641404205</v>
      </c>
      <c r="X1452" s="6">
        <f t="shared" si="402"/>
        <v>0</v>
      </c>
      <c r="Y1452" s="7">
        <f t="shared" si="405"/>
        <v>567</v>
      </c>
      <c r="AA1452" s="7">
        <f t="shared" si="406"/>
        <v>0</v>
      </c>
      <c r="AB1452" s="7" t="str">
        <f t="shared" si="407"/>
        <v/>
      </c>
      <c r="AC1452" s="7">
        <f t="shared" si="408"/>
        <v>0</v>
      </c>
      <c r="AD1452" s="7" t="str">
        <f t="shared" si="409"/>
        <v/>
      </c>
      <c r="AE1452" s="6">
        <f t="shared" si="410"/>
        <v>0</v>
      </c>
      <c r="AF1452" s="69">
        <f t="shared" si="411"/>
        <v>3.0231404641404205</v>
      </c>
      <c r="AG1452" s="6">
        <f t="shared" si="412"/>
        <v>0</v>
      </c>
      <c r="AH1452" s="6">
        <f t="shared" si="413"/>
        <v>604</v>
      </c>
    </row>
    <row r="1453" spans="8:34" x14ac:dyDescent="0.25">
      <c r="H1453" s="7">
        <v>1460</v>
      </c>
      <c r="I1453" s="7" t="s">
        <v>10</v>
      </c>
      <c r="J1453" s="8">
        <v>39013</v>
      </c>
      <c r="K1453" s="12" t="s">
        <v>17</v>
      </c>
      <c r="L1453" s="9">
        <v>-1</v>
      </c>
      <c r="M1453" s="10">
        <v>-0.12859943512322669</v>
      </c>
      <c r="N1453" s="7" t="s">
        <v>23</v>
      </c>
      <c r="P1453" s="29" t="str">
        <f t="shared" si="396"/>
        <v/>
      </c>
      <c r="Q1453" s="29" t="str">
        <f t="shared" si="397"/>
        <v/>
      </c>
      <c r="R1453" s="29" t="str">
        <f t="shared" si="398"/>
        <v/>
      </c>
      <c r="S1453" s="29" t="str">
        <f t="shared" si="399"/>
        <v/>
      </c>
      <c r="T1453" s="32" t="str">
        <f t="shared" si="400"/>
        <v/>
      </c>
      <c r="U1453" s="32" t="str">
        <f t="shared" si="403"/>
        <v/>
      </c>
      <c r="V1453" s="32">
        <f t="shared" si="404"/>
        <v>1</v>
      </c>
      <c r="W1453" s="41" t="str">
        <f t="shared" si="401"/>
        <v/>
      </c>
      <c r="X1453" s="6">
        <f t="shared" si="402"/>
        <v>0</v>
      </c>
      <c r="Y1453" s="7">
        <f t="shared" si="405"/>
        <v>567</v>
      </c>
      <c r="AA1453" s="7">
        <f t="shared" si="406"/>
        <v>0</v>
      </c>
      <c r="AB1453" s="7" t="str">
        <f t="shared" si="407"/>
        <v/>
      </c>
      <c r="AC1453" s="7">
        <f t="shared" si="408"/>
        <v>0</v>
      </c>
      <c r="AD1453" s="7" t="str">
        <f t="shared" si="409"/>
        <v/>
      </c>
      <c r="AE1453" s="6">
        <f t="shared" si="410"/>
        <v>-1</v>
      </c>
      <c r="AF1453" s="69" t="str">
        <f t="shared" si="411"/>
        <v/>
      </c>
      <c r="AG1453" s="6">
        <f t="shared" si="412"/>
        <v>0</v>
      </c>
      <c r="AH1453" s="6">
        <f t="shared" si="413"/>
        <v>604</v>
      </c>
    </row>
    <row r="1454" spans="8:34" x14ac:dyDescent="0.25">
      <c r="H1454" s="7">
        <v>1461</v>
      </c>
      <c r="I1454" s="7" t="s">
        <v>10</v>
      </c>
      <c r="J1454" s="8">
        <v>38485</v>
      </c>
      <c r="K1454" s="12" t="s">
        <v>17</v>
      </c>
      <c r="L1454" s="9">
        <v>73</v>
      </c>
      <c r="M1454" s="10">
        <v>222.08676582590357</v>
      </c>
      <c r="N1454" s="7" t="s">
        <v>21</v>
      </c>
      <c r="P1454" s="29" t="str">
        <f t="shared" si="396"/>
        <v/>
      </c>
      <c r="Q1454" s="29" t="str">
        <f t="shared" si="397"/>
        <v/>
      </c>
      <c r="R1454" s="29" t="str">
        <f t="shared" si="398"/>
        <v/>
      </c>
      <c r="S1454" s="29" t="str">
        <f t="shared" si="399"/>
        <v/>
      </c>
      <c r="T1454" s="32" t="str">
        <f t="shared" si="400"/>
        <v/>
      </c>
      <c r="U1454" s="32">
        <f t="shared" si="403"/>
        <v>1</v>
      </c>
      <c r="V1454" s="32" t="str">
        <f t="shared" si="404"/>
        <v/>
      </c>
      <c r="W1454" s="41">
        <f t="shared" si="401"/>
        <v>3.0422844633685422</v>
      </c>
      <c r="X1454" s="6">
        <f t="shared" si="402"/>
        <v>222.08676582590357</v>
      </c>
      <c r="Y1454" s="7">
        <f t="shared" si="405"/>
        <v>135</v>
      </c>
      <c r="AA1454" s="7">
        <f t="shared" si="406"/>
        <v>0</v>
      </c>
      <c r="AB1454" s="7" t="str">
        <f t="shared" si="407"/>
        <v/>
      </c>
      <c r="AC1454" s="7">
        <f t="shared" si="408"/>
        <v>1</v>
      </c>
      <c r="AD1454" s="7">
        <f t="shared" si="409"/>
        <v>73</v>
      </c>
      <c r="AE1454" s="6">
        <f t="shared" si="410"/>
        <v>0</v>
      </c>
      <c r="AF1454" s="69">
        <f t="shared" si="411"/>
        <v>3.0422844633685422</v>
      </c>
      <c r="AG1454" s="6">
        <f t="shared" si="412"/>
        <v>0</v>
      </c>
      <c r="AH1454" s="6">
        <f t="shared" si="413"/>
        <v>604</v>
      </c>
    </row>
    <row r="1455" spans="8:34" x14ac:dyDescent="0.25">
      <c r="H1455" s="7">
        <v>1462</v>
      </c>
      <c r="I1455" s="7" t="s">
        <v>15</v>
      </c>
      <c r="J1455" s="8">
        <v>38727</v>
      </c>
      <c r="K1455" s="12" t="s">
        <v>18</v>
      </c>
      <c r="L1455" s="9">
        <v>48</v>
      </c>
      <c r="M1455" s="10">
        <v>146.42108275927566</v>
      </c>
      <c r="N1455" s="7" t="s">
        <v>24</v>
      </c>
      <c r="P1455" s="29" t="str">
        <f t="shared" si="396"/>
        <v/>
      </c>
      <c r="Q1455" s="29" t="str">
        <f t="shared" si="397"/>
        <v/>
      </c>
      <c r="R1455" s="29" t="str">
        <f t="shared" si="398"/>
        <v/>
      </c>
      <c r="S1455" s="29" t="str">
        <f t="shared" si="399"/>
        <v/>
      </c>
      <c r="T1455" s="32" t="str">
        <f t="shared" si="400"/>
        <v/>
      </c>
      <c r="U1455" s="32" t="str">
        <f t="shared" si="403"/>
        <v/>
      </c>
      <c r="V1455" s="32">
        <f t="shared" si="404"/>
        <v>1</v>
      </c>
      <c r="W1455" s="41">
        <f t="shared" si="401"/>
        <v>3.0504392241515763</v>
      </c>
      <c r="X1455" s="6">
        <f t="shared" si="402"/>
        <v>0</v>
      </c>
      <c r="Y1455" s="7">
        <f t="shared" si="405"/>
        <v>567</v>
      </c>
      <c r="AA1455" s="7">
        <f t="shared" si="406"/>
        <v>0</v>
      </c>
      <c r="AB1455" s="7" t="str">
        <f t="shared" si="407"/>
        <v/>
      </c>
      <c r="AC1455" s="7">
        <f t="shared" si="408"/>
        <v>0</v>
      </c>
      <c r="AD1455" s="7" t="str">
        <f t="shared" si="409"/>
        <v/>
      </c>
      <c r="AE1455" s="6">
        <f t="shared" si="410"/>
        <v>0</v>
      </c>
      <c r="AF1455" s="69">
        <f t="shared" si="411"/>
        <v>3.0504392241515763</v>
      </c>
      <c r="AG1455" s="6">
        <f t="shared" si="412"/>
        <v>0</v>
      </c>
      <c r="AH1455" s="6">
        <f t="shared" si="413"/>
        <v>604</v>
      </c>
    </row>
    <row r="1456" spans="8:34" x14ac:dyDescent="0.25">
      <c r="H1456" s="7">
        <v>1463</v>
      </c>
      <c r="I1456" s="7" t="s">
        <v>15</v>
      </c>
      <c r="J1456" s="8">
        <v>38331</v>
      </c>
      <c r="K1456" s="12" t="s">
        <v>16</v>
      </c>
      <c r="L1456" s="9">
        <v>72</v>
      </c>
      <c r="M1456" s="10">
        <v>217.08233008534265</v>
      </c>
      <c r="N1456" s="7" t="s">
        <v>21</v>
      </c>
      <c r="P1456" s="29" t="str">
        <f t="shared" si="396"/>
        <v/>
      </c>
      <c r="Q1456" s="29" t="str">
        <f t="shared" si="397"/>
        <v/>
      </c>
      <c r="R1456" s="29" t="str">
        <f t="shared" si="398"/>
        <v/>
      </c>
      <c r="S1456" s="29">
        <f t="shared" si="399"/>
        <v>1</v>
      </c>
      <c r="T1456" s="32" t="str">
        <f t="shared" si="400"/>
        <v/>
      </c>
      <c r="U1456" s="32" t="str">
        <f t="shared" si="403"/>
        <v/>
      </c>
      <c r="V1456" s="32" t="str">
        <f t="shared" si="404"/>
        <v/>
      </c>
      <c r="W1456" s="41">
        <f t="shared" si="401"/>
        <v>3.0150323622964255</v>
      </c>
      <c r="X1456" s="6">
        <f t="shared" si="402"/>
        <v>0</v>
      </c>
      <c r="Y1456" s="7">
        <f t="shared" si="405"/>
        <v>567</v>
      </c>
      <c r="AA1456" s="7">
        <f t="shared" si="406"/>
        <v>0</v>
      </c>
      <c r="AB1456" s="7" t="str">
        <f t="shared" si="407"/>
        <v/>
      </c>
      <c r="AC1456" s="7">
        <f t="shared" si="408"/>
        <v>0</v>
      </c>
      <c r="AD1456" s="7" t="str">
        <f t="shared" si="409"/>
        <v/>
      </c>
      <c r="AE1456" s="6">
        <f t="shared" si="410"/>
        <v>0</v>
      </c>
      <c r="AF1456" s="69">
        <f t="shared" si="411"/>
        <v>3.0150323622964255</v>
      </c>
      <c r="AG1456" s="6">
        <f t="shared" si="412"/>
        <v>217.08233008534265</v>
      </c>
      <c r="AH1456" s="6">
        <f t="shared" si="413"/>
        <v>142</v>
      </c>
    </row>
    <row r="1457" spans="8:34" x14ac:dyDescent="0.25">
      <c r="H1457" s="7">
        <v>1464</v>
      </c>
      <c r="I1457" s="7" t="s">
        <v>7</v>
      </c>
      <c r="J1457" s="8">
        <v>38903</v>
      </c>
      <c r="K1457" s="12" t="s">
        <v>18</v>
      </c>
      <c r="L1457" s="9">
        <v>42</v>
      </c>
      <c r="M1457" s="10">
        <v>127.6087139856683</v>
      </c>
      <c r="N1457" s="7" t="s">
        <v>24</v>
      </c>
      <c r="P1457" s="29" t="str">
        <f t="shared" si="396"/>
        <v/>
      </c>
      <c r="Q1457" s="29" t="str">
        <f t="shared" si="397"/>
        <v/>
      </c>
      <c r="R1457" s="29" t="str">
        <f t="shared" si="398"/>
        <v/>
      </c>
      <c r="S1457" s="29" t="str">
        <f t="shared" si="399"/>
        <v/>
      </c>
      <c r="T1457" s="32" t="str">
        <f t="shared" si="400"/>
        <v/>
      </c>
      <c r="U1457" s="32" t="str">
        <f t="shared" si="403"/>
        <v/>
      </c>
      <c r="V1457" s="32">
        <f t="shared" si="404"/>
        <v>1</v>
      </c>
      <c r="W1457" s="41">
        <f t="shared" si="401"/>
        <v>3.0383027139444834</v>
      </c>
      <c r="X1457" s="6">
        <f t="shared" si="402"/>
        <v>0</v>
      </c>
      <c r="Y1457" s="7">
        <f t="shared" si="405"/>
        <v>567</v>
      </c>
      <c r="AA1457" s="7">
        <f t="shared" si="406"/>
        <v>0</v>
      </c>
      <c r="AB1457" s="7" t="str">
        <f t="shared" si="407"/>
        <v/>
      </c>
      <c r="AC1457" s="7">
        <f t="shared" si="408"/>
        <v>0</v>
      </c>
      <c r="AD1457" s="7" t="str">
        <f t="shared" si="409"/>
        <v/>
      </c>
      <c r="AE1457" s="6">
        <f t="shared" si="410"/>
        <v>0</v>
      </c>
      <c r="AF1457" s="69">
        <f t="shared" si="411"/>
        <v>3.0383027139444834</v>
      </c>
      <c r="AG1457" s="6">
        <f t="shared" si="412"/>
        <v>0</v>
      </c>
      <c r="AH1457" s="6">
        <f t="shared" si="413"/>
        <v>604</v>
      </c>
    </row>
    <row r="1458" spans="8:34" x14ac:dyDescent="0.25">
      <c r="H1458" s="7">
        <v>1465</v>
      </c>
      <c r="I1458" s="7" t="s">
        <v>10</v>
      </c>
      <c r="J1458" s="8">
        <v>38342</v>
      </c>
      <c r="K1458" s="12" t="s">
        <v>18</v>
      </c>
      <c r="L1458" s="9">
        <v>80</v>
      </c>
      <c r="M1458" s="10">
        <v>242.20754620036109</v>
      </c>
      <c r="N1458" s="7" t="s">
        <v>23</v>
      </c>
      <c r="P1458" s="29" t="str">
        <f t="shared" si="396"/>
        <v/>
      </c>
      <c r="Q1458" s="29" t="str">
        <f t="shared" si="397"/>
        <v/>
      </c>
      <c r="R1458" s="29" t="str">
        <f t="shared" si="398"/>
        <v/>
      </c>
      <c r="S1458" s="29">
        <f t="shared" si="399"/>
        <v>1</v>
      </c>
      <c r="T1458" s="32" t="str">
        <f t="shared" si="400"/>
        <v/>
      </c>
      <c r="U1458" s="32" t="str">
        <f t="shared" si="403"/>
        <v/>
      </c>
      <c r="V1458" s="32" t="str">
        <f t="shared" si="404"/>
        <v/>
      </c>
      <c r="W1458" s="41">
        <f t="shared" si="401"/>
        <v>3.0275943275045138</v>
      </c>
      <c r="X1458" s="6">
        <f t="shared" si="402"/>
        <v>0</v>
      </c>
      <c r="Y1458" s="7">
        <f t="shared" si="405"/>
        <v>567</v>
      </c>
      <c r="AA1458" s="7">
        <f t="shared" si="406"/>
        <v>0</v>
      </c>
      <c r="AB1458" s="7" t="str">
        <f t="shared" si="407"/>
        <v/>
      </c>
      <c r="AC1458" s="7">
        <f t="shared" si="408"/>
        <v>0</v>
      </c>
      <c r="AD1458" s="7" t="str">
        <f t="shared" si="409"/>
        <v/>
      </c>
      <c r="AE1458" s="6">
        <f t="shared" si="410"/>
        <v>0</v>
      </c>
      <c r="AF1458" s="69">
        <f t="shared" si="411"/>
        <v>3.0275943275045138</v>
      </c>
      <c r="AG1458" s="6">
        <f t="shared" si="412"/>
        <v>242.20754620036109</v>
      </c>
      <c r="AH1458" s="6">
        <f t="shared" si="413"/>
        <v>82</v>
      </c>
    </row>
    <row r="1459" spans="8:34" x14ac:dyDescent="0.25">
      <c r="H1459" s="7">
        <v>1466</v>
      </c>
      <c r="I1459" s="7" t="s">
        <v>10</v>
      </c>
      <c r="J1459" s="8">
        <v>38595</v>
      </c>
      <c r="K1459" s="12" t="s">
        <v>18</v>
      </c>
      <c r="L1459" s="9">
        <v>56</v>
      </c>
      <c r="M1459" s="10">
        <v>170.85558875726406</v>
      </c>
      <c r="N1459" s="7" t="s">
        <v>21</v>
      </c>
      <c r="P1459" s="29" t="str">
        <f t="shared" si="396"/>
        <v/>
      </c>
      <c r="Q1459" s="29" t="str">
        <f t="shared" si="397"/>
        <v/>
      </c>
      <c r="R1459" s="29" t="str">
        <f t="shared" si="398"/>
        <v/>
      </c>
      <c r="S1459" s="29" t="str">
        <f t="shared" si="399"/>
        <v/>
      </c>
      <c r="T1459" s="32" t="str">
        <f t="shared" si="400"/>
        <v/>
      </c>
      <c r="U1459" s="32">
        <f t="shared" si="403"/>
        <v>1</v>
      </c>
      <c r="V1459" s="32" t="str">
        <f t="shared" si="404"/>
        <v/>
      </c>
      <c r="W1459" s="41">
        <f t="shared" si="401"/>
        <v>3.0509926563797154</v>
      </c>
      <c r="X1459" s="6">
        <f t="shared" si="402"/>
        <v>170.85558875726406</v>
      </c>
      <c r="Y1459" s="7">
        <f t="shared" si="405"/>
        <v>224</v>
      </c>
      <c r="AA1459" s="7">
        <f t="shared" si="406"/>
        <v>1</v>
      </c>
      <c r="AB1459" s="7">
        <f t="shared" si="407"/>
        <v>56</v>
      </c>
      <c r="AC1459" s="7">
        <f t="shared" si="408"/>
        <v>0</v>
      </c>
      <c r="AD1459" s="7" t="str">
        <f t="shared" si="409"/>
        <v/>
      </c>
      <c r="AE1459" s="6">
        <f t="shared" si="410"/>
        <v>0</v>
      </c>
      <c r="AF1459" s="69">
        <f t="shared" si="411"/>
        <v>3.0509926563797154</v>
      </c>
      <c r="AG1459" s="6">
        <f t="shared" si="412"/>
        <v>0</v>
      </c>
      <c r="AH1459" s="6">
        <f t="shared" si="413"/>
        <v>604</v>
      </c>
    </row>
    <row r="1460" spans="8:34" x14ac:dyDescent="0.25">
      <c r="H1460" s="7">
        <v>1467</v>
      </c>
      <c r="I1460" s="7" t="s">
        <v>14</v>
      </c>
      <c r="J1460" s="8">
        <v>38012</v>
      </c>
      <c r="K1460" s="12" t="s">
        <v>20</v>
      </c>
      <c r="L1460" s="9">
        <v>46</v>
      </c>
      <c r="M1460" s="10">
        <v>140.57686436306247</v>
      </c>
      <c r="N1460" s="7" t="s">
        <v>24</v>
      </c>
      <c r="P1460" s="29">
        <f t="shared" si="396"/>
        <v>1</v>
      </c>
      <c r="Q1460" s="29" t="str">
        <f t="shared" si="397"/>
        <v/>
      </c>
      <c r="R1460" s="29" t="str">
        <f t="shared" si="398"/>
        <v/>
      </c>
      <c r="S1460" s="29" t="str">
        <f t="shared" si="399"/>
        <v/>
      </c>
      <c r="T1460" s="32" t="str">
        <f t="shared" si="400"/>
        <v/>
      </c>
      <c r="U1460" s="32" t="str">
        <f t="shared" si="403"/>
        <v/>
      </c>
      <c r="V1460" s="32" t="str">
        <f t="shared" si="404"/>
        <v/>
      </c>
      <c r="W1460" s="41">
        <f t="shared" si="401"/>
        <v>3.0560187905013581</v>
      </c>
      <c r="X1460" s="6">
        <f t="shared" si="402"/>
        <v>0</v>
      </c>
      <c r="Y1460" s="7">
        <f t="shared" si="405"/>
        <v>567</v>
      </c>
      <c r="AA1460" s="7">
        <f t="shared" si="406"/>
        <v>0</v>
      </c>
      <c r="AB1460" s="7" t="str">
        <f t="shared" si="407"/>
        <v/>
      </c>
      <c r="AC1460" s="7">
        <f t="shared" si="408"/>
        <v>0</v>
      </c>
      <c r="AD1460" s="7" t="str">
        <f t="shared" si="409"/>
        <v/>
      </c>
      <c r="AE1460" s="6">
        <f t="shared" si="410"/>
        <v>0</v>
      </c>
      <c r="AF1460" s="69">
        <f t="shared" si="411"/>
        <v>3.0560187905013581</v>
      </c>
      <c r="AG1460" s="6">
        <f t="shared" si="412"/>
        <v>140.57686436306247</v>
      </c>
      <c r="AH1460" s="6">
        <f t="shared" si="413"/>
        <v>294</v>
      </c>
    </row>
    <row r="1461" spans="8:34" x14ac:dyDescent="0.25">
      <c r="H1461" s="7">
        <v>1468</v>
      </c>
      <c r="I1461" s="7" t="s">
        <v>7</v>
      </c>
      <c r="J1461" s="8">
        <v>38870</v>
      </c>
      <c r="K1461" s="12" t="s">
        <v>16</v>
      </c>
      <c r="L1461" s="9">
        <v>45</v>
      </c>
      <c r="M1461" s="10">
        <v>136.77216386728932</v>
      </c>
      <c r="N1461" s="7" t="s">
        <v>23</v>
      </c>
      <c r="P1461" s="29" t="str">
        <f t="shared" si="396"/>
        <v/>
      </c>
      <c r="Q1461" s="29" t="str">
        <f t="shared" si="397"/>
        <v/>
      </c>
      <c r="R1461" s="29" t="str">
        <f t="shared" si="398"/>
        <v/>
      </c>
      <c r="S1461" s="29" t="str">
        <f t="shared" si="399"/>
        <v/>
      </c>
      <c r="T1461" s="32" t="str">
        <f t="shared" si="400"/>
        <v/>
      </c>
      <c r="U1461" s="32" t="str">
        <f t="shared" si="403"/>
        <v/>
      </c>
      <c r="V1461" s="32">
        <f t="shared" si="404"/>
        <v>1</v>
      </c>
      <c r="W1461" s="41">
        <f t="shared" si="401"/>
        <v>3.0393814192730959</v>
      </c>
      <c r="X1461" s="6">
        <f t="shared" si="402"/>
        <v>0</v>
      </c>
      <c r="Y1461" s="7">
        <f t="shared" si="405"/>
        <v>567</v>
      </c>
      <c r="AA1461" s="7">
        <f t="shared" si="406"/>
        <v>0</v>
      </c>
      <c r="AB1461" s="7" t="str">
        <f t="shared" si="407"/>
        <v/>
      </c>
      <c r="AC1461" s="7">
        <f t="shared" si="408"/>
        <v>0</v>
      </c>
      <c r="AD1461" s="7" t="str">
        <f t="shared" si="409"/>
        <v/>
      </c>
      <c r="AE1461" s="6">
        <f t="shared" si="410"/>
        <v>0</v>
      </c>
      <c r="AF1461" s="69">
        <f t="shared" si="411"/>
        <v>3.0393814192730959</v>
      </c>
      <c r="AG1461" s="6">
        <f t="shared" si="412"/>
        <v>0</v>
      </c>
      <c r="AH1461" s="6">
        <f t="shared" si="413"/>
        <v>604</v>
      </c>
    </row>
    <row r="1462" spans="8:34" x14ac:dyDescent="0.25">
      <c r="H1462" s="7">
        <v>1469</v>
      </c>
      <c r="I1462" s="7" t="s">
        <v>9</v>
      </c>
      <c r="J1462" s="8">
        <v>38507</v>
      </c>
      <c r="K1462" s="12" t="s">
        <v>18</v>
      </c>
      <c r="L1462" s="9">
        <v>53</v>
      </c>
      <c r="M1462" s="10">
        <v>160.40163840433979</v>
      </c>
      <c r="N1462" s="7" t="s">
        <v>24</v>
      </c>
      <c r="P1462" s="29" t="str">
        <f t="shared" si="396"/>
        <v/>
      </c>
      <c r="Q1462" s="29" t="str">
        <f t="shared" si="397"/>
        <v/>
      </c>
      <c r="R1462" s="29" t="str">
        <f t="shared" si="398"/>
        <v/>
      </c>
      <c r="S1462" s="29" t="str">
        <f t="shared" si="399"/>
        <v/>
      </c>
      <c r="T1462" s="32" t="str">
        <f t="shared" si="400"/>
        <v/>
      </c>
      <c r="U1462" s="32">
        <f t="shared" si="403"/>
        <v>1</v>
      </c>
      <c r="V1462" s="32" t="str">
        <f t="shared" si="404"/>
        <v/>
      </c>
      <c r="W1462" s="41">
        <f t="shared" si="401"/>
        <v>3.0264460076290525</v>
      </c>
      <c r="X1462" s="6">
        <f t="shared" si="402"/>
        <v>160.40163840433979</v>
      </c>
      <c r="Y1462" s="7">
        <f t="shared" si="405"/>
        <v>241</v>
      </c>
      <c r="AA1462" s="7">
        <f t="shared" si="406"/>
        <v>0</v>
      </c>
      <c r="AB1462" s="7" t="str">
        <f t="shared" si="407"/>
        <v/>
      </c>
      <c r="AC1462" s="7">
        <f t="shared" si="408"/>
        <v>1</v>
      </c>
      <c r="AD1462" s="7">
        <f t="shared" si="409"/>
        <v>53</v>
      </c>
      <c r="AE1462" s="6">
        <f t="shared" si="410"/>
        <v>0</v>
      </c>
      <c r="AF1462" s="69">
        <f t="shared" si="411"/>
        <v>3.0264460076290525</v>
      </c>
      <c r="AG1462" s="6">
        <f t="shared" si="412"/>
        <v>0</v>
      </c>
      <c r="AH1462" s="6">
        <f t="shared" si="413"/>
        <v>604</v>
      </c>
    </row>
    <row r="1463" spans="8:34" x14ac:dyDescent="0.25">
      <c r="H1463" s="7">
        <v>1470</v>
      </c>
      <c r="I1463" s="7" t="s">
        <v>9</v>
      </c>
      <c r="J1463" s="8">
        <v>38628</v>
      </c>
      <c r="K1463" s="12" t="s">
        <v>16</v>
      </c>
      <c r="L1463" s="9">
        <v>51</v>
      </c>
      <c r="M1463" s="10">
        <v>155.05152823672236</v>
      </c>
      <c r="N1463" s="7" t="s">
        <v>23</v>
      </c>
      <c r="P1463" s="29" t="str">
        <f t="shared" si="396"/>
        <v/>
      </c>
      <c r="Q1463" s="29" t="str">
        <f t="shared" si="397"/>
        <v/>
      </c>
      <c r="R1463" s="29" t="str">
        <f t="shared" si="398"/>
        <v/>
      </c>
      <c r="S1463" s="29" t="str">
        <f t="shared" si="399"/>
        <v/>
      </c>
      <c r="T1463" s="32">
        <f t="shared" si="400"/>
        <v>1</v>
      </c>
      <c r="U1463" s="32">
        <f t="shared" si="403"/>
        <v>1</v>
      </c>
      <c r="V1463" s="32" t="str">
        <f t="shared" si="404"/>
        <v/>
      </c>
      <c r="W1463" s="41">
        <f t="shared" si="401"/>
        <v>3.040226043857301</v>
      </c>
      <c r="X1463" s="6">
        <f t="shared" si="402"/>
        <v>155.05152823672236</v>
      </c>
      <c r="Y1463" s="7">
        <f t="shared" si="405"/>
        <v>256</v>
      </c>
      <c r="AA1463" s="7">
        <f t="shared" si="406"/>
        <v>0</v>
      </c>
      <c r="AB1463" s="7" t="str">
        <f t="shared" si="407"/>
        <v/>
      </c>
      <c r="AC1463" s="7">
        <f t="shared" si="408"/>
        <v>1</v>
      </c>
      <c r="AD1463" s="7">
        <f t="shared" si="409"/>
        <v>51</v>
      </c>
      <c r="AE1463" s="6">
        <f t="shared" si="410"/>
        <v>0</v>
      </c>
      <c r="AF1463" s="69">
        <f t="shared" si="411"/>
        <v>3.040226043857301</v>
      </c>
      <c r="AG1463" s="6">
        <f t="shared" si="412"/>
        <v>0</v>
      </c>
      <c r="AH1463" s="6">
        <f t="shared" si="413"/>
        <v>604</v>
      </c>
    </row>
    <row r="1464" spans="8:34" x14ac:dyDescent="0.25">
      <c r="H1464" s="7">
        <v>1471</v>
      </c>
      <c r="I1464" s="7" t="s">
        <v>12</v>
      </c>
      <c r="J1464" s="8">
        <v>38705</v>
      </c>
      <c r="K1464" s="12" t="s">
        <v>20</v>
      </c>
      <c r="L1464" s="9">
        <v>64</v>
      </c>
      <c r="M1464" s="10">
        <v>193.29903203964747</v>
      </c>
      <c r="N1464" s="7" t="s">
        <v>24</v>
      </c>
      <c r="P1464" s="29" t="str">
        <f t="shared" si="396"/>
        <v/>
      </c>
      <c r="Q1464" s="29" t="str">
        <f t="shared" si="397"/>
        <v/>
      </c>
      <c r="R1464" s="29" t="str">
        <f t="shared" si="398"/>
        <v/>
      </c>
      <c r="S1464" s="29" t="str">
        <f t="shared" si="399"/>
        <v/>
      </c>
      <c r="T1464" s="32">
        <f t="shared" si="400"/>
        <v>1</v>
      </c>
      <c r="U1464" s="32">
        <f t="shared" si="403"/>
        <v>1</v>
      </c>
      <c r="V1464" s="32" t="str">
        <f t="shared" si="404"/>
        <v/>
      </c>
      <c r="W1464" s="41">
        <f t="shared" si="401"/>
        <v>3.0202973756194917</v>
      </c>
      <c r="X1464" s="6">
        <f t="shared" si="402"/>
        <v>193.29903203964747</v>
      </c>
      <c r="Y1464" s="7">
        <f t="shared" si="405"/>
        <v>189</v>
      </c>
      <c r="AA1464" s="7">
        <f t="shared" si="406"/>
        <v>0</v>
      </c>
      <c r="AB1464" s="7" t="str">
        <f t="shared" si="407"/>
        <v/>
      </c>
      <c r="AC1464" s="7">
        <f t="shared" si="408"/>
        <v>1</v>
      </c>
      <c r="AD1464" s="7">
        <f t="shared" si="409"/>
        <v>64</v>
      </c>
      <c r="AE1464" s="6">
        <f t="shared" si="410"/>
        <v>0</v>
      </c>
      <c r="AF1464" s="69">
        <f t="shared" si="411"/>
        <v>3.0202973756194917</v>
      </c>
      <c r="AG1464" s="6">
        <f t="shared" si="412"/>
        <v>0</v>
      </c>
      <c r="AH1464" s="6">
        <f t="shared" si="413"/>
        <v>604</v>
      </c>
    </row>
    <row r="1465" spans="8:34" x14ac:dyDescent="0.25">
      <c r="H1465" s="7">
        <v>1472</v>
      </c>
      <c r="I1465" s="7" t="s">
        <v>7</v>
      </c>
      <c r="J1465" s="8">
        <v>38298</v>
      </c>
      <c r="K1465" s="12" t="s">
        <v>16</v>
      </c>
      <c r="L1465" s="9">
        <v>15</v>
      </c>
      <c r="M1465" s="10">
        <v>47.086660569111189</v>
      </c>
      <c r="N1465" s="7" t="s">
        <v>23</v>
      </c>
      <c r="P1465" s="29" t="str">
        <f t="shared" si="396"/>
        <v/>
      </c>
      <c r="Q1465" s="29" t="str">
        <f t="shared" si="397"/>
        <v/>
      </c>
      <c r="R1465" s="29" t="str">
        <f t="shared" si="398"/>
        <v/>
      </c>
      <c r="S1465" s="29">
        <f t="shared" si="399"/>
        <v>1</v>
      </c>
      <c r="T1465" s="32" t="str">
        <f t="shared" si="400"/>
        <v/>
      </c>
      <c r="U1465" s="32" t="str">
        <f t="shared" si="403"/>
        <v/>
      </c>
      <c r="V1465" s="32" t="str">
        <f t="shared" si="404"/>
        <v/>
      </c>
      <c r="W1465" s="41">
        <f t="shared" si="401"/>
        <v>3.1391107046074125</v>
      </c>
      <c r="X1465" s="6">
        <f t="shared" si="402"/>
        <v>0</v>
      </c>
      <c r="Y1465" s="7">
        <f t="shared" si="405"/>
        <v>567</v>
      </c>
      <c r="AA1465" s="7">
        <f t="shared" si="406"/>
        <v>0</v>
      </c>
      <c r="AB1465" s="7" t="str">
        <f t="shared" si="407"/>
        <v/>
      </c>
      <c r="AC1465" s="7">
        <f t="shared" si="408"/>
        <v>0</v>
      </c>
      <c r="AD1465" s="7" t="str">
        <f t="shared" si="409"/>
        <v/>
      </c>
      <c r="AE1465" s="6">
        <f t="shared" si="410"/>
        <v>0</v>
      </c>
      <c r="AF1465" s="69">
        <f t="shared" si="411"/>
        <v>3.1391107046074125</v>
      </c>
      <c r="AG1465" s="6">
        <f t="shared" si="412"/>
        <v>47.086660569111189</v>
      </c>
      <c r="AH1465" s="6">
        <f t="shared" si="413"/>
        <v>487</v>
      </c>
    </row>
    <row r="1466" spans="8:34" x14ac:dyDescent="0.25">
      <c r="H1466" s="7">
        <v>1473</v>
      </c>
      <c r="I1466" s="7" t="s">
        <v>10</v>
      </c>
      <c r="J1466" s="8">
        <v>38078</v>
      </c>
      <c r="K1466" s="12" t="s">
        <v>19</v>
      </c>
      <c r="L1466" s="9">
        <v>33</v>
      </c>
      <c r="M1466" s="10">
        <v>101.69988655484008</v>
      </c>
      <c r="N1466" s="7" t="s">
        <v>24</v>
      </c>
      <c r="P1466" s="29" t="str">
        <f t="shared" si="396"/>
        <v/>
      </c>
      <c r="Q1466" s="29">
        <f t="shared" si="397"/>
        <v>1</v>
      </c>
      <c r="R1466" s="29" t="str">
        <f t="shared" si="398"/>
        <v/>
      </c>
      <c r="S1466" s="29" t="str">
        <f t="shared" si="399"/>
        <v/>
      </c>
      <c r="T1466" s="32" t="str">
        <f t="shared" si="400"/>
        <v/>
      </c>
      <c r="U1466" s="32" t="str">
        <f t="shared" si="403"/>
        <v/>
      </c>
      <c r="V1466" s="32" t="str">
        <f t="shared" si="404"/>
        <v/>
      </c>
      <c r="W1466" s="41">
        <f t="shared" si="401"/>
        <v>3.081814744086063</v>
      </c>
      <c r="X1466" s="6">
        <f t="shared" si="402"/>
        <v>0</v>
      </c>
      <c r="Y1466" s="7">
        <f t="shared" si="405"/>
        <v>567</v>
      </c>
      <c r="AA1466" s="7">
        <f t="shared" si="406"/>
        <v>0</v>
      </c>
      <c r="AB1466" s="7" t="str">
        <f t="shared" si="407"/>
        <v/>
      </c>
      <c r="AC1466" s="7">
        <f t="shared" si="408"/>
        <v>0</v>
      </c>
      <c r="AD1466" s="7" t="str">
        <f t="shared" si="409"/>
        <v/>
      </c>
      <c r="AE1466" s="6">
        <f t="shared" si="410"/>
        <v>0</v>
      </c>
      <c r="AF1466" s="69">
        <f t="shared" si="411"/>
        <v>3.081814744086063</v>
      </c>
      <c r="AG1466" s="6">
        <f t="shared" si="412"/>
        <v>101.69988655484008</v>
      </c>
      <c r="AH1466" s="6">
        <f t="shared" si="413"/>
        <v>369</v>
      </c>
    </row>
    <row r="1467" spans="8:34" x14ac:dyDescent="0.25">
      <c r="H1467" s="7">
        <v>1474</v>
      </c>
      <c r="I1467" s="7" t="s">
        <v>13</v>
      </c>
      <c r="J1467" s="8">
        <v>38848</v>
      </c>
      <c r="K1467" s="12" t="s">
        <v>16</v>
      </c>
      <c r="L1467" s="9">
        <v>31</v>
      </c>
      <c r="M1467" s="10">
        <v>95.050667546988379</v>
      </c>
      <c r="N1467" s="7" t="s">
        <v>23</v>
      </c>
      <c r="P1467" s="29" t="str">
        <f t="shared" si="396"/>
        <v/>
      </c>
      <c r="Q1467" s="29" t="str">
        <f t="shared" si="397"/>
        <v/>
      </c>
      <c r="R1467" s="29" t="str">
        <f t="shared" si="398"/>
        <v/>
      </c>
      <c r="S1467" s="29" t="str">
        <f t="shared" si="399"/>
        <v/>
      </c>
      <c r="T1467" s="32" t="str">
        <f t="shared" si="400"/>
        <v/>
      </c>
      <c r="U1467" s="32" t="str">
        <f t="shared" si="403"/>
        <v/>
      </c>
      <c r="V1467" s="32">
        <f t="shared" si="404"/>
        <v>1</v>
      </c>
      <c r="W1467" s="41">
        <f t="shared" si="401"/>
        <v>3.0661505660318831</v>
      </c>
      <c r="X1467" s="6">
        <f t="shared" si="402"/>
        <v>0</v>
      </c>
      <c r="Y1467" s="7">
        <f t="shared" si="405"/>
        <v>567</v>
      </c>
      <c r="AA1467" s="7">
        <f t="shared" si="406"/>
        <v>0</v>
      </c>
      <c r="AB1467" s="7" t="str">
        <f t="shared" si="407"/>
        <v/>
      </c>
      <c r="AC1467" s="7">
        <f t="shared" si="408"/>
        <v>0</v>
      </c>
      <c r="AD1467" s="7" t="str">
        <f t="shared" si="409"/>
        <v/>
      </c>
      <c r="AE1467" s="6">
        <f t="shared" si="410"/>
        <v>0</v>
      </c>
      <c r="AF1467" s="69">
        <f t="shared" si="411"/>
        <v>3.0661505660318831</v>
      </c>
      <c r="AG1467" s="6">
        <f t="shared" si="412"/>
        <v>0</v>
      </c>
      <c r="AH1467" s="6">
        <f t="shared" si="413"/>
        <v>604</v>
      </c>
    </row>
    <row r="1468" spans="8:34" x14ac:dyDescent="0.25">
      <c r="H1468" s="7">
        <v>1475</v>
      </c>
      <c r="I1468" s="7" t="s">
        <v>9</v>
      </c>
      <c r="J1468" s="8">
        <v>38705</v>
      </c>
      <c r="K1468" s="12" t="s">
        <v>19</v>
      </c>
      <c r="L1468" s="9">
        <v>51</v>
      </c>
      <c r="M1468" s="10">
        <v>155.18472828999515</v>
      </c>
      <c r="N1468" s="7" t="s">
        <v>24</v>
      </c>
      <c r="P1468" s="29" t="str">
        <f t="shared" si="396"/>
        <v/>
      </c>
      <c r="Q1468" s="29" t="str">
        <f t="shared" si="397"/>
        <v/>
      </c>
      <c r="R1468" s="29" t="str">
        <f t="shared" si="398"/>
        <v/>
      </c>
      <c r="S1468" s="29" t="str">
        <f t="shared" si="399"/>
        <v/>
      </c>
      <c r="T1468" s="32">
        <f t="shared" si="400"/>
        <v>1</v>
      </c>
      <c r="U1468" s="32">
        <f t="shared" si="403"/>
        <v>1</v>
      </c>
      <c r="V1468" s="32" t="str">
        <f t="shared" si="404"/>
        <v/>
      </c>
      <c r="W1468" s="41">
        <f t="shared" si="401"/>
        <v>3.042837809607748</v>
      </c>
      <c r="X1468" s="6">
        <f t="shared" si="402"/>
        <v>155.18472828999515</v>
      </c>
      <c r="Y1468" s="7">
        <f t="shared" si="405"/>
        <v>254</v>
      </c>
      <c r="AA1468" s="7">
        <f t="shared" si="406"/>
        <v>0</v>
      </c>
      <c r="AB1468" s="7" t="str">
        <f t="shared" si="407"/>
        <v/>
      </c>
      <c r="AC1468" s="7">
        <f t="shared" si="408"/>
        <v>1</v>
      </c>
      <c r="AD1468" s="7">
        <f t="shared" si="409"/>
        <v>51</v>
      </c>
      <c r="AE1468" s="6">
        <f t="shared" si="410"/>
        <v>0</v>
      </c>
      <c r="AF1468" s="69">
        <f t="shared" si="411"/>
        <v>3.042837809607748</v>
      </c>
      <c r="AG1468" s="6">
        <f t="shared" si="412"/>
        <v>0</v>
      </c>
      <c r="AH1468" s="6">
        <f t="shared" si="413"/>
        <v>604</v>
      </c>
    </row>
    <row r="1469" spans="8:34" x14ac:dyDescent="0.25">
      <c r="H1469" s="7">
        <v>1476</v>
      </c>
      <c r="I1469" s="7" t="s">
        <v>12</v>
      </c>
      <c r="J1469" s="8">
        <v>38947</v>
      </c>
      <c r="K1469" s="12" t="s">
        <v>18</v>
      </c>
      <c r="L1469" s="9">
        <v>-7</v>
      </c>
      <c r="M1469" s="10">
        <v>-18.636086701073594</v>
      </c>
      <c r="N1469" s="7" t="s">
        <v>24</v>
      </c>
      <c r="P1469" s="29" t="str">
        <f t="shared" si="396"/>
        <v/>
      </c>
      <c r="Q1469" s="29" t="str">
        <f t="shared" si="397"/>
        <v/>
      </c>
      <c r="R1469" s="29" t="str">
        <f t="shared" si="398"/>
        <v/>
      </c>
      <c r="S1469" s="29" t="str">
        <f t="shared" si="399"/>
        <v/>
      </c>
      <c r="T1469" s="32" t="str">
        <f t="shared" si="400"/>
        <v/>
      </c>
      <c r="U1469" s="32" t="str">
        <f t="shared" si="403"/>
        <v/>
      </c>
      <c r="V1469" s="32">
        <f t="shared" si="404"/>
        <v>1</v>
      </c>
      <c r="W1469" s="41" t="str">
        <f t="shared" si="401"/>
        <v/>
      </c>
      <c r="X1469" s="6">
        <f t="shared" si="402"/>
        <v>0</v>
      </c>
      <c r="Y1469" s="7">
        <f t="shared" si="405"/>
        <v>567</v>
      </c>
      <c r="AA1469" s="7">
        <f t="shared" si="406"/>
        <v>0</v>
      </c>
      <c r="AB1469" s="7" t="str">
        <f t="shared" si="407"/>
        <v/>
      </c>
      <c r="AC1469" s="7">
        <f t="shared" si="408"/>
        <v>0</v>
      </c>
      <c r="AD1469" s="7" t="str">
        <f t="shared" si="409"/>
        <v/>
      </c>
      <c r="AE1469" s="6">
        <f t="shared" si="410"/>
        <v>-7</v>
      </c>
      <c r="AF1469" s="69" t="str">
        <f t="shared" si="411"/>
        <v/>
      </c>
      <c r="AG1469" s="6">
        <f t="shared" si="412"/>
        <v>0</v>
      </c>
      <c r="AH1469" s="6">
        <f t="shared" si="413"/>
        <v>604</v>
      </c>
    </row>
    <row r="1470" spans="8:34" x14ac:dyDescent="0.25">
      <c r="H1470" s="7">
        <v>1477</v>
      </c>
      <c r="I1470" s="7" t="s">
        <v>9</v>
      </c>
      <c r="J1470" s="8">
        <v>38485</v>
      </c>
      <c r="K1470" s="12" t="s">
        <v>16</v>
      </c>
      <c r="L1470" s="9">
        <v>37</v>
      </c>
      <c r="M1470" s="10">
        <v>112.07406400171799</v>
      </c>
      <c r="N1470" s="7" t="s">
        <v>24</v>
      </c>
      <c r="P1470" s="29" t="str">
        <f t="shared" si="396"/>
        <v/>
      </c>
      <c r="Q1470" s="29" t="str">
        <f t="shared" si="397"/>
        <v/>
      </c>
      <c r="R1470" s="29" t="str">
        <f t="shared" si="398"/>
        <v/>
      </c>
      <c r="S1470" s="29" t="str">
        <f t="shared" si="399"/>
        <v/>
      </c>
      <c r="T1470" s="32" t="str">
        <f t="shared" si="400"/>
        <v/>
      </c>
      <c r="U1470" s="32">
        <f t="shared" si="403"/>
        <v>1</v>
      </c>
      <c r="V1470" s="32" t="str">
        <f t="shared" si="404"/>
        <v/>
      </c>
      <c r="W1470" s="41">
        <f t="shared" si="401"/>
        <v>3.0290287568031888</v>
      </c>
      <c r="X1470" s="6">
        <f t="shared" si="402"/>
        <v>112.07406400171799</v>
      </c>
      <c r="Y1470" s="7">
        <f t="shared" si="405"/>
        <v>337</v>
      </c>
      <c r="AA1470" s="7">
        <f t="shared" si="406"/>
        <v>0</v>
      </c>
      <c r="AB1470" s="7" t="str">
        <f t="shared" si="407"/>
        <v/>
      </c>
      <c r="AC1470" s="7">
        <f t="shared" si="408"/>
        <v>1</v>
      </c>
      <c r="AD1470" s="7">
        <f t="shared" si="409"/>
        <v>37</v>
      </c>
      <c r="AE1470" s="6">
        <f t="shared" si="410"/>
        <v>0</v>
      </c>
      <c r="AF1470" s="69">
        <f t="shared" si="411"/>
        <v>3.0290287568031888</v>
      </c>
      <c r="AG1470" s="6">
        <f t="shared" si="412"/>
        <v>0</v>
      </c>
      <c r="AH1470" s="6">
        <f t="shared" si="413"/>
        <v>604</v>
      </c>
    </row>
    <row r="1471" spans="8:34" x14ac:dyDescent="0.25">
      <c r="H1471" s="7">
        <v>1478</v>
      </c>
      <c r="I1471" s="7" t="s">
        <v>7</v>
      </c>
      <c r="J1471" s="8">
        <v>38518</v>
      </c>
      <c r="K1471" s="12" t="s">
        <v>18</v>
      </c>
      <c r="L1471" s="9">
        <v>43</v>
      </c>
      <c r="M1471" s="10">
        <v>130.97379554914517</v>
      </c>
      <c r="N1471" s="7" t="s">
        <v>21</v>
      </c>
      <c r="P1471" s="29" t="str">
        <f t="shared" si="396"/>
        <v/>
      </c>
      <c r="Q1471" s="29" t="str">
        <f t="shared" si="397"/>
        <v/>
      </c>
      <c r="R1471" s="29" t="str">
        <f t="shared" si="398"/>
        <v/>
      </c>
      <c r="S1471" s="29" t="str">
        <f t="shared" si="399"/>
        <v/>
      </c>
      <c r="T1471" s="32" t="str">
        <f t="shared" si="400"/>
        <v/>
      </c>
      <c r="U1471" s="32">
        <f t="shared" si="403"/>
        <v>1</v>
      </c>
      <c r="V1471" s="32" t="str">
        <f t="shared" si="404"/>
        <v/>
      </c>
      <c r="W1471" s="41">
        <f t="shared" si="401"/>
        <v>3.0459022220731433</v>
      </c>
      <c r="X1471" s="6">
        <f t="shared" si="402"/>
        <v>130.97379554914517</v>
      </c>
      <c r="Y1471" s="7">
        <f t="shared" si="405"/>
        <v>304</v>
      </c>
      <c r="AA1471" s="7">
        <f t="shared" si="406"/>
        <v>0</v>
      </c>
      <c r="AB1471" s="7" t="str">
        <f t="shared" si="407"/>
        <v/>
      </c>
      <c r="AC1471" s="7">
        <f t="shared" si="408"/>
        <v>1</v>
      </c>
      <c r="AD1471" s="7">
        <f t="shared" si="409"/>
        <v>43</v>
      </c>
      <c r="AE1471" s="6">
        <f t="shared" si="410"/>
        <v>0</v>
      </c>
      <c r="AF1471" s="69">
        <f t="shared" si="411"/>
        <v>3.0459022220731433</v>
      </c>
      <c r="AG1471" s="6">
        <f t="shared" si="412"/>
        <v>0</v>
      </c>
      <c r="AH1471" s="6">
        <f t="shared" si="413"/>
        <v>604</v>
      </c>
    </row>
    <row r="1472" spans="8:34" x14ac:dyDescent="0.25">
      <c r="H1472" s="7">
        <v>1479</v>
      </c>
      <c r="I1472" s="7" t="s">
        <v>15</v>
      </c>
      <c r="J1472" s="8">
        <v>38859</v>
      </c>
      <c r="K1472" s="12" t="s">
        <v>20</v>
      </c>
      <c r="L1472" s="9">
        <v>63</v>
      </c>
      <c r="M1472" s="10">
        <v>190.69209828626822</v>
      </c>
      <c r="N1472" s="7" t="s">
        <v>21</v>
      </c>
      <c r="P1472" s="29" t="str">
        <f t="shared" si="396"/>
        <v/>
      </c>
      <c r="Q1472" s="29" t="str">
        <f t="shared" si="397"/>
        <v/>
      </c>
      <c r="R1472" s="29" t="str">
        <f t="shared" si="398"/>
        <v/>
      </c>
      <c r="S1472" s="29" t="str">
        <f t="shared" si="399"/>
        <v/>
      </c>
      <c r="T1472" s="32" t="str">
        <f t="shared" si="400"/>
        <v/>
      </c>
      <c r="U1472" s="32" t="str">
        <f t="shared" si="403"/>
        <v/>
      </c>
      <c r="V1472" s="32">
        <f t="shared" si="404"/>
        <v>1</v>
      </c>
      <c r="W1472" s="41">
        <f t="shared" si="401"/>
        <v>3.0268587029566385</v>
      </c>
      <c r="X1472" s="6">
        <f t="shared" si="402"/>
        <v>0</v>
      </c>
      <c r="Y1472" s="7">
        <f t="shared" si="405"/>
        <v>567</v>
      </c>
      <c r="AA1472" s="7">
        <f t="shared" si="406"/>
        <v>0</v>
      </c>
      <c r="AB1472" s="7" t="str">
        <f t="shared" si="407"/>
        <v/>
      </c>
      <c r="AC1472" s="7">
        <f t="shared" si="408"/>
        <v>0</v>
      </c>
      <c r="AD1472" s="7" t="str">
        <f t="shared" si="409"/>
        <v/>
      </c>
      <c r="AE1472" s="6">
        <f t="shared" si="410"/>
        <v>0</v>
      </c>
      <c r="AF1472" s="69">
        <f t="shared" si="411"/>
        <v>3.0268587029566385</v>
      </c>
      <c r="AG1472" s="6">
        <f t="shared" si="412"/>
        <v>0</v>
      </c>
      <c r="AH1472" s="6">
        <f t="shared" si="413"/>
        <v>604</v>
      </c>
    </row>
    <row r="1473" spans="8:34" x14ac:dyDescent="0.25">
      <c r="H1473" s="7">
        <v>1480</v>
      </c>
      <c r="I1473" s="7" t="s">
        <v>11</v>
      </c>
      <c r="J1473" s="8">
        <v>38177</v>
      </c>
      <c r="K1473" s="12" t="s">
        <v>16</v>
      </c>
      <c r="L1473" s="9">
        <v>29</v>
      </c>
      <c r="M1473" s="10">
        <v>89.589016206328608</v>
      </c>
      <c r="N1473" s="7" t="s">
        <v>23</v>
      </c>
      <c r="P1473" s="29" t="str">
        <f t="shared" si="396"/>
        <v/>
      </c>
      <c r="Q1473" s="29" t="str">
        <f t="shared" si="397"/>
        <v/>
      </c>
      <c r="R1473" s="29">
        <f t="shared" si="398"/>
        <v>1</v>
      </c>
      <c r="S1473" s="29" t="str">
        <f t="shared" si="399"/>
        <v/>
      </c>
      <c r="T1473" s="32" t="str">
        <f t="shared" si="400"/>
        <v/>
      </c>
      <c r="U1473" s="32" t="str">
        <f t="shared" si="403"/>
        <v/>
      </c>
      <c r="V1473" s="32" t="str">
        <f t="shared" si="404"/>
        <v/>
      </c>
      <c r="W1473" s="41">
        <f t="shared" si="401"/>
        <v>3.0892764209078831</v>
      </c>
      <c r="X1473" s="6">
        <f t="shared" si="402"/>
        <v>0</v>
      </c>
      <c r="Y1473" s="7">
        <f t="shared" si="405"/>
        <v>567</v>
      </c>
      <c r="AA1473" s="7">
        <f t="shared" si="406"/>
        <v>0</v>
      </c>
      <c r="AB1473" s="7" t="str">
        <f t="shared" si="407"/>
        <v/>
      </c>
      <c r="AC1473" s="7">
        <f t="shared" si="408"/>
        <v>0</v>
      </c>
      <c r="AD1473" s="7" t="str">
        <f t="shared" si="409"/>
        <v/>
      </c>
      <c r="AE1473" s="6">
        <f t="shared" si="410"/>
        <v>0</v>
      </c>
      <c r="AF1473" s="69">
        <f t="shared" si="411"/>
        <v>3.0892764209078831</v>
      </c>
      <c r="AG1473" s="6">
        <f t="shared" si="412"/>
        <v>89.589016206328608</v>
      </c>
      <c r="AH1473" s="6">
        <f t="shared" si="413"/>
        <v>400</v>
      </c>
    </row>
    <row r="1474" spans="8:34" x14ac:dyDescent="0.25">
      <c r="H1474" s="7">
        <v>1481</v>
      </c>
      <c r="I1474" s="7" t="s">
        <v>15</v>
      </c>
      <c r="J1474" s="8">
        <v>38694</v>
      </c>
      <c r="K1474" s="12" t="s">
        <v>20</v>
      </c>
      <c r="L1474" s="9">
        <v>20</v>
      </c>
      <c r="M1474" s="10">
        <v>61.944091716082518</v>
      </c>
      <c r="N1474" s="7" t="s">
        <v>22</v>
      </c>
      <c r="P1474" s="29" t="str">
        <f t="shared" si="396"/>
        <v/>
      </c>
      <c r="Q1474" s="29" t="str">
        <f t="shared" si="397"/>
        <v/>
      </c>
      <c r="R1474" s="29" t="str">
        <f t="shared" si="398"/>
        <v/>
      </c>
      <c r="S1474" s="29" t="str">
        <f t="shared" si="399"/>
        <v/>
      </c>
      <c r="T1474" s="32">
        <f t="shared" si="400"/>
        <v>1</v>
      </c>
      <c r="U1474" s="32">
        <f t="shared" si="403"/>
        <v>1</v>
      </c>
      <c r="V1474" s="32" t="str">
        <f t="shared" si="404"/>
        <v/>
      </c>
      <c r="W1474" s="41">
        <f t="shared" si="401"/>
        <v>3.0972045858041257</v>
      </c>
      <c r="X1474" s="6">
        <f t="shared" si="402"/>
        <v>61.944091716082518</v>
      </c>
      <c r="Y1474" s="7">
        <f t="shared" si="405"/>
        <v>439</v>
      </c>
      <c r="AA1474" s="7">
        <f t="shared" si="406"/>
        <v>0</v>
      </c>
      <c r="AB1474" s="7" t="str">
        <f t="shared" si="407"/>
        <v/>
      </c>
      <c r="AC1474" s="7">
        <f t="shared" si="408"/>
        <v>1</v>
      </c>
      <c r="AD1474" s="7">
        <f t="shared" si="409"/>
        <v>20</v>
      </c>
      <c r="AE1474" s="6">
        <f t="shared" si="410"/>
        <v>0</v>
      </c>
      <c r="AF1474" s="69">
        <f t="shared" si="411"/>
        <v>3.0972045858041257</v>
      </c>
      <c r="AG1474" s="6">
        <f t="shared" si="412"/>
        <v>0</v>
      </c>
      <c r="AH1474" s="6">
        <f t="shared" si="413"/>
        <v>604</v>
      </c>
    </row>
    <row r="1475" spans="8:34" x14ac:dyDescent="0.25">
      <c r="H1475" s="7">
        <v>1482</v>
      </c>
      <c r="I1475" s="7" t="s">
        <v>13</v>
      </c>
      <c r="J1475" s="8">
        <v>38804</v>
      </c>
      <c r="K1475" s="12" t="s">
        <v>16</v>
      </c>
      <c r="L1475" s="9">
        <v>48</v>
      </c>
      <c r="M1475" s="10">
        <v>146.44223986116381</v>
      </c>
      <c r="N1475" s="7" t="s">
        <v>23</v>
      </c>
      <c r="P1475" s="29" t="str">
        <f t="shared" ref="P1475:P1538" si="414">IF(AND((MONTH(J1475))&lt;4,YEAR(J1475)=2004),1,"")</f>
        <v/>
      </c>
      <c r="Q1475" s="29" t="str">
        <f t="shared" ref="Q1475:Q1538" si="415">IF(AND(3&lt;(MONTH(J1475)),(MONTH(J1475)&lt;7),YEAR(J1475)=2004),1,"")</f>
        <v/>
      </c>
      <c r="R1475" s="29" t="str">
        <f t="shared" ref="R1475:R1538" si="416">IF(AND(6&lt;(MONTH(J1475)),(MONTH(J1475)&lt;10),YEAR(J1475)=2004),1,"")</f>
        <v/>
      </c>
      <c r="S1475" s="29" t="str">
        <f t="shared" ref="S1475:S1538" si="417">IF(AND(9&lt;(MONTH(J1475)),(MONTH(J1475)&lt;13),YEAR(J1475)=2004),1,"")</f>
        <v/>
      </c>
      <c r="T1475" s="32" t="str">
        <f t="shared" ref="T1475:T1538" si="418">IF(AND((9&lt;MONTH(J1475)),YEAR(J1475)=2005),1,"")</f>
        <v/>
      </c>
      <c r="U1475" s="32" t="str">
        <f t="shared" si="403"/>
        <v/>
      </c>
      <c r="V1475" s="32">
        <f t="shared" si="404"/>
        <v>1</v>
      </c>
      <c r="W1475" s="41">
        <f t="shared" ref="W1475:W1538" si="419">IF(L1475&gt;0,M1475/L1475,"")</f>
        <v>3.0508799971075793</v>
      </c>
      <c r="X1475" s="6">
        <f t="shared" ref="X1475:X1538" si="420">IF(U1475=1,M1475,0)</f>
        <v>0</v>
      </c>
      <c r="Y1475" s="7">
        <f t="shared" si="405"/>
        <v>567</v>
      </c>
      <c r="AA1475" s="7">
        <f t="shared" si="406"/>
        <v>0</v>
      </c>
      <c r="AB1475" s="7" t="str">
        <f t="shared" si="407"/>
        <v/>
      </c>
      <c r="AC1475" s="7">
        <f t="shared" si="408"/>
        <v>0</v>
      </c>
      <c r="AD1475" s="7" t="str">
        <f t="shared" si="409"/>
        <v/>
      </c>
      <c r="AE1475" s="6">
        <f t="shared" si="410"/>
        <v>0</v>
      </c>
      <c r="AF1475" s="69">
        <f t="shared" si="411"/>
        <v>3.0508799971075793</v>
      </c>
      <c r="AG1475" s="6">
        <f t="shared" si="412"/>
        <v>0</v>
      </c>
      <c r="AH1475" s="6">
        <f t="shared" si="413"/>
        <v>604</v>
      </c>
    </row>
    <row r="1476" spans="8:34" x14ac:dyDescent="0.25">
      <c r="H1476" s="7">
        <v>1483</v>
      </c>
      <c r="I1476" s="7" t="s">
        <v>7</v>
      </c>
      <c r="J1476" s="8">
        <v>38562</v>
      </c>
      <c r="K1476" s="12" t="s">
        <v>16</v>
      </c>
      <c r="L1476" s="9">
        <v>94</v>
      </c>
      <c r="M1476" s="10">
        <v>284.30651580761617</v>
      </c>
      <c r="N1476" s="7" t="s">
        <v>22</v>
      </c>
      <c r="P1476" s="29" t="str">
        <f t="shared" si="414"/>
        <v/>
      </c>
      <c r="Q1476" s="29" t="str">
        <f t="shared" si="415"/>
        <v/>
      </c>
      <c r="R1476" s="29" t="str">
        <f t="shared" si="416"/>
        <v/>
      </c>
      <c r="S1476" s="29" t="str">
        <f t="shared" si="417"/>
        <v/>
      </c>
      <c r="T1476" s="32" t="str">
        <f t="shared" si="418"/>
        <v/>
      </c>
      <c r="U1476" s="32">
        <f t="shared" ref="U1476:U1539" si="421">IF(YEAR(J1476)=2005,1,"")</f>
        <v>1</v>
      </c>
      <c r="V1476" s="32" t="str">
        <f t="shared" ref="V1476:V1539" si="422">IF(YEAR(J1476)=2006,1,"")</f>
        <v/>
      </c>
      <c r="W1476" s="41">
        <f t="shared" si="419"/>
        <v>3.0245374022086824</v>
      </c>
      <c r="X1476" s="6">
        <f t="shared" si="420"/>
        <v>284.30651580761617</v>
      </c>
      <c r="Y1476" s="7">
        <f t="shared" ref="Y1476:Y1539" si="423">RANK(X1476,$X$3:$X$1893)</f>
        <v>9</v>
      </c>
      <c r="AA1476" s="7">
        <f t="shared" ref="AA1476:AA1539" si="424">IF(AND(OR((MONTH(J1476))=1,(MONTH(J1476))=2,(MONTH(J1476))=3,(MONTH(J1476))=7,(MONTH(J1476))=8,(MONTH(J1476))=9),YEAR(J1476)=2005),1,0)</f>
        <v>1</v>
      </c>
      <c r="AB1476" s="7">
        <f t="shared" ref="AB1476:AB1539" si="425">IF(AA1476=1,L1476,"")</f>
        <v>94</v>
      </c>
      <c r="AC1476" s="7">
        <f t="shared" ref="AC1476:AC1539" si="426">IF(AND(OR((MONTH(J1476))=4,(MONTH(J1476))=5,(MONTH(J1476))=6,(MONTH(J1476))=10,(MONTH(J1476))=11,(MONTH(J1476))=12),YEAR(J1476)=2005),1,0)</f>
        <v>0</v>
      </c>
      <c r="AD1476" s="7" t="str">
        <f t="shared" ref="AD1476:AD1539" si="427">IF(AC1476=1,L1476,"")</f>
        <v/>
      </c>
      <c r="AE1476" s="6">
        <f t="shared" ref="AE1476:AE1539" si="428">IF(L1476&lt;0,L1476,0)</f>
        <v>0</v>
      </c>
      <c r="AF1476" s="69">
        <f t="shared" ref="AF1476:AF1539" si="429">IF(L1476&gt;0,W1476,"")</f>
        <v>3.0245374022086824</v>
      </c>
      <c r="AG1476" s="6">
        <f t="shared" ref="AG1476:AG1539" si="430">IF(AND((M1476&gt;0),(YEAR(J1476)=2004)),M1476,0)</f>
        <v>0</v>
      </c>
      <c r="AH1476" s="6">
        <f t="shared" ref="AH1476:AH1539" si="431">RANK(AG1476,$AG$3:$AG$1893)</f>
        <v>604</v>
      </c>
    </row>
    <row r="1477" spans="8:34" x14ac:dyDescent="0.25">
      <c r="H1477" s="7">
        <v>1484</v>
      </c>
      <c r="I1477" s="7" t="s">
        <v>7</v>
      </c>
      <c r="J1477" s="8">
        <v>38969</v>
      </c>
      <c r="K1477" s="12" t="s">
        <v>18</v>
      </c>
      <c r="L1477" s="9">
        <v>41</v>
      </c>
      <c r="M1477" s="10">
        <v>124.88343538167078</v>
      </c>
      <c r="N1477" s="7" t="s">
        <v>22</v>
      </c>
      <c r="P1477" s="29" t="str">
        <f t="shared" si="414"/>
        <v/>
      </c>
      <c r="Q1477" s="29" t="str">
        <f t="shared" si="415"/>
        <v/>
      </c>
      <c r="R1477" s="29" t="str">
        <f t="shared" si="416"/>
        <v/>
      </c>
      <c r="S1477" s="29" t="str">
        <f t="shared" si="417"/>
        <v/>
      </c>
      <c r="T1477" s="32" t="str">
        <f t="shared" si="418"/>
        <v/>
      </c>
      <c r="U1477" s="32" t="str">
        <f t="shared" si="421"/>
        <v/>
      </c>
      <c r="V1477" s="32">
        <f t="shared" si="422"/>
        <v>1</v>
      </c>
      <c r="W1477" s="41">
        <f t="shared" si="419"/>
        <v>3.0459374483334338</v>
      </c>
      <c r="X1477" s="6">
        <f t="shared" si="420"/>
        <v>0</v>
      </c>
      <c r="Y1477" s="7">
        <f t="shared" si="423"/>
        <v>567</v>
      </c>
      <c r="AA1477" s="7">
        <f t="shared" si="424"/>
        <v>0</v>
      </c>
      <c r="AB1477" s="7" t="str">
        <f t="shared" si="425"/>
        <v/>
      </c>
      <c r="AC1477" s="7">
        <f t="shared" si="426"/>
        <v>0</v>
      </c>
      <c r="AD1477" s="7" t="str">
        <f t="shared" si="427"/>
        <v/>
      </c>
      <c r="AE1477" s="6">
        <f t="shared" si="428"/>
        <v>0</v>
      </c>
      <c r="AF1477" s="69">
        <f t="shared" si="429"/>
        <v>3.0459374483334338</v>
      </c>
      <c r="AG1477" s="6">
        <f t="shared" si="430"/>
        <v>0</v>
      </c>
      <c r="AH1477" s="6">
        <f t="shared" si="431"/>
        <v>604</v>
      </c>
    </row>
    <row r="1478" spans="8:34" x14ac:dyDescent="0.25">
      <c r="H1478" s="7">
        <v>1485</v>
      </c>
      <c r="I1478" s="7" t="s">
        <v>7</v>
      </c>
      <c r="J1478" s="8">
        <v>38375</v>
      </c>
      <c r="K1478" s="12" t="s">
        <v>16</v>
      </c>
      <c r="L1478" s="9">
        <v>45</v>
      </c>
      <c r="M1478" s="10">
        <v>137.54620754134569</v>
      </c>
      <c r="N1478" s="7" t="s">
        <v>21</v>
      </c>
      <c r="P1478" s="29" t="str">
        <f t="shared" si="414"/>
        <v/>
      </c>
      <c r="Q1478" s="29" t="str">
        <f t="shared" si="415"/>
        <v/>
      </c>
      <c r="R1478" s="29" t="str">
        <f t="shared" si="416"/>
        <v/>
      </c>
      <c r="S1478" s="29" t="str">
        <f t="shared" si="417"/>
        <v/>
      </c>
      <c r="T1478" s="32" t="str">
        <f t="shared" si="418"/>
        <v/>
      </c>
      <c r="U1478" s="32">
        <f t="shared" si="421"/>
        <v>1</v>
      </c>
      <c r="V1478" s="32" t="str">
        <f t="shared" si="422"/>
        <v/>
      </c>
      <c r="W1478" s="41">
        <f t="shared" si="419"/>
        <v>3.0565823898076823</v>
      </c>
      <c r="X1478" s="6">
        <f t="shared" si="420"/>
        <v>137.54620754134569</v>
      </c>
      <c r="Y1478" s="7">
        <f t="shared" si="423"/>
        <v>292</v>
      </c>
      <c r="AA1478" s="7">
        <f t="shared" si="424"/>
        <v>1</v>
      </c>
      <c r="AB1478" s="7">
        <f t="shared" si="425"/>
        <v>45</v>
      </c>
      <c r="AC1478" s="7">
        <f t="shared" si="426"/>
        <v>0</v>
      </c>
      <c r="AD1478" s="7" t="str">
        <f t="shared" si="427"/>
        <v/>
      </c>
      <c r="AE1478" s="6">
        <f t="shared" si="428"/>
        <v>0</v>
      </c>
      <c r="AF1478" s="69">
        <f t="shared" si="429"/>
        <v>3.0565823898076823</v>
      </c>
      <c r="AG1478" s="6">
        <f t="shared" si="430"/>
        <v>0</v>
      </c>
      <c r="AH1478" s="6">
        <f t="shared" si="431"/>
        <v>604</v>
      </c>
    </row>
    <row r="1479" spans="8:34" x14ac:dyDescent="0.25">
      <c r="H1479" s="7">
        <v>1486</v>
      </c>
      <c r="I1479" s="7" t="s">
        <v>14</v>
      </c>
      <c r="J1479" s="8">
        <v>38485</v>
      </c>
      <c r="K1479" s="12" t="s">
        <v>17</v>
      </c>
      <c r="L1479" s="9">
        <v>69</v>
      </c>
      <c r="M1479" s="10">
        <v>208.60656085319707</v>
      </c>
      <c r="N1479" s="7" t="s">
        <v>23</v>
      </c>
      <c r="P1479" s="29" t="str">
        <f t="shared" si="414"/>
        <v/>
      </c>
      <c r="Q1479" s="29" t="str">
        <f t="shared" si="415"/>
        <v/>
      </c>
      <c r="R1479" s="29" t="str">
        <f t="shared" si="416"/>
        <v/>
      </c>
      <c r="S1479" s="29" t="str">
        <f t="shared" si="417"/>
        <v/>
      </c>
      <c r="T1479" s="32" t="str">
        <f t="shared" si="418"/>
        <v/>
      </c>
      <c r="U1479" s="32">
        <f t="shared" si="421"/>
        <v>1</v>
      </c>
      <c r="V1479" s="32" t="str">
        <f t="shared" si="422"/>
        <v/>
      </c>
      <c r="W1479" s="41">
        <f t="shared" si="419"/>
        <v>3.0232834906260444</v>
      </c>
      <c r="X1479" s="6">
        <f t="shared" si="420"/>
        <v>208.60656085319707</v>
      </c>
      <c r="Y1479" s="7">
        <f t="shared" si="423"/>
        <v>165</v>
      </c>
      <c r="AA1479" s="7">
        <f t="shared" si="424"/>
        <v>0</v>
      </c>
      <c r="AB1479" s="7" t="str">
        <f t="shared" si="425"/>
        <v/>
      </c>
      <c r="AC1479" s="7">
        <f t="shared" si="426"/>
        <v>1</v>
      </c>
      <c r="AD1479" s="7">
        <f t="shared" si="427"/>
        <v>69</v>
      </c>
      <c r="AE1479" s="6">
        <f t="shared" si="428"/>
        <v>0</v>
      </c>
      <c r="AF1479" s="69">
        <f t="shared" si="429"/>
        <v>3.0232834906260444</v>
      </c>
      <c r="AG1479" s="6">
        <f t="shared" si="430"/>
        <v>0</v>
      </c>
      <c r="AH1479" s="6">
        <f t="shared" si="431"/>
        <v>604</v>
      </c>
    </row>
    <row r="1480" spans="8:34" x14ac:dyDescent="0.25">
      <c r="H1480" s="7">
        <v>1487</v>
      </c>
      <c r="I1480" s="7" t="s">
        <v>9</v>
      </c>
      <c r="J1480" s="8">
        <v>38078</v>
      </c>
      <c r="K1480" s="12" t="s">
        <v>20</v>
      </c>
      <c r="L1480" s="9">
        <v>48</v>
      </c>
      <c r="M1480" s="10">
        <v>146.16733998853596</v>
      </c>
      <c r="N1480" s="7" t="s">
        <v>21</v>
      </c>
      <c r="P1480" s="29" t="str">
        <f t="shared" si="414"/>
        <v/>
      </c>
      <c r="Q1480" s="29">
        <f t="shared" si="415"/>
        <v>1</v>
      </c>
      <c r="R1480" s="29" t="str">
        <f t="shared" si="416"/>
        <v/>
      </c>
      <c r="S1480" s="29" t="str">
        <f t="shared" si="417"/>
        <v/>
      </c>
      <c r="T1480" s="32" t="str">
        <f t="shared" si="418"/>
        <v/>
      </c>
      <c r="U1480" s="32" t="str">
        <f t="shared" si="421"/>
        <v/>
      </c>
      <c r="V1480" s="32" t="str">
        <f t="shared" si="422"/>
        <v/>
      </c>
      <c r="W1480" s="41">
        <f t="shared" si="419"/>
        <v>3.0451529164278326</v>
      </c>
      <c r="X1480" s="6">
        <f t="shared" si="420"/>
        <v>0</v>
      </c>
      <c r="Y1480" s="7">
        <f t="shared" si="423"/>
        <v>567</v>
      </c>
      <c r="AA1480" s="7">
        <f t="shared" si="424"/>
        <v>0</v>
      </c>
      <c r="AB1480" s="7" t="str">
        <f t="shared" si="425"/>
        <v/>
      </c>
      <c r="AC1480" s="7">
        <f t="shared" si="426"/>
        <v>0</v>
      </c>
      <c r="AD1480" s="7" t="str">
        <f t="shared" si="427"/>
        <v/>
      </c>
      <c r="AE1480" s="6">
        <f t="shared" si="428"/>
        <v>0</v>
      </c>
      <c r="AF1480" s="69">
        <f t="shared" si="429"/>
        <v>3.0451529164278326</v>
      </c>
      <c r="AG1480" s="6">
        <f t="shared" si="430"/>
        <v>146.16733998853596</v>
      </c>
      <c r="AH1480" s="6">
        <f t="shared" si="431"/>
        <v>277</v>
      </c>
    </row>
    <row r="1481" spans="8:34" x14ac:dyDescent="0.25">
      <c r="H1481" s="7">
        <v>1488</v>
      </c>
      <c r="I1481" s="7" t="s">
        <v>12</v>
      </c>
      <c r="J1481" s="8">
        <v>38375</v>
      </c>
      <c r="K1481" s="12" t="s">
        <v>20</v>
      </c>
      <c r="L1481" s="9">
        <v>38</v>
      </c>
      <c r="M1481" s="10">
        <v>115.70319467233371</v>
      </c>
      <c r="N1481" s="7" t="s">
        <v>23</v>
      </c>
      <c r="P1481" s="29" t="str">
        <f t="shared" si="414"/>
        <v/>
      </c>
      <c r="Q1481" s="29" t="str">
        <f t="shared" si="415"/>
        <v/>
      </c>
      <c r="R1481" s="29" t="str">
        <f t="shared" si="416"/>
        <v/>
      </c>
      <c r="S1481" s="29" t="str">
        <f t="shared" si="417"/>
        <v/>
      </c>
      <c r="T1481" s="32" t="str">
        <f t="shared" si="418"/>
        <v/>
      </c>
      <c r="U1481" s="32">
        <f t="shared" si="421"/>
        <v>1</v>
      </c>
      <c r="V1481" s="32" t="str">
        <f t="shared" si="422"/>
        <v/>
      </c>
      <c r="W1481" s="41">
        <f t="shared" si="419"/>
        <v>3.0448209124298344</v>
      </c>
      <c r="X1481" s="6">
        <f t="shared" si="420"/>
        <v>115.70319467233371</v>
      </c>
      <c r="Y1481" s="7">
        <f t="shared" si="423"/>
        <v>329</v>
      </c>
      <c r="AA1481" s="7">
        <f t="shared" si="424"/>
        <v>1</v>
      </c>
      <c r="AB1481" s="7">
        <f t="shared" si="425"/>
        <v>38</v>
      </c>
      <c r="AC1481" s="7">
        <f t="shared" si="426"/>
        <v>0</v>
      </c>
      <c r="AD1481" s="7" t="str">
        <f t="shared" si="427"/>
        <v/>
      </c>
      <c r="AE1481" s="6">
        <f t="shared" si="428"/>
        <v>0</v>
      </c>
      <c r="AF1481" s="69">
        <f t="shared" si="429"/>
        <v>3.0448209124298344</v>
      </c>
      <c r="AG1481" s="6">
        <f t="shared" si="430"/>
        <v>0</v>
      </c>
      <c r="AH1481" s="6">
        <f t="shared" si="431"/>
        <v>604</v>
      </c>
    </row>
    <row r="1482" spans="8:34" x14ac:dyDescent="0.25">
      <c r="H1482" s="7">
        <v>1489</v>
      </c>
      <c r="I1482" s="7" t="s">
        <v>7</v>
      </c>
      <c r="J1482" s="8">
        <v>38738</v>
      </c>
      <c r="K1482" s="12" t="s">
        <v>17</v>
      </c>
      <c r="L1482" s="9">
        <v>49</v>
      </c>
      <c r="M1482" s="10">
        <v>149.11052069470631</v>
      </c>
      <c r="N1482" s="7" t="s">
        <v>21</v>
      </c>
      <c r="P1482" s="29" t="str">
        <f t="shared" si="414"/>
        <v/>
      </c>
      <c r="Q1482" s="29" t="str">
        <f t="shared" si="415"/>
        <v/>
      </c>
      <c r="R1482" s="29" t="str">
        <f t="shared" si="416"/>
        <v/>
      </c>
      <c r="S1482" s="29" t="str">
        <f t="shared" si="417"/>
        <v/>
      </c>
      <c r="T1482" s="32" t="str">
        <f t="shared" si="418"/>
        <v/>
      </c>
      <c r="U1482" s="32" t="str">
        <f t="shared" si="421"/>
        <v/>
      </c>
      <c r="V1482" s="32">
        <f t="shared" si="422"/>
        <v>1</v>
      </c>
      <c r="W1482" s="41">
        <f t="shared" si="419"/>
        <v>3.0430718509123738</v>
      </c>
      <c r="X1482" s="6">
        <f t="shared" si="420"/>
        <v>0</v>
      </c>
      <c r="Y1482" s="7">
        <f t="shared" si="423"/>
        <v>567</v>
      </c>
      <c r="AA1482" s="7">
        <f t="shared" si="424"/>
        <v>0</v>
      </c>
      <c r="AB1482" s="7" t="str">
        <f t="shared" si="425"/>
        <v/>
      </c>
      <c r="AC1482" s="7">
        <f t="shared" si="426"/>
        <v>0</v>
      </c>
      <c r="AD1482" s="7" t="str">
        <f t="shared" si="427"/>
        <v/>
      </c>
      <c r="AE1482" s="6">
        <f t="shared" si="428"/>
        <v>0</v>
      </c>
      <c r="AF1482" s="69">
        <f t="shared" si="429"/>
        <v>3.0430718509123738</v>
      </c>
      <c r="AG1482" s="6">
        <f t="shared" si="430"/>
        <v>0</v>
      </c>
      <c r="AH1482" s="6">
        <f t="shared" si="431"/>
        <v>604</v>
      </c>
    </row>
    <row r="1483" spans="8:34" x14ac:dyDescent="0.25">
      <c r="H1483" s="7">
        <v>1490</v>
      </c>
      <c r="I1483" s="7" t="s">
        <v>11</v>
      </c>
      <c r="J1483" s="8">
        <v>38232</v>
      </c>
      <c r="K1483" s="12" t="s">
        <v>18</v>
      </c>
      <c r="L1483" s="9">
        <v>79</v>
      </c>
      <c r="M1483" s="10">
        <v>239.15028034352162</v>
      </c>
      <c r="N1483" s="7" t="s">
        <v>23</v>
      </c>
      <c r="P1483" s="29" t="str">
        <f t="shared" si="414"/>
        <v/>
      </c>
      <c r="Q1483" s="29" t="str">
        <f t="shared" si="415"/>
        <v/>
      </c>
      <c r="R1483" s="29">
        <f t="shared" si="416"/>
        <v>1</v>
      </c>
      <c r="S1483" s="29" t="str">
        <f t="shared" si="417"/>
        <v/>
      </c>
      <c r="T1483" s="32" t="str">
        <f t="shared" si="418"/>
        <v/>
      </c>
      <c r="U1483" s="32" t="str">
        <f t="shared" si="421"/>
        <v/>
      </c>
      <c r="V1483" s="32" t="str">
        <f t="shared" si="422"/>
        <v/>
      </c>
      <c r="W1483" s="41">
        <f t="shared" si="419"/>
        <v>3.02721873852559</v>
      </c>
      <c r="X1483" s="6">
        <f t="shared" si="420"/>
        <v>0</v>
      </c>
      <c r="Y1483" s="7">
        <f t="shared" si="423"/>
        <v>567</v>
      </c>
      <c r="AA1483" s="7">
        <f t="shared" si="424"/>
        <v>0</v>
      </c>
      <c r="AB1483" s="7" t="str">
        <f t="shared" si="425"/>
        <v/>
      </c>
      <c r="AC1483" s="7">
        <f t="shared" si="426"/>
        <v>0</v>
      </c>
      <c r="AD1483" s="7" t="str">
        <f t="shared" si="427"/>
        <v/>
      </c>
      <c r="AE1483" s="6">
        <f t="shared" si="428"/>
        <v>0</v>
      </c>
      <c r="AF1483" s="69">
        <f t="shared" si="429"/>
        <v>3.02721873852559</v>
      </c>
      <c r="AG1483" s="6">
        <f t="shared" si="430"/>
        <v>239.15028034352162</v>
      </c>
      <c r="AH1483" s="6">
        <f t="shared" si="431"/>
        <v>96</v>
      </c>
    </row>
    <row r="1484" spans="8:34" x14ac:dyDescent="0.25">
      <c r="H1484" s="7">
        <v>1491</v>
      </c>
      <c r="I1484" s="7" t="s">
        <v>9</v>
      </c>
      <c r="J1484" s="8">
        <v>38551</v>
      </c>
      <c r="K1484" s="12" t="s">
        <v>18</v>
      </c>
      <c r="L1484" s="9">
        <v>93</v>
      </c>
      <c r="M1484" s="10">
        <v>281.34133684394243</v>
      </c>
      <c r="N1484" s="7" t="s">
        <v>21</v>
      </c>
      <c r="P1484" s="29" t="str">
        <f t="shared" si="414"/>
        <v/>
      </c>
      <c r="Q1484" s="29" t="str">
        <f t="shared" si="415"/>
        <v/>
      </c>
      <c r="R1484" s="29" t="str">
        <f t="shared" si="416"/>
        <v/>
      </c>
      <c r="S1484" s="29" t="str">
        <f t="shared" si="417"/>
        <v/>
      </c>
      <c r="T1484" s="32" t="str">
        <f t="shared" si="418"/>
        <v/>
      </c>
      <c r="U1484" s="32">
        <f t="shared" si="421"/>
        <v>1</v>
      </c>
      <c r="V1484" s="32" t="str">
        <f t="shared" si="422"/>
        <v/>
      </c>
      <c r="W1484" s="41">
        <f t="shared" si="419"/>
        <v>3.0251756649886281</v>
      </c>
      <c r="X1484" s="6">
        <f t="shared" si="420"/>
        <v>281.34133684394243</v>
      </c>
      <c r="Y1484" s="7">
        <f t="shared" si="423"/>
        <v>17</v>
      </c>
      <c r="AA1484" s="7">
        <f t="shared" si="424"/>
        <v>1</v>
      </c>
      <c r="AB1484" s="7">
        <f t="shared" si="425"/>
        <v>93</v>
      </c>
      <c r="AC1484" s="7">
        <f t="shared" si="426"/>
        <v>0</v>
      </c>
      <c r="AD1484" s="7" t="str">
        <f t="shared" si="427"/>
        <v/>
      </c>
      <c r="AE1484" s="6">
        <f t="shared" si="428"/>
        <v>0</v>
      </c>
      <c r="AF1484" s="69">
        <f t="shared" si="429"/>
        <v>3.0251756649886281</v>
      </c>
      <c r="AG1484" s="6">
        <f t="shared" si="430"/>
        <v>0</v>
      </c>
      <c r="AH1484" s="6">
        <f t="shared" si="431"/>
        <v>604</v>
      </c>
    </row>
    <row r="1485" spans="8:34" x14ac:dyDescent="0.25">
      <c r="H1485" s="7">
        <v>1492</v>
      </c>
      <c r="I1485" s="7" t="s">
        <v>11</v>
      </c>
      <c r="J1485" s="8">
        <v>38342</v>
      </c>
      <c r="K1485" s="12" t="s">
        <v>18</v>
      </c>
      <c r="L1485" s="9">
        <v>67</v>
      </c>
      <c r="M1485" s="10">
        <v>202.43601829550036</v>
      </c>
      <c r="N1485" s="7" t="s">
        <v>23</v>
      </c>
      <c r="P1485" s="29" t="str">
        <f t="shared" si="414"/>
        <v/>
      </c>
      <c r="Q1485" s="29" t="str">
        <f t="shared" si="415"/>
        <v/>
      </c>
      <c r="R1485" s="29" t="str">
        <f t="shared" si="416"/>
        <v/>
      </c>
      <c r="S1485" s="29">
        <f t="shared" si="417"/>
        <v>1</v>
      </c>
      <c r="T1485" s="32" t="str">
        <f t="shared" si="418"/>
        <v/>
      </c>
      <c r="U1485" s="32" t="str">
        <f t="shared" si="421"/>
        <v/>
      </c>
      <c r="V1485" s="32" t="str">
        <f t="shared" si="422"/>
        <v/>
      </c>
      <c r="W1485" s="41">
        <f t="shared" si="419"/>
        <v>3.0214331088880653</v>
      </c>
      <c r="X1485" s="6">
        <f t="shared" si="420"/>
        <v>0</v>
      </c>
      <c r="Y1485" s="7">
        <f t="shared" si="423"/>
        <v>567</v>
      </c>
      <c r="AA1485" s="7">
        <f t="shared" si="424"/>
        <v>0</v>
      </c>
      <c r="AB1485" s="7" t="str">
        <f t="shared" si="425"/>
        <v/>
      </c>
      <c r="AC1485" s="7">
        <f t="shared" si="426"/>
        <v>0</v>
      </c>
      <c r="AD1485" s="7" t="str">
        <f t="shared" si="427"/>
        <v/>
      </c>
      <c r="AE1485" s="6">
        <f t="shared" si="428"/>
        <v>0</v>
      </c>
      <c r="AF1485" s="69">
        <f t="shared" si="429"/>
        <v>3.0214331088880653</v>
      </c>
      <c r="AG1485" s="6">
        <f t="shared" si="430"/>
        <v>202.43601829550036</v>
      </c>
      <c r="AH1485" s="6">
        <f t="shared" si="431"/>
        <v>172</v>
      </c>
    </row>
    <row r="1486" spans="8:34" x14ac:dyDescent="0.25">
      <c r="H1486" s="7">
        <v>1493</v>
      </c>
      <c r="I1486" s="7" t="s">
        <v>7</v>
      </c>
      <c r="J1486" s="8">
        <v>38859</v>
      </c>
      <c r="K1486" s="12" t="s">
        <v>18</v>
      </c>
      <c r="L1486" s="9">
        <v>13</v>
      </c>
      <c r="M1486" s="10">
        <v>41.318769528122459</v>
      </c>
      <c r="N1486" s="7" t="s">
        <v>24</v>
      </c>
      <c r="P1486" s="29" t="str">
        <f t="shared" si="414"/>
        <v/>
      </c>
      <c r="Q1486" s="29" t="str">
        <f t="shared" si="415"/>
        <v/>
      </c>
      <c r="R1486" s="29" t="str">
        <f t="shared" si="416"/>
        <v/>
      </c>
      <c r="S1486" s="29" t="str">
        <f t="shared" si="417"/>
        <v/>
      </c>
      <c r="T1486" s="32" t="str">
        <f t="shared" si="418"/>
        <v/>
      </c>
      <c r="U1486" s="32" t="str">
        <f t="shared" si="421"/>
        <v/>
      </c>
      <c r="V1486" s="32">
        <f t="shared" si="422"/>
        <v>1</v>
      </c>
      <c r="W1486" s="41">
        <f t="shared" si="419"/>
        <v>3.1783668867786505</v>
      </c>
      <c r="X1486" s="6">
        <f t="shared" si="420"/>
        <v>0</v>
      </c>
      <c r="Y1486" s="7">
        <f t="shared" si="423"/>
        <v>567</v>
      </c>
      <c r="AA1486" s="7">
        <f t="shared" si="424"/>
        <v>0</v>
      </c>
      <c r="AB1486" s="7" t="str">
        <f t="shared" si="425"/>
        <v/>
      </c>
      <c r="AC1486" s="7">
        <f t="shared" si="426"/>
        <v>0</v>
      </c>
      <c r="AD1486" s="7" t="str">
        <f t="shared" si="427"/>
        <v/>
      </c>
      <c r="AE1486" s="6">
        <f t="shared" si="428"/>
        <v>0</v>
      </c>
      <c r="AF1486" s="69">
        <f t="shared" si="429"/>
        <v>3.1783668867786505</v>
      </c>
      <c r="AG1486" s="6">
        <f t="shared" si="430"/>
        <v>0</v>
      </c>
      <c r="AH1486" s="6">
        <f t="shared" si="431"/>
        <v>604</v>
      </c>
    </row>
    <row r="1487" spans="8:34" x14ac:dyDescent="0.25">
      <c r="H1487" s="7">
        <v>1494</v>
      </c>
      <c r="I1487" s="7" t="s">
        <v>9</v>
      </c>
      <c r="J1487" s="8">
        <v>38639</v>
      </c>
      <c r="K1487" s="12" t="s">
        <v>17</v>
      </c>
      <c r="L1487" s="9">
        <v>71</v>
      </c>
      <c r="M1487" s="10">
        <v>215.36222588622564</v>
      </c>
      <c r="N1487" s="7" t="s">
        <v>23</v>
      </c>
      <c r="P1487" s="29" t="str">
        <f t="shared" si="414"/>
        <v/>
      </c>
      <c r="Q1487" s="29" t="str">
        <f t="shared" si="415"/>
        <v/>
      </c>
      <c r="R1487" s="29" t="str">
        <f t="shared" si="416"/>
        <v/>
      </c>
      <c r="S1487" s="29" t="str">
        <f t="shared" si="417"/>
        <v/>
      </c>
      <c r="T1487" s="32">
        <f t="shared" si="418"/>
        <v>1</v>
      </c>
      <c r="U1487" s="32">
        <f t="shared" si="421"/>
        <v>1</v>
      </c>
      <c r="V1487" s="32" t="str">
        <f t="shared" si="422"/>
        <v/>
      </c>
      <c r="W1487" s="41">
        <f t="shared" si="419"/>
        <v>3.0332707871299385</v>
      </c>
      <c r="X1487" s="6">
        <f t="shared" si="420"/>
        <v>215.36222588622564</v>
      </c>
      <c r="Y1487" s="7">
        <f t="shared" si="423"/>
        <v>148</v>
      </c>
      <c r="AA1487" s="7">
        <f t="shared" si="424"/>
        <v>0</v>
      </c>
      <c r="AB1487" s="7" t="str">
        <f t="shared" si="425"/>
        <v/>
      </c>
      <c r="AC1487" s="7">
        <f t="shared" si="426"/>
        <v>1</v>
      </c>
      <c r="AD1487" s="7">
        <f t="shared" si="427"/>
        <v>71</v>
      </c>
      <c r="AE1487" s="6">
        <f t="shared" si="428"/>
        <v>0</v>
      </c>
      <c r="AF1487" s="69">
        <f t="shared" si="429"/>
        <v>3.0332707871299385</v>
      </c>
      <c r="AG1487" s="6">
        <f t="shared" si="430"/>
        <v>0</v>
      </c>
      <c r="AH1487" s="6">
        <f t="shared" si="431"/>
        <v>604</v>
      </c>
    </row>
    <row r="1488" spans="8:34" x14ac:dyDescent="0.25">
      <c r="H1488" s="7">
        <v>1495</v>
      </c>
      <c r="I1488" s="7" t="s">
        <v>7</v>
      </c>
      <c r="J1488" s="8">
        <v>39013</v>
      </c>
      <c r="K1488" s="12" t="s">
        <v>18</v>
      </c>
      <c r="L1488" s="9">
        <v>15</v>
      </c>
      <c r="M1488" s="10">
        <v>46.386549546936031</v>
      </c>
      <c r="N1488" s="7" t="s">
        <v>23</v>
      </c>
      <c r="P1488" s="29" t="str">
        <f t="shared" si="414"/>
        <v/>
      </c>
      <c r="Q1488" s="29" t="str">
        <f t="shared" si="415"/>
        <v/>
      </c>
      <c r="R1488" s="29" t="str">
        <f t="shared" si="416"/>
        <v/>
      </c>
      <c r="S1488" s="29" t="str">
        <f t="shared" si="417"/>
        <v/>
      </c>
      <c r="T1488" s="32" t="str">
        <f t="shared" si="418"/>
        <v/>
      </c>
      <c r="U1488" s="32" t="str">
        <f t="shared" si="421"/>
        <v/>
      </c>
      <c r="V1488" s="32">
        <f t="shared" si="422"/>
        <v>1</v>
      </c>
      <c r="W1488" s="41">
        <f t="shared" si="419"/>
        <v>3.0924366364624021</v>
      </c>
      <c r="X1488" s="6">
        <f t="shared" si="420"/>
        <v>0</v>
      </c>
      <c r="Y1488" s="7">
        <f t="shared" si="423"/>
        <v>567</v>
      </c>
      <c r="AA1488" s="7">
        <f t="shared" si="424"/>
        <v>0</v>
      </c>
      <c r="AB1488" s="7" t="str">
        <f t="shared" si="425"/>
        <v/>
      </c>
      <c r="AC1488" s="7">
        <f t="shared" si="426"/>
        <v>0</v>
      </c>
      <c r="AD1488" s="7" t="str">
        <f t="shared" si="427"/>
        <v/>
      </c>
      <c r="AE1488" s="6">
        <f t="shared" si="428"/>
        <v>0</v>
      </c>
      <c r="AF1488" s="69">
        <f t="shared" si="429"/>
        <v>3.0924366364624021</v>
      </c>
      <c r="AG1488" s="6">
        <f t="shared" si="430"/>
        <v>0</v>
      </c>
      <c r="AH1488" s="6">
        <f t="shared" si="431"/>
        <v>604</v>
      </c>
    </row>
    <row r="1489" spans="8:34" x14ac:dyDescent="0.25">
      <c r="H1489" s="7">
        <v>1496</v>
      </c>
      <c r="I1489" s="7" t="s">
        <v>10</v>
      </c>
      <c r="J1489" s="8">
        <v>38606</v>
      </c>
      <c r="K1489" s="12" t="s">
        <v>16</v>
      </c>
      <c r="L1489" s="9">
        <v>89</v>
      </c>
      <c r="M1489" s="10">
        <v>269.12365453676284</v>
      </c>
      <c r="N1489" s="7" t="s">
        <v>21</v>
      </c>
      <c r="P1489" s="29" t="str">
        <f t="shared" si="414"/>
        <v/>
      </c>
      <c r="Q1489" s="29" t="str">
        <f t="shared" si="415"/>
        <v/>
      </c>
      <c r="R1489" s="29" t="str">
        <f t="shared" si="416"/>
        <v/>
      </c>
      <c r="S1489" s="29" t="str">
        <f t="shared" si="417"/>
        <v/>
      </c>
      <c r="T1489" s="32" t="str">
        <f t="shared" si="418"/>
        <v/>
      </c>
      <c r="U1489" s="32">
        <f t="shared" si="421"/>
        <v>1</v>
      </c>
      <c r="V1489" s="32" t="str">
        <f t="shared" si="422"/>
        <v/>
      </c>
      <c r="W1489" s="41">
        <f t="shared" si="419"/>
        <v>3.0238612869299195</v>
      </c>
      <c r="X1489" s="6">
        <f t="shared" si="420"/>
        <v>269.12365453676284</v>
      </c>
      <c r="Y1489" s="7">
        <f t="shared" si="423"/>
        <v>46</v>
      </c>
      <c r="AA1489" s="7">
        <f t="shared" si="424"/>
        <v>1</v>
      </c>
      <c r="AB1489" s="7">
        <f t="shared" si="425"/>
        <v>89</v>
      </c>
      <c r="AC1489" s="7">
        <f t="shared" si="426"/>
        <v>0</v>
      </c>
      <c r="AD1489" s="7" t="str">
        <f t="shared" si="427"/>
        <v/>
      </c>
      <c r="AE1489" s="6">
        <f t="shared" si="428"/>
        <v>0</v>
      </c>
      <c r="AF1489" s="69">
        <f t="shared" si="429"/>
        <v>3.0238612869299195</v>
      </c>
      <c r="AG1489" s="6">
        <f t="shared" si="430"/>
        <v>0</v>
      </c>
      <c r="AH1489" s="6">
        <f t="shared" si="431"/>
        <v>604</v>
      </c>
    </row>
    <row r="1490" spans="8:34" x14ac:dyDescent="0.25">
      <c r="H1490" s="7">
        <v>1497</v>
      </c>
      <c r="I1490" s="7" t="s">
        <v>10</v>
      </c>
      <c r="J1490" s="8">
        <v>38650</v>
      </c>
      <c r="K1490" s="12" t="s">
        <v>20</v>
      </c>
      <c r="L1490" s="9">
        <v>65</v>
      </c>
      <c r="M1490" s="10">
        <v>197.49619907968821</v>
      </c>
      <c r="N1490" s="7" t="s">
        <v>22</v>
      </c>
      <c r="P1490" s="29" t="str">
        <f t="shared" si="414"/>
        <v/>
      </c>
      <c r="Q1490" s="29" t="str">
        <f t="shared" si="415"/>
        <v/>
      </c>
      <c r="R1490" s="29" t="str">
        <f t="shared" si="416"/>
        <v/>
      </c>
      <c r="S1490" s="29" t="str">
        <f t="shared" si="417"/>
        <v/>
      </c>
      <c r="T1490" s="32">
        <f t="shared" si="418"/>
        <v>1</v>
      </c>
      <c r="U1490" s="32">
        <f t="shared" si="421"/>
        <v>1</v>
      </c>
      <c r="V1490" s="32" t="str">
        <f t="shared" si="422"/>
        <v/>
      </c>
      <c r="W1490" s="41">
        <f t="shared" si="419"/>
        <v>3.0384030627644338</v>
      </c>
      <c r="X1490" s="6">
        <f t="shared" si="420"/>
        <v>197.49619907968821</v>
      </c>
      <c r="Y1490" s="7">
        <f t="shared" si="423"/>
        <v>181</v>
      </c>
      <c r="AA1490" s="7">
        <f t="shared" si="424"/>
        <v>0</v>
      </c>
      <c r="AB1490" s="7" t="str">
        <f t="shared" si="425"/>
        <v/>
      </c>
      <c r="AC1490" s="7">
        <f t="shared" si="426"/>
        <v>1</v>
      </c>
      <c r="AD1490" s="7">
        <f t="shared" si="427"/>
        <v>65</v>
      </c>
      <c r="AE1490" s="6">
        <f t="shared" si="428"/>
        <v>0</v>
      </c>
      <c r="AF1490" s="69">
        <f t="shared" si="429"/>
        <v>3.0384030627644338</v>
      </c>
      <c r="AG1490" s="6">
        <f t="shared" si="430"/>
        <v>0</v>
      </c>
      <c r="AH1490" s="6">
        <f t="shared" si="431"/>
        <v>604</v>
      </c>
    </row>
    <row r="1491" spans="8:34" x14ac:dyDescent="0.25">
      <c r="H1491" s="7">
        <v>1498</v>
      </c>
      <c r="I1491" s="7" t="s">
        <v>10</v>
      </c>
      <c r="J1491" s="8">
        <v>38342</v>
      </c>
      <c r="K1491" s="12" t="s">
        <v>16</v>
      </c>
      <c r="L1491" s="9">
        <v>16</v>
      </c>
      <c r="M1491" s="10">
        <v>49.977621498939477</v>
      </c>
      <c r="N1491" s="7" t="s">
        <v>22</v>
      </c>
      <c r="P1491" s="29" t="str">
        <f t="shared" si="414"/>
        <v/>
      </c>
      <c r="Q1491" s="29" t="str">
        <f t="shared" si="415"/>
        <v/>
      </c>
      <c r="R1491" s="29" t="str">
        <f t="shared" si="416"/>
        <v/>
      </c>
      <c r="S1491" s="29">
        <f t="shared" si="417"/>
        <v>1</v>
      </c>
      <c r="T1491" s="32" t="str">
        <f t="shared" si="418"/>
        <v/>
      </c>
      <c r="U1491" s="32" t="str">
        <f t="shared" si="421"/>
        <v/>
      </c>
      <c r="V1491" s="32" t="str">
        <f t="shared" si="422"/>
        <v/>
      </c>
      <c r="W1491" s="41">
        <f t="shared" si="419"/>
        <v>3.1236013436837173</v>
      </c>
      <c r="X1491" s="6">
        <f t="shared" si="420"/>
        <v>0</v>
      </c>
      <c r="Y1491" s="7">
        <f t="shared" si="423"/>
        <v>567</v>
      </c>
      <c r="AA1491" s="7">
        <f t="shared" si="424"/>
        <v>0</v>
      </c>
      <c r="AB1491" s="7" t="str">
        <f t="shared" si="425"/>
        <v/>
      </c>
      <c r="AC1491" s="7">
        <f t="shared" si="426"/>
        <v>0</v>
      </c>
      <c r="AD1491" s="7" t="str">
        <f t="shared" si="427"/>
        <v/>
      </c>
      <c r="AE1491" s="6">
        <f t="shared" si="428"/>
        <v>0</v>
      </c>
      <c r="AF1491" s="69">
        <f t="shared" si="429"/>
        <v>3.1236013436837173</v>
      </c>
      <c r="AG1491" s="6">
        <f t="shared" si="430"/>
        <v>49.977621498939477</v>
      </c>
      <c r="AH1491" s="6">
        <f t="shared" si="431"/>
        <v>480</v>
      </c>
    </row>
    <row r="1492" spans="8:34" x14ac:dyDescent="0.25">
      <c r="H1492" s="7">
        <v>1499</v>
      </c>
      <c r="I1492" s="7" t="s">
        <v>7</v>
      </c>
      <c r="J1492" s="8">
        <v>38870</v>
      </c>
      <c r="K1492" s="12" t="s">
        <v>17</v>
      </c>
      <c r="L1492" s="9">
        <v>48</v>
      </c>
      <c r="M1492" s="10">
        <v>146.12940219412363</v>
      </c>
      <c r="N1492" s="7" t="s">
        <v>24</v>
      </c>
      <c r="P1492" s="29" t="str">
        <f t="shared" si="414"/>
        <v/>
      </c>
      <c r="Q1492" s="29" t="str">
        <f t="shared" si="415"/>
        <v/>
      </c>
      <c r="R1492" s="29" t="str">
        <f t="shared" si="416"/>
        <v/>
      </c>
      <c r="S1492" s="29" t="str">
        <f t="shared" si="417"/>
        <v/>
      </c>
      <c r="T1492" s="32" t="str">
        <f t="shared" si="418"/>
        <v/>
      </c>
      <c r="U1492" s="32" t="str">
        <f t="shared" si="421"/>
        <v/>
      </c>
      <c r="V1492" s="32">
        <f t="shared" si="422"/>
        <v>1</v>
      </c>
      <c r="W1492" s="41">
        <f t="shared" si="419"/>
        <v>3.0443625457109089</v>
      </c>
      <c r="X1492" s="6">
        <f t="shared" si="420"/>
        <v>0</v>
      </c>
      <c r="Y1492" s="7">
        <f t="shared" si="423"/>
        <v>567</v>
      </c>
      <c r="AA1492" s="7">
        <f t="shared" si="424"/>
        <v>0</v>
      </c>
      <c r="AB1492" s="7" t="str">
        <f t="shared" si="425"/>
        <v/>
      </c>
      <c r="AC1492" s="7">
        <f t="shared" si="426"/>
        <v>0</v>
      </c>
      <c r="AD1492" s="7" t="str">
        <f t="shared" si="427"/>
        <v/>
      </c>
      <c r="AE1492" s="6">
        <f t="shared" si="428"/>
        <v>0</v>
      </c>
      <c r="AF1492" s="69">
        <f t="shared" si="429"/>
        <v>3.0443625457109089</v>
      </c>
      <c r="AG1492" s="6">
        <f t="shared" si="430"/>
        <v>0</v>
      </c>
      <c r="AH1492" s="6">
        <f t="shared" si="431"/>
        <v>604</v>
      </c>
    </row>
    <row r="1493" spans="8:34" x14ac:dyDescent="0.25">
      <c r="H1493" s="7">
        <v>1500</v>
      </c>
      <c r="I1493" s="7" t="s">
        <v>8</v>
      </c>
      <c r="J1493" s="8">
        <v>38595</v>
      </c>
      <c r="K1493" s="12" t="s">
        <v>16</v>
      </c>
      <c r="L1493" s="9">
        <v>78</v>
      </c>
      <c r="M1493" s="10">
        <v>235.9430418370726</v>
      </c>
      <c r="N1493" s="7" t="s">
        <v>22</v>
      </c>
      <c r="P1493" s="29" t="str">
        <f t="shared" si="414"/>
        <v/>
      </c>
      <c r="Q1493" s="29" t="str">
        <f t="shared" si="415"/>
        <v/>
      </c>
      <c r="R1493" s="29" t="str">
        <f t="shared" si="416"/>
        <v/>
      </c>
      <c r="S1493" s="29" t="str">
        <f t="shared" si="417"/>
        <v/>
      </c>
      <c r="T1493" s="32" t="str">
        <f t="shared" si="418"/>
        <v/>
      </c>
      <c r="U1493" s="32">
        <f t="shared" si="421"/>
        <v>1</v>
      </c>
      <c r="V1493" s="32" t="str">
        <f t="shared" si="422"/>
        <v/>
      </c>
      <c r="W1493" s="41">
        <f t="shared" si="419"/>
        <v>3.0249107927829821</v>
      </c>
      <c r="X1493" s="6">
        <f t="shared" si="420"/>
        <v>235.9430418370726</v>
      </c>
      <c r="Y1493" s="7">
        <f t="shared" si="423"/>
        <v>113</v>
      </c>
      <c r="AA1493" s="7">
        <f t="shared" si="424"/>
        <v>1</v>
      </c>
      <c r="AB1493" s="7">
        <f t="shared" si="425"/>
        <v>78</v>
      </c>
      <c r="AC1493" s="7">
        <f t="shared" si="426"/>
        <v>0</v>
      </c>
      <c r="AD1493" s="7" t="str">
        <f t="shared" si="427"/>
        <v/>
      </c>
      <c r="AE1493" s="6">
        <f t="shared" si="428"/>
        <v>0</v>
      </c>
      <c r="AF1493" s="69">
        <f t="shared" si="429"/>
        <v>3.0249107927829821</v>
      </c>
      <c r="AG1493" s="6">
        <f t="shared" si="430"/>
        <v>0</v>
      </c>
      <c r="AH1493" s="6">
        <f t="shared" si="431"/>
        <v>604</v>
      </c>
    </row>
    <row r="1494" spans="8:34" x14ac:dyDescent="0.25">
      <c r="H1494" s="7">
        <v>1501</v>
      </c>
      <c r="I1494" s="7" t="s">
        <v>15</v>
      </c>
      <c r="J1494" s="8">
        <v>38012</v>
      </c>
      <c r="K1494" s="12" t="s">
        <v>17</v>
      </c>
      <c r="L1494" s="9">
        <v>5</v>
      </c>
      <c r="M1494" s="10">
        <v>17.19135783501677</v>
      </c>
      <c r="N1494" s="7" t="s">
        <v>23</v>
      </c>
      <c r="P1494" s="29">
        <f t="shared" si="414"/>
        <v>1</v>
      </c>
      <c r="Q1494" s="29" t="str">
        <f t="shared" si="415"/>
        <v/>
      </c>
      <c r="R1494" s="29" t="str">
        <f t="shared" si="416"/>
        <v/>
      </c>
      <c r="S1494" s="29" t="str">
        <f t="shared" si="417"/>
        <v/>
      </c>
      <c r="T1494" s="32" t="str">
        <f t="shared" si="418"/>
        <v/>
      </c>
      <c r="U1494" s="32" t="str">
        <f t="shared" si="421"/>
        <v/>
      </c>
      <c r="V1494" s="32" t="str">
        <f t="shared" si="422"/>
        <v/>
      </c>
      <c r="W1494" s="41">
        <f t="shared" si="419"/>
        <v>3.4382715670033539</v>
      </c>
      <c r="X1494" s="6">
        <f t="shared" si="420"/>
        <v>0</v>
      </c>
      <c r="Y1494" s="7">
        <f t="shared" si="423"/>
        <v>567</v>
      </c>
      <c r="AA1494" s="7">
        <f t="shared" si="424"/>
        <v>0</v>
      </c>
      <c r="AB1494" s="7" t="str">
        <f t="shared" si="425"/>
        <v/>
      </c>
      <c r="AC1494" s="7">
        <f t="shared" si="426"/>
        <v>0</v>
      </c>
      <c r="AD1494" s="7" t="str">
        <f t="shared" si="427"/>
        <v/>
      </c>
      <c r="AE1494" s="6">
        <f t="shared" si="428"/>
        <v>0</v>
      </c>
      <c r="AF1494" s="69">
        <f t="shared" si="429"/>
        <v>3.4382715670033539</v>
      </c>
      <c r="AG1494" s="6">
        <f t="shared" si="430"/>
        <v>17.19135783501677</v>
      </c>
      <c r="AH1494" s="6">
        <f t="shared" si="431"/>
        <v>569</v>
      </c>
    </row>
    <row r="1495" spans="8:34" x14ac:dyDescent="0.25">
      <c r="H1495" s="7">
        <v>1502</v>
      </c>
      <c r="I1495" s="7" t="s">
        <v>13</v>
      </c>
      <c r="J1495" s="8">
        <v>38727</v>
      </c>
      <c r="K1495" s="12" t="s">
        <v>17</v>
      </c>
      <c r="L1495" s="9">
        <v>33</v>
      </c>
      <c r="M1495" s="10">
        <v>101.70689339051272</v>
      </c>
      <c r="N1495" s="7" t="s">
        <v>23</v>
      </c>
      <c r="P1495" s="29" t="str">
        <f t="shared" si="414"/>
        <v/>
      </c>
      <c r="Q1495" s="29" t="str">
        <f t="shared" si="415"/>
        <v/>
      </c>
      <c r="R1495" s="29" t="str">
        <f t="shared" si="416"/>
        <v/>
      </c>
      <c r="S1495" s="29" t="str">
        <f t="shared" si="417"/>
        <v/>
      </c>
      <c r="T1495" s="32" t="str">
        <f t="shared" si="418"/>
        <v/>
      </c>
      <c r="U1495" s="32" t="str">
        <f t="shared" si="421"/>
        <v/>
      </c>
      <c r="V1495" s="32">
        <f t="shared" si="422"/>
        <v>1</v>
      </c>
      <c r="W1495" s="41">
        <f t="shared" si="419"/>
        <v>3.0820270724397791</v>
      </c>
      <c r="X1495" s="6">
        <f t="shared" si="420"/>
        <v>0</v>
      </c>
      <c r="Y1495" s="7">
        <f t="shared" si="423"/>
        <v>567</v>
      </c>
      <c r="AA1495" s="7">
        <f t="shared" si="424"/>
        <v>0</v>
      </c>
      <c r="AB1495" s="7" t="str">
        <f t="shared" si="425"/>
        <v/>
      </c>
      <c r="AC1495" s="7">
        <f t="shared" si="426"/>
        <v>0</v>
      </c>
      <c r="AD1495" s="7" t="str">
        <f t="shared" si="427"/>
        <v/>
      </c>
      <c r="AE1495" s="6">
        <f t="shared" si="428"/>
        <v>0</v>
      </c>
      <c r="AF1495" s="69">
        <f t="shared" si="429"/>
        <v>3.0820270724397791</v>
      </c>
      <c r="AG1495" s="6">
        <f t="shared" si="430"/>
        <v>0</v>
      </c>
      <c r="AH1495" s="6">
        <f t="shared" si="431"/>
        <v>604</v>
      </c>
    </row>
    <row r="1496" spans="8:34" x14ac:dyDescent="0.25">
      <c r="H1496" s="7">
        <v>1503</v>
      </c>
      <c r="I1496" s="7" t="s">
        <v>9</v>
      </c>
      <c r="J1496" s="8">
        <v>38804</v>
      </c>
      <c r="K1496" s="12" t="s">
        <v>18</v>
      </c>
      <c r="L1496" s="9">
        <v>73</v>
      </c>
      <c r="M1496" s="10">
        <v>220.6254493831498</v>
      </c>
      <c r="N1496" s="7" t="s">
        <v>22</v>
      </c>
      <c r="P1496" s="29" t="str">
        <f t="shared" si="414"/>
        <v/>
      </c>
      <c r="Q1496" s="29" t="str">
        <f t="shared" si="415"/>
        <v/>
      </c>
      <c r="R1496" s="29" t="str">
        <f t="shared" si="416"/>
        <v/>
      </c>
      <c r="S1496" s="29" t="str">
        <f t="shared" si="417"/>
        <v/>
      </c>
      <c r="T1496" s="32" t="str">
        <f t="shared" si="418"/>
        <v/>
      </c>
      <c r="U1496" s="32" t="str">
        <f t="shared" si="421"/>
        <v/>
      </c>
      <c r="V1496" s="32">
        <f t="shared" si="422"/>
        <v>1</v>
      </c>
      <c r="W1496" s="41">
        <f t="shared" si="419"/>
        <v>3.0222664299061615</v>
      </c>
      <c r="X1496" s="6">
        <f t="shared" si="420"/>
        <v>0</v>
      </c>
      <c r="Y1496" s="7">
        <f t="shared" si="423"/>
        <v>567</v>
      </c>
      <c r="AA1496" s="7">
        <f t="shared" si="424"/>
        <v>0</v>
      </c>
      <c r="AB1496" s="7" t="str">
        <f t="shared" si="425"/>
        <v/>
      </c>
      <c r="AC1496" s="7">
        <f t="shared" si="426"/>
        <v>0</v>
      </c>
      <c r="AD1496" s="7" t="str">
        <f t="shared" si="427"/>
        <v/>
      </c>
      <c r="AE1496" s="6">
        <f t="shared" si="428"/>
        <v>0</v>
      </c>
      <c r="AF1496" s="69">
        <f t="shared" si="429"/>
        <v>3.0222664299061615</v>
      </c>
      <c r="AG1496" s="6">
        <f t="shared" si="430"/>
        <v>0</v>
      </c>
      <c r="AH1496" s="6">
        <f t="shared" si="431"/>
        <v>604</v>
      </c>
    </row>
    <row r="1497" spans="8:34" x14ac:dyDescent="0.25">
      <c r="H1497" s="7">
        <v>1504</v>
      </c>
      <c r="I1497" s="7" t="s">
        <v>7</v>
      </c>
      <c r="J1497" s="8">
        <v>38188</v>
      </c>
      <c r="K1497" s="12" t="s">
        <v>20</v>
      </c>
      <c r="L1497" s="9">
        <v>93</v>
      </c>
      <c r="M1497" s="10">
        <v>280.86225864864616</v>
      </c>
      <c r="N1497" s="7" t="s">
        <v>21</v>
      </c>
      <c r="P1497" s="29" t="str">
        <f t="shared" si="414"/>
        <v/>
      </c>
      <c r="Q1497" s="29" t="str">
        <f t="shared" si="415"/>
        <v/>
      </c>
      <c r="R1497" s="29">
        <f t="shared" si="416"/>
        <v>1</v>
      </c>
      <c r="S1497" s="29" t="str">
        <f t="shared" si="417"/>
        <v/>
      </c>
      <c r="T1497" s="32" t="str">
        <f t="shared" si="418"/>
        <v/>
      </c>
      <c r="U1497" s="32" t="str">
        <f t="shared" si="421"/>
        <v/>
      </c>
      <c r="V1497" s="32" t="str">
        <f t="shared" si="422"/>
        <v/>
      </c>
      <c r="W1497" s="41">
        <f t="shared" si="419"/>
        <v>3.0200242865445825</v>
      </c>
      <c r="X1497" s="6">
        <f t="shared" si="420"/>
        <v>0</v>
      </c>
      <c r="Y1497" s="7">
        <f t="shared" si="423"/>
        <v>567</v>
      </c>
      <c r="AA1497" s="7">
        <f t="shared" si="424"/>
        <v>0</v>
      </c>
      <c r="AB1497" s="7" t="str">
        <f t="shared" si="425"/>
        <v/>
      </c>
      <c r="AC1497" s="7">
        <f t="shared" si="426"/>
        <v>0</v>
      </c>
      <c r="AD1497" s="7" t="str">
        <f t="shared" si="427"/>
        <v/>
      </c>
      <c r="AE1497" s="6">
        <f t="shared" si="428"/>
        <v>0</v>
      </c>
      <c r="AF1497" s="69">
        <f t="shared" si="429"/>
        <v>3.0200242865445825</v>
      </c>
      <c r="AG1497" s="6">
        <f t="shared" si="430"/>
        <v>280.86225864864616</v>
      </c>
      <c r="AH1497" s="6">
        <f t="shared" si="431"/>
        <v>14</v>
      </c>
    </row>
    <row r="1498" spans="8:34" x14ac:dyDescent="0.25">
      <c r="H1498" s="7">
        <v>1505</v>
      </c>
      <c r="I1498" s="7" t="s">
        <v>7</v>
      </c>
      <c r="J1498" s="8">
        <v>38716</v>
      </c>
      <c r="K1498" s="12" t="s">
        <v>18</v>
      </c>
      <c r="L1498" s="9">
        <v>37</v>
      </c>
      <c r="M1498" s="10">
        <v>113.24236035613511</v>
      </c>
      <c r="N1498" s="7" t="s">
        <v>24</v>
      </c>
      <c r="P1498" s="29" t="str">
        <f t="shared" si="414"/>
        <v/>
      </c>
      <c r="Q1498" s="29" t="str">
        <f t="shared" si="415"/>
        <v/>
      </c>
      <c r="R1498" s="29" t="str">
        <f t="shared" si="416"/>
        <v/>
      </c>
      <c r="S1498" s="29" t="str">
        <f t="shared" si="417"/>
        <v/>
      </c>
      <c r="T1498" s="32">
        <f t="shared" si="418"/>
        <v>1</v>
      </c>
      <c r="U1498" s="32">
        <f t="shared" si="421"/>
        <v>1</v>
      </c>
      <c r="V1498" s="32" t="str">
        <f t="shared" si="422"/>
        <v/>
      </c>
      <c r="W1498" s="41">
        <f t="shared" si="419"/>
        <v>3.0606043339495974</v>
      </c>
      <c r="X1498" s="6">
        <f t="shared" si="420"/>
        <v>113.24236035613511</v>
      </c>
      <c r="Y1498" s="7">
        <f t="shared" si="423"/>
        <v>332</v>
      </c>
      <c r="AA1498" s="7">
        <f t="shared" si="424"/>
        <v>0</v>
      </c>
      <c r="AB1498" s="7" t="str">
        <f t="shared" si="425"/>
        <v/>
      </c>
      <c r="AC1498" s="7">
        <f t="shared" si="426"/>
        <v>1</v>
      </c>
      <c r="AD1498" s="7">
        <f t="shared" si="427"/>
        <v>37</v>
      </c>
      <c r="AE1498" s="6">
        <f t="shared" si="428"/>
        <v>0</v>
      </c>
      <c r="AF1498" s="69">
        <f t="shared" si="429"/>
        <v>3.0606043339495974</v>
      </c>
      <c r="AG1498" s="6">
        <f t="shared" si="430"/>
        <v>0</v>
      </c>
      <c r="AH1498" s="6">
        <f t="shared" si="431"/>
        <v>604</v>
      </c>
    </row>
    <row r="1499" spans="8:34" x14ac:dyDescent="0.25">
      <c r="H1499" s="7">
        <v>1506</v>
      </c>
      <c r="I1499" s="7" t="s">
        <v>11</v>
      </c>
      <c r="J1499" s="8">
        <v>38562</v>
      </c>
      <c r="K1499" s="12" t="s">
        <v>17</v>
      </c>
      <c r="L1499" s="9">
        <v>23</v>
      </c>
      <c r="M1499" s="10">
        <v>70.338092994751676</v>
      </c>
      <c r="N1499" s="7" t="s">
        <v>21</v>
      </c>
      <c r="P1499" s="29" t="str">
        <f t="shared" si="414"/>
        <v/>
      </c>
      <c r="Q1499" s="29" t="str">
        <f t="shared" si="415"/>
        <v/>
      </c>
      <c r="R1499" s="29" t="str">
        <f t="shared" si="416"/>
        <v/>
      </c>
      <c r="S1499" s="29" t="str">
        <f t="shared" si="417"/>
        <v/>
      </c>
      <c r="T1499" s="32" t="str">
        <f t="shared" si="418"/>
        <v/>
      </c>
      <c r="U1499" s="32">
        <f t="shared" si="421"/>
        <v>1</v>
      </c>
      <c r="V1499" s="32" t="str">
        <f t="shared" si="422"/>
        <v/>
      </c>
      <c r="W1499" s="41">
        <f t="shared" si="419"/>
        <v>3.0581779562935512</v>
      </c>
      <c r="X1499" s="6">
        <f t="shared" si="420"/>
        <v>70.338092994751676</v>
      </c>
      <c r="Y1499" s="7">
        <f t="shared" si="423"/>
        <v>429</v>
      </c>
      <c r="AA1499" s="7">
        <f t="shared" si="424"/>
        <v>1</v>
      </c>
      <c r="AB1499" s="7">
        <f t="shared" si="425"/>
        <v>23</v>
      </c>
      <c r="AC1499" s="7">
        <f t="shared" si="426"/>
        <v>0</v>
      </c>
      <c r="AD1499" s="7" t="str">
        <f t="shared" si="427"/>
        <v/>
      </c>
      <c r="AE1499" s="6">
        <f t="shared" si="428"/>
        <v>0</v>
      </c>
      <c r="AF1499" s="69">
        <f t="shared" si="429"/>
        <v>3.0581779562935512</v>
      </c>
      <c r="AG1499" s="6">
        <f t="shared" si="430"/>
        <v>0</v>
      </c>
      <c r="AH1499" s="6">
        <f t="shared" si="431"/>
        <v>604</v>
      </c>
    </row>
    <row r="1500" spans="8:34" x14ac:dyDescent="0.25">
      <c r="H1500" s="7">
        <v>1507</v>
      </c>
      <c r="I1500" s="7" t="s">
        <v>11</v>
      </c>
      <c r="J1500" s="8">
        <v>38683</v>
      </c>
      <c r="K1500" s="12" t="s">
        <v>17</v>
      </c>
      <c r="L1500" s="9">
        <v>-3</v>
      </c>
      <c r="M1500" s="10">
        <v>-7.2085961879253206</v>
      </c>
      <c r="N1500" s="7" t="s">
        <v>23</v>
      </c>
      <c r="P1500" s="29" t="str">
        <f t="shared" si="414"/>
        <v/>
      </c>
      <c r="Q1500" s="29" t="str">
        <f t="shared" si="415"/>
        <v/>
      </c>
      <c r="R1500" s="29" t="str">
        <f t="shared" si="416"/>
        <v/>
      </c>
      <c r="S1500" s="29" t="str">
        <f t="shared" si="417"/>
        <v/>
      </c>
      <c r="T1500" s="32">
        <f t="shared" si="418"/>
        <v>1</v>
      </c>
      <c r="U1500" s="32">
        <f t="shared" si="421"/>
        <v>1</v>
      </c>
      <c r="V1500" s="32" t="str">
        <f t="shared" si="422"/>
        <v/>
      </c>
      <c r="W1500" s="41" t="str">
        <f t="shared" si="419"/>
        <v/>
      </c>
      <c r="X1500" s="6">
        <f t="shared" si="420"/>
        <v>-7.2085961879253206</v>
      </c>
      <c r="Y1500" s="7">
        <f t="shared" si="423"/>
        <v>1856</v>
      </c>
      <c r="AA1500" s="7">
        <f t="shared" si="424"/>
        <v>0</v>
      </c>
      <c r="AB1500" s="7" t="str">
        <f t="shared" si="425"/>
        <v/>
      </c>
      <c r="AC1500" s="7">
        <f t="shared" si="426"/>
        <v>1</v>
      </c>
      <c r="AD1500" s="7">
        <f t="shared" si="427"/>
        <v>-3</v>
      </c>
      <c r="AE1500" s="6">
        <f t="shared" si="428"/>
        <v>-3</v>
      </c>
      <c r="AF1500" s="69" t="str">
        <f t="shared" si="429"/>
        <v/>
      </c>
      <c r="AG1500" s="6">
        <f t="shared" si="430"/>
        <v>0</v>
      </c>
      <c r="AH1500" s="6">
        <f t="shared" si="431"/>
        <v>604</v>
      </c>
    </row>
    <row r="1501" spans="8:34" x14ac:dyDescent="0.25">
      <c r="H1501" s="7">
        <v>1508</v>
      </c>
      <c r="I1501" s="7" t="s">
        <v>14</v>
      </c>
      <c r="J1501" s="8">
        <v>38771</v>
      </c>
      <c r="K1501" s="12" t="s">
        <v>16</v>
      </c>
      <c r="L1501" s="9">
        <v>39</v>
      </c>
      <c r="M1501" s="10">
        <v>118.95540899877352</v>
      </c>
      <c r="N1501" s="7" t="s">
        <v>21</v>
      </c>
      <c r="P1501" s="29" t="str">
        <f t="shared" si="414"/>
        <v/>
      </c>
      <c r="Q1501" s="29" t="str">
        <f t="shared" si="415"/>
        <v/>
      </c>
      <c r="R1501" s="29" t="str">
        <f t="shared" si="416"/>
        <v/>
      </c>
      <c r="S1501" s="29" t="str">
        <f t="shared" si="417"/>
        <v/>
      </c>
      <c r="T1501" s="32" t="str">
        <f t="shared" si="418"/>
        <v/>
      </c>
      <c r="U1501" s="32" t="str">
        <f t="shared" si="421"/>
        <v/>
      </c>
      <c r="V1501" s="32">
        <f t="shared" si="422"/>
        <v>1</v>
      </c>
      <c r="W1501" s="41">
        <f t="shared" si="419"/>
        <v>3.0501386922762443</v>
      </c>
      <c r="X1501" s="6">
        <f t="shared" si="420"/>
        <v>0</v>
      </c>
      <c r="Y1501" s="7">
        <f t="shared" si="423"/>
        <v>567</v>
      </c>
      <c r="AA1501" s="7">
        <f t="shared" si="424"/>
        <v>0</v>
      </c>
      <c r="AB1501" s="7" t="str">
        <f t="shared" si="425"/>
        <v/>
      </c>
      <c r="AC1501" s="7">
        <f t="shared" si="426"/>
        <v>0</v>
      </c>
      <c r="AD1501" s="7" t="str">
        <f t="shared" si="427"/>
        <v/>
      </c>
      <c r="AE1501" s="6">
        <f t="shared" si="428"/>
        <v>0</v>
      </c>
      <c r="AF1501" s="69">
        <f t="shared" si="429"/>
        <v>3.0501386922762443</v>
      </c>
      <c r="AG1501" s="6">
        <f t="shared" si="430"/>
        <v>0</v>
      </c>
      <c r="AH1501" s="6">
        <f t="shared" si="431"/>
        <v>604</v>
      </c>
    </row>
    <row r="1502" spans="8:34" x14ac:dyDescent="0.25">
      <c r="H1502" s="7">
        <v>1509</v>
      </c>
      <c r="I1502" s="7" t="s">
        <v>7</v>
      </c>
      <c r="J1502" s="8">
        <v>38837</v>
      </c>
      <c r="K1502" s="12" t="s">
        <v>16</v>
      </c>
      <c r="L1502" s="9">
        <v>83</v>
      </c>
      <c r="M1502" s="10">
        <v>251.40370686680004</v>
      </c>
      <c r="N1502" s="7" t="s">
        <v>22</v>
      </c>
      <c r="P1502" s="29" t="str">
        <f t="shared" si="414"/>
        <v/>
      </c>
      <c r="Q1502" s="29" t="str">
        <f t="shared" si="415"/>
        <v/>
      </c>
      <c r="R1502" s="29" t="str">
        <f t="shared" si="416"/>
        <v/>
      </c>
      <c r="S1502" s="29" t="str">
        <f t="shared" si="417"/>
        <v/>
      </c>
      <c r="T1502" s="32" t="str">
        <f t="shared" si="418"/>
        <v/>
      </c>
      <c r="U1502" s="32" t="str">
        <f t="shared" si="421"/>
        <v/>
      </c>
      <c r="V1502" s="32">
        <f t="shared" si="422"/>
        <v>1</v>
      </c>
      <c r="W1502" s="41">
        <f t="shared" si="419"/>
        <v>3.0289603236963858</v>
      </c>
      <c r="X1502" s="6">
        <f t="shared" si="420"/>
        <v>0</v>
      </c>
      <c r="Y1502" s="7">
        <f t="shared" si="423"/>
        <v>567</v>
      </c>
      <c r="AA1502" s="7">
        <f t="shared" si="424"/>
        <v>0</v>
      </c>
      <c r="AB1502" s="7" t="str">
        <f t="shared" si="425"/>
        <v/>
      </c>
      <c r="AC1502" s="7">
        <f t="shared" si="426"/>
        <v>0</v>
      </c>
      <c r="AD1502" s="7" t="str">
        <f t="shared" si="427"/>
        <v/>
      </c>
      <c r="AE1502" s="6">
        <f t="shared" si="428"/>
        <v>0</v>
      </c>
      <c r="AF1502" s="69">
        <f t="shared" si="429"/>
        <v>3.0289603236963858</v>
      </c>
      <c r="AG1502" s="6">
        <f t="shared" si="430"/>
        <v>0</v>
      </c>
      <c r="AH1502" s="6">
        <f t="shared" si="431"/>
        <v>604</v>
      </c>
    </row>
    <row r="1503" spans="8:34" x14ac:dyDescent="0.25">
      <c r="H1503" s="7">
        <v>1510</v>
      </c>
      <c r="I1503" s="7" t="s">
        <v>13</v>
      </c>
      <c r="J1503" s="8">
        <v>38958</v>
      </c>
      <c r="K1503" s="12" t="s">
        <v>18</v>
      </c>
      <c r="L1503" s="9">
        <v>65</v>
      </c>
      <c r="M1503" s="10">
        <v>197.80862125573833</v>
      </c>
      <c r="N1503" s="7" t="s">
        <v>21</v>
      </c>
      <c r="P1503" s="29" t="str">
        <f t="shared" si="414"/>
        <v/>
      </c>
      <c r="Q1503" s="29" t="str">
        <f t="shared" si="415"/>
        <v/>
      </c>
      <c r="R1503" s="29" t="str">
        <f t="shared" si="416"/>
        <v/>
      </c>
      <c r="S1503" s="29" t="str">
        <f t="shared" si="417"/>
        <v/>
      </c>
      <c r="T1503" s="32" t="str">
        <f t="shared" si="418"/>
        <v/>
      </c>
      <c r="U1503" s="32" t="str">
        <f t="shared" si="421"/>
        <v/>
      </c>
      <c r="V1503" s="32">
        <f t="shared" si="422"/>
        <v>1</v>
      </c>
      <c r="W1503" s="41">
        <f t="shared" si="419"/>
        <v>3.0432095577805898</v>
      </c>
      <c r="X1503" s="6">
        <f t="shared" si="420"/>
        <v>0</v>
      </c>
      <c r="Y1503" s="7">
        <f t="shared" si="423"/>
        <v>567</v>
      </c>
      <c r="AA1503" s="7">
        <f t="shared" si="424"/>
        <v>0</v>
      </c>
      <c r="AB1503" s="7" t="str">
        <f t="shared" si="425"/>
        <v/>
      </c>
      <c r="AC1503" s="7">
        <f t="shared" si="426"/>
        <v>0</v>
      </c>
      <c r="AD1503" s="7" t="str">
        <f t="shared" si="427"/>
        <v/>
      </c>
      <c r="AE1503" s="6">
        <f t="shared" si="428"/>
        <v>0</v>
      </c>
      <c r="AF1503" s="69">
        <f t="shared" si="429"/>
        <v>3.0432095577805898</v>
      </c>
      <c r="AG1503" s="6">
        <f t="shared" si="430"/>
        <v>0</v>
      </c>
      <c r="AH1503" s="6">
        <f t="shared" si="431"/>
        <v>604</v>
      </c>
    </row>
    <row r="1504" spans="8:34" x14ac:dyDescent="0.25">
      <c r="H1504" s="7">
        <v>1511</v>
      </c>
      <c r="I1504" s="7" t="s">
        <v>7</v>
      </c>
      <c r="J1504" s="8">
        <v>38320</v>
      </c>
      <c r="K1504" s="12" t="s">
        <v>17</v>
      </c>
      <c r="L1504" s="9">
        <v>13</v>
      </c>
      <c r="M1504" s="10">
        <v>41.739412502907776</v>
      </c>
      <c r="N1504" s="7" t="s">
        <v>24</v>
      </c>
      <c r="P1504" s="29" t="str">
        <f t="shared" si="414"/>
        <v/>
      </c>
      <c r="Q1504" s="29" t="str">
        <f t="shared" si="415"/>
        <v/>
      </c>
      <c r="R1504" s="29" t="str">
        <f t="shared" si="416"/>
        <v/>
      </c>
      <c r="S1504" s="29">
        <f t="shared" si="417"/>
        <v>1</v>
      </c>
      <c r="T1504" s="32" t="str">
        <f t="shared" si="418"/>
        <v/>
      </c>
      <c r="U1504" s="32" t="str">
        <f t="shared" si="421"/>
        <v/>
      </c>
      <c r="V1504" s="32" t="str">
        <f t="shared" si="422"/>
        <v/>
      </c>
      <c r="W1504" s="41">
        <f t="shared" si="419"/>
        <v>3.2107240386852136</v>
      </c>
      <c r="X1504" s="6">
        <f t="shared" si="420"/>
        <v>0</v>
      </c>
      <c r="Y1504" s="7">
        <f t="shared" si="423"/>
        <v>567</v>
      </c>
      <c r="AA1504" s="7">
        <f t="shared" si="424"/>
        <v>0</v>
      </c>
      <c r="AB1504" s="7" t="str">
        <f t="shared" si="425"/>
        <v/>
      </c>
      <c r="AC1504" s="7">
        <f t="shared" si="426"/>
        <v>0</v>
      </c>
      <c r="AD1504" s="7" t="str">
        <f t="shared" si="427"/>
        <v/>
      </c>
      <c r="AE1504" s="6">
        <f t="shared" si="428"/>
        <v>0</v>
      </c>
      <c r="AF1504" s="69">
        <f t="shared" si="429"/>
        <v>3.2107240386852136</v>
      </c>
      <c r="AG1504" s="6">
        <f t="shared" si="430"/>
        <v>41.739412502907776</v>
      </c>
      <c r="AH1504" s="6">
        <f t="shared" si="431"/>
        <v>497</v>
      </c>
    </row>
    <row r="1505" spans="8:34" x14ac:dyDescent="0.25">
      <c r="H1505" s="7">
        <v>1512</v>
      </c>
      <c r="I1505" s="7" t="s">
        <v>13</v>
      </c>
      <c r="J1505" s="8">
        <v>38672</v>
      </c>
      <c r="K1505" s="12" t="s">
        <v>18</v>
      </c>
      <c r="L1505" s="9">
        <v>9</v>
      </c>
      <c r="M1505" s="10">
        <v>28.855899545684331</v>
      </c>
      <c r="N1505" s="7" t="s">
        <v>24</v>
      </c>
      <c r="P1505" s="29" t="str">
        <f t="shared" si="414"/>
        <v/>
      </c>
      <c r="Q1505" s="29" t="str">
        <f t="shared" si="415"/>
        <v/>
      </c>
      <c r="R1505" s="29" t="str">
        <f t="shared" si="416"/>
        <v/>
      </c>
      <c r="S1505" s="29" t="str">
        <f t="shared" si="417"/>
        <v/>
      </c>
      <c r="T1505" s="32">
        <f t="shared" si="418"/>
        <v>1</v>
      </c>
      <c r="U1505" s="32">
        <f t="shared" si="421"/>
        <v>1</v>
      </c>
      <c r="V1505" s="32" t="str">
        <f t="shared" si="422"/>
        <v/>
      </c>
      <c r="W1505" s="41">
        <f t="shared" si="419"/>
        <v>3.2062110606315923</v>
      </c>
      <c r="X1505" s="6">
        <f t="shared" si="420"/>
        <v>28.855899545684331</v>
      </c>
      <c r="Y1505" s="7">
        <f t="shared" si="423"/>
        <v>505</v>
      </c>
      <c r="AA1505" s="7">
        <f t="shared" si="424"/>
        <v>0</v>
      </c>
      <c r="AB1505" s="7" t="str">
        <f t="shared" si="425"/>
        <v/>
      </c>
      <c r="AC1505" s="7">
        <f t="shared" si="426"/>
        <v>1</v>
      </c>
      <c r="AD1505" s="7">
        <f t="shared" si="427"/>
        <v>9</v>
      </c>
      <c r="AE1505" s="6">
        <f t="shared" si="428"/>
        <v>0</v>
      </c>
      <c r="AF1505" s="69">
        <f t="shared" si="429"/>
        <v>3.2062110606315923</v>
      </c>
      <c r="AG1505" s="6">
        <f t="shared" si="430"/>
        <v>0</v>
      </c>
      <c r="AH1505" s="6">
        <f t="shared" si="431"/>
        <v>604</v>
      </c>
    </row>
    <row r="1506" spans="8:34" x14ac:dyDescent="0.25">
      <c r="H1506" s="7">
        <v>1513</v>
      </c>
      <c r="I1506" s="7" t="s">
        <v>12</v>
      </c>
      <c r="J1506" s="8">
        <v>39068</v>
      </c>
      <c r="K1506" s="12" t="s">
        <v>16</v>
      </c>
      <c r="L1506" s="9">
        <v>-4</v>
      </c>
      <c r="M1506" s="10">
        <v>-10.353255411982897</v>
      </c>
      <c r="N1506" s="7" t="s">
        <v>21</v>
      </c>
      <c r="P1506" s="29" t="str">
        <f t="shared" si="414"/>
        <v/>
      </c>
      <c r="Q1506" s="29" t="str">
        <f t="shared" si="415"/>
        <v/>
      </c>
      <c r="R1506" s="29" t="str">
        <f t="shared" si="416"/>
        <v/>
      </c>
      <c r="S1506" s="29" t="str">
        <f t="shared" si="417"/>
        <v/>
      </c>
      <c r="T1506" s="32" t="str">
        <f t="shared" si="418"/>
        <v/>
      </c>
      <c r="U1506" s="32" t="str">
        <f t="shared" si="421"/>
        <v/>
      </c>
      <c r="V1506" s="32">
        <f t="shared" si="422"/>
        <v>1</v>
      </c>
      <c r="W1506" s="41" t="str">
        <f t="shared" si="419"/>
        <v/>
      </c>
      <c r="X1506" s="6">
        <f t="shared" si="420"/>
        <v>0</v>
      </c>
      <c r="Y1506" s="7">
        <f t="shared" si="423"/>
        <v>567</v>
      </c>
      <c r="AA1506" s="7">
        <f t="shared" si="424"/>
        <v>0</v>
      </c>
      <c r="AB1506" s="7" t="str">
        <f t="shared" si="425"/>
        <v/>
      </c>
      <c r="AC1506" s="7">
        <f t="shared" si="426"/>
        <v>0</v>
      </c>
      <c r="AD1506" s="7" t="str">
        <f t="shared" si="427"/>
        <v/>
      </c>
      <c r="AE1506" s="6">
        <f t="shared" si="428"/>
        <v>-4</v>
      </c>
      <c r="AF1506" s="69" t="str">
        <f t="shared" si="429"/>
        <v/>
      </c>
      <c r="AG1506" s="6">
        <f t="shared" si="430"/>
        <v>0</v>
      </c>
      <c r="AH1506" s="6">
        <f t="shared" si="431"/>
        <v>604</v>
      </c>
    </row>
    <row r="1507" spans="8:34" x14ac:dyDescent="0.25">
      <c r="H1507" s="7">
        <v>1514</v>
      </c>
      <c r="I1507" s="7" t="s">
        <v>9</v>
      </c>
      <c r="J1507" s="8">
        <v>38287</v>
      </c>
      <c r="K1507" s="12" t="s">
        <v>20</v>
      </c>
      <c r="L1507" s="9">
        <v>22</v>
      </c>
      <c r="M1507" s="10">
        <v>67.745285115132006</v>
      </c>
      <c r="N1507" s="7" t="s">
        <v>21</v>
      </c>
      <c r="P1507" s="29" t="str">
        <f t="shared" si="414"/>
        <v/>
      </c>
      <c r="Q1507" s="29" t="str">
        <f t="shared" si="415"/>
        <v/>
      </c>
      <c r="R1507" s="29" t="str">
        <f t="shared" si="416"/>
        <v/>
      </c>
      <c r="S1507" s="29">
        <f t="shared" si="417"/>
        <v>1</v>
      </c>
      <c r="T1507" s="32" t="str">
        <f t="shared" si="418"/>
        <v/>
      </c>
      <c r="U1507" s="32" t="str">
        <f t="shared" si="421"/>
        <v/>
      </c>
      <c r="V1507" s="32" t="str">
        <f t="shared" si="422"/>
        <v/>
      </c>
      <c r="W1507" s="41">
        <f t="shared" si="419"/>
        <v>3.0793311415969096</v>
      </c>
      <c r="X1507" s="6">
        <f t="shared" si="420"/>
        <v>0</v>
      </c>
      <c r="Y1507" s="7">
        <f t="shared" si="423"/>
        <v>567</v>
      </c>
      <c r="AA1507" s="7">
        <f t="shared" si="424"/>
        <v>0</v>
      </c>
      <c r="AB1507" s="7" t="str">
        <f t="shared" si="425"/>
        <v/>
      </c>
      <c r="AC1507" s="7">
        <f t="shared" si="426"/>
        <v>0</v>
      </c>
      <c r="AD1507" s="7" t="str">
        <f t="shared" si="427"/>
        <v/>
      </c>
      <c r="AE1507" s="6">
        <f t="shared" si="428"/>
        <v>0</v>
      </c>
      <c r="AF1507" s="69">
        <f t="shared" si="429"/>
        <v>3.0793311415969096</v>
      </c>
      <c r="AG1507" s="6">
        <f t="shared" si="430"/>
        <v>67.745285115132006</v>
      </c>
      <c r="AH1507" s="6">
        <f t="shared" si="431"/>
        <v>445</v>
      </c>
    </row>
    <row r="1508" spans="8:34" x14ac:dyDescent="0.25">
      <c r="H1508" s="7">
        <v>1515</v>
      </c>
      <c r="I1508" s="7" t="s">
        <v>8</v>
      </c>
      <c r="J1508" s="8">
        <v>38441</v>
      </c>
      <c r="K1508" s="12" t="s">
        <v>20</v>
      </c>
      <c r="L1508" s="9">
        <v>-3</v>
      </c>
      <c r="M1508" s="10">
        <v>-6.8920180610801349</v>
      </c>
      <c r="N1508" s="7" t="s">
        <v>21</v>
      </c>
      <c r="P1508" s="29" t="str">
        <f t="shared" si="414"/>
        <v/>
      </c>
      <c r="Q1508" s="29" t="str">
        <f t="shared" si="415"/>
        <v/>
      </c>
      <c r="R1508" s="29" t="str">
        <f t="shared" si="416"/>
        <v/>
      </c>
      <c r="S1508" s="29" t="str">
        <f t="shared" si="417"/>
        <v/>
      </c>
      <c r="T1508" s="32" t="str">
        <f t="shared" si="418"/>
        <v/>
      </c>
      <c r="U1508" s="32">
        <f t="shared" si="421"/>
        <v>1</v>
      </c>
      <c r="V1508" s="32" t="str">
        <f t="shared" si="422"/>
        <v/>
      </c>
      <c r="W1508" s="41" t="str">
        <f t="shared" si="419"/>
        <v/>
      </c>
      <c r="X1508" s="6">
        <f t="shared" si="420"/>
        <v>-6.8920180610801349</v>
      </c>
      <c r="Y1508" s="7">
        <f t="shared" si="423"/>
        <v>1854</v>
      </c>
      <c r="AA1508" s="7">
        <f t="shared" si="424"/>
        <v>1</v>
      </c>
      <c r="AB1508" s="7">
        <f t="shared" si="425"/>
        <v>-3</v>
      </c>
      <c r="AC1508" s="7">
        <f t="shared" si="426"/>
        <v>0</v>
      </c>
      <c r="AD1508" s="7" t="str">
        <f t="shared" si="427"/>
        <v/>
      </c>
      <c r="AE1508" s="6">
        <f t="shared" si="428"/>
        <v>-3</v>
      </c>
      <c r="AF1508" s="69" t="str">
        <f t="shared" si="429"/>
        <v/>
      </c>
      <c r="AG1508" s="6">
        <f t="shared" si="430"/>
        <v>0</v>
      </c>
      <c r="AH1508" s="6">
        <f t="shared" si="431"/>
        <v>604</v>
      </c>
    </row>
    <row r="1509" spans="8:34" x14ac:dyDescent="0.25">
      <c r="H1509" s="7">
        <v>1516</v>
      </c>
      <c r="I1509" s="7" t="s">
        <v>11</v>
      </c>
      <c r="J1509" s="8">
        <v>38199</v>
      </c>
      <c r="K1509" s="12" t="s">
        <v>20</v>
      </c>
      <c r="L1509" s="9">
        <v>58</v>
      </c>
      <c r="M1509" s="10">
        <v>176.19804950784601</v>
      </c>
      <c r="N1509" s="7" t="s">
        <v>21</v>
      </c>
      <c r="P1509" s="29" t="str">
        <f t="shared" si="414"/>
        <v/>
      </c>
      <c r="Q1509" s="29" t="str">
        <f t="shared" si="415"/>
        <v/>
      </c>
      <c r="R1509" s="29">
        <f t="shared" si="416"/>
        <v>1</v>
      </c>
      <c r="S1509" s="29" t="str">
        <f t="shared" si="417"/>
        <v/>
      </c>
      <c r="T1509" s="32" t="str">
        <f t="shared" si="418"/>
        <v/>
      </c>
      <c r="U1509" s="32" t="str">
        <f t="shared" si="421"/>
        <v/>
      </c>
      <c r="V1509" s="32" t="str">
        <f t="shared" si="422"/>
        <v/>
      </c>
      <c r="W1509" s="41">
        <f t="shared" si="419"/>
        <v>3.0378974053076897</v>
      </c>
      <c r="X1509" s="6">
        <f t="shared" si="420"/>
        <v>0</v>
      </c>
      <c r="Y1509" s="7">
        <f t="shared" si="423"/>
        <v>567</v>
      </c>
      <c r="AA1509" s="7">
        <f t="shared" si="424"/>
        <v>0</v>
      </c>
      <c r="AB1509" s="7" t="str">
        <f t="shared" si="425"/>
        <v/>
      </c>
      <c r="AC1509" s="7">
        <f t="shared" si="426"/>
        <v>0</v>
      </c>
      <c r="AD1509" s="7" t="str">
        <f t="shared" si="427"/>
        <v/>
      </c>
      <c r="AE1509" s="6">
        <f t="shared" si="428"/>
        <v>0</v>
      </c>
      <c r="AF1509" s="69">
        <f t="shared" si="429"/>
        <v>3.0378974053076897</v>
      </c>
      <c r="AG1509" s="6">
        <f t="shared" si="430"/>
        <v>176.19804950784601</v>
      </c>
      <c r="AH1509" s="6">
        <f t="shared" si="431"/>
        <v>226</v>
      </c>
    </row>
    <row r="1510" spans="8:34" x14ac:dyDescent="0.25">
      <c r="H1510" s="7">
        <v>1517</v>
      </c>
      <c r="I1510" s="7" t="s">
        <v>12</v>
      </c>
      <c r="J1510" s="8">
        <v>38221</v>
      </c>
      <c r="K1510" s="12" t="s">
        <v>16</v>
      </c>
      <c r="L1510" s="9">
        <v>65</v>
      </c>
      <c r="M1510" s="10">
        <v>196.63911479091979</v>
      </c>
      <c r="N1510" s="7" t="s">
        <v>21</v>
      </c>
      <c r="P1510" s="29" t="str">
        <f t="shared" si="414"/>
        <v/>
      </c>
      <c r="Q1510" s="29" t="str">
        <f t="shared" si="415"/>
        <v/>
      </c>
      <c r="R1510" s="29">
        <f t="shared" si="416"/>
        <v>1</v>
      </c>
      <c r="S1510" s="29" t="str">
        <f t="shared" si="417"/>
        <v/>
      </c>
      <c r="T1510" s="32" t="str">
        <f t="shared" si="418"/>
        <v/>
      </c>
      <c r="U1510" s="32" t="str">
        <f t="shared" si="421"/>
        <v/>
      </c>
      <c r="V1510" s="32" t="str">
        <f t="shared" si="422"/>
        <v/>
      </c>
      <c r="W1510" s="41">
        <f t="shared" si="419"/>
        <v>3.0252171506295351</v>
      </c>
      <c r="X1510" s="6">
        <f t="shared" si="420"/>
        <v>0</v>
      </c>
      <c r="Y1510" s="7">
        <f t="shared" si="423"/>
        <v>567</v>
      </c>
      <c r="AA1510" s="7">
        <f t="shared" si="424"/>
        <v>0</v>
      </c>
      <c r="AB1510" s="7" t="str">
        <f t="shared" si="425"/>
        <v/>
      </c>
      <c r="AC1510" s="7">
        <f t="shared" si="426"/>
        <v>0</v>
      </c>
      <c r="AD1510" s="7" t="str">
        <f t="shared" si="427"/>
        <v/>
      </c>
      <c r="AE1510" s="6">
        <f t="shared" si="428"/>
        <v>0</v>
      </c>
      <c r="AF1510" s="69">
        <f t="shared" si="429"/>
        <v>3.0252171506295351</v>
      </c>
      <c r="AG1510" s="6">
        <f t="shared" si="430"/>
        <v>196.63911479091979</v>
      </c>
      <c r="AH1510" s="6">
        <f t="shared" si="431"/>
        <v>182</v>
      </c>
    </row>
    <row r="1511" spans="8:34" x14ac:dyDescent="0.25">
      <c r="H1511" s="7">
        <v>1518</v>
      </c>
      <c r="I1511" s="7" t="s">
        <v>11</v>
      </c>
      <c r="J1511" s="8">
        <v>38166</v>
      </c>
      <c r="K1511" s="12" t="s">
        <v>16</v>
      </c>
      <c r="L1511" s="9">
        <v>9</v>
      </c>
      <c r="M1511" s="10">
        <v>28.459065178844462</v>
      </c>
      <c r="N1511" s="7" t="s">
        <v>22</v>
      </c>
      <c r="P1511" s="29" t="str">
        <f t="shared" si="414"/>
        <v/>
      </c>
      <c r="Q1511" s="29">
        <f t="shared" si="415"/>
        <v>1</v>
      </c>
      <c r="R1511" s="29" t="str">
        <f t="shared" si="416"/>
        <v/>
      </c>
      <c r="S1511" s="29" t="str">
        <f t="shared" si="417"/>
        <v/>
      </c>
      <c r="T1511" s="32" t="str">
        <f t="shared" si="418"/>
        <v/>
      </c>
      <c r="U1511" s="32" t="str">
        <f t="shared" si="421"/>
        <v/>
      </c>
      <c r="V1511" s="32" t="str">
        <f t="shared" si="422"/>
        <v/>
      </c>
      <c r="W1511" s="41">
        <f t="shared" si="419"/>
        <v>3.1621183532049404</v>
      </c>
      <c r="X1511" s="6">
        <f t="shared" si="420"/>
        <v>0</v>
      </c>
      <c r="Y1511" s="7">
        <f t="shared" si="423"/>
        <v>567</v>
      </c>
      <c r="AA1511" s="7">
        <f t="shared" si="424"/>
        <v>0</v>
      </c>
      <c r="AB1511" s="7" t="str">
        <f t="shared" si="425"/>
        <v/>
      </c>
      <c r="AC1511" s="7">
        <f t="shared" si="426"/>
        <v>0</v>
      </c>
      <c r="AD1511" s="7" t="str">
        <f t="shared" si="427"/>
        <v/>
      </c>
      <c r="AE1511" s="6">
        <f t="shared" si="428"/>
        <v>0</v>
      </c>
      <c r="AF1511" s="69">
        <f t="shared" si="429"/>
        <v>3.1621183532049404</v>
      </c>
      <c r="AG1511" s="6">
        <f t="shared" si="430"/>
        <v>28.459065178844462</v>
      </c>
      <c r="AH1511" s="6">
        <f t="shared" si="431"/>
        <v>539</v>
      </c>
    </row>
    <row r="1512" spans="8:34" x14ac:dyDescent="0.25">
      <c r="H1512" s="7">
        <v>1519</v>
      </c>
      <c r="I1512" s="7" t="s">
        <v>13</v>
      </c>
      <c r="J1512" s="8">
        <v>39013</v>
      </c>
      <c r="K1512" s="12" t="s">
        <v>19</v>
      </c>
      <c r="L1512" s="9">
        <v>18</v>
      </c>
      <c r="M1512" s="10">
        <v>56.300241442258397</v>
      </c>
      <c r="N1512" s="7" t="s">
        <v>21</v>
      </c>
      <c r="P1512" s="29" t="str">
        <f t="shared" si="414"/>
        <v/>
      </c>
      <c r="Q1512" s="29" t="str">
        <f t="shared" si="415"/>
        <v/>
      </c>
      <c r="R1512" s="29" t="str">
        <f t="shared" si="416"/>
        <v/>
      </c>
      <c r="S1512" s="29" t="str">
        <f t="shared" si="417"/>
        <v/>
      </c>
      <c r="T1512" s="32" t="str">
        <f t="shared" si="418"/>
        <v/>
      </c>
      <c r="U1512" s="32" t="str">
        <f t="shared" si="421"/>
        <v/>
      </c>
      <c r="V1512" s="32">
        <f t="shared" si="422"/>
        <v>1</v>
      </c>
      <c r="W1512" s="41">
        <f t="shared" si="419"/>
        <v>3.1277911912365775</v>
      </c>
      <c r="X1512" s="6">
        <f t="shared" si="420"/>
        <v>0</v>
      </c>
      <c r="Y1512" s="7">
        <f t="shared" si="423"/>
        <v>567</v>
      </c>
      <c r="AA1512" s="7">
        <f t="shared" si="424"/>
        <v>0</v>
      </c>
      <c r="AB1512" s="7" t="str">
        <f t="shared" si="425"/>
        <v/>
      </c>
      <c r="AC1512" s="7">
        <f t="shared" si="426"/>
        <v>0</v>
      </c>
      <c r="AD1512" s="7" t="str">
        <f t="shared" si="427"/>
        <v/>
      </c>
      <c r="AE1512" s="6">
        <f t="shared" si="428"/>
        <v>0</v>
      </c>
      <c r="AF1512" s="69">
        <f t="shared" si="429"/>
        <v>3.1277911912365775</v>
      </c>
      <c r="AG1512" s="6">
        <f t="shared" si="430"/>
        <v>0</v>
      </c>
      <c r="AH1512" s="6">
        <f t="shared" si="431"/>
        <v>604</v>
      </c>
    </row>
    <row r="1513" spans="8:34" x14ac:dyDescent="0.25">
      <c r="H1513" s="7">
        <v>1520</v>
      </c>
      <c r="I1513" s="7" t="s">
        <v>8</v>
      </c>
      <c r="J1513" s="8">
        <v>38111</v>
      </c>
      <c r="K1513" s="12" t="s">
        <v>18</v>
      </c>
      <c r="L1513" s="9">
        <v>55</v>
      </c>
      <c r="M1513" s="10">
        <v>166.7781249229084</v>
      </c>
      <c r="N1513" s="7" t="s">
        <v>24</v>
      </c>
      <c r="P1513" s="29" t="str">
        <f t="shared" si="414"/>
        <v/>
      </c>
      <c r="Q1513" s="29">
        <f t="shared" si="415"/>
        <v>1</v>
      </c>
      <c r="R1513" s="29" t="str">
        <f t="shared" si="416"/>
        <v/>
      </c>
      <c r="S1513" s="29" t="str">
        <f t="shared" si="417"/>
        <v/>
      </c>
      <c r="T1513" s="32" t="str">
        <f t="shared" si="418"/>
        <v/>
      </c>
      <c r="U1513" s="32" t="str">
        <f t="shared" si="421"/>
        <v/>
      </c>
      <c r="V1513" s="32" t="str">
        <f t="shared" si="422"/>
        <v/>
      </c>
      <c r="W1513" s="41">
        <f t="shared" si="419"/>
        <v>3.0323295440528799</v>
      </c>
      <c r="X1513" s="6">
        <f t="shared" si="420"/>
        <v>0</v>
      </c>
      <c r="Y1513" s="7">
        <f t="shared" si="423"/>
        <v>567</v>
      </c>
      <c r="AA1513" s="7">
        <f t="shared" si="424"/>
        <v>0</v>
      </c>
      <c r="AB1513" s="7" t="str">
        <f t="shared" si="425"/>
        <v/>
      </c>
      <c r="AC1513" s="7">
        <f t="shared" si="426"/>
        <v>0</v>
      </c>
      <c r="AD1513" s="7" t="str">
        <f t="shared" si="427"/>
        <v/>
      </c>
      <c r="AE1513" s="6">
        <f t="shared" si="428"/>
        <v>0</v>
      </c>
      <c r="AF1513" s="69">
        <f t="shared" si="429"/>
        <v>3.0323295440528799</v>
      </c>
      <c r="AG1513" s="6">
        <f t="shared" si="430"/>
        <v>166.7781249229084</v>
      </c>
      <c r="AH1513" s="6">
        <f t="shared" si="431"/>
        <v>250</v>
      </c>
    </row>
    <row r="1514" spans="8:34" x14ac:dyDescent="0.25">
      <c r="H1514" s="7">
        <v>1521</v>
      </c>
      <c r="I1514" s="7" t="s">
        <v>12</v>
      </c>
      <c r="J1514" s="8">
        <v>38364</v>
      </c>
      <c r="K1514" s="12" t="s">
        <v>16</v>
      </c>
      <c r="L1514" s="9">
        <v>69</v>
      </c>
      <c r="M1514" s="10">
        <v>209.56822946203218</v>
      </c>
      <c r="N1514" s="7" t="s">
        <v>21</v>
      </c>
      <c r="P1514" s="29" t="str">
        <f t="shared" si="414"/>
        <v/>
      </c>
      <c r="Q1514" s="29" t="str">
        <f t="shared" si="415"/>
        <v/>
      </c>
      <c r="R1514" s="29" t="str">
        <f t="shared" si="416"/>
        <v/>
      </c>
      <c r="S1514" s="29" t="str">
        <f t="shared" si="417"/>
        <v/>
      </c>
      <c r="T1514" s="32" t="str">
        <f t="shared" si="418"/>
        <v/>
      </c>
      <c r="U1514" s="32">
        <f t="shared" si="421"/>
        <v>1</v>
      </c>
      <c r="V1514" s="32" t="str">
        <f t="shared" si="422"/>
        <v/>
      </c>
      <c r="W1514" s="41">
        <f t="shared" si="419"/>
        <v>3.0372207168410461</v>
      </c>
      <c r="X1514" s="6">
        <f t="shared" si="420"/>
        <v>209.56822946203218</v>
      </c>
      <c r="Y1514" s="7">
        <f t="shared" si="423"/>
        <v>163</v>
      </c>
      <c r="AA1514" s="7">
        <f t="shared" si="424"/>
        <v>1</v>
      </c>
      <c r="AB1514" s="7">
        <f t="shared" si="425"/>
        <v>69</v>
      </c>
      <c r="AC1514" s="7">
        <f t="shared" si="426"/>
        <v>0</v>
      </c>
      <c r="AD1514" s="7" t="str">
        <f t="shared" si="427"/>
        <v/>
      </c>
      <c r="AE1514" s="6">
        <f t="shared" si="428"/>
        <v>0</v>
      </c>
      <c r="AF1514" s="69">
        <f t="shared" si="429"/>
        <v>3.0372207168410461</v>
      </c>
      <c r="AG1514" s="6">
        <f t="shared" si="430"/>
        <v>0</v>
      </c>
      <c r="AH1514" s="6">
        <f t="shared" si="431"/>
        <v>604</v>
      </c>
    </row>
    <row r="1515" spans="8:34" x14ac:dyDescent="0.25">
      <c r="H1515" s="7">
        <v>1522</v>
      </c>
      <c r="I1515" s="7" t="s">
        <v>10</v>
      </c>
      <c r="J1515" s="8">
        <v>38089</v>
      </c>
      <c r="K1515" s="12" t="s">
        <v>16</v>
      </c>
      <c r="L1515" s="9">
        <v>51</v>
      </c>
      <c r="M1515" s="10">
        <v>155.55960489398822</v>
      </c>
      <c r="N1515" s="7" t="s">
        <v>23</v>
      </c>
      <c r="P1515" s="29" t="str">
        <f t="shared" si="414"/>
        <v/>
      </c>
      <c r="Q1515" s="29">
        <f t="shared" si="415"/>
        <v>1</v>
      </c>
      <c r="R1515" s="29" t="str">
        <f t="shared" si="416"/>
        <v/>
      </c>
      <c r="S1515" s="29" t="str">
        <f t="shared" si="417"/>
        <v/>
      </c>
      <c r="T1515" s="32" t="str">
        <f t="shared" si="418"/>
        <v/>
      </c>
      <c r="U1515" s="32" t="str">
        <f t="shared" si="421"/>
        <v/>
      </c>
      <c r="V1515" s="32" t="str">
        <f t="shared" si="422"/>
        <v/>
      </c>
      <c r="W1515" s="41">
        <f t="shared" si="419"/>
        <v>3.0501883312546711</v>
      </c>
      <c r="X1515" s="6">
        <f t="shared" si="420"/>
        <v>0</v>
      </c>
      <c r="Y1515" s="7">
        <f t="shared" si="423"/>
        <v>567</v>
      </c>
      <c r="AA1515" s="7">
        <f t="shared" si="424"/>
        <v>0</v>
      </c>
      <c r="AB1515" s="7" t="str">
        <f t="shared" si="425"/>
        <v/>
      </c>
      <c r="AC1515" s="7">
        <f t="shared" si="426"/>
        <v>0</v>
      </c>
      <c r="AD1515" s="7" t="str">
        <f t="shared" si="427"/>
        <v/>
      </c>
      <c r="AE1515" s="6">
        <f t="shared" si="428"/>
        <v>0</v>
      </c>
      <c r="AF1515" s="69">
        <f t="shared" si="429"/>
        <v>3.0501883312546711</v>
      </c>
      <c r="AG1515" s="6">
        <f t="shared" si="430"/>
        <v>155.55960489398822</v>
      </c>
      <c r="AH1515" s="6">
        <f t="shared" si="431"/>
        <v>266</v>
      </c>
    </row>
    <row r="1516" spans="8:34" x14ac:dyDescent="0.25">
      <c r="H1516" s="7">
        <v>1523</v>
      </c>
      <c r="I1516" s="7" t="s">
        <v>9</v>
      </c>
      <c r="J1516" s="8">
        <v>38738</v>
      </c>
      <c r="K1516" s="12" t="s">
        <v>19</v>
      </c>
      <c r="L1516" s="9">
        <v>23</v>
      </c>
      <c r="M1516" s="10">
        <v>71.150007929550512</v>
      </c>
      <c r="N1516" s="7" t="s">
        <v>21</v>
      </c>
      <c r="P1516" s="29" t="str">
        <f t="shared" si="414"/>
        <v/>
      </c>
      <c r="Q1516" s="29" t="str">
        <f t="shared" si="415"/>
        <v/>
      </c>
      <c r="R1516" s="29" t="str">
        <f t="shared" si="416"/>
        <v/>
      </c>
      <c r="S1516" s="29" t="str">
        <f t="shared" si="417"/>
        <v/>
      </c>
      <c r="T1516" s="32" t="str">
        <f t="shared" si="418"/>
        <v/>
      </c>
      <c r="U1516" s="32" t="str">
        <f t="shared" si="421"/>
        <v/>
      </c>
      <c r="V1516" s="32">
        <f t="shared" si="422"/>
        <v>1</v>
      </c>
      <c r="W1516" s="41">
        <f t="shared" si="419"/>
        <v>3.0934786056326309</v>
      </c>
      <c r="X1516" s="6">
        <f t="shared" si="420"/>
        <v>0</v>
      </c>
      <c r="Y1516" s="7">
        <f t="shared" si="423"/>
        <v>567</v>
      </c>
      <c r="AA1516" s="7">
        <f t="shared" si="424"/>
        <v>0</v>
      </c>
      <c r="AB1516" s="7" t="str">
        <f t="shared" si="425"/>
        <v/>
      </c>
      <c r="AC1516" s="7">
        <f t="shared" si="426"/>
        <v>0</v>
      </c>
      <c r="AD1516" s="7" t="str">
        <f t="shared" si="427"/>
        <v/>
      </c>
      <c r="AE1516" s="6">
        <f t="shared" si="428"/>
        <v>0</v>
      </c>
      <c r="AF1516" s="69">
        <f t="shared" si="429"/>
        <v>3.0934786056326309</v>
      </c>
      <c r="AG1516" s="6">
        <f t="shared" si="430"/>
        <v>0</v>
      </c>
      <c r="AH1516" s="6">
        <f t="shared" si="431"/>
        <v>604</v>
      </c>
    </row>
    <row r="1517" spans="8:34" x14ac:dyDescent="0.25">
      <c r="H1517" s="7">
        <v>1524</v>
      </c>
      <c r="I1517" s="7" t="s">
        <v>7</v>
      </c>
      <c r="J1517" s="8">
        <v>38826</v>
      </c>
      <c r="K1517" s="12" t="s">
        <v>17</v>
      </c>
      <c r="L1517" s="9">
        <v>38</v>
      </c>
      <c r="M1517" s="10">
        <v>115.80895982640449</v>
      </c>
      <c r="N1517" s="7" t="s">
        <v>23</v>
      </c>
      <c r="P1517" s="29" t="str">
        <f t="shared" si="414"/>
        <v/>
      </c>
      <c r="Q1517" s="29" t="str">
        <f t="shared" si="415"/>
        <v/>
      </c>
      <c r="R1517" s="29" t="str">
        <f t="shared" si="416"/>
        <v/>
      </c>
      <c r="S1517" s="29" t="str">
        <f t="shared" si="417"/>
        <v/>
      </c>
      <c r="T1517" s="32" t="str">
        <f t="shared" si="418"/>
        <v/>
      </c>
      <c r="U1517" s="32" t="str">
        <f t="shared" si="421"/>
        <v/>
      </c>
      <c r="V1517" s="32">
        <f t="shared" si="422"/>
        <v>1</v>
      </c>
      <c r="W1517" s="41">
        <f t="shared" si="419"/>
        <v>3.0476042059580131</v>
      </c>
      <c r="X1517" s="6">
        <f t="shared" si="420"/>
        <v>0</v>
      </c>
      <c r="Y1517" s="7">
        <f t="shared" si="423"/>
        <v>567</v>
      </c>
      <c r="AA1517" s="7">
        <f t="shared" si="424"/>
        <v>0</v>
      </c>
      <c r="AB1517" s="7" t="str">
        <f t="shared" si="425"/>
        <v/>
      </c>
      <c r="AC1517" s="7">
        <f t="shared" si="426"/>
        <v>0</v>
      </c>
      <c r="AD1517" s="7" t="str">
        <f t="shared" si="427"/>
        <v/>
      </c>
      <c r="AE1517" s="6">
        <f t="shared" si="428"/>
        <v>0</v>
      </c>
      <c r="AF1517" s="69">
        <f t="shared" si="429"/>
        <v>3.0476042059580131</v>
      </c>
      <c r="AG1517" s="6">
        <f t="shared" si="430"/>
        <v>0</v>
      </c>
      <c r="AH1517" s="6">
        <f t="shared" si="431"/>
        <v>604</v>
      </c>
    </row>
    <row r="1518" spans="8:34" x14ac:dyDescent="0.25">
      <c r="H1518" s="7">
        <v>1525</v>
      </c>
      <c r="I1518" s="7" t="s">
        <v>10</v>
      </c>
      <c r="J1518" s="8">
        <v>38320</v>
      </c>
      <c r="K1518" s="12" t="s">
        <v>19</v>
      </c>
      <c r="L1518" s="9">
        <v>-8</v>
      </c>
      <c r="M1518" s="10">
        <v>-22.286591550898308</v>
      </c>
      <c r="N1518" s="7" t="s">
        <v>22</v>
      </c>
      <c r="P1518" s="29" t="str">
        <f t="shared" si="414"/>
        <v/>
      </c>
      <c r="Q1518" s="29" t="str">
        <f t="shared" si="415"/>
        <v/>
      </c>
      <c r="R1518" s="29" t="str">
        <f t="shared" si="416"/>
        <v/>
      </c>
      <c r="S1518" s="29">
        <f t="shared" si="417"/>
        <v>1</v>
      </c>
      <c r="T1518" s="32" t="str">
        <f t="shared" si="418"/>
        <v/>
      </c>
      <c r="U1518" s="32" t="str">
        <f t="shared" si="421"/>
        <v/>
      </c>
      <c r="V1518" s="32" t="str">
        <f t="shared" si="422"/>
        <v/>
      </c>
      <c r="W1518" s="41" t="str">
        <f t="shared" si="419"/>
        <v/>
      </c>
      <c r="X1518" s="6">
        <f t="shared" si="420"/>
        <v>0</v>
      </c>
      <c r="Y1518" s="7">
        <f t="shared" si="423"/>
        <v>567</v>
      </c>
      <c r="AA1518" s="7">
        <f t="shared" si="424"/>
        <v>0</v>
      </c>
      <c r="AB1518" s="7" t="str">
        <f t="shared" si="425"/>
        <v/>
      </c>
      <c r="AC1518" s="7">
        <f t="shared" si="426"/>
        <v>0</v>
      </c>
      <c r="AD1518" s="7" t="str">
        <f t="shared" si="427"/>
        <v/>
      </c>
      <c r="AE1518" s="6">
        <f t="shared" si="428"/>
        <v>-8</v>
      </c>
      <c r="AF1518" s="69" t="str">
        <f t="shared" si="429"/>
        <v/>
      </c>
      <c r="AG1518" s="6">
        <f t="shared" si="430"/>
        <v>0</v>
      </c>
      <c r="AH1518" s="6">
        <f t="shared" si="431"/>
        <v>604</v>
      </c>
    </row>
    <row r="1519" spans="8:34" x14ac:dyDescent="0.25">
      <c r="H1519" s="7">
        <v>1526</v>
      </c>
      <c r="I1519" s="7" t="s">
        <v>8</v>
      </c>
      <c r="J1519" s="8">
        <v>39013</v>
      </c>
      <c r="K1519" s="12" t="s">
        <v>16</v>
      </c>
      <c r="L1519" s="9">
        <v>20</v>
      </c>
      <c r="M1519" s="10">
        <v>61.782563000840952</v>
      </c>
      <c r="N1519" s="7" t="s">
        <v>23</v>
      </c>
      <c r="P1519" s="29" t="str">
        <f t="shared" si="414"/>
        <v/>
      </c>
      <c r="Q1519" s="29" t="str">
        <f t="shared" si="415"/>
        <v/>
      </c>
      <c r="R1519" s="29" t="str">
        <f t="shared" si="416"/>
        <v/>
      </c>
      <c r="S1519" s="29" t="str">
        <f t="shared" si="417"/>
        <v/>
      </c>
      <c r="T1519" s="32" t="str">
        <f t="shared" si="418"/>
        <v/>
      </c>
      <c r="U1519" s="32" t="str">
        <f t="shared" si="421"/>
        <v/>
      </c>
      <c r="V1519" s="32">
        <f t="shared" si="422"/>
        <v>1</v>
      </c>
      <c r="W1519" s="41">
        <f t="shared" si="419"/>
        <v>3.0891281500420478</v>
      </c>
      <c r="X1519" s="6">
        <f t="shared" si="420"/>
        <v>0</v>
      </c>
      <c r="Y1519" s="7">
        <f t="shared" si="423"/>
        <v>567</v>
      </c>
      <c r="AA1519" s="7">
        <f t="shared" si="424"/>
        <v>0</v>
      </c>
      <c r="AB1519" s="7" t="str">
        <f t="shared" si="425"/>
        <v/>
      </c>
      <c r="AC1519" s="7">
        <f t="shared" si="426"/>
        <v>0</v>
      </c>
      <c r="AD1519" s="7" t="str">
        <f t="shared" si="427"/>
        <v/>
      </c>
      <c r="AE1519" s="6">
        <f t="shared" si="428"/>
        <v>0</v>
      </c>
      <c r="AF1519" s="69">
        <f t="shared" si="429"/>
        <v>3.0891281500420478</v>
      </c>
      <c r="AG1519" s="6">
        <f t="shared" si="430"/>
        <v>0</v>
      </c>
      <c r="AH1519" s="6">
        <f t="shared" si="431"/>
        <v>604</v>
      </c>
    </row>
    <row r="1520" spans="8:34" x14ac:dyDescent="0.25">
      <c r="H1520" s="7">
        <v>1527</v>
      </c>
      <c r="I1520" s="7" t="s">
        <v>12</v>
      </c>
      <c r="J1520" s="8">
        <v>38540</v>
      </c>
      <c r="K1520" s="12" t="s">
        <v>17</v>
      </c>
      <c r="L1520" s="9">
        <v>25</v>
      </c>
      <c r="M1520" s="10">
        <v>76.800582511934167</v>
      </c>
      <c r="N1520" s="7" t="s">
        <v>23</v>
      </c>
      <c r="P1520" s="29" t="str">
        <f t="shared" si="414"/>
        <v/>
      </c>
      <c r="Q1520" s="29" t="str">
        <f t="shared" si="415"/>
        <v/>
      </c>
      <c r="R1520" s="29" t="str">
        <f t="shared" si="416"/>
        <v/>
      </c>
      <c r="S1520" s="29" t="str">
        <f t="shared" si="417"/>
        <v/>
      </c>
      <c r="T1520" s="32" t="str">
        <f t="shared" si="418"/>
        <v/>
      </c>
      <c r="U1520" s="32">
        <f t="shared" si="421"/>
        <v>1</v>
      </c>
      <c r="V1520" s="32" t="str">
        <f t="shared" si="422"/>
        <v/>
      </c>
      <c r="W1520" s="41">
        <f t="shared" si="419"/>
        <v>3.0720233004773667</v>
      </c>
      <c r="X1520" s="6">
        <f t="shared" si="420"/>
        <v>76.800582511934167</v>
      </c>
      <c r="Y1520" s="7">
        <f t="shared" si="423"/>
        <v>413</v>
      </c>
      <c r="AA1520" s="7">
        <f t="shared" si="424"/>
        <v>1</v>
      </c>
      <c r="AB1520" s="7">
        <f t="shared" si="425"/>
        <v>25</v>
      </c>
      <c r="AC1520" s="7">
        <f t="shared" si="426"/>
        <v>0</v>
      </c>
      <c r="AD1520" s="7" t="str">
        <f t="shared" si="427"/>
        <v/>
      </c>
      <c r="AE1520" s="6">
        <f t="shared" si="428"/>
        <v>0</v>
      </c>
      <c r="AF1520" s="69">
        <f t="shared" si="429"/>
        <v>3.0720233004773667</v>
      </c>
      <c r="AG1520" s="6">
        <f t="shared" si="430"/>
        <v>0</v>
      </c>
      <c r="AH1520" s="6">
        <f t="shared" si="431"/>
        <v>604</v>
      </c>
    </row>
    <row r="1521" spans="8:34" x14ac:dyDescent="0.25">
      <c r="H1521" s="7">
        <v>1528</v>
      </c>
      <c r="I1521" s="7" t="s">
        <v>7</v>
      </c>
      <c r="J1521" s="8">
        <v>39013</v>
      </c>
      <c r="K1521" s="12" t="s">
        <v>16</v>
      </c>
      <c r="L1521" s="9">
        <v>-6</v>
      </c>
      <c r="M1521" s="10">
        <v>-16.105946140968253</v>
      </c>
      <c r="N1521" s="7" t="s">
        <v>23</v>
      </c>
      <c r="P1521" s="29" t="str">
        <f t="shared" si="414"/>
        <v/>
      </c>
      <c r="Q1521" s="29" t="str">
        <f t="shared" si="415"/>
        <v/>
      </c>
      <c r="R1521" s="29" t="str">
        <f t="shared" si="416"/>
        <v/>
      </c>
      <c r="S1521" s="29" t="str">
        <f t="shared" si="417"/>
        <v/>
      </c>
      <c r="T1521" s="32" t="str">
        <f t="shared" si="418"/>
        <v/>
      </c>
      <c r="U1521" s="32" t="str">
        <f t="shared" si="421"/>
        <v/>
      </c>
      <c r="V1521" s="32">
        <f t="shared" si="422"/>
        <v>1</v>
      </c>
      <c r="W1521" s="41" t="str">
        <f t="shared" si="419"/>
        <v/>
      </c>
      <c r="X1521" s="6">
        <f t="shared" si="420"/>
        <v>0</v>
      </c>
      <c r="Y1521" s="7">
        <f t="shared" si="423"/>
        <v>567</v>
      </c>
      <c r="AA1521" s="7">
        <f t="shared" si="424"/>
        <v>0</v>
      </c>
      <c r="AB1521" s="7" t="str">
        <f t="shared" si="425"/>
        <v/>
      </c>
      <c r="AC1521" s="7">
        <f t="shared" si="426"/>
        <v>0</v>
      </c>
      <c r="AD1521" s="7" t="str">
        <f t="shared" si="427"/>
        <v/>
      </c>
      <c r="AE1521" s="6">
        <f t="shared" si="428"/>
        <v>-6</v>
      </c>
      <c r="AF1521" s="69" t="str">
        <f t="shared" si="429"/>
        <v/>
      </c>
      <c r="AG1521" s="6">
        <f t="shared" si="430"/>
        <v>0</v>
      </c>
      <c r="AH1521" s="6">
        <f t="shared" si="431"/>
        <v>604</v>
      </c>
    </row>
    <row r="1522" spans="8:34" x14ac:dyDescent="0.25">
      <c r="H1522" s="7">
        <v>1529</v>
      </c>
      <c r="I1522" s="7" t="s">
        <v>10</v>
      </c>
      <c r="J1522" s="8">
        <v>38925</v>
      </c>
      <c r="K1522" s="12" t="s">
        <v>17</v>
      </c>
      <c r="L1522" s="9">
        <v>88</v>
      </c>
      <c r="M1522" s="10">
        <v>266.77209888218033</v>
      </c>
      <c r="N1522" s="7" t="s">
        <v>22</v>
      </c>
      <c r="P1522" s="29" t="str">
        <f t="shared" si="414"/>
        <v/>
      </c>
      <c r="Q1522" s="29" t="str">
        <f t="shared" si="415"/>
        <v/>
      </c>
      <c r="R1522" s="29" t="str">
        <f t="shared" si="416"/>
        <v/>
      </c>
      <c r="S1522" s="29" t="str">
        <f t="shared" si="417"/>
        <v/>
      </c>
      <c r="T1522" s="32" t="str">
        <f t="shared" si="418"/>
        <v/>
      </c>
      <c r="U1522" s="32" t="str">
        <f t="shared" si="421"/>
        <v/>
      </c>
      <c r="V1522" s="32">
        <f t="shared" si="422"/>
        <v>1</v>
      </c>
      <c r="W1522" s="41">
        <f t="shared" si="419"/>
        <v>3.03150112366114</v>
      </c>
      <c r="X1522" s="6">
        <f t="shared" si="420"/>
        <v>0</v>
      </c>
      <c r="Y1522" s="7">
        <f t="shared" si="423"/>
        <v>567</v>
      </c>
      <c r="AA1522" s="7">
        <f t="shared" si="424"/>
        <v>0</v>
      </c>
      <c r="AB1522" s="7" t="str">
        <f t="shared" si="425"/>
        <v/>
      </c>
      <c r="AC1522" s="7">
        <f t="shared" si="426"/>
        <v>0</v>
      </c>
      <c r="AD1522" s="7" t="str">
        <f t="shared" si="427"/>
        <v/>
      </c>
      <c r="AE1522" s="6">
        <f t="shared" si="428"/>
        <v>0</v>
      </c>
      <c r="AF1522" s="69">
        <f t="shared" si="429"/>
        <v>3.03150112366114</v>
      </c>
      <c r="AG1522" s="6">
        <f t="shared" si="430"/>
        <v>0</v>
      </c>
      <c r="AH1522" s="6">
        <f t="shared" si="431"/>
        <v>604</v>
      </c>
    </row>
    <row r="1523" spans="8:34" x14ac:dyDescent="0.25">
      <c r="H1523" s="7">
        <v>1530</v>
      </c>
      <c r="I1523" s="7" t="s">
        <v>14</v>
      </c>
      <c r="J1523" s="8">
        <v>38859</v>
      </c>
      <c r="K1523" s="12" t="s">
        <v>16</v>
      </c>
      <c r="L1523" s="9">
        <v>62</v>
      </c>
      <c r="M1523" s="10">
        <v>187.54179752226122</v>
      </c>
      <c r="N1523" s="7" t="s">
        <v>21</v>
      </c>
      <c r="P1523" s="29" t="str">
        <f t="shared" si="414"/>
        <v/>
      </c>
      <c r="Q1523" s="29" t="str">
        <f t="shared" si="415"/>
        <v/>
      </c>
      <c r="R1523" s="29" t="str">
        <f t="shared" si="416"/>
        <v/>
      </c>
      <c r="S1523" s="29" t="str">
        <f t="shared" si="417"/>
        <v/>
      </c>
      <c r="T1523" s="32" t="str">
        <f t="shared" si="418"/>
        <v/>
      </c>
      <c r="U1523" s="32" t="str">
        <f t="shared" si="421"/>
        <v/>
      </c>
      <c r="V1523" s="32">
        <f t="shared" si="422"/>
        <v>1</v>
      </c>
      <c r="W1523" s="41">
        <f t="shared" si="419"/>
        <v>3.0248677019719552</v>
      </c>
      <c r="X1523" s="6">
        <f t="shared" si="420"/>
        <v>0</v>
      </c>
      <c r="Y1523" s="7">
        <f t="shared" si="423"/>
        <v>567</v>
      </c>
      <c r="AA1523" s="7">
        <f t="shared" si="424"/>
        <v>0</v>
      </c>
      <c r="AB1523" s="7" t="str">
        <f t="shared" si="425"/>
        <v/>
      </c>
      <c r="AC1523" s="7">
        <f t="shared" si="426"/>
        <v>0</v>
      </c>
      <c r="AD1523" s="7" t="str">
        <f t="shared" si="427"/>
        <v/>
      </c>
      <c r="AE1523" s="6">
        <f t="shared" si="428"/>
        <v>0</v>
      </c>
      <c r="AF1523" s="69">
        <f t="shared" si="429"/>
        <v>3.0248677019719552</v>
      </c>
      <c r="AG1523" s="6">
        <f t="shared" si="430"/>
        <v>0</v>
      </c>
      <c r="AH1523" s="6">
        <f t="shared" si="431"/>
        <v>604</v>
      </c>
    </row>
    <row r="1524" spans="8:34" x14ac:dyDescent="0.25">
      <c r="H1524" s="7">
        <v>1531</v>
      </c>
      <c r="I1524" s="7" t="s">
        <v>8</v>
      </c>
      <c r="J1524" s="8">
        <v>37990</v>
      </c>
      <c r="K1524" s="12" t="s">
        <v>19</v>
      </c>
      <c r="L1524" s="9">
        <v>80</v>
      </c>
      <c r="M1524" s="10">
        <v>242.16012405865823</v>
      </c>
      <c r="N1524" s="7" t="s">
        <v>21</v>
      </c>
      <c r="P1524" s="29">
        <f t="shared" si="414"/>
        <v>1</v>
      </c>
      <c r="Q1524" s="29" t="str">
        <f t="shared" si="415"/>
        <v/>
      </c>
      <c r="R1524" s="29" t="str">
        <f t="shared" si="416"/>
        <v/>
      </c>
      <c r="S1524" s="29" t="str">
        <f t="shared" si="417"/>
        <v/>
      </c>
      <c r="T1524" s="32" t="str">
        <f t="shared" si="418"/>
        <v/>
      </c>
      <c r="U1524" s="32" t="str">
        <f t="shared" si="421"/>
        <v/>
      </c>
      <c r="V1524" s="32" t="str">
        <f t="shared" si="422"/>
        <v/>
      </c>
      <c r="W1524" s="41">
        <f t="shared" si="419"/>
        <v>3.0270015507332277</v>
      </c>
      <c r="X1524" s="6">
        <f t="shared" si="420"/>
        <v>0</v>
      </c>
      <c r="Y1524" s="7">
        <f t="shared" si="423"/>
        <v>567</v>
      </c>
      <c r="AA1524" s="7">
        <f t="shared" si="424"/>
        <v>0</v>
      </c>
      <c r="AB1524" s="7" t="str">
        <f t="shared" si="425"/>
        <v/>
      </c>
      <c r="AC1524" s="7">
        <f t="shared" si="426"/>
        <v>0</v>
      </c>
      <c r="AD1524" s="7" t="str">
        <f t="shared" si="427"/>
        <v/>
      </c>
      <c r="AE1524" s="6">
        <f t="shared" si="428"/>
        <v>0</v>
      </c>
      <c r="AF1524" s="69">
        <f t="shared" si="429"/>
        <v>3.0270015507332277</v>
      </c>
      <c r="AG1524" s="6">
        <f t="shared" si="430"/>
        <v>242.16012405865823</v>
      </c>
      <c r="AH1524" s="6">
        <f t="shared" si="431"/>
        <v>83</v>
      </c>
    </row>
    <row r="1525" spans="8:34" x14ac:dyDescent="0.25">
      <c r="H1525" s="7">
        <v>1532</v>
      </c>
      <c r="I1525" s="7" t="s">
        <v>15</v>
      </c>
      <c r="J1525" s="8">
        <v>38056</v>
      </c>
      <c r="K1525" s="12" t="s">
        <v>19</v>
      </c>
      <c r="L1525" s="9">
        <v>66</v>
      </c>
      <c r="M1525" s="10">
        <v>199.70376718058844</v>
      </c>
      <c r="N1525" s="7" t="s">
        <v>23</v>
      </c>
      <c r="P1525" s="29">
        <f t="shared" si="414"/>
        <v>1</v>
      </c>
      <c r="Q1525" s="29" t="str">
        <f t="shared" si="415"/>
        <v/>
      </c>
      <c r="R1525" s="29" t="str">
        <f t="shared" si="416"/>
        <v/>
      </c>
      <c r="S1525" s="29" t="str">
        <f t="shared" si="417"/>
        <v/>
      </c>
      <c r="T1525" s="32" t="str">
        <f t="shared" si="418"/>
        <v/>
      </c>
      <c r="U1525" s="32" t="str">
        <f t="shared" si="421"/>
        <v/>
      </c>
      <c r="V1525" s="32" t="str">
        <f t="shared" si="422"/>
        <v/>
      </c>
      <c r="W1525" s="41">
        <f t="shared" si="419"/>
        <v>3.0258146542513402</v>
      </c>
      <c r="X1525" s="6">
        <f t="shared" si="420"/>
        <v>0</v>
      </c>
      <c r="Y1525" s="7">
        <f t="shared" si="423"/>
        <v>567</v>
      </c>
      <c r="AA1525" s="7">
        <f t="shared" si="424"/>
        <v>0</v>
      </c>
      <c r="AB1525" s="7" t="str">
        <f t="shared" si="425"/>
        <v/>
      </c>
      <c r="AC1525" s="7">
        <f t="shared" si="426"/>
        <v>0</v>
      </c>
      <c r="AD1525" s="7" t="str">
        <f t="shared" si="427"/>
        <v/>
      </c>
      <c r="AE1525" s="6">
        <f t="shared" si="428"/>
        <v>0</v>
      </c>
      <c r="AF1525" s="69">
        <f t="shared" si="429"/>
        <v>3.0258146542513402</v>
      </c>
      <c r="AG1525" s="6">
        <f t="shared" si="430"/>
        <v>199.70376718058844</v>
      </c>
      <c r="AH1525" s="6">
        <f t="shared" si="431"/>
        <v>176</v>
      </c>
    </row>
    <row r="1526" spans="8:34" x14ac:dyDescent="0.25">
      <c r="H1526" s="7">
        <v>1533</v>
      </c>
      <c r="I1526" s="7" t="s">
        <v>13</v>
      </c>
      <c r="J1526" s="8">
        <v>38298</v>
      </c>
      <c r="K1526" s="12" t="s">
        <v>18</v>
      </c>
      <c r="L1526" s="9">
        <v>34</v>
      </c>
      <c r="M1526" s="10">
        <v>104.44930690558964</v>
      </c>
      <c r="N1526" s="7" t="s">
        <v>23</v>
      </c>
      <c r="P1526" s="29" t="str">
        <f t="shared" si="414"/>
        <v/>
      </c>
      <c r="Q1526" s="29" t="str">
        <f t="shared" si="415"/>
        <v/>
      </c>
      <c r="R1526" s="29" t="str">
        <f t="shared" si="416"/>
        <v/>
      </c>
      <c r="S1526" s="29">
        <f t="shared" si="417"/>
        <v>1</v>
      </c>
      <c r="T1526" s="32" t="str">
        <f t="shared" si="418"/>
        <v/>
      </c>
      <c r="U1526" s="32" t="str">
        <f t="shared" si="421"/>
        <v/>
      </c>
      <c r="V1526" s="32" t="str">
        <f t="shared" si="422"/>
        <v/>
      </c>
      <c r="W1526" s="41">
        <f t="shared" si="419"/>
        <v>3.0720384383996953</v>
      </c>
      <c r="X1526" s="6">
        <f t="shared" si="420"/>
        <v>0</v>
      </c>
      <c r="Y1526" s="7">
        <f t="shared" si="423"/>
        <v>567</v>
      </c>
      <c r="AA1526" s="7">
        <f t="shared" si="424"/>
        <v>0</v>
      </c>
      <c r="AB1526" s="7" t="str">
        <f t="shared" si="425"/>
        <v/>
      </c>
      <c r="AC1526" s="7">
        <f t="shared" si="426"/>
        <v>0</v>
      </c>
      <c r="AD1526" s="7" t="str">
        <f t="shared" si="427"/>
        <v/>
      </c>
      <c r="AE1526" s="6">
        <f t="shared" si="428"/>
        <v>0</v>
      </c>
      <c r="AF1526" s="69">
        <f t="shared" si="429"/>
        <v>3.0720384383996953</v>
      </c>
      <c r="AG1526" s="6">
        <f t="shared" si="430"/>
        <v>104.44930690558964</v>
      </c>
      <c r="AH1526" s="6">
        <f t="shared" si="431"/>
        <v>361</v>
      </c>
    </row>
    <row r="1527" spans="8:34" x14ac:dyDescent="0.25">
      <c r="H1527" s="7">
        <v>1534</v>
      </c>
      <c r="I1527" s="7" t="s">
        <v>8</v>
      </c>
      <c r="J1527" s="8">
        <v>38331</v>
      </c>
      <c r="K1527" s="12" t="s">
        <v>16</v>
      </c>
      <c r="L1527" s="9">
        <v>49</v>
      </c>
      <c r="M1527" s="10">
        <v>149.81621502008079</v>
      </c>
      <c r="N1527" s="7" t="s">
        <v>22</v>
      </c>
      <c r="P1527" s="29" t="str">
        <f t="shared" si="414"/>
        <v/>
      </c>
      <c r="Q1527" s="29" t="str">
        <f t="shared" si="415"/>
        <v/>
      </c>
      <c r="R1527" s="29" t="str">
        <f t="shared" si="416"/>
        <v/>
      </c>
      <c r="S1527" s="29">
        <f t="shared" si="417"/>
        <v>1</v>
      </c>
      <c r="T1527" s="32" t="str">
        <f t="shared" si="418"/>
        <v/>
      </c>
      <c r="U1527" s="32" t="str">
        <f t="shared" si="421"/>
        <v/>
      </c>
      <c r="V1527" s="32" t="str">
        <f t="shared" si="422"/>
        <v/>
      </c>
      <c r="W1527" s="41">
        <f t="shared" si="419"/>
        <v>3.0574737759200161</v>
      </c>
      <c r="X1527" s="6">
        <f t="shared" si="420"/>
        <v>0</v>
      </c>
      <c r="Y1527" s="7">
        <f t="shared" si="423"/>
        <v>567</v>
      </c>
      <c r="AA1527" s="7">
        <f t="shared" si="424"/>
        <v>0</v>
      </c>
      <c r="AB1527" s="7" t="str">
        <f t="shared" si="425"/>
        <v/>
      </c>
      <c r="AC1527" s="7">
        <f t="shared" si="426"/>
        <v>0</v>
      </c>
      <c r="AD1527" s="7" t="str">
        <f t="shared" si="427"/>
        <v/>
      </c>
      <c r="AE1527" s="6">
        <f t="shared" si="428"/>
        <v>0</v>
      </c>
      <c r="AF1527" s="69">
        <f t="shared" si="429"/>
        <v>3.0574737759200161</v>
      </c>
      <c r="AG1527" s="6">
        <f t="shared" si="430"/>
        <v>149.81621502008079</v>
      </c>
      <c r="AH1527" s="6">
        <f t="shared" si="431"/>
        <v>273</v>
      </c>
    </row>
    <row r="1528" spans="8:34" x14ac:dyDescent="0.25">
      <c r="H1528" s="7">
        <v>1535</v>
      </c>
      <c r="I1528" s="7" t="s">
        <v>15</v>
      </c>
      <c r="J1528" s="8">
        <v>38188</v>
      </c>
      <c r="K1528" s="12" t="s">
        <v>17</v>
      </c>
      <c r="L1528" s="9">
        <v>45</v>
      </c>
      <c r="M1528" s="10">
        <v>136.92331868568616</v>
      </c>
      <c r="N1528" s="7" t="s">
        <v>21</v>
      </c>
      <c r="P1528" s="29" t="str">
        <f t="shared" si="414"/>
        <v/>
      </c>
      <c r="Q1528" s="29" t="str">
        <f t="shared" si="415"/>
        <v/>
      </c>
      <c r="R1528" s="29">
        <f t="shared" si="416"/>
        <v>1</v>
      </c>
      <c r="S1528" s="29" t="str">
        <f t="shared" si="417"/>
        <v/>
      </c>
      <c r="T1528" s="32" t="str">
        <f t="shared" si="418"/>
        <v/>
      </c>
      <c r="U1528" s="32" t="str">
        <f t="shared" si="421"/>
        <v/>
      </c>
      <c r="V1528" s="32" t="str">
        <f t="shared" si="422"/>
        <v/>
      </c>
      <c r="W1528" s="41">
        <f t="shared" si="419"/>
        <v>3.04274041523747</v>
      </c>
      <c r="X1528" s="6">
        <f t="shared" si="420"/>
        <v>0</v>
      </c>
      <c r="Y1528" s="7">
        <f t="shared" si="423"/>
        <v>567</v>
      </c>
      <c r="AA1528" s="7">
        <f t="shared" si="424"/>
        <v>0</v>
      </c>
      <c r="AB1528" s="7" t="str">
        <f t="shared" si="425"/>
        <v/>
      </c>
      <c r="AC1528" s="7">
        <f t="shared" si="426"/>
        <v>0</v>
      </c>
      <c r="AD1528" s="7" t="str">
        <f t="shared" si="427"/>
        <v/>
      </c>
      <c r="AE1528" s="6">
        <f t="shared" si="428"/>
        <v>0</v>
      </c>
      <c r="AF1528" s="69">
        <f t="shared" si="429"/>
        <v>3.04274041523747</v>
      </c>
      <c r="AG1528" s="6">
        <f t="shared" si="430"/>
        <v>136.92331868568616</v>
      </c>
      <c r="AH1528" s="6">
        <f t="shared" si="431"/>
        <v>307</v>
      </c>
    </row>
    <row r="1529" spans="8:34" x14ac:dyDescent="0.25">
      <c r="H1529" s="7">
        <v>1536</v>
      </c>
      <c r="I1529" s="7" t="s">
        <v>12</v>
      </c>
      <c r="J1529" s="8">
        <v>38705</v>
      </c>
      <c r="K1529" s="12" t="s">
        <v>18</v>
      </c>
      <c r="L1529" s="9">
        <v>16</v>
      </c>
      <c r="M1529" s="10">
        <v>49.650187557976459</v>
      </c>
      <c r="N1529" s="7" t="s">
        <v>23</v>
      </c>
      <c r="P1529" s="29" t="str">
        <f t="shared" si="414"/>
        <v/>
      </c>
      <c r="Q1529" s="29" t="str">
        <f t="shared" si="415"/>
        <v/>
      </c>
      <c r="R1529" s="29" t="str">
        <f t="shared" si="416"/>
        <v/>
      </c>
      <c r="S1529" s="29" t="str">
        <f t="shared" si="417"/>
        <v/>
      </c>
      <c r="T1529" s="32">
        <f t="shared" si="418"/>
        <v>1</v>
      </c>
      <c r="U1529" s="32">
        <f t="shared" si="421"/>
        <v>1</v>
      </c>
      <c r="V1529" s="32" t="str">
        <f t="shared" si="422"/>
        <v/>
      </c>
      <c r="W1529" s="41">
        <f t="shared" si="419"/>
        <v>3.1031367223735287</v>
      </c>
      <c r="X1529" s="6">
        <f t="shared" si="420"/>
        <v>49.650187557976459</v>
      </c>
      <c r="Y1529" s="7">
        <f t="shared" si="423"/>
        <v>462</v>
      </c>
      <c r="AA1529" s="7">
        <f t="shared" si="424"/>
        <v>0</v>
      </c>
      <c r="AB1529" s="7" t="str">
        <f t="shared" si="425"/>
        <v/>
      </c>
      <c r="AC1529" s="7">
        <f t="shared" si="426"/>
        <v>1</v>
      </c>
      <c r="AD1529" s="7">
        <f t="shared" si="427"/>
        <v>16</v>
      </c>
      <c r="AE1529" s="6">
        <f t="shared" si="428"/>
        <v>0</v>
      </c>
      <c r="AF1529" s="69">
        <f t="shared" si="429"/>
        <v>3.1031367223735287</v>
      </c>
      <c r="AG1529" s="6">
        <f t="shared" si="430"/>
        <v>0</v>
      </c>
      <c r="AH1529" s="6">
        <f t="shared" si="431"/>
        <v>604</v>
      </c>
    </row>
    <row r="1530" spans="8:34" x14ac:dyDescent="0.25">
      <c r="H1530" s="7">
        <v>1537</v>
      </c>
      <c r="I1530" s="7" t="s">
        <v>14</v>
      </c>
      <c r="J1530" s="8">
        <v>38584</v>
      </c>
      <c r="K1530" s="12" t="s">
        <v>19</v>
      </c>
      <c r="L1530" s="9">
        <v>45</v>
      </c>
      <c r="M1530" s="10">
        <v>136.63786720901078</v>
      </c>
      <c r="N1530" s="7" t="s">
        <v>23</v>
      </c>
      <c r="P1530" s="29" t="str">
        <f t="shared" si="414"/>
        <v/>
      </c>
      <c r="Q1530" s="29" t="str">
        <f t="shared" si="415"/>
        <v/>
      </c>
      <c r="R1530" s="29" t="str">
        <f t="shared" si="416"/>
        <v/>
      </c>
      <c r="S1530" s="29" t="str">
        <f t="shared" si="417"/>
        <v/>
      </c>
      <c r="T1530" s="32" t="str">
        <f t="shared" si="418"/>
        <v/>
      </c>
      <c r="U1530" s="32">
        <f t="shared" si="421"/>
        <v>1</v>
      </c>
      <c r="V1530" s="32" t="str">
        <f t="shared" si="422"/>
        <v/>
      </c>
      <c r="W1530" s="41">
        <f t="shared" si="419"/>
        <v>3.0363970490891283</v>
      </c>
      <c r="X1530" s="6">
        <f t="shared" si="420"/>
        <v>136.63786720901078</v>
      </c>
      <c r="Y1530" s="7">
        <f t="shared" si="423"/>
        <v>298</v>
      </c>
      <c r="AA1530" s="7">
        <f t="shared" si="424"/>
        <v>1</v>
      </c>
      <c r="AB1530" s="7">
        <f t="shared" si="425"/>
        <v>45</v>
      </c>
      <c r="AC1530" s="7">
        <f t="shared" si="426"/>
        <v>0</v>
      </c>
      <c r="AD1530" s="7" t="str">
        <f t="shared" si="427"/>
        <v/>
      </c>
      <c r="AE1530" s="6">
        <f t="shared" si="428"/>
        <v>0</v>
      </c>
      <c r="AF1530" s="69">
        <f t="shared" si="429"/>
        <v>3.0363970490891283</v>
      </c>
      <c r="AG1530" s="6">
        <f t="shared" si="430"/>
        <v>0</v>
      </c>
      <c r="AH1530" s="6">
        <f t="shared" si="431"/>
        <v>604</v>
      </c>
    </row>
    <row r="1531" spans="8:34" x14ac:dyDescent="0.25">
      <c r="H1531" s="7">
        <v>1538</v>
      </c>
      <c r="I1531" s="7" t="s">
        <v>9</v>
      </c>
      <c r="J1531" s="8">
        <v>38155</v>
      </c>
      <c r="K1531" s="12" t="s">
        <v>16</v>
      </c>
      <c r="L1531" s="9">
        <v>1</v>
      </c>
      <c r="M1531" s="10">
        <v>5.7263479599581428</v>
      </c>
      <c r="N1531" s="7" t="s">
        <v>22</v>
      </c>
      <c r="P1531" s="29" t="str">
        <f t="shared" si="414"/>
        <v/>
      </c>
      <c r="Q1531" s="29">
        <f t="shared" si="415"/>
        <v>1</v>
      </c>
      <c r="R1531" s="29" t="str">
        <f t="shared" si="416"/>
        <v/>
      </c>
      <c r="S1531" s="29" t="str">
        <f t="shared" si="417"/>
        <v/>
      </c>
      <c r="T1531" s="32" t="str">
        <f t="shared" si="418"/>
        <v/>
      </c>
      <c r="U1531" s="32" t="str">
        <f t="shared" si="421"/>
        <v/>
      </c>
      <c r="V1531" s="32" t="str">
        <f t="shared" si="422"/>
        <v/>
      </c>
      <c r="W1531" s="41">
        <f t="shared" si="419"/>
        <v>5.7263479599581428</v>
      </c>
      <c r="X1531" s="6">
        <f t="shared" si="420"/>
        <v>0</v>
      </c>
      <c r="Y1531" s="7">
        <f t="shared" si="423"/>
        <v>567</v>
      </c>
      <c r="AA1531" s="7">
        <f t="shared" si="424"/>
        <v>0</v>
      </c>
      <c r="AB1531" s="7" t="str">
        <f t="shared" si="425"/>
        <v/>
      </c>
      <c r="AC1531" s="7">
        <f t="shared" si="426"/>
        <v>0</v>
      </c>
      <c r="AD1531" s="7" t="str">
        <f t="shared" si="427"/>
        <v/>
      </c>
      <c r="AE1531" s="6">
        <f t="shared" si="428"/>
        <v>0</v>
      </c>
      <c r="AF1531" s="69">
        <f t="shared" si="429"/>
        <v>5.7263479599581428</v>
      </c>
      <c r="AG1531" s="6">
        <f t="shared" si="430"/>
        <v>5.7263479599581428</v>
      </c>
      <c r="AH1531" s="6">
        <f t="shared" si="431"/>
        <v>591</v>
      </c>
    </row>
    <row r="1532" spans="8:34" x14ac:dyDescent="0.25">
      <c r="H1532" s="7">
        <v>1539</v>
      </c>
      <c r="I1532" s="7" t="s">
        <v>15</v>
      </c>
      <c r="J1532" s="8">
        <v>38562</v>
      </c>
      <c r="K1532" s="12" t="s">
        <v>20</v>
      </c>
      <c r="L1532" s="9">
        <v>33</v>
      </c>
      <c r="M1532" s="10">
        <v>100.97055324855179</v>
      </c>
      <c r="N1532" s="7" t="s">
        <v>21</v>
      </c>
      <c r="P1532" s="29" t="str">
        <f t="shared" si="414"/>
        <v/>
      </c>
      <c r="Q1532" s="29" t="str">
        <f t="shared" si="415"/>
        <v/>
      </c>
      <c r="R1532" s="29" t="str">
        <f t="shared" si="416"/>
        <v/>
      </c>
      <c r="S1532" s="29" t="str">
        <f t="shared" si="417"/>
        <v/>
      </c>
      <c r="T1532" s="32" t="str">
        <f t="shared" si="418"/>
        <v/>
      </c>
      <c r="U1532" s="32">
        <f t="shared" si="421"/>
        <v>1</v>
      </c>
      <c r="V1532" s="32" t="str">
        <f t="shared" si="422"/>
        <v/>
      </c>
      <c r="W1532" s="41">
        <f t="shared" si="419"/>
        <v>3.0597137348045997</v>
      </c>
      <c r="X1532" s="6">
        <f t="shared" si="420"/>
        <v>100.97055324855179</v>
      </c>
      <c r="Y1532" s="7">
        <f t="shared" si="423"/>
        <v>361</v>
      </c>
      <c r="AA1532" s="7">
        <f t="shared" si="424"/>
        <v>1</v>
      </c>
      <c r="AB1532" s="7">
        <f t="shared" si="425"/>
        <v>33</v>
      </c>
      <c r="AC1532" s="7">
        <f t="shared" si="426"/>
        <v>0</v>
      </c>
      <c r="AD1532" s="7" t="str">
        <f t="shared" si="427"/>
        <v/>
      </c>
      <c r="AE1532" s="6">
        <f t="shared" si="428"/>
        <v>0</v>
      </c>
      <c r="AF1532" s="69">
        <f t="shared" si="429"/>
        <v>3.0597137348045997</v>
      </c>
      <c r="AG1532" s="6">
        <f t="shared" si="430"/>
        <v>0</v>
      </c>
      <c r="AH1532" s="6">
        <f t="shared" si="431"/>
        <v>604</v>
      </c>
    </row>
    <row r="1533" spans="8:34" x14ac:dyDescent="0.25">
      <c r="H1533" s="7">
        <v>1540</v>
      </c>
      <c r="I1533" s="7" t="s">
        <v>8</v>
      </c>
      <c r="J1533" s="8">
        <v>38595</v>
      </c>
      <c r="K1533" s="12" t="s">
        <v>19</v>
      </c>
      <c r="L1533" s="9">
        <v>37</v>
      </c>
      <c r="M1533" s="10">
        <v>113.03930108234786</v>
      </c>
      <c r="N1533" s="7" t="s">
        <v>21</v>
      </c>
      <c r="P1533" s="29" t="str">
        <f t="shared" si="414"/>
        <v/>
      </c>
      <c r="Q1533" s="29" t="str">
        <f t="shared" si="415"/>
        <v/>
      </c>
      <c r="R1533" s="29" t="str">
        <f t="shared" si="416"/>
        <v/>
      </c>
      <c r="S1533" s="29" t="str">
        <f t="shared" si="417"/>
        <v/>
      </c>
      <c r="T1533" s="32" t="str">
        <f t="shared" si="418"/>
        <v/>
      </c>
      <c r="U1533" s="32">
        <f t="shared" si="421"/>
        <v>1</v>
      </c>
      <c r="V1533" s="32" t="str">
        <f t="shared" si="422"/>
        <v/>
      </c>
      <c r="W1533" s="41">
        <f t="shared" si="419"/>
        <v>3.0551162454688612</v>
      </c>
      <c r="X1533" s="6">
        <f t="shared" si="420"/>
        <v>113.03930108234786</v>
      </c>
      <c r="Y1533" s="7">
        <f t="shared" si="423"/>
        <v>333</v>
      </c>
      <c r="AA1533" s="7">
        <f t="shared" si="424"/>
        <v>1</v>
      </c>
      <c r="AB1533" s="7">
        <f t="shared" si="425"/>
        <v>37</v>
      </c>
      <c r="AC1533" s="7">
        <f t="shared" si="426"/>
        <v>0</v>
      </c>
      <c r="AD1533" s="7" t="str">
        <f t="shared" si="427"/>
        <v/>
      </c>
      <c r="AE1533" s="6">
        <f t="shared" si="428"/>
        <v>0</v>
      </c>
      <c r="AF1533" s="69">
        <f t="shared" si="429"/>
        <v>3.0551162454688612</v>
      </c>
      <c r="AG1533" s="6">
        <f t="shared" si="430"/>
        <v>0</v>
      </c>
      <c r="AH1533" s="6">
        <f t="shared" si="431"/>
        <v>604</v>
      </c>
    </row>
    <row r="1534" spans="8:34" x14ac:dyDescent="0.25">
      <c r="H1534" s="7">
        <v>1541</v>
      </c>
      <c r="I1534" s="7" t="s">
        <v>9</v>
      </c>
      <c r="J1534" s="8">
        <v>38540</v>
      </c>
      <c r="K1534" s="12" t="s">
        <v>16</v>
      </c>
      <c r="L1534" s="9">
        <v>46</v>
      </c>
      <c r="M1534" s="10">
        <v>139.33709070957588</v>
      </c>
      <c r="N1534" s="7" t="s">
        <v>23</v>
      </c>
      <c r="P1534" s="29" t="str">
        <f t="shared" si="414"/>
        <v/>
      </c>
      <c r="Q1534" s="29" t="str">
        <f t="shared" si="415"/>
        <v/>
      </c>
      <c r="R1534" s="29" t="str">
        <f t="shared" si="416"/>
        <v/>
      </c>
      <c r="S1534" s="29" t="str">
        <f t="shared" si="417"/>
        <v/>
      </c>
      <c r="T1534" s="32" t="str">
        <f t="shared" si="418"/>
        <v/>
      </c>
      <c r="U1534" s="32">
        <f t="shared" si="421"/>
        <v>1</v>
      </c>
      <c r="V1534" s="32" t="str">
        <f t="shared" si="422"/>
        <v/>
      </c>
      <c r="W1534" s="41">
        <f t="shared" si="419"/>
        <v>3.0290671893386061</v>
      </c>
      <c r="X1534" s="6">
        <f t="shared" si="420"/>
        <v>139.33709070957588</v>
      </c>
      <c r="Y1534" s="7">
        <f t="shared" si="423"/>
        <v>290</v>
      </c>
      <c r="AA1534" s="7">
        <f t="shared" si="424"/>
        <v>1</v>
      </c>
      <c r="AB1534" s="7">
        <f t="shared" si="425"/>
        <v>46</v>
      </c>
      <c r="AC1534" s="7">
        <f t="shared" si="426"/>
        <v>0</v>
      </c>
      <c r="AD1534" s="7" t="str">
        <f t="shared" si="427"/>
        <v/>
      </c>
      <c r="AE1534" s="6">
        <f t="shared" si="428"/>
        <v>0</v>
      </c>
      <c r="AF1534" s="69">
        <f t="shared" si="429"/>
        <v>3.0290671893386061</v>
      </c>
      <c r="AG1534" s="6">
        <f t="shared" si="430"/>
        <v>0</v>
      </c>
      <c r="AH1534" s="6">
        <f t="shared" si="431"/>
        <v>604</v>
      </c>
    </row>
    <row r="1535" spans="8:34" x14ac:dyDescent="0.25">
      <c r="H1535" s="7">
        <v>1542</v>
      </c>
      <c r="I1535" s="7" t="s">
        <v>7</v>
      </c>
      <c r="J1535" s="8">
        <v>38023</v>
      </c>
      <c r="K1535" s="12" t="s">
        <v>18</v>
      </c>
      <c r="L1535" s="9">
        <v>71</v>
      </c>
      <c r="M1535" s="10">
        <v>215.35016800732583</v>
      </c>
      <c r="N1535" s="7" t="s">
        <v>21</v>
      </c>
      <c r="P1535" s="29">
        <f t="shared" si="414"/>
        <v>1</v>
      </c>
      <c r="Q1535" s="29" t="str">
        <f t="shared" si="415"/>
        <v/>
      </c>
      <c r="R1535" s="29" t="str">
        <f t="shared" si="416"/>
        <v/>
      </c>
      <c r="S1535" s="29" t="str">
        <f t="shared" si="417"/>
        <v/>
      </c>
      <c r="T1535" s="32" t="str">
        <f t="shared" si="418"/>
        <v/>
      </c>
      <c r="U1535" s="32" t="str">
        <f t="shared" si="421"/>
        <v/>
      </c>
      <c r="V1535" s="32" t="str">
        <f t="shared" si="422"/>
        <v/>
      </c>
      <c r="W1535" s="41">
        <f t="shared" si="419"/>
        <v>3.0331009578496597</v>
      </c>
      <c r="X1535" s="6">
        <f t="shared" si="420"/>
        <v>0</v>
      </c>
      <c r="Y1535" s="7">
        <f t="shared" si="423"/>
        <v>567</v>
      </c>
      <c r="AA1535" s="7">
        <f t="shared" si="424"/>
        <v>0</v>
      </c>
      <c r="AB1535" s="7" t="str">
        <f t="shared" si="425"/>
        <v/>
      </c>
      <c r="AC1535" s="7">
        <f t="shared" si="426"/>
        <v>0</v>
      </c>
      <c r="AD1535" s="7" t="str">
        <f t="shared" si="427"/>
        <v/>
      </c>
      <c r="AE1535" s="6">
        <f t="shared" si="428"/>
        <v>0</v>
      </c>
      <c r="AF1535" s="69">
        <f t="shared" si="429"/>
        <v>3.0331009578496597</v>
      </c>
      <c r="AG1535" s="6">
        <f t="shared" si="430"/>
        <v>215.35016800732583</v>
      </c>
      <c r="AH1535" s="6">
        <f t="shared" si="431"/>
        <v>145</v>
      </c>
    </row>
    <row r="1536" spans="8:34" x14ac:dyDescent="0.25">
      <c r="H1536" s="7">
        <v>1543</v>
      </c>
      <c r="I1536" s="7" t="s">
        <v>10</v>
      </c>
      <c r="J1536" s="8">
        <v>38320</v>
      </c>
      <c r="K1536" s="12" t="s">
        <v>20</v>
      </c>
      <c r="L1536" s="9">
        <v>59</v>
      </c>
      <c r="M1536" s="10">
        <v>179.11705650607632</v>
      </c>
      <c r="N1536" s="7" t="s">
        <v>23</v>
      </c>
      <c r="P1536" s="29" t="str">
        <f t="shared" si="414"/>
        <v/>
      </c>
      <c r="Q1536" s="29" t="str">
        <f t="shared" si="415"/>
        <v/>
      </c>
      <c r="R1536" s="29" t="str">
        <f t="shared" si="416"/>
        <v/>
      </c>
      <c r="S1536" s="29">
        <f t="shared" si="417"/>
        <v>1</v>
      </c>
      <c r="T1536" s="32" t="str">
        <f t="shared" si="418"/>
        <v/>
      </c>
      <c r="U1536" s="32" t="str">
        <f t="shared" si="421"/>
        <v/>
      </c>
      <c r="V1536" s="32" t="str">
        <f t="shared" si="422"/>
        <v/>
      </c>
      <c r="W1536" s="41">
        <f t="shared" si="419"/>
        <v>3.0358823136623108</v>
      </c>
      <c r="X1536" s="6">
        <f t="shared" si="420"/>
        <v>0</v>
      </c>
      <c r="Y1536" s="7">
        <f t="shared" si="423"/>
        <v>567</v>
      </c>
      <c r="AA1536" s="7">
        <f t="shared" si="424"/>
        <v>0</v>
      </c>
      <c r="AB1536" s="7" t="str">
        <f t="shared" si="425"/>
        <v/>
      </c>
      <c r="AC1536" s="7">
        <f t="shared" si="426"/>
        <v>0</v>
      </c>
      <c r="AD1536" s="7" t="str">
        <f t="shared" si="427"/>
        <v/>
      </c>
      <c r="AE1536" s="6">
        <f t="shared" si="428"/>
        <v>0</v>
      </c>
      <c r="AF1536" s="69">
        <f t="shared" si="429"/>
        <v>3.0358823136623108</v>
      </c>
      <c r="AG1536" s="6">
        <f t="shared" si="430"/>
        <v>179.11705650607632</v>
      </c>
      <c r="AH1536" s="6">
        <f t="shared" si="431"/>
        <v>222</v>
      </c>
    </row>
    <row r="1537" spans="8:34" x14ac:dyDescent="0.25">
      <c r="H1537" s="7">
        <v>1544</v>
      </c>
      <c r="I1537" s="7" t="s">
        <v>10</v>
      </c>
      <c r="J1537" s="8">
        <v>38463</v>
      </c>
      <c r="K1537" s="12" t="s">
        <v>19</v>
      </c>
      <c r="L1537" s="9">
        <v>84</v>
      </c>
      <c r="M1537" s="10">
        <v>253.54108298185832</v>
      </c>
      <c r="N1537" s="7" t="s">
        <v>23</v>
      </c>
      <c r="P1537" s="29" t="str">
        <f t="shared" si="414"/>
        <v/>
      </c>
      <c r="Q1537" s="29" t="str">
        <f t="shared" si="415"/>
        <v/>
      </c>
      <c r="R1537" s="29" t="str">
        <f t="shared" si="416"/>
        <v/>
      </c>
      <c r="S1537" s="29" t="str">
        <f t="shared" si="417"/>
        <v/>
      </c>
      <c r="T1537" s="32" t="str">
        <f t="shared" si="418"/>
        <v/>
      </c>
      <c r="U1537" s="32">
        <f t="shared" si="421"/>
        <v>1</v>
      </c>
      <c r="V1537" s="32" t="str">
        <f t="shared" si="422"/>
        <v/>
      </c>
      <c r="W1537" s="41">
        <f t="shared" si="419"/>
        <v>3.0183462259745037</v>
      </c>
      <c r="X1537" s="6">
        <f t="shared" si="420"/>
        <v>253.54108298185832</v>
      </c>
      <c r="Y1537" s="7">
        <f t="shared" si="423"/>
        <v>75</v>
      </c>
      <c r="AA1537" s="7">
        <f t="shared" si="424"/>
        <v>0</v>
      </c>
      <c r="AB1537" s="7" t="str">
        <f t="shared" si="425"/>
        <v/>
      </c>
      <c r="AC1537" s="7">
        <f t="shared" si="426"/>
        <v>1</v>
      </c>
      <c r="AD1537" s="7">
        <f t="shared" si="427"/>
        <v>84</v>
      </c>
      <c r="AE1537" s="6">
        <f t="shared" si="428"/>
        <v>0</v>
      </c>
      <c r="AF1537" s="69">
        <f t="shared" si="429"/>
        <v>3.0183462259745037</v>
      </c>
      <c r="AG1537" s="6">
        <f t="shared" si="430"/>
        <v>0</v>
      </c>
      <c r="AH1537" s="6">
        <f t="shared" si="431"/>
        <v>604</v>
      </c>
    </row>
    <row r="1538" spans="8:34" x14ac:dyDescent="0.25">
      <c r="H1538" s="7">
        <v>1545</v>
      </c>
      <c r="I1538" s="7" t="s">
        <v>10</v>
      </c>
      <c r="J1538" s="8">
        <v>38892</v>
      </c>
      <c r="K1538" s="12" t="s">
        <v>16</v>
      </c>
      <c r="L1538" s="9">
        <v>91</v>
      </c>
      <c r="M1538" s="10">
        <v>274.23356541008826</v>
      </c>
      <c r="N1538" s="7" t="s">
        <v>23</v>
      </c>
      <c r="P1538" s="29" t="str">
        <f t="shared" si="414"/>
        <v/>
      </c>
      <c r="Q1538" s="29" t="str">
        <f t="shared" si="415"/>
        <v/>
      </c>
      <c r="R1538" s="29" t="str">
        <f t="shared" si="416"/>
        <v/>
      </c>
      <c r="S1538" s="29" t="str">
        <f t="shared" si="417"/>
        <v/>
      </c>
      <c r="T1538" s="32" t="str">
        <f t="shared" si="418"/>
        <v/>
      </c>
      <c r="U1538" s="32" t="str">
        <f t="shared" si="421"/>
        <v/>
      </c>
      <c r="V1538" s="32">
        <f t="shared" si="422"/>
        <v>1</v>
      </c>
      <c r="W1538" s="41">
        <f t="shared" si="419"/>
        <v>3.0135556638471237</v>
      </c>
      <c r="X1538" s="6">
        <f t="shared" si="420"/>
        <v>0</v>
      </c>
      <c r="Y1538" s="7">
        <f t="shared" si="423"/>
        <v>567</v>
      </c>
      <c r="AA1538" s="7">
        <f t="shared" si="424"/>
        <v>0</v>
      </c>
      <c r="AB1538" s="7" t="str">
        <f t="shared" si="425"/>
        <v/>
      </c>
      <c r="AC1538" s="7">
        <f t="shared" si="426"/>
        <v>0</v>
      </c>
      <c r="AD1538" s="7" t="str">
        <f t="shared" si="427"/>
        <v/>
      </c>
      <c r="AE1538" s="6">
        <f t="shared" si="428"/>
        <v>0</v>
      </c>
      <c r="AF1538" s="69">
        <f t="shared" si="429"/>
        <v>3.0135556638471237</v>
      </c>
      <c r="AG1538" s="6">
        <f t="shared" si="430"/>
        <v>0</v>
      </c>
      <c r="AH1538" s="6">
        <f t="shared" si="431"/>
        <v>604</v>
      </c>
    </row>
    <row r="1539" spans="8:34" x14ac:dyDescent="0.25">
      <c r="H1539" s="7">
        <v>1546</v>
      </c>
      <c r="I1539" s="7" t="s">
        <v>12</v>
      </c>
      <c r="J1539" s="8">
        <v>38056</v>
      </c>
      <c r="K1539" s="12" t="s">
        <v>17</v>
      </c>
      <c r="L1539" s="9">
        <v>33</v>
      </c>
      <c r="M1539" s="10">
        <v>100.22871812086524</v>
      </c>
      <c r="N1539" s="7" t="s">
        <v>23</v>
      </c>
      <c r="P1539" s="29">
        <f t="shared" ref="P1539:P1602" si="432">IF(AND((MONTH(J1539))&lt;4,YEAR(J1539)=2004),1,"")</f>
        <v>1</v>
      </c>
      <c r="Q1539" s="29" t="str">
        <f t="shared" ref="Q1539:Q1602" si="433">IF(AND(3&lt;(MONTH(J1539)),(MONTH(J1539)&lt;7),YEAR(J1539)=2004),1,"")</f>
        <v/>
      </c>
      <c r="R1539" s="29" t="str">
        <f t="shared" ref="R1539:R1602" si="434">IF(AND(6&lt;(MONTH(J1539)),(MONTH(J1539)&lt;10),YEAR(J1539)=2004),1,"")</f>
        <v/>
      </c>
      <c r="S1539" s="29" t="str">
        <f t="shared" ref="S1539:S1602" si="435">IF(AND(9&lt;(MONTH(J1539)),(MONTH(J1539)&lt;13),YEAR(J1539)=2004),1,"")</f>
        <v/>
      </c>
      <c r="T1539" s="32" t="str">
        <f t="shared" ref="T1539:T1602" si="436">IF(AND((9&lt;MONTH(J1539)),YEAR(J1539)=2005),1,"")</f>
        <v/>
      </c>
      <c r="U1539" s="32" t="str">
        <f t="shared" si="421"/>
        <v/>
      </c>
      <c r="V1539" s="32" t="str">
        <f t="shared" si="422"/>
        <v/>
      </c>
      <c r="W1539" s="41">
        <f t="shared" ref="W1539:W1602" si="437">IF(L1539&gt;0,M1539/L1539,"")</f>
        <v>3.0372338824504617</v>
      </c>
      <c r="X1539" s="6">
        <f t="shared" ref="X1539:X1602" si="438">IF(U1539=1,M1539,0)</f>
        <v>0</v>
      </c>
      <c r="Y1539" s="7">
        <f t="shared" si="423"/>
        <v>567</v>
      </c>
      <c r="AA1539" s="7">
        <f t="shared" si="424"/>
        <v>0</v>
      </c>
      <c r="AB1539" s="7" t="str">
        <f t="shared" si="425"/>
        <v/>
      </c>
      <c r="AC1539" s="7">
        <f t="shared" si="426"/>
        <v>0</v>
      </c>
      <c r="AD1539" s="7" t="str">
        <f t="shared" si="427"/>
        <v/>
      </c>
      <c r="AE1539" s="6">
        <f t="shared" si="428"/>
        <v>0</v>
      </c>
      <c r="AF1539" s="69">
        <f t="shared" si="429"/>
        <v>3.0372338824504617</v>
      </c>
      <c r="AG1539" s="6">
        <f t="shared" si="430"/>
        <v>100.22871812086524</v>
      </c>
      <c r="AH1539" s="6">
        <f t="shared" si="431"/>
        <v>375</v>
      </c>
    </row>
    <row r="1540" spans="8:34" x14ac:dyDescent="0.25">
      <c r="H1540" s="7">
        <v>1547</v>
      </c>
      <c r="I1540" s="7" t="s">
        <v>15</v>
      </c>
      <c r="J1540" s="8">
        <v>38342</v>
      </c>
      <c r="K1540" s="12" t="s">
        <v>16</v>
      </c>
      <c r="L1540" s="9">
        <v>34</v>
      </c>
      <c r="M1540" s="10">
        <v>104.04142923037654</v>
      </c>
      <c r="N1540" s="7" t="s">
        <v>24</v>
      </c>
      <c r="P1540" s="29" t="str">
        <f t="shared" si="432"/>
        <v/>
      </c>
      <c r="Q1540" s="29" t="str">
        <f t="shared" si="433"/>
        <v/>
      </c>
      <c r="R1540" s="29" t="str">
        <f t="shared" si="434"/>
        <v/>
      </c>
      <c r="S1540" s="29">
        <f t="shared" si="435"/>
        <v>1</v>
      </c>
      <c r="T1540" s="32" t="str">
        <f t="shared" si="436"/>
        <v/>
      </c>
      <c r="U1540" s="32" t="str">
        <f t="shared" ref="U1540:U1603" si="439">IF(YEAR(J1540)=2005,1,"")</f>
        <v/>
      </c>
      <c r="V1540" s="32" t="str">
        <f t="shared" ref="V1540:V1603" si="440">IF(YEAR(J1540)=2006,1,"")</f>
        <v/>
      </c>
      <c r="W1540" s="41">
        <f t="shared" si="437"/>
        <v>3.0600420361875451</v>
      </c>
      <c r="X1540" s="6">
        <f t="shared" si="438"/>
        <v>0</v>
      </c>
      <c r="Y1540" s="7">
        <f t="shared" ref="Y1540:Y1603" si="441">RANK(X1540,$X$3:$X$1893)</f>
        <v>567</v>
      </c>
      <c r="AA1540" s="7">
        <f t="shared" ref="AA1540:AA1603" si="442">IF(AND(OR((MONTH(J1540))=1,(MONTH(J1540))=2,(MONTH(J1540))=3,(MONTH(J1540))=7,(MONTH(J1540))=8,(MONTH(J1540))=9),YEAR(J1540)=2005),1,0)</f>
        <v>0</v>
      </c>
      <c r="AB1540" s="7" t="str">
        <f t="shared" ref="AB1540:AB1603" si="443">IF(AA1540=1,L1540,"")</f>
        <v/>
      </c>
      <c r="AC1540" s="7">
        <f t="shared" ref="AC1540:AC1603" si="444">IF(AND(OR((MONTH(J1540))=4,(MONTH(J1540))=5,(MONTH(J1540))=6,(MONTH(J1540))=10,(MONTH(J1540))=11,(MONTH(J1540))=12),YEAR(J1540)=2005),1,0)</f>
        <v>0</v>
      </c>
      <c r="AD1540" s="7" t="str">
        <f t="shared" ref="AD1540:AD1603" si="445">IF(AC1540=1,L1540,"")</f>
        <v/>
      </c>
      <c r="AE1540" s="6">
        <f t="shared" ref="AE1540:AE1603" si="446">IF(L1540&lt;0,L1540,0)</f>
        <v>0</v>
      </c>
      <c r="AF1540" s="69">
        <f t="shared" ref="AF1540:AF1603" si="447">IF(L1540&gt;0,W1540,"")</f>
        <v>3.0600420361875451</v>
      </c>
      <c r="AG1540" s="6">
        <f t="shared" ref="AG1540:AG1603" si="448">IF(AND((M1540&gt;0),(YEAR(J1540)=2004)),M1540,0)</f>
        <v>104.04142923037654</v>
      </c>
      <c r="AH1540" s="6">
        <f t="shared" ref="AH1540:AH1603" si="449">RANK(AG1540,$AG$3:$AG$1893)</f>
        <v>364</v>
      </c>
    </row>
    <row r="1541" spans="8:34" x14ac:dyDescent="0.25">
      <c r="H1541" s="7">
        <v>1548</v>
      </c>
      <c r="I1541" s="7" t="s">
        <v>10</v>
      </c>
      <c r="J1541" s="8">
        <v>39013</v>
      </c>
      <c r="K1541" s="12" t="s">
        <v>17</v>
      </c>
      <c r="L1541" s="9">
        <v>1</v>
      </c>
      <c r="M1541" s="10">
        <v>5.3199136076983713</v>
      </c>
      <c r="N1541" s="7" t="s">
        <v>23</v>
      </c>
      <c r="P1541" s="29" t="str">
        <f t="shared" si="432"/>
        <v/>
      </c>
      <c r="Q1541" s="29" t="str">
        <f t="shared" si="433"/>
        <v/>
      </c>
      <c r="R1541" s="29" t="str">
        <f t="shared" si="434"/>
        <v/>
      </c>
      <c r="S1541" s="29" t="str">
        <f t="shared" si="435"/>
        <v/>
      </c>
      <c r="T1541" s="32" t="str">
        <f t="shared" si="436"/>
        <v/>
      </c>
      <c r="U1541" s="32" t="str">
        <f t="shared" si="439"/>
        <v/>
      </c>
      <c r="V1541" s="32">
        <f t="shared" si="440"/>
        <v>1</v>
      </c>
      <c r="W1541" s="41">
        <f t="shared" si="437"/>
        <v>5.3199136076983713</v>
      </c>
      <c r="X1541" s="6">
        <f t="shared" si="438"/>
        <v>0</v>
      </c>
      <c r="Y1541" s="7">
        <f t="shared" si="441"/>
        <v>567</v>
      </c>
      <c r="AA1541" s="7">
        <f t="shared" si="442"/>
        <v>0</v>
      </c>
      <c r="AB1541" s="7" t="str">
        <f t="shared" si="443"/>
        <v/>
      </c>
      <c r="AC1541" s="7">
        <f t="shared" si="444"/>
        <v>0</v>
      </c>
      <c r="AD1541" s="7" t="str">
        <f t="shared" si="445"/>
        <v/>
      </c>
      <c r="AE1541" s="6">
        <f t="shared" si="446"/>
        <v>0</v>
      </c>
      <c r="AF1541" s="69">
        <f t="shared" si="447"/>
        <v>5.3199136076983713</v>
      </c>
      <c r="AG1541" s="6">
        <f t="shared" si="448"/>
        <v>0</v>
      </c>
      <c r="AH1541" s="6">
        <f t="shared" si="449"/>
        <v>604</v>
      </c>
    </row>
    <row r="1542" spans="8:34" x14ac:dyDescent="0.25">
      <c r="H1542" s="7">
        <v>1549</v>
      </c>
      <c r="I1542" s="7" t="s">
        <v>8</v>
      </c>
      <c r="J1542" s="8">
        <v>38045</v>
      </c>
      <c r="K1542" s="12" t="s">
        <v>16</v>
      </c>
      <c r="L1542" s="9">
        <v>42</v>
      </c>
      <c r="M1542" s="10">
        <v>128.72768952762647</v>
      </c>
      <c r="N1542" s="7" t="s">
        <v>23</v>
      </c>
      <c r="P1542" s="29">
        <f t="shared" si="432"/>
        <v>1</v>
      </c>
      <c r="Q1542" s="29" t="str">
        <f t="shared" si="433"/>
        <v/>
      </c>
      <c r="R1542" s="29" t="str">
        <f t="shared" si="434"/>
        <v/>
      </c>
      <c r="S1542" s="29" t="str">
        <f t="shared" si="435"/>
        <v/>
      </c>
      <c r="T1542" s="32" t="str">
        <f t="shared" si="436"/>
        <v/>
      </c>
      <c r="U1542" s="32" t="str">
        <f t="shared" si="439"/>
        <v/>
      </c>
      <c r="V1542" s="32" t="str">
        <f t="shared" si="440"/>
        <v/>
      </c>
      <c r="W1542" s="41">
        <f t="shared" si="437"/>
        <v>3.0649449887530111</v>
      </c>
      <c r="X1542" s="6">
        <f t="shared" si="438"/>
        <v>0</v>
      </c>
      <c r="Y1542" s="7">
        <f t="shared" si="441"/>
        <v>567</v>
      </c>
      <c r="AA1542" s="7">
        <f t="shared" si="442"/>
        <v>0</v>
      </c>
      <c r="AB1542" s="7" t="str">
        <f t="shared" si="443"/>
        <v/>
      </c>
      <c r="AC1542" s="7">
        <f t="shared" si="444"/>
        <v>0</v>
      </c>
      <c r="AD1542" s="7" t="str">
        <f t="shared" si="445"/>
        <v/>
      </c>
      <c r="AE1542" s="6">
        <f t="shared" si="446"/>
        <v>0</v>
      </c>
      <c r="AF1542" s="69">
        <f t="shared" si="447"/>
        <v>3.0649449887530111</v>
      </c>
      <c r="AG1542" s="6">
        <f t="shared" si="448"/>
        <v>128.72768952762647</v>
      </c>
      <c r="AH1542" s="6">
        <f t="shared" si="449"/>
        <v>319</v>
      </c>
    </row>
    <row r="1543" spans="8:34" x14ac:dyDescent="0.25">
      <c r="H1543" s="7">
        <v>1550</v>
      </c>
      <c r="I1543" s="7" t="s">
        <v>15</v>
      </c>
      <c r="J1543" s="8">
        <v>38705</v>
      </c>
      <c r="K1543" s="12" t="s">
        <v>16</v>
      </c>
      <c r="L1543" s="9">
        <v>45</v>
      </c>
      <c r="M1543" s="10">
        <v>137.92982227055688</v>
      </c>
      <c r="N1543" s="7" t="s">
        <v>24</v>
      </c>
      <c r="P1543" s="29" t="str">
        <f t="shared" si="432"/>
        <v/>
      </c>
      <c r="Q1543" s="29" t="str">
        <f t="shared" si="433"/>
        <v/>
      </c>
      <c r="R1543" s="29" t="str">
        <f t="shared" si="434"/>
        <v/>
      </c>
      <c r="S1543" s="29" t="str">
        <f t="shared" si="435"/>
        <v/>
      </c>
      <c r="T1543" s="32">
        <f t="shared" si="436"/>
        <v>1</v>
      </c>
      <c r="U1543" s="32">
        <f t="shared" si="439"/>
        <v>1</v>
      </c>
      <c r="V1543" s="32" t="str">
        <f t="shared" si="440"/>
        <v/>
      </c>
      <c r="W1543" s="41">
        <f t="shared" si="437"/>
        <v>3.0651071615679308</v>
      </c>
      <c r="X1543" s="6">
        <f t="shared" si="438"/>
        <v>137.92982227055688</v>
      </c>
      <c r="Y1543" s="7">
        <f t="shared" si="441"/>
        <v>291</v>
      </c>
      <c r="AA1543" s="7">
        <f t="shared" si="442"/>
        <v>0</v>
      </c>
      <c r="AB1543" s="7" t="str">
        <f t="shared" si="443"/>
        <v/>
      </c>
      <c r="AC1543" s="7">
        <f t="shared" si="444"/>
        <v>1</v>
      </c>
      <c r="AD1543" s="7">
        <f t="shared" si="445"/>
        <v>45</v>
      </c>
      <c r="AE1543" s="6">
        <f t="shared" si="446"/>
        <v>0</v>
      </c>
      <c r="AF1543" s="69">
        <f t="shared" si="447"/>
        <v>3.0651071615679308</v>
      </c>
      <c r="AG1543" s="6">
        <f t="shared" si="448"/>
        <v>0</v>
      </c>
      <c r="AH1543" s="6">
        <f t="shared" si="449"/>
        <v>604</v>
      </c>
    </row>
    <row r="1544" spans="8:34" x14ac:dyDescent="0.25">
      <c r="H1544" s="7">
        <v>1551</v>
      </c>
      <c r="I1544" s="7" t="s">
        <v>13</v>
      </c>
      <c r="J1544" s="8">
        <v>38276</v>
      </c>
      <c r="K1544" s="12" t="s">
        <v>17</v>
      </c>
      <c r="L1544" s="9">
        <v>26</v>
      </c>
      <c r="M1544" s="10">
        <v>80.031587793648399</v>
      </c>
      <c r="N1544" s="7" t="s">
        <v>24</v>
      </c>
      <c r="P1544" s="29" t="str">
        <f t="shared" si="432"/>
        <v/>
      </c>
      <c r="Q1544" s="29" t="str">
        <f t="shared" si="433"/>
        <v/>
      </c>
      <c r="R1544" s="29" t="str">
        <f t="shared" si="434"/>
        <v/>
      </c>
      <c r="S1544" s="29">
        <f t="shared" si="435"/>
        <v>1</v>
      </c>
      <c r="T1544" s="32" t="str">
        <f t="shared" si="436"/>
        <v/>
      </c>
      <c r="U1544" s="32" t="str">
        <f t="shared" si="439"/>
        <v/>
      </c>
      <c r="V1544" s="32" t="str">
        <f t="shared" si="440"/>
        <v/>
      </c>
      <c r="W1544" s="41">
        <f t="shared" si="437"/>
        <v>3.0781379920633998</v>
      </c>
      <c r="X1544" s="6">
        <f t="shared" si="438"/>
        <v>0</v>
      </c>
      <c r="Y1544" s="7">
        <f t="shared" si="441"/>
        <v>567</v>
      </c>
      <c r="AA1544" s="7">
        <f t="shared" si="442"/>
        <v>0</v>
      </c>
      <c r="AB1544" s="7" t="str">
        <f t="shared" si="443"/>
        <v/>
      </c>
      <c r="AC1544" s="7">
        <f t="shared" si="444"/>
        <v>0</v>
      </c>
      <c r="AD1544" s="7" t="str">
        <f t="shared" si="445"/>
        <v/>
      </c>
      <c r="AE1544" s="6">
        <f t="shared" si="446"/>
        <v>0</v>
      </c>
      <c r="AF1544" s="69">
        <f t="shared" si="447"/>
        <v>3.0781379920633998</v>
      </c>
      <c r="AG1544" s="6">
        <f t="shared" si="448"/>
        <v>80.031587793648399</v>
      </c>
      <c r="AH1544" s="6">
        <f t="shared" si="449"/>
        <v>422</v>
      </c>
    </row>
    <row r="1545" spans="8:34" x14ac:dyDescent="0.25">
      <c r="H1545" s="7">
        <v>1552</v>
      </c>
      <c r="I1545" s="7" t="s">
        <v>9</v>
      </c>
      <c r="J1545" s="8">
        <v>38012</v>
      </c>
      <c r="K1545" s="12" t="s">
        <v>16</v>
      </c>
      <c r="L1545" s="9">
        <v>72</v>
      </c>
      <c r="M1545" s="10">
        <v>218.32830582807657</v>
      </c>
      <c r="N1545" s="7" t="s">
        <v>21</v>
      </c>
      <c r="P1545" s="29">
        <f t="shared" si="432"/>
        <v>1</v>
      </c>
      <c r="Q1545" s="29" t="str">
        <f t="shared" si="433"/>
        <v/>
      </c>
      <c r="R1545" s="29" t="str">
        <f t="shared" si="434"/>
        <v/>
      </c>
      <c r="S1545" s="29" t="str">
        <f t="shared" si="435"/>
        <v/>
      </c>
      <c r="T1545" s="32" t="str">
        <f t="shared" si="436"/>
        <v/>
      </c>
      <c r="U1545" s="32" t="str">
        <f t="shared" si="439"/>
        <v/>
      </c>
      <c r="V1545" s="32" t="str">
        <f t="shared" si="440"/>
        <v/>
      </c>
      <c r="W1545" s="41">
        <f t="shared" si="437"/>
        <v>3.0323375809455078</v>
      </c>
      <c r="X1545" s="6">
        <f t="shared" si="438"/>
        <v>0</v>
      </c>
      <c r="Y1545" s="7">
        <f t="shared" si="441"/>
        <v>567</v>
      </c>
      <c r="AA1545" s="7">
        <f t="shared" si="442"/>
        <v>0</v>
      </c>
      <c r="AB1545" s="7" t="str">
        <f t="shared" si="443"/>
        <v/>
      </c>
      <c r="AC1545" s="7">
        <f t="shared" si="444"/>
        <v>0</v>
      </c>
      <c r="AD1545" s="7" t="str">
        <f t="shared" si="445"/>
        <v/>
      </c>
      <c r="AE1545" s="6">
        <f t="shared" si="446"/>
        <v>0</v>
      </c>
      <c r="AF1545" s="69">
        <f t="shared" si="447"/>
        <v>3.0323375809455078</v>
      </c>
      <c r="AG1545" s="6">
        <f t="shared" si="448"/>
        <v>218.32830582807657</v>
      </c>
      <c r="AH1545" s="6">
        <f t="shared" si="449"/>
        <v>136</v>
      </c>
    </row>
    <row r="1546" spans="8:34" x14ac:dyDescent="0.25">
      <c r="H1546" s="7">
        <v>1553</v>
      </c>
      <c r="I1546" s="7" t="s">
        <v>10</v>
      </c>
      <c r="J1546" s="8">
        <v>38925</v>
      </c>
      <c r="K1546" s="12" t="s">
        <v>16</v>
      </c>
      <c r="L1546" s="9">
        <v>-5</v>
      </c>
      <c r="M1546" s="10">
        <v>-13.390709583317436</v>
      </c>
      <c r="N1546" s="7" t="s">
        <v>23</v>
      </c>
      <c r="P1546" s="29" t="str">
        <f t="shared" si="432"/>
        <v/>
      </c>
      <c r="Q1546" s="29" t="str">
        <f t="shared" si="433"/>
        <v/>
      </c>
      <c r="R1546" s="29" t="str">
        <f t="shared" si="434"/>
        <v/>
      </c>
      <c r="S1546" s="29" t="str">
        <f t="shared" si="435"/>
        <v/>
      </c>
      <c r="T1546" s="32" t="str">
        <f t="shared" si="436"/>
        <v/>
      </c>
      <c r="U1546" s="32" t="str">
        <f t="shared" si="439"/>
        <v/>
      </c>
      <c r="V1546" s="32">
        <f t="shared" si="440"/>
        <v>1</v>
      </c>
      <c r="W1546" s="41" t="str">
        <f t="shared" si="437"/>
        <v/>
      </c>
      <c r="X1546" s="6">
        <f t="shared" si="438"/>
        <v>0</v>
      </c>
      <c r="Y1546" s="7">
        <f t="shared" si="441"/>
        <v>567</v>
      </c>
      <c r="AA1546" s="7">
        <f t="shared" si="442"/>
        <v>0</v>
      </c>
      <c r="AB1546" s="7" t="str">
        <f t="shared" si="443"/>
        <v/>
      </c>
      <c r="AC1546" s="7">
        <f t="shared" si="444"/>
        <v>0</v>
      </c>
      <c r="AD1546" s="7" t="str">
        <f t="shared" si="445"/>
        <v/>
      </c>
      <c r="AE1546" s="6">
        <f t="shared" si="446"/>
        <v>-5</v>
      </c>
      <c r="AF1546" s="69" t="str">
        <f t="shared" si="447"/>
        <v/>
      </c>
      <c r="AG1546" s="6">
        <f t="shared" si="448"/>
        <v>0</v>
      </c>
      <c r="AH1546" s="6">
        <f t="shared" si="449"/>
        <v>604</v>
      </c>
    </row>
    <row r="1547" spans="8:34" x14ac:dyDescent="0.25">
      <c r="H1547" s="7">
        <v>1554</v>
      </c>
      <c r="I1547" s="7" t="s">
        <v>11</v>
      </c>
      <c r="J1547" s="8">
        <v>38067</v>
      </c>
      <c r="K1547" s="12" t="s">
        <v>18</v>
      </c>
      <c r="L1547" s="9">
        <v>31</v>
      </c>
      <c r="M1547" s="10">
        <v>94.662914692651583</v>
      </c>
      <c r="N1547" s="7" t="s">
        <v>21</v>
      </c>
      <c r="P1547" s="29">
        <f t="shared" si="432"/>
        <v>1</v>
      </c>
      <c r="Q1547" s="29" t="str">
        <f t="shared" si="433"/>
        <v/>
      </c>
      <c r="R1547" s="29" t="str">
        <f t="shared" si="434"/>
        <v/>
      </c>
      <c r="S1547" s="29" t="str">
        <f t="shared" si="435"/>
        <v/>
      </c>
      <c r="T1547" s="32" t="str">
        <f t="shared" si="436"/>
        <v/>
      </c>
      <c r="U1547" s="32" t="str">
        <f t="shared" si="439"/>
        <v/>
      </c>
      <c r="V1547" s="32" t="str">
        <f t="shared" si="440"/>
        <v/>
      </c>
      <c r="W1547" s="41">
        <f t="shared" si="437"/>
        <v>3.0536424094403736</v>
      </c>
      <c r="X1547" s="6">
        <f t="shared" si="438"/>
        <v>0</v>
      </c>
      <c r="Y1547" s="7">
        <f t="shared" si="441"/>
        <v>567</v>
      </c>
      <c r="AA1547" s="7">
        <f t="shared" si="442"/>
        <v>0</v>
      </c>
      <c r="AB1547" s="7" t="str">
        <f t="shared" si="443"/>
        <v/>
      </c>
      <c r="AC1547" s="7">
        <f t="shared" si="444"/>
        <v>0</v>
      </c>
      <c r="AD1547" s="7" t="str">
        <f t="shared" si="445"/>
        <v/>
      </c>
      <c r="AE1547" s="6">
        <f t="shared" si="446"/>
        <v>0</v>
      </c>
      <c r="AF1547" s="69">
        <f t="shared" si="447"/>
        <v>3.0536424094403736</v>
      </c>
      <c r="AG1547" s="6">
        <f t="shared" si="448"/>
        <v>94.662914692651583</v>
      </c>
      <c r="AH1547" s="6">
        <f t="shared" si="449"/>
        <v>387</v>
      </c>
    </row>
    <row r="1548" spans="8:34" x14ac:dyDescent="0.25">
      <c r="H1548" s="7">
        <v>1555</v>
      </c>
      <c r="I1548" s="7" t="s">
        <v>15</v>
      </c>
      <c r="J1548" s="8">
        <v>37990</v>
      </c>
      <c r="K1548" s="12" t="s">
        <v>17</v>
      </c>
      <c r="L1548" s="9">
        <v>48</v>
      </c>
      <c r="M1548" s="10">
        <v>145.90859800554551</v>
      </c>
      <c r="N1548" s="7" t="s">
        <v>21</v>
      </c>
      <c r="P1548" s="29">
        <f t="shared" si="432"/>
        <v>1</v>
      </c>
      <c r="Q1548" s="29" t="str">
        <f t="shared" si="433"/>
        <v/>
      </c>
      <c r="R1548" s="29" t="str">
        <f t="shared" si="434"/>
        <v/>
      </c>
      <c r="S1548" s="29" t="str">
        <f t="shared" si="435"/>
        <v/>
      </c>
      <c r="T1548" s="32" t="str">
        <f t="shared" si="436"/>
        <v/>
      </c>
      <c r="U1548" s="32" t="str">
        <f t="shared" si="439"/>
        <v/>
      </c>
      <c r="V1548" s="32" t="str">
        <f t="shared" si="440"/>
        <v/>
      </c>
      <c r="W1548" s="41">
        <f t="shared" si="437"/>
        <v>3.0397624584488647</v>
      </c>
      <c r="X1548" s="6">
        <f t="shared" si="438"/>
        <v>0</v>
      </c>
      <c r="Y1548" s="7">
        <f t="shared" si="441"/>
        <v>567</v>
      </c>
      <c r="AA1548" s="7">
        <f t="shared" si="442"/>
        <v>0</v>
      </c>
      <c r="AB1548" s="7" t="str">
        <f t="shared" si="443"/>
        <v/>
      </c>
      <c r="AC1548" s="7">
        <f t="shared" si="444"/>
        <v>0</v>
      </c>
      <c r="AD1548" s="7" t="str">
        <f t="shared" si="445"/>
        <v/>
      </c>
      <c r="AE1548" s="6">
        <f t="shared" si="446"/>
        <v>0</v>
      </c>
      <c r="AF1548" s="69">
        <f t="shared" si="447"/>
        <v>3.0397624584488647</v>
      </c>
      <c r="AG1548" s="6">
        <f t="shared" si="448"/>
        <v>145.90859800554551</v>
      </c>
      <c r="AH1548" s="6">
        <f t="shared" si="449"/>
        <v>279</v>
      </c>
    </row>
    <row r="1549" spans="8:34" x14ac:dyDescent="0.25">
      <c r="H1549" s="7">
        <v>1556</v>
      </c>
      <c r="I1549" s="7" t="s">
        <v>11</v>
      </c>
      <c r="J1549" s="8">
        <v>39024</v>
      </c>
      <c r="K1549" s="12" t="s">
        <v>20</v>
      </c>
      <c r="L1549" s="9">
        <v>84</v>
      </c>
      <c r="M1549" s="10">
        <v>253.59713370537463</v>
      </c>
      <c r="N1549" s="7" t="s">
        <v>22</v>
      </c>
      <c r="P1549" s="29" t="str">
        <f t="shared" si="432"/>
        <v/>
      </c>
      <c r="Q1549" s="29" t="str">
        <f t="shared" si="433"/>
        <v/>
      </c>
      <c r="R1549" s="29" t="str">
        <f t="shared" si="434"/>
        <v/>
      </c>
      <c r="S1549" s="29" t="str">
        <f t="shared" si="435"/>
        <v/>
      </c>
      <c r="T1549" s="32" t="str">
        <f t="shared" si="436"/>
        <v/>
      </c>
      <c r="U1549" s="32" t="str">
        <f t="shared" si="439"/>
        <v/>
      </c>
      <c r="V1549" s="32">
        <f t="shared" si="440"/>
        <v>1</v>
      </c>
      <c r="W1549" s="41">
        <f t="shared" si="437"/>
        <v>3.0190134964925552</v>
      </c>
      <c r="X1549" s="6">
        <f t="shared" si="438"/>
        <v>0</v>
      </c>
      <c r="Y1549" s="7">
        <f t="shared" si="441"/>
        <v>567</v>
      </c>
      <c r="AA1549" s="7">
        <f t="shared" si="442"/>
        <v>0</v>
      </c>
      <c r="AB1549" s="7" t="str">
        <f t="shared" si="443"/>
        <v/>
      </c>
      <c r="AC1549" s="7">
        <f t="shared" si="444"/>
        <v>0</v>
      </c>
      <c r="AD1549" s="7" t="str">
        <f t="shared" si="445"/>
        <v/>
      </c>
      <c r="AE1549" s="6">
        <f t="shared" si="446"/>
        <v>0</v>
      </c>
      <c r="AF1549" s="69">
        <f t="shared" si="447"/>
        <v>3.0190134964925552</v>
      </c>
      <c r="AG1549" s="6">
        <f t="shared" si="448"/>
        <v>0</v>
      </c>
      <c r="AH1549" s="6">
        <f t="shared" si="449"/>
        <v>604</v>
      </c>
    </row>
    <row r="1550" spans="8:34" x14ac:dyDescent="0.25">
      <c r="H1550" s="7">
        <v>1557</v>
      </c>
      <c r="I1550" s="7" t="s">
        <v>10</v>
      </c>
      <c r="J1550" s="8">
        <v>38771</v>
      </c>
      <c r="K1550" s="12" t="s">
        <v>16</v>
      </c>
      <c r="L1550" s="9">
        <v>54</v>
      </c>
      <c r="M1550" s="10">
        <v>163.89560832413773</v>
      </c>
      <c r="N1550" s="7" t="s">
        <v>21</v>
      </c>
      <c r="P1550" s="29" t="str">
        <f t="shared" si="432"/>
        <v/>
      </c>
      <c r="Q1550" s="29" t="str">
        <f t="shared" si="433"/>
        <v/>
      </c>
      <c r="R1550" s="29" t="str">
        <f t="shared" si="434"/>
        <v/>
      </c>
      <c r="S1550" s="29" t="str">
        <f t="shared" si="435"/>
        <v/>
      </c>
      <c r="T1550" s="32" t="str">
        <f t="shared" si="436"/>
        <v/>
      </c>
      <c r="U1550" s="32" t="str">
        <f t="shared" si="439"/>
        <v/>
      </c>
      <c r="V1550" s="32">
        <f t="shared" si="440"/>
        <v>1</v>
      </c>
      <c r="W1550" s="41">
        <f t="shared" si="437"/>
        <v>3.0351038578544025</v>
      </c>
      <c r="X1550" s="6">
        <f t="shared" si="438"/>
        <v>0</v>
      </c>
      <c r="Y1550" s="7">
        <f t="shared" si="441"/>
        <v>567</v>
      </c>
      <c r="AA1550" s="7">
        <f t="shared" si="442"/>
        <v>0</v>
      </c>
      <c r="AB1550" s="7" t="str">
        <f t="shared" si="443"/>
        <v/>
      </c>
      <c r="AC1550" s="7">
        <f t="shared" si="444"/>
        <v>0</v>
      </c>
      <c r="AD1550" s="7" t="str">
        <f t="shared" si="445"/>
        <v/>
      </c>
      <c r="AE1550" s="6">
        <f t="shared" si="446"/>
        <v>0</v>
      </c>
      <c r="AF1550" s="69">
        <f t="shared" si="447"/>
        <v>3.0351038578544025</v>
      </c>
      <c r="AG1550" s="6">
        <f t="shared" si="448"/>
        <v>0</v>
      </c>
      <c r="AH1550" s="6">
        <f t="shared" si="449"/>
        <v>604</v>
      </c>
    </row>
    <row r="1551" spans="8:34" x14ac:dyDescent="0.25">
      <c r="H1551" s="7">
        <v>1558</v>
      </c>
      <c r="I1551" s="7" t="s">
        <v>11</v>
      </c>
      <c r="J1551" s="8">
        <v>38001</v>
      </c>
      <c r="K1551" s="12" t="s">
        <v>20</v>
      </c>
      <c r="L1551" s="9">
        <v>44</v>
      </c>
      <c r="M1551" s="10">
        <v>134.18925327531994</v>
      </c>
      <c r="N1551" s="7" t="s">
        <v>23</v>
      </c>
      <c r="P1551" s="29">
        <f t="shared" si="432"/>
        <v>1</v>
      </c>
      <c r="Q1551" s="29" t="str">
        <f t="shared" si="433"/>
        <v/>
      </c>
      <c r="R1551" s="29" t="str">
        <f t="shared" si="434"/>
        <v/>
      </c>
      <c r="S1551" s="29" t="str">
        <f t="shared" si="435"/>
        <v/>
      </c>
      <c r="T1551" s="32" t="str">
        <f t="shared" si="436"/>
        <v/>
      </c>
      <c r="U1551" s="32" t="str">
        <f t="shared" si="439"/>
        <v/>
      </c>
      <c r="V1551" s="32" t="str">
        <f t="shared" si="440"/>
        <v/>
      </c>
      <c r="W1551" s="41">
        <f t="shared" si="437"/>
        <v>3.0497557562572712</v>
      </c>
      <c r="X1551" s="6">
        <f t="shared" si="438"/>
        <v>0</v>
      </c>
      <c r="Y1551" s="7">
        <f t="shared" si="441"/>
        <v>567</v>
      </c>
      <c r="AA1551" s="7">
        <f t="shared" si="442"/>
        <v>0</v>
      </c>
      <c r="AB1551" s="7" t="str">
        <f t="shared" si="443"/>
        <v/>
      </c>
      <c r="AC1551" s="7">
        <f t="shared" si="444"/>
        <v>0</v>
      </c>
      <c r="AD1551" s="7" t="str">
        <f t="shared" si="445"/>
        <v/>
      </c>
      <c r="AE1551" s="6">
        <f t="shared" si="446"/>
        <v>0</v>
      </c>
      <c r="AF1551" s="69">
        <f t="shared" si="447"/>
        <v>3.0497557562572712</v>
      </c>
      <c r="AG1551" s="6">
        <f t="shared" si="448"/>
        <v>134.18925327531994</v>
      </c>
      <c r="AH1551" s="6">
        <f t="shared" si="449"/>
        <v>309</v>
      </c>
    </row>
    <row r="1552" spans="8:34" x14ac:dyDescent="0.25">
      <c r="H1552" s="7">
        <v>1559</v>
      </c>
      <c r="I1552" s="7" t="s">
        <v>12</v>
      </c>
      <c r="J1552" s="8">
        <v>38287</v>
      </c>
      <c r="K1552" s="12" t="s">
        <v>17</v>
      </c>
      <c r="L1552" s="9">
        <v>40</v>
      </c>
      <c r="M1552" s="10">
        <v>122.05331563226824</v>
      </c>
      <c r="N1552" s="7" t="s">
        <v>21</v>
      </c>
      <c r="P1552" s="29" t="str">
        <f t="shared" si="432"/>
        <v/>
      </c>
      <c r="Q1552" s="29" t="str">
        <f t="shared" si="433"/>
        <v/>
      </c>
      <c r="R1552" s="29" t="str">
        <f t="shared" si="434"/>
        <v/>
      </c>
      <c r="S1552" s="29">
        <f t="shared" si="435"/>
        <v>1</v>
      </c>
      <c r="T1552" s="32" t="str">
        <f t="shared" si="436"/>
        <v/>
      </c>
      <c r="U1552" s="32" t="str">
        <f t="shared" si="439"/>
        <v/>
      </c>
      <c r="V1552" s="32" t="str">
        <f t="shared" si="440"/>
        <v/>
      </c>
      <c r="W1552" s="41">
        <f t="shared" si="437"/>
        <v>3.0513328908067061</v>
      </c>
      <c r="X1552" s="6">
        <f t="shared" si="438"/>
        <v>0</v>
      </c>
      <c r="Y1552" s="7">
        <f t="shared" si="441"/>
        <v>567</v>
      </c>
      <c r="AA1552" s="7">
        <f t="shared" si="442"/>
        <v>0</v>
      </c>
      <c r="AB1552" s="7" t="str">
        <f t="shared" si="443"/>
        <v/>
      </c>
      <c r="AC1552" s="7">
        <f t="shared" si="444"/>
        <v>0</v>
      </c>
      <c r="AD1552" s="7" t="str">
        <f t="shared" si="445"/>
        <v/>
      </c>
      <c r="AE1552" s="6">
        <f t="shared" si="446"/>
        <v>0</v>
      </c>
      <c r="AF1552" s="69">
        <f t="shared" si="447"/>
        <v>3.0513328908067061</v>
      </c>
      <c r="AG1552" s="6">
        <f t="shared" si="448"/>
        <v>122.05331563226824</v>
      </c>
      <c r="AH1552" s="6">
        <f t="shared" si="449"/>
        <v>329</v>
      </c>
    </row>
    <row r="1553" spans="8:34" x14ac:dyDescent="0.25">
      <c r="H1553" s="7">
        <v>1560</v>
      </c>
      <c r="I1553" s="7" t="s">
        <v>7</v>
      </c>
      <c r="J1553" s="8">
        <v>38595</v>
      </c>
      <c r="K1553" s="12" t="s">
        <v>17</v>
      </c>
      <c r="L1553" s="9">
        <v>25</v>
      </c>
      <c r="M1553" s="10">
        <v>76.896265241705308</v>
      </c>
      <c r="N1553" s="7" t="s">
        <v>23</v>
      </c>
      <c r="P1553" s="29" t="str">
        <f t="shared" si="432"/>
        <v/>
      </c>
      <c r="Q1553" s="29" t="str">
        <f t="shared" si="433"/>
        <v/>
      </c>
      <c r="R1553" s="29" t="str">
        <f t="shared" si="434"/>
        <v/>
      </c>
      <c r="S1553" s="29" t="str">
        <f t="shared" si="435"/>
        <v/>
      </c>
      <c r="T1553" s="32" t="str">
        <f t="shared" si="436"/>
        <v/>
      </c>
      <c r="U1553" s="32">
        <f t="shared" si="439"/>
        <v>1</v>
      </c>
      <c r="V1553" s="32" t="str">
        <f t="shared" si="440"/>
        <v/>
      </c>
      <c r="W1553" s="41">
        <f t="shared" si="437"/>
        <v>3.0758506096682123</v>
      </c>
      <c r="X1553" s="6">
        <f t="shared" si="438"/>
        <v>76.896265241705308</v>
      </c>
      <c r="Y1553" s="7">
        <f t="shared" si="441"/>
        <v>412</v>
      </c>
      <c r="AA1553" s="7">
        <f t="shared" si="442"/>
        <v>1</v>
      </c>
      <c r="AB1553" s="7">
        <f t="shared" si="443"/>
        <v>25</v>
      </c>
      <c r="AC1553" s="7">
        <f t="shared" si="444"/>
        <v>0</v>
      </c>
      <c r="AD1553" s="7" t="str">
        <f t="shared" si="445"/>
        <v/>
      </c>
      <c r="AE1553" s="6">
        <f t="shared" si="446"/>
        <v>0</v>
      </c>
      <c r="AF1553" s="69">
        <f t="shared" si="447"/>
        <v>3.0758506096682123</v>
      </c>
      <c r="AG1553" s="6">
        <f t="shared" si="448"/>
        <v>0</v>
      </c>
      <c r="AH1553" s="6">
        <f t="shared" si="449"/>
        <v>604</v>
      </c>
    </row>
    <row r="1554" spans="8:34" x14ac:dyDescent="0.25">
      <c r="H1554" s="7">
        <v>1561</v>
      </c>
      <c r="I1554" s="7" t="s">
        <v>13</v>
      </c>
      <c r="J1554" s="8">
        <v>38045</v>
      </c>
      <c r="K1554" s="12" t="s">
        <v>17</v>
      </c>
      <c r="L1554" s="9">
        <v>-8</v>
      </c>
      <c r="M1554" s="10">
        <v>-21.481967764977714</v>
      </c>
      <c r="N1554" s="7" t="s">
        <v>21</v>
      </c>
      <c r="P1554" s="29">
        <f t="shared" si="432"/>
        <v>1</v>
      </c>
      <c r="Q1554" s="29" t="str">
        <f t="shared" si="433"/>
        <v/>
      </c>
      <c r="R1554" s="29" t="str">
        <f t="shared" si="434"/>
        <v/>
      </c>
      <c r="S1554" s="29" t="str">
        <f t="shared" si="435"/>
        <v/>
      </c>
      <c r="T1554" s="32" t="str">
        <f t="shared" si="436"/>
        <v/>
      </c>
      <c r="U1554" s="32" t="str">
        <f t="shared" si="439"/>
        <v/>
      </c>
      <c r="V1554" s="32" t="str">
        <f t="shared" si="440"/>
        <v/>
      </c>
      <c r="W1554" s="41" t="str">
        <f t="shared" si="437"/>
        <v/>
      </c>
      <c r="X1554" s="6">
        <f t="shared" si="438"/>
        <v>0</v>
      </c>
      <c r="Y1554" s="7">
        <f t="shared" si="441"/>
        <v>567</v>
      </c>
      <c r="AA1554" s="7">
        <f t="shared" si="442"/>
        <v>0</v>
      </c>
      <c r="AB1554" s="7" t="str">
        <f t="shared" si="443"/>
        <v/>
      </c>
      <c r="AC1554" s="7">
        <f t="shared" si="444"/>
        <v>0</v>
      </c>
      <c r="AD1554" s="7" t="str">
        <f t="shared" si="445"/>
        <v/>
      </c>
      <c r="AE1554" s="6">
        <f t="shared" si="446"/>
        <v>-8</v>
      </c>
      <c r="AF1554" s="69" t="str">
        <f t="shared" si="447"/>
        <v/>
      </c>
      <c r="AG1554" s="6">
        <f t="shared" si="448"/>
        <v>0</v>
      </c>
      <c r="AH1554" s="6">
        <f t="shared" si="449"/>
        <v>604</v>
      </c>
    </row>
    <row r="1555" spans="8:34" x14ac:dyDescent="0.25">
      <c r="H1555" s="7">
        <v>1562</v>
      </c>
      <c r="I1555" s="7" t="s">
        <v>12</v>
      </c>
      <c r="J1555" s="8">
        <v>38848</v>
      </c>
      <c r="K1555" s="12" t="s">
        <v>16</v>
      </c>
      <c r="L1555" s="9">
        <v>59</v>
      </c>
      <c r="M1555" s="10">
        <v>178.70076770818625</v>
      </c>
      <c r="N1555" s="7" t="s">
        <v>23</v>
      </c>
      <c r="P1555" s="29" t="str">
        <f t="shared" si="432"/>
        <v/>
      </c>
      <c r="Q1555" s="29" t="str">
        <f t="shared" si="433"/>
        <v/>
      </c>
      <c r="R1555" s="29" t="str">
        <f t="shared" si="434"/>
        <v/>
      </c>
      <c r="S1555" s="29" t="str">
        <f t="shared" si="435"/>
        <v/>
      </c>
      <c r="T1555" s="32" t="str">
        <f t="shared" si="436"/>
        <v/>
      </c>
      <c r="U1555" s="32" t="str">
        <f t="shared" si="439"/>
        <v/>
      </c>
      <c r="V1555" s="32">
        <f t="shared" si="440"/>
        <v>1</v>
      </c>
      <c r="W1555" s="41">
        <f t="shared" si="437"/>
        <v>3.0288265713251907</v>
      </c>
      <c r="X1555" s="6">
        <f t="shared" si="438"/>
        <v>0</v>
      </c>
      <c r="Y1555" s="7">
        <f t="shared" si="441"/>
        <v>567</v>
      </c>
      <c r="AA1555" s="7">
        <f t="shared" si="442"/>
        <v>0</v>
      </c>
      <c r="AB1555" s="7" t="str">
        <f t="shared" si="443"/>
        <v/>
      </c>
      <c r="AC1555" s="7">
        <f t="shared" si="444"/>
        <v>0</v>
      </c>
      <c r="AD1555" s="7" t="str">
        <f t="shared" si="445"/>
        <v/>
      </c>
      <c r="AE1555" s="6">
        <f t="shared" si="446"/>
        <v>0</v>
      </c>
      <c r="AF1555" s="69">
        <f t="shared" si="447"/>
        <v>3.0288265713251907</v>
      </c>
      <c r="AG1555" s="6">
        <f t="shared" si="448"/>
        <v>0</v>
      </c>
      <c r="AH1555" s="6">
        <f t="shared" si="449"/>
        <v>604</v>
      </c>
    </row>
    <row r="1556" spans="8:34" x14ac:dyDescent="0.25">
      <c r="H1556" s="7">
        <v>1563</v>
      </c>
      <c r="I1556" s="7" t="s">
        <v>10</v>
      </c>
      <c r="J1556" s="8">
        <v>38342</v>
      </c>
      <c r="K1556" s="12" t="s">
        <v>16</v>
      </c>
      <c r="L1556" s="9">
        <v>59</v>
      </c>
      <c r="M1556" s="10">
        <v>179.09938274190853</v>
      </c>
      <c r="N1556" s="7" t="s">
        <v>24</v>
      </c>
      <c r="P1556" s="29" t="str">
        <f t="shared" si="432"/>
        <v/>
      </c>
      <c r="Q1556" s="29" t="str">
        <f t="shared" si="433"/>
        <v/>
      </c>
      <c r="R1556" s="29" t="str">
        <f t="shared" si="434"/>
        <v/>
      </c>
      <c r="S1556" s="29">
        <f t="shared" si="435"/>
        <v>1</v>
      </c>
      <c r="T1556" s="32" t="str">
        <f t="shared" si="436"/>
        <v/>
      </c>
      <c r="U1556" s="32" t="str">
        <f t="shared" si="439"/>
        <v/>
      </c>
      <c r="V1556" s="32" t="str">
        <f t="shared" si="440"/>
        <v/>
      </c>
      <c r="W1556" s="41">
        <f t="shared" si="437"/>
        <v>3.0355827583374326</v>
      </c>
      <c r="X1556" s="6">
        <f t="shared" si="438"/>
        <v>0</v>
      </c>
      <c r="Y1556" s="7">
        <f t="shared" si="441"/>
        <v>567</v>
      </c>
      <c r="AA1556" s="7">
        <f t="shared" si="442"/>
        <v>0</v>
      </c>
      <c r="AB1556" s="7" t="str">
        <f t="shared" si="443"/>
        <v/>
      </c>
      <c r="AC1556" s="7">
        <f t="shared" si="444"/>
        <v>0</v>
      </c>
      <c r="AD1556" s="7" t="str">
        <f t="shared" si="445"/>
        <v/>
      </c>
      <c r="AE1556" s="6">
        <f t="shared" si="446"/>
        <v>0</v>
      </c>
      <c r="AF1556" s="69">
        <f t="shared" si="447"/>
        <v>3.0355827583374326</v>
      </c>
      <c r="AG1556" s="6">
        <f t="shared" si="448"/>
        <v>179.09938274190853</v>
      </c>
      <c r="AH1556" s="6">
        <f t="shared" si="449"/>
        <v>223</v>
      </c>
    </row>
    <row r="1557" spans="8:34" x14ac:dyDescent="0.25">
      <c r="H1557" s="7">
        <v>1564</v>
      </c>
      <c r="I1557" s="7" t="s">
        <v>13</v>
      </c>
      <c r="J1557" s="8">
        <v>38672</v>
      </c>
      <c r="K1557" s="12" t="s">
        <v>18</v>
      </c>
      <c r="L1557" s="9">
        <v>34</v>
      </c>
      <c r="M1557" s="10">
        <v>103.72320973361035</v>
      </c>
      <c r="N1557" s="7" t="s">
        <v>22</v>
      </c>
      <c r="P1557" s="29" t="str">
        <f t="shared" si="432"/>
        <v/>
      </c>
      <c r="Q1557" s="29" t="str">
        <f t="shared" si="433"/>
        <v/>
      </c>
      <c r="R1557" s="29" t="str">
        <f t="shared" si="434"/>
        <v/>
      </c>
      <c r="S1557" s="29" t="str">
        <f t="shared" si="435"/>
        <v/>
      </c>
      <c r="T1557" s="32">
        <f t="shared" si="436"/>
        <v>1</v>
      </c>
      <c r="U1557" s="32">
        <f t="shared" si="439"/>
        <v>1</v>
      </c>
      <c r="V1557" s="32" t="str">
        <f t="shared" si="440"/>
        <v/>
      </c>
      <c r="W1557" s="41">
        <f t="shared" si="437"/>
        <v>3.0506826392238335</v>
      </c>
      <c r="X1557" s="6">
        <f t="shared" si="438"/>
        <v>103.72320973361035</v>
      </c>
      <c r="Y1557" s="7">
        <f t="shared" si="441"/>
        <v>356</v>
      </c>
      <c r="AA1557" s="7">
        <f t="shared" si="442"/>
        <v>0</v>
      </c>
      <c r="AB1557" s="7" t="str">
        <f t="shared" si="443"/>
        <v/>
      </c>
      <c r="AC1557" s="7">
        <f t="shared" si="444"/>
        <v>1</v>
      </c>
      <c r="AD1557" s="7">
        <f t="shared" si="445"/>
        <v>34</v>
      </c>
      <c r="AE1557" s="6">
        <f t="shared" si="446"/>
        <v>0</v>
      </c>
      <c r="AF1557" s="69">
        <f t="shared" si="447"/>
        <v>3.0506826392238335</v>
      </c>
      <c r="AG1557" s="6">
        <f t="shared" si="448"/>
        <v>0</v>
      </c>
      <c r="AH1557" s="6">
        <f t="shared" si="449"/>
        <v>604</v>
      </c>
    </row>
    <row r="1558" spans="8:34" x14ac:dyDescent="0.25">
      <c r="H1558" s="7">
        <v>1565</v>
      </c>
      <c r="I1558" s="7" t="s">
        <v>13</v>
      </c>
      <c r="J1558" s="8">
        <v>38320</v>
      </c>
      <c r="K1558" s="12" t="s">
        <v>20</v>
      </c>
      <c r="L1558" s="9">
        <v>27</v>
      </c>
      <c r="M1558" s="10">
        <v>82.680755879941501</v>
      </c>
      <c r="N1558" s="7" t="s">
        <v>22</v>
      </c>
      <c r="P1558" s="29" t="str">
        <f t="shared" si="432"/>
        <v/>
      </c>
      <c r="Q1558" s="29" t="str">
        <f t="shared" si="433"/>
        <v/>
      </c>
      <c r="R1558" s="29" t="str">
        <f t="shared" si="434"/>
        <v/>
      </c>
      <c r="S1558" s="29">
        <f t="shared" si="435"/>
        <v>1</v>
      </c>
      <c r="T1558" s="32" t="str">
        <f t="shared" si="436"/>
        <v/>
      </c>
      <c r="U1558" s="32" t="str">
        <f t="shared" si="439"/>
        <v/>
      </c>
      <c r="V1558" s="32" t="str">
        <f t="shared" si="440"/>
        <v/>
      </c>
      <c r="W1558" s="41">
        <f t="shared" si="437"/>
        <v>3.062250217775611</v>
      </c>
      <c r="X1558" s="6">
        <f t="shared" si="438"/>
        <v>0</v>
      </c>
      <c r="Y1558" s="7">
        <f t="shared" si="441"/>
        <v>567</v>
      </c>
      <c r="AA1558" s="7">
        <f t="shared" si="442"/>
        <v>0</v>
      </c>
      <c r="AB1558" s="7" t="str">
        <f t="shared" si="443"/>
        <v/>
      </c>
      <c r="AC1558" s="7">
        <f t="shared" si="444"/>
        <v>0</v>
      </c>
      <c r="AD1558" s="7" t="str">
        <f t="shared" si="445"/>
        <v/>
      </c>
      <c r="AE1558" s="6">
        <f t="shared" si="446"/>
        <v>0</v>
      </c>
      <c r="AF1558" s="69">
        <f t="shared" si="447"/>
        <v>3.062250217775611</v>
      </c>
      <c r="AG1558" s="6">
        <f t="shared" si="448"/>
        <v>82.680755879941501</v>
      </c>
      <c r="AH1558" s="6">
        <f t="shared" si="449"/>
        <v>418</v>
      </c>
    </row>
    <row r="1559" spans="8:34" x14ac:dyDescent="0.25">
      <c r="H1559" s="7">
        <v>1566</v>
      </c>
      <c r="I1559" s="7" t="s">
        <v>15</v>
      </c>
      <c r="J1559" s="8">
        <v>39013</v>
      </c>
      <c r="K1559" s="12" t="s">
        <v>18</v>
      </c>
      <c r="L1559" s="9">
        <v>3</v>
      </c>
      <c r="M1559" s="10">
        <v>10.695067513438698</v>
      </c>
      <c r="N1559" s="7" t="s">
        <v>21</v>
      </c>
      <c r="P1559" s="29" t="str">
        <f t="shared" si="432"/>
        <v/>
      </c>
      <c r="Q1559" s="29" t="str">
        <f t="shared" si="433"/>
        <v/>
      </c>
      <c r="R1559" s="29" t="str">
        <f t="shared" si="434"/>
        <v/>
      </c>
      <c r="S1559" s="29" t="str">
        <f t="shared" si="435"/>
        <v/>
      </c>
      <c r="T1559" s="32" t="str">
        <f t="shared" si="436"/>
        <v/>
      </c>
      <c r="U1559" s="32" t="str">
        <f t="shared" si="439"/>
        <v/>
      </c>
      <c r="V1559" s="32">
        <f t="shared" si="440"/>
        <v>1</v>
      </c>
      <c r="W1559" s="41">
        <f t="shared" si="437"/>
        <v>3.565022504479566</v>
      </c>
      <c r="X1559" s="6">
        <f t="shared" si="438"/>
        <v>0</v>
      </c>
      <c r="Y1559" s="7">
        <f t="shared" si="441"/>
        <v>567</v>
      </c>
      <c r="AA1559" s="7">
        <f t="shared" si="442"/>
        <v>0</v>
      </c>
      <c r="AB1559" s="7" t="str">
        <f t="shared" si="443"/>
        <v/>
      </c>
      <c r="AC1559" s="7">
        <f t="shared" si="444"/>
        <v>0</v>
      </c>
      <c r="AD1559" s="7" t="str">
        <f t="shared" si="445"/>
        <v/>
      </c>
      <c r="AE1559" s="6">
        <f t="shared" si="446"/>
        <v>0</v>
      </c>
      <c r="AF1559" s="69">
        <f t="shared" si="447"/>
        <v>3.565022504479566</v>
      </c>
      <c r="AG1559" s="6">
        <f t="shared" si="448"/>
        <v>0</v>
      </c>
      <c r="AH1559" s="6">
        <f t="shared" si="449"/>
        <v>604</v>
      </c>
    </row>
    <row r="1560" spans="8:34" x14ac:dyDescent="0.25">
      <c r="H1560" s="7">
        <v>1567</v>
      </c>
      <c r="I1560" s="7" t="s">
        <v>8</v>
      </c>
      <c r="J1560" s="8">
        <v>38584</v>
      </c>
      <c r="K1560" s="12" t="s">
        <v>20</v>
      </c>
      <c r="L1560" s="9">
        <v>89</v>
      </c>
      <c r="M1560" s="10">
        <v>269.11976111617605</v>
      </c>
      <c r="N1560" s="7" t="s">
        <v>23</v>
      </c>
      <c r="P1560" s="29" t="str">
        <f t="shared" si="432"/>
        <v/>
      </c>
      <c r="Q1560" s="29" t="str">
        <f t="shared" si="433"/>
        <v/>
      </c>
      <c r="R1560" s="29" t="str">
        <f t="shared" si="434"/>
        <v/>
      </c>
      <c r="S1560" s="29" t="str">
        <f t="shared" si="435"/>
        <v/>
      </c>
      <c r="T1560" s="32" t="str">
        <f t="shared" si="436"/>
        <v/>
      </c>
      <c r="U1560" s="32">
        <f t="shared" si="439"/>
        <v>1</v>
      </c>
      <c r="V1560" s="32" t="str">
        <f t="shared" si="440"/>
        <v/>
      </c>
      <c r="W1560" s="41">
        <f t="shared" si="437"/>
        <v>3.0238175406311916</v>
      </c>
      <c r="X1560" s="6">
        <f t="shared" si="438"/>
        <v>269.11976111617605</v>
      </c>
      <c r="Y1560" s="7">
        <f t="shared" si="441"/>
        <v>47</v>
      </c>
      <c r="AA1560" s="7">
        <f t="shared" si="442"/>
        <v>1</v>
      </c>
      <c r="AB1560" s="7">
        <f t="shared" si="443"/>
        <v>89</v>
      </c>
      <c r="AC1560" s="7">
        <f t="shared" si="444"/>
        <v>0</v>
      </c>
      <c r="AD1560" s="7" t="str">
        <f t="shared" si="445"/>
        <v/>
      </c>
      <c r="AE1560" s="6">
        <f t="shared" si="446"/>
        <v>0</v>
      </c>
      <c r="AF1560" s="69">
        <f t="shared" si="447"/>
        <v>3.0238175406311916</v>
      </c>
      <c r="AG1560" s="6">
        <f t="shared" si="448"/>
        <v>0</v>
      </c>
      <c r="AH1560" s="6">
        <f t="shared" si="449"/>
        <v>604</v>
      </c>
    </row>
    <row r="1561" spans="8:34" x14ac:dyDescent="0.25">
      <c r="H1561" s="7">
        <v>1568</v>
      </c>
      <c r="I1561" s="7" t="s">
        <v>8</v>
      </c>
      <c r="J1561" s="8">
        <v>38485</v>
      </c>
      <c r="K1561" s="12" t="s">
        <v>16</v>
      </c>
      <c r="L1561" s="9">
        <v>58</v>
      </c>
      <c r="M1561" s="10">
        <v>175.98159998303569</v>
      </c>
      <c r="N1561" s="7" t="s">
        <v>21</v>
      </c>
      <c r="P1561" s="29" t="str">
        <f t="shared" si="432"/>
        <v/>
      </c>
      <c r="Q1561" s="29" t="str">
        <f t="shared" si="433"/>
        <v/>
      </c>
      <c r="R1561" s="29" t="str">
        <f t="shared" si="434"/>
        <v/>
      </c>
      <c r="S1561" s="29" t="str">
        <f t="shared" si="435"/>
        <v/>
      </c>
      <c r="T1561" s="32" t="str">
        <f t="shared" si="436"/>
        <v/>
      </c>
      <c r="U1561" s="32">
        <f t="shared" si="439"/>
        <v>1</v>
      </c>
      <c r="V1561" s="32" t="str">
        <f t="shared" si="440"/>
        <v/>
      </c>
      <c r="W1561" s="41">
        <f t="shared" si="437"/>
        <v>3.0341655169488915</v>
      </c>
      <c r="X1561" s="6">
        <f t="shared" si="438"/>
        <v>175.98159998303569</v>
      </c>
      <c r="Y1561" s="7">
        <f t="shared" si="441"/>
        <v>215</v>
      </c>
      <c r="AA1561" s="7">
        <f t="shared" si="442"/>
        <v>0</v>
      </c>
      <c r="AB1561" s="7" t="str">
        <f t="shared" si="443"/>
        <v/>
      </c>
      <c r="AC1561" s="7">
        <f t="shared" si="444"/>
        <v>1</v>
      </c>
      <c r="AD1561" s="7">
        <f t="shared" si="445"/>
        <v>58</v>
      </c>
      <c r="AE1561" s="6">
        <f t="shared" si="446"/>
        <v>0</v>
      </c>
      <c r="AF1561" s="69">
        <f t="shared" si="447"/>
        <v>3.0341655169488915</v>
      </c>
      <c r="AG1561" s="6">
        <f t="shared" si="448"/>
        <v>0</v>
      </c>
      <c r="AH1561" s="6">
        <f t="shared" si="449"/>
        <v>604</v>
      </c>
    </row>
    <row r="1562" spans="8:34" x14ac:dyDescent="0.25">
      <c r="H1562" s="7">
        <v>1569</v>
      </c>
      <c r="I1562" s="7" t="s">
        <v>15</v>
      </c>
      <c r="J1562" s="8">
        <v>38364</v>
      </c>
      <c r="K1562" s="12" t="s">
        <v>19</v>
      </c>
      <c r="L1562" s="9">
        <v>52</v>
      </c>
      <c r="M1562" s="10">
        <v>158.04571793449091</v>
      </c>
      <c r="N1562" s="7" t="s">
        <v>23</v>
      </c>
      <c r="P1562" s="29" t="str">
        <f t="shared" si="432"/>
        <v/>
      </c>
      <c r="Q1562" s="29" t="str">
        <f t="shared" si="433"/>
        <v/>
      </c>
      <c r="R1562" s="29" t="str">
        <f t="shared" si="434"/>
        <v/>
      </c>
      <c r="S1562" s="29" t="str">
        <f t="shared" si="435"/>
        <v/>
      </c>
      <c r="T1562" s="32" t="str">
        <f t="shared" si="436"/>
        <v/>
      </c>
      <c r="U1562" s="32">
        <f t="shared" si="439"/>
        <v>1</v>
      </c>
      <c r="V1562" s="32" t="str">
        <f t="shared" si="440"/>
        <v/>
      </c>
      <c r="W1562" s="41">
        <f t="shared" si="437"/>
        <v>3.0393407295094406</v>
      </c>
      <c r="X1562" s="6">
        <f t="shared" si="438"/>
        <v>158.04571793449091</v>
      </c>
      <c r="Y1562" s="7">
        <f t="shared" si="441"/>
        <v>247</v>
      </c>
      <c r="AA1562" s="7">
        <f t="shared" si="442"/>
        <v>1</v>
      </c>
      <c r="AB1562" s="7">
        <f t="shared" si="443"/>
        <v>52</v>
      </c>
      <c r="AC1562" s="7">
        <f t="shared" si="444"/>
        <v>0</v>
      </c>
      <c r="AD1562" s="7" t="str">
        <f t="shared" si="445"/>
        <v/>
      </c>
      <c r="AE1562" s="6">
        <f t="shared" si="446"/>
        <v>0</v>
      </c>
      <c r="AF1562" s="69">
        <f t="shared" si="447"/>
        <v>3.0393407295094406</v>
      </c>
      <c r="AG1562" s="6">
        <f t="shared" si="448"/>
        <v>0</v>
      </c>
      <c r="AH1562" s="6">
        <f t="shared" si="449"/>
        <v>604</v>
      </c>
    </row>
    <row r="1563" spans="8:34" x14ac:dyDescent="0.25">
      <c r="H1563" s="7">
        <v>1570</v>
      </c>
      <c r="I1563" s="7" t="s">
        <v>15</v>
      </c>
      <c r="J1563" s="8">
        <v>38925</v>
      </c>
      <c r="K1563" s="12" t="s">
        <v>20</v>
      </c>
      <c r="L1563" s="9">
        <v>32</v>
      </c>
      <c r="M1563" s="10">
        <v>98.04752721295516</v>
      </c>
      <c r="N1563" s="7" t="s">
        <v>24</v>
      </c>
      <c r="P1563" s="29" t="str">
        <f t="shared" si="432"/>
        <v/>
      </c>
      <c r="Q1563" s="29" t="str">
        <f t="shared" si="433"/>
        <v/>
      </c>
      <c r="R1563" s="29" t="str">
        <f t="shared" si="434"/>
        <v/>
      </c>
      <c r="S1563" s="29" t="str">
        <f t="shared" si="435"/>
        <v/>
      </c>
      <c r="T1563" s="32" t="str">
        <f t="shared" si="436"/>
        <v/>
      </c>
      <c r="U1563" s="32" t="str">
        <f t="shared" si="439"/>
        <v/>
      </c>
      <c r="V1563" s="32">
        <f t="shared" si="440"/>
        <v>1</v>
      </c>
      <c r="W1563" s="41">
        <f t="shared" si="437"/>
        <v>3.0639852254048487</v>
      </c>
      <c r="X1563" s="6">
        <f t="shared" si="438"/>
        <v>0</v>
      </c>
      <c r="Y1563" s="7">
        <f t="shared" si="441"/>
        <v>567</v>
      </c>
      <c r="AA1563" s="7">
        <f t="shared" si="442"/>
        <v>0</v>
      </c>
      <c r="AB1563" s="7" t="str">
        <f t="shared" si="443"/>
        <v/>
      </c>
      <c r="AC1563" s="7">
        <f t="shared" si="444"/>
        <v>0</v>
      </c>
      <c r="AD1563" s="7" t="str">
        <f t="shared" si="445"/>
        <v/>
      </c>
      <c r="AE1563" s="6">
        <f t="shared" si="446"/>
        <v>0</v>
      </c>
      <c r="AF1563" s="69">
        <f t="shared" si="447"/>
        <v>3.0639852254048487</v>
      </c>
      <c r="AG1563" s="6">
        <f t="shared" si="448"/>
        <v>0</v>
      </c>
      <c r="AH1563" s="6">
        <f t="shared" si="449"/>
        <v>604</v>
      </c>
    </row>
    <row r="1564" spans="8:34" x14ac:dyDescent="0.25">
      <c r="H1564" s="7">
        <v>1571</v>
      </c>
      <c r="I1564" s="7" t="s">
        <v>12</v>
      </c>
      <c r="J1564" s="8">
        <v>38606</v>
      </c>
      <c r="K1564" s="12" t="s">
        <v>20</v>
      </c>
      <c r="L1564" s="9">
        <v>3</v>
      </c>
      <c r="M1564" s="10">
        <v>10.584064694476611</v>
      </c>
      <c r="N1564" s="7" t="s">
        <v>21</v>
      </c>
      <c r="P1564" s="29" t="str">
        <f t="shared" si="432"/>
        <v/>
      </c>
      <c r="Q1564" s="29" t="str">
        <f t="shared" si="433"/>
        <v/>
      </c>
      <c r="R1564" s="29" t="str">
        <f t="shared" si="434"/>
        <v/>
      </c>
      <c r="S1564" s="29" t="str">
        <f t="shared" si="435"/>
        <v/>
      </c>
      <c r="T1564" s="32" t="str">
        <f t="shared" si="436"/>
        <v/>
      </c>
      <c r="U1564" s="32">
        <f t="shared" si="439"/>
        <v>1</v>
      </c>
      <c r="V1564" s="32" t="str">
        <f t="shared" si="440"/>
        <v/>
      </c>
      <c r="W1564" s="41">
        <f t="shared" si="437"/>
        <v>3.5280215648255369</v>
      </c>
      <c r="X1564" s="6">
        <f t="shared" si="438"/>
        <v>10.584064694476611</v>
      </c>
      <c r="Y1564" s="7">
        <f t="shared" si="441"/>
        <v>544</v>
      </c>
      <c r="AA1564" s="7">
        <f t="shared" si="442"/>
        <v>1</v>
      </c>
      <c r="AB1564" s="7">
        <f t="shared" si="443"/>
        <v>3</v>
      </c>
      <c r="AC1564" s="7">
        <f t="shared" si="444"/>
        <v>0</v>
      </c>
      <c r="AD1564" s="7" t="str">
        <f t="shared" si="445"/>
        <v/>
      </c>
      <c r="AE1564" s="6">
        <f t="shared" si="446"/>
        <v>0</v>
      </c>
      <c r="AF1564" s="69">
        <f t="shared" si="447"/>
        <v>3.5280215648255369</v>
      </c>
      <c r="AG1564" s="6">
        <f t="shared" si="448"/>
        <v>0</v>
      </c>
      <c r="AH1564" s="6">
        <f t="shared" si="449"/>
        <v>604</v>
      </c>
    </row>
    <row r="1565" spans="8:34" x14ac:dyDescent="0.25">
      <c r="H1565" s="7">
        <v>1572</v>
      </c>
      <c r="I1565" s="7" t="s">
        <v>10</v>
      </c>
      <c r="J1565" s="8">
        <v>38309</v>
      </c>
      <c r="K1565" s="12" t="s">
        <v>16</v>
      </c>
      <c r="L1565" s="9">
        <v>45</v>
      </c>
      <c r="M1565" s="10">
        <v>137.07935411238626</v>
      </c>
      <c r="N1565" s="7" t="s">
        <v>23</v>
      </c>
      <c r="P1565" s="29" t="str">
        <f t="shared" si="432"/>
        <v/>
      </c>
      <c r="Q1565" s="29" t="str">
        <f t="shared" si="433"/>
        <v/>
      </c>
      <c r="R1565" s="29" t="str">
        <f t="shared" si="434"/>
        <v/>
      </c>
      <c r="S1565" s="29">
        <f t="shared" si="435"/>
        <v>1</v>
      </c>
      <c r="T1565" s="32" t="str">
        <f t="shared" si="436"/>
        <v/>
      </c>
      <c r="U1565" s="32" t="str">
        <f t="shared" si="439"/>
        <v/>
      </c>
      <c r="V1565" s="32" t="str">
        <f t="shared" si="440"/>
        <v/>
      </c>
      <c r="W1565" s="41">
        <f t="shared" si="437"/>
        <v>3.0462078691641392</v>
      </c>
      <c r="X1565" s="6">
        <f t="shared" si="438"/>
        <v>0</v>
      </c>
      <c r="Y1565" s="7">
        <f t="shared" si="441"/>
        <v>567</v>
      </c>
      <c r="AA1565" s="7">
        <f t="shared" si="442"/>
        <v>0</v>
      </c>
      <c r="AB1565" s="7" t="str">
        <f t="shared" si="443"/>
        <v/>
      </c>
      <c r="AC1565" s="7">
        <f t="shared" si="444"/>
        <v>0</v>
      </c>
      <c r="AD1565" s="7" t="str">
        <f t="shared" si="445"/>
        <v/>
      </c>
      <c r="AE1565" s="6">
        <f t="shared" si="446"/>
        <v>0</v>
      </c>
      <c r="AF1565" s="69">
        <f t="shared" si="447"/>
        <v>3.0462078691641392</v>
      </c>
      <c r="AG1565" s="6">
        <f t="shared" si="448"/>
        <v>137.07935411238626</v>
      </c>
      <c r="AH1565" s="6">
        <f t="shared" si="449"/>
        <v>306</v>
      </c>
    </row>
    <row r="1566" spans="8:34" x14ac:dyDescent="0.25">
      <c r="H1566" s="7">
        <v>1573</v>
      </c>
      <c r="I1566" s="7" t="s">
        <v>11</v>
      </c>
      <c r="J1566" s="8">
        <v>38320</v>
      </c>
      <c r="K1566" s="12" t="s">
        <v>16</v>
      </c>
      <c r="L1566" s="9">
        <v>91</v>
      </c>
      <c r="M1566" s="10">
        <v>275.55805251311767</v>
      </c>
      <c r="N1566" s="7" t="s">
        <v>24</v>
      </c>
      <c r="P1566" s="29" t="str">
        <f t="shared" si="432"/>
        <v/>
      </c>
      <c r="Q1566" s="29" t="str">
        <f t="shared" si="433"/>
        <v/>
      </c>
      <c r="R1566" s="29" t="str">
        <f t="shared" si="434"/>
        <v/>
      </c>
      <c r="S1566" s="29">
        <f t="shared" si="435"/>
        <v>1</v>
      </c>
      <c r="T1566" s="32" t="str">
        <f t="shared" si="436"/>
        <v/>
      </c>
      <c r="U1566" s="32" t="str">
        <f t="shared" si="439"/>
        <v/>
      </c>
      <c r="V1566" s="32" t="str">
        <f t="shared" si="440"/>
        <v/>
      </c>
      <c r="W1566" s="41">
        <f t="shared" si="437"/>
        <v>3.0281104671771173</v>
      </c>
      <c r="X1566" s="6">
        <f t="shared" si="438"/>
        <v>0</v>
      </c>
      <c r="Y1566" s="7">
        <f t="shared" si="441"/>
        <v>567</v>
      </c>
      <c r="AA1566" s="7">
        <f t="shared" si="442"/>
        <v>0</v>
      </c>
      <c r="AB1566" s="7" t="str">
        <f t="shared" si="443"/>
        <v/>
      </c>
      <c r="AC1566" s="7">
        <f t="shared" si="444"/>
        <v>0</v>
      </c>
      <c r="AD1566" s="7" t="str">
        <f t="shared" si="445"/>
        <v/>
      </c>
      <c r="AE1566" s="6">
        <f t="shared" si="446"/>
        <v>0</v>
      </c>
      <c r="AF1566" s="69">
        <f t="shared" si="447"/>
        <v>3.0281104671771173</v>
      </c>
      <c r="AG1566" s="6">
        <f t="shared" si="448"/>
        <v>275.55805251311767</v>
      </c>
      <c r="AH1566" s="6">
        <f t="shared" si="449"/>
        <v>25</v>
      </c>
    </row>
    <row r="1567" spans="8:34" x14ac:dyDescent="0.25">
      <c r="H1567" s="7">
        <v>1574</v>
      </c>
      <c r="I1567" s="7" t="s">
        <v>10</v>
      </c>
      <c r="J1567" s="8">
        <v>38760</v>
      </c>
      <c r="K1567" s="12" t="s">
        <v>18</v>
      </c>
      <c r="L1567" s="9">
        <v>-8</v>
      </c>
      <c r="M1567" s="10">
        <v>-21.448768772248492</v>
      </c>
      <c r="N1567" s="7" t="s">
        <v>21</v>
      </c>
      <c r="P1567" s="29" t="str">
        <f t="shared" si="432"/>
        <v/>
      </c>
      <c r="Q1567" s="29" t="str">
        <f t="shared" si="433"/>
        <v/>
      </c>
      <c r="R1567" s="29" t="str">
        <f t="shared" si="434"/>
        <v/>
      </c>
      <c r="S1567" s="29" t="str">
        <f t="shared" si="435"/>
        <v/>
      </c>
      <c r="T1567" s="32" t="str">
        <f t="shared" si="436"/>
        <v/>
      </c>
      <c r="U1567" s="32" t="str">
        <f t="shared" si="439"/>
        <v/>
      </c>
      <c r="V1567" s="32">
        <f t="shared" si="440"/>
        <v>1</v>
      </c>
      <c r="W1567" s="41" t="str">
        <f t="shared" si="437"/>
        <v/>
      </c>
      <c r="X1567" s="6">
        <f t="shared" si="438"/>
        <v>0</v>
      </c>
      <c r="Y1567" s="7">
        <f t="shared" si="441"/>
        <v>567</v>
      </c>
      <c r="AA1567" s="7">
        <f t="shared" si="442"/>
        <v>0</v>
      </c>
      <c r="AB1567" s="7" t="str">
        <f t="shared" si="443"/>
        <v/>
      </c>
      <c r="AC1567" s="7">
        <f t="shared" si="444"/>
        <v>0</v>
      </c>
      <c r="AD1567" s="7" t="str">
        <f t="shared" si="445"/>
        <v/>
      </c>
      <c r="AE1567" s="6">
        <f t="shared" si="446"/>
        <v>-8</v>
      </c>
      <c r="AF1567" s="69" t="str">
        <f t="shared" si="447"/>
        <v/>
      </c>
      <c r="AG1567" s="6">
        <f t="shared" si="448"/>
        <v>0</v>
      </c>
      <c r="AH1567" s="6">
        <f t="shared" si="449"/>
        <v>604</v>
      </c>
    </row>
    <row r="1568" spans="8:34" x14ac:dyDescent="0.25">
      <c r="H1568" s="7">
        <v>1575</v>
      </c>
      <c r="I1568" s="7" t="s">
        <v>7</v>
      </c>
      <c r="J1568" s="8">
        <v>38430</v>
      </c>
      <c r="K1568" s="12" t="s">
        <v>20</v>
      </c>
      <c r="L1568" s="9">
        <v>-7</v>
      </c>
      <c r="M1568" s="10">
        <v>-19.136046094162346</v>
      </c>
      <c r="N1568" s="7" t="s">
        <v>22</v>
      </c>
      <c r="P1568" s="29" t="str">
        <f t="shared" si="432"/>
        <v/>
      </c>
      <c r="Q1568" s="29" t="str">
        <f t="shared" si="433"/>
        <v/>
      </c>
      <c r="R1568" s="29" t="str">
        <f t="shared" si="434"/>
        <v/>
      </c>
      <c r="S1568" s="29" t="str">
        <f t="shared" si="435"/>
        <v/>
      </c>
      <c r="T1568" s="32" t="str">
        <f t="shared" si="436"/>
        <v/>
      </c>
      <c r="U1568" s="32">
        <f t="shared" si="439"/>
        <v>1</v>
      </c>
      <c r="V1568" s="32" t="str">
        <f t="shared" si="440"/>
        <v/>
      </c>
      <c r="W1568" s="41" t="str">
        <f t="shared" si="437"/>
        <v/>
      </c>
      <c r="X1568" s="6">
        <f t="shared" si="438"/>
        <v>-19.136046094162346</v>
      </c>
      <c r="Y1568" s="7">
        <f t="shared" si="441"/>
        <v>1877</v>
      </c>
      <c r="AA1568" s="7">
        <f t="shared" si="442"/>
        <v>1</v>
      </c>
      <c r="AB1568" s="7">
        <f t="shared" si="443"/>
        <v>-7</v>
      </c>
      <c r="AC1568" s="7">
        <f t="shared" si="444"/>
        <v>0</v>
      </c>
      <c r="AD1568" s="7" t="str">
        <f t="shared" si="445"/>
        <v/>
      </c>
      <c r="AE1568" s="6">
        <f t="shared" si="446"/>
        <v>-7</v>
      </c>
      <c r="AF1568" s="69" t="str">
        <f t="shared" si="447"/>
        <v/>
      </c>
      <c r="AG1568" s="6">
        <f t="shared" si="448"/>
        <v>0</v>
      </c>
      <c r="AH1568" s="6">
        <f t="shared" si="449"/>
        <v>604</v>
      </c>
    </row>
    <row r="1569" spans="8:34" x14ac:dyDescent="0.25">
      <c r="H1569" s="7">
        <v>1576</v>
      </c>
      <c r="I1569" s="7" t="s">
        <v>8</v>
      </c>
      <c r="J1569" s="8">
        <v>38661</v>
      </c>
      <c r="K1569" s="12" t="s">
        <v>18</v>
      </c>
      <c r="L1569" s="9">
        <v>33</v>
      </c>
      <c r="M1569" s="10">
        <v>100.88649672562114</v>
      </c>
      <c r="N1569" s="7" t="s">
        <v>23</v>
      </c>
      <c r="P1569" s="29" t="str">
        <f t="shared" si="432"/>
        <v/>
      </c>
      <c r="Q1569" s="29" t="str">
        <f t="shared" si="433"/>
        <v/>
      </c>
      <c r="R1569" s="29" t="str">
        <f t="shared" si="434"/>
        <v/>
      </c>
      <c r="S1569" s="29" t="str">
        <f t="shared" si="435"/>
        <v/>
      </c>
      <c r="T1569" s="32">
        <f t="shared" si="436"/>
        <v>1</v>
      </c>
      <c r="U1569" s="32">
        <f t="shared" si="439"/>
        <v>1</v>
      </c>
      <c r="V1569" s="32" t="str">
        <f t="shared" si="440"/>
        <v/>
      </c>
      <c r="W1569" s="41">
        <f t="shared" si="437"/>
        <v>3.057166567443065</v>
      </c>
      <c r="X1569" s="6">
        <f t="shared" si="438"/>
        <v>100.88649672562114</v>
      </c>
      <c r="Y1569" s="7">
        <f t="shared" si="441"/>
        <v>362</v>
      </c>
      <c r="AA1569" s="7">
        <f t="shared" si="442"/>
        <v>0</v>
      </c>
      <c r="AB1569" s="7" t="str">
        <f t="shared" si="443"/>
        <v/>
      </c>
      <c r="AC1569" s="7">
        <f t="shared" si="444"/>
        <v>1</v>
      </c>
      <c r="AD1569" s="7">
        <f t="shared" si="445"/>
        <v>33</v>
      </c>
      <c r="AE1569" s="6">
        <f t="shared" si="446"/>
        <v>0</v>
      </c>
      <c r="AF1569" s="69">
        <f t="shared" si="447"/>
        <v>3.057166567443065</v>
      </c>
      <c r="AG1569" s="6">
        <f t="shared" si="448"/>
        <v>0</v>
      </c>
      <c r="AH1569" s="6">
        <f t="shared" si="449"/>
        <v>604</v>
      </c>
    </row>
    <row r="1570" spans="8:34" x14ac:dyDescent="0.25">
      <c r="H1570" s="7">
        <v>1577</v>
      </c>
      <c r="I1570" s="7" t="s">
        <v>11</v>
      </c>
      <c r="J1570" s="8">
        <v>38485</v>
      </c>
      <c r="K1570" s="12" t="s">
        <v>17</v>
      </c>
      <c r="L1570" s="9">
        <v>-7</v>
      </c>
      <c r="M1570" s="10">
        <v>-18.807164790570987</v>
      </c>
      <c r="N1570" s="7" t="s">
        <v>21</v>
      </c>
      <c r="P1570" s="29" t="str">
        <f t="shared" si="432"/>
        <v/>
      </c>
      <c r="Q1570" s="29" t="str">
        <f t="shared" si="433"/>
        <v/>
      </c>
      <c r="R1570" s="29" t="str">
        <f t="shared" si="434"/>
        <v/>
      </c>
      <c r="S1570" s="29" t="str">
        <f t="shared" si="435"/>
        <v/>
      </c>
      <c r="T1570" s="32" t="str">
        <f t="shared" si="436"/>
        <v/>
      </c>
      <c r="U1570" s="32">
        <f t="shared" si="439"/>
        <v>1</v>
      </c>
      <c r="V1570" s="32" t="str">
        <f t="shared" si="440"/>
        <v/>
      </c>
      <c r="W1570" s="41" t="str">
        <f t="shared" si="437"/>
        <v/>
      </c>
      <c r="X1570" s="6">
        <f t="shared" si="438"/>
        <v>-18.807164790570987</v>
      </c>
      <c r="Y1570" s="7">
        <f t="shared" si="441"/>
        <v>1875</v>
      </c>
      <c r="AA1570" s="7">
        <f t="shared" si="442"/>
        <v>0</v>
      </c>
      <c r="AB1570" s="7" t="str">
        <f t="shared" si="443"/>
        <v/>
      </c>
      <c r="AC1570" s="7">
        <f t="shared" si="444"/>
        <v>1</v>
      </c>
      <c r="AD1570" s="7">
        <f t="shared" si="445"/>
        <v>-7</v>
      </c>
      <c r="AE1570" s="6">
        <f t="shared" si="446"/>
        <v>-7</v>
      </c>
      <c r="AF1570" s="69" t="str">
        <f t="shared" si="447"/>
        <v/>
      </c>
      <c r="AG1570" s="6">
        <f t="shared" si="448"/>
        <v>0</v>
      </c>
      <c r="AH1570" s="6">
        <f t="shared" si="449"/>
        <v>604</v>
      </c>
    </row>
    <row r="1571" spans="8:34" x14ac:dyDescent="0.25">
      <c r="H1571" s="7">
        <v>1578</v>
      </c>
      <c r="I1571" s="7" t="s">
        <v>11</v>
      </c>
      <c r="J1571" s="8">
        <v>39002</v>
      </c>
      <c r="K1571" s="12" t="s">
        <v>18</v>
      </c>
      <c r="L1571" s="9">
        <v>82</v>
      </c>
      <c r="M1571" s="10">
        <v>248.42543228494586</v>
      </c>
      <c r="N1571" s="7" t="s">
        <v>24</v>
      </c>
      <c r="P1571" s="29" t="str">
        <f t="shared" si="432"/>
        <v/>
      </c>
      <c r="Q1571" s="29" t="str">
        <f t="shared" si="433"/>
        <v/>
      </c>
      <c r="R1571" s="29" t="str">
        <f t="shared" si="434"/>
        <v/>
      </c>
      <c r="S1571" s="29" t="str">
        <f t="shared" si="435"/>
        <v/>
      </c>
      <c r="T1571" s="32" t="str">
        <f t="shared" si="436"/>
        <v/>
      </c>
      <c r="U1571" s="32" t="str">
        <f t="shared" si="439"/>
        <v/>
      </c>
      <c r="V1571" s="32">
        <f t="shared" si="440"/>
        <v>1</v>
      </c>
      <c r="W1571" s="41">
        <f t="shared" si="437"/>
        <v>3.0295784424993397</v>
      </c>
      <c r="X1571" s="6">
        <f t="shared" si="438"/>
        <v>0</v>
      </c>
      <c r="Y1571" s="7">
        <f t="shared" si="441"/>
        <v>567</v>
      </c>
      <c r="AA1571" s="7">
        <f t="shared" si="442"/>
        <v>0</v>
      </c>
      <c r="AB1571" s="7" t="str">
        <f t="shared" si="443"/>
        <v/>
      </c>
      <c r="AC1571" s="7">
        <f t="shared" si="444"/>
        <v>0</v>
      </c>
      <c r="AD1571" s="7" t="str">
        <f t="shared" si="445"/>
        <v/>
      </c>
      <c r="AE1571" s="6">
        <f t="shared" si="446"/>
        <v>0</v>
      </c>
      <c r="AF1571" s="69">
        <f t="shared" si="447"/>
        <v>3.0295784424993397</v>
      </c>
      <c r="AG1571" s="6">
        <f t="shared" si="448"/>
        <v>0</v>
      </c>
      <c r="AH1571" s="6">
        <f t="shared" si="449"/>
        <v>604</v>
      </c>
    </row>
    <row r="1572" spans="8:34" x14ac:dyDescent="0.25">
      <c r="H1572" s="7">
        <v>1579</v>
      </c>
      <c r="I1572" s="7" t="s">
        <v>9</v>
      </c>
      <c r="J1572" s="8">
        <v>38144</v>
      </c>
      <c r="K1572" s="12" t="s">
        <v>16</v>
      </c>
      <c r="L1572" s="9">
        <v>87</v>
      </c>
      <c r="M1572" s="10">
        <v>262.84645942190497</v>
      </c>
      <c r="N1572" s="7" t="s">
        <v>24</v>
      </c>
      <c r="P1572" s="29" t="str">
        <f t="shared" si="432"/>
        <v/>
      </c>
      <c r="Q1572" s="29">
        <f t="shared" si="433"/>
        <v>1</v>
      </c>
      <c r="R1572" s="29" t="str">
        <f t="shared" si="434"/>
        <v/>
      </c>
      <c r="S1572" s="29" t="str">
        <f t="shared" si="435"/>
        <v/>
      </c>
      <c r="T1572" s="32" t="str">
        <f t="shared" si="436"/>
        <v/>
      </c>
      <c r="U1572" s="32" t="str">
        <f t="shared" si="439"/>
        <v/>
      </c>
      <c r="V1572" s="32" t="str">
        <f t="shared" si="440"/>
        <v/>
      </c>
      <c r="W1572" s="41">
        <f t="shared" si="437"/>
        <v>3.0212236715161489</v>
      </c>
      <c r="X1572" s="6">
        <f t="shared" si="438"/>
        <v>0</v>
      </c>
      <c r="Y1572" s="7">
        <f t="shared" si="441"/>
        <v>567</v>
      </c>
      <c r="AA1572" s="7">
        <f t="shared" si="442"/>
        <v>0</v>
      </c>
      <c r="AB1572" s="7" t="str">
        <f t="shared" si="443"/>
        <v/>
      </c>
      <c r="AC1572" s="7">
        <f t="shared" si="444"/>
        <v>0</v>
      </c>
      <c r="AD1572" s="7" t="str">
        <f t="shared" si="445"/>
        <v/>
      </c>
      <c r="AE1572" s="6">
        <f t="shared" si="446"/>
        <v>0</v>
      </c>
      <c r="AF1572" s="69">
        <f t="shared" si="447"/>
        <v>3.0212236715161489</v>
      </c>
      <c r="AG1572" s="6">
        <f t="shared" si="448"/>
        <v>262.84645942190497</v>
      </c>
      <c r="AH1572" s="6">
        <f t="shared" si="449"/>
        <v>48</v>
      </c>
    </row>
    <row r="1573" spans="8:34" x14ac:dyDescent="0.25">
      <c r="H1573" s="7">
        <v>1580</v>
      </c>
      <c r="I1573" s="7" t="s">
        <v>15</v>
      </c>
      <c r="J1573" s="8">
        <v>38397</v>
      </c>
      <c r="K1573" s="12" t="s">
        <v>20</v>
      </c>
      <c r="L1573" s="9">
        <v>93</v>
      </c>
      <c r="M1573" s="10">
        <v>281.52944446781271</v>
      </c>
      <c r="N1573" s="7" t="s">
        <v>22</v>
      </c>
      <c r="P1573" s="29" t="str">
        <f t="shared" si="432"/>
        <v/>
      </c>
      <c r="Q1573" s="29" t="str">
        <f t="shared" si="433"/>
        <v/>
      </c>
      <c r="R1573" s="29" t="str">
        <f t="shared" si="434"/>
        <v/>
      </c>
      <c r="S1573" s="29" t="str">
        <f t="shared" si="435"/>
        <v/>
      </c>
      <c r="T1573" s="32" t="str">
        <f t="shared" si="436"/>
        <v/>
      </c>
      <c r="U1573" s="32">
        <f t="shared" si="439"/>
        <v>1</v>
      </c>
      <c r="V1573" s="32" t="str">
        <f t="shared" si="440"/>
        <v/>
      </c>
      <c r="W1573" s="41">
        <f t="shared" si="437"/>
        <v>3.0271983276108894</v>
      </c>
      <c r="X1573" s="6">
        <f t="shared" si="438"/>
        <v>281.52944446781271</v>
      </c>
      <c r="Y1573" s="7">
        <f t="shared" si="441"/>
        <v>16</v>
      </c>
      <c r="AA1573" s="7">
        <f t="shared" si="442"/>
        <v>1</v>
      </c>
      <c r="AB1573" s="7">
        <f t="shared" si="443"/>
        <v>93</v>
      </c>
      <c r="AC1573" s="7">
        <f t="shared" si="444"/>
        <v>0</v>
      </c>
      <c r="AD1573" s="7" t="str">
        <f t="shared" si="445"/>
        <v/>
      </c>
      <c r="AE1573" s="6">
        <f t="shared" si="446"/>
        <v>0</v>
      </c>
      <c r="AF1573" s="69">
        <f t="shared" si="447"/>
        <v>3.0271983276108894</v>
      </c>
      <c r="AG1573" s="6">
        <f t="shared" si="448"/>
        <v>0</v>
      </c>
      <c r="AH1573" s="6">
        <f t="shared" si="449"/>
        <v>604</v>
      </c>
    </row>
    <row r="1574" spans="8:34" x14ac:dyDescent="0.25">
      <c r="H1574" s="7">
        <v>1581</v>
      </c>
      <c r="I1574" s="7" t="s">
        <v>12</v>
      </c>
      <c r="J1574" s="8">
        <v>38639</v>
      </c>
      <c r="K1574" s="12" t="s">
        <v>18</v>
      </c>
      <c r="L1574" s="9">
        <v>72</v>
      </c>
      <c r="M1574" s="10">
        <v>218.16905589645697</v>
      </c>
      <c r="N1574" s="7" t="s">
        <v>21</v>
      </c>
      <c r="P1574" s="29" t="str">
        <f t="shared" si="432"/>
        <v/>
      </c>
      <c r="Q1574" s="29" t="str">
        <f t="shared" si="433"/>
        <v/>
      </c>
      <c r="R1574" s="29" t="str">
        <f t="shared" si="434"/>
        <v/>
      </c>
      <c r="S1574" s="29" t="str">
        <f t="shared" si="435"/>
        <v/>
      </c>
      <c r="T1574" s="32">
        <f t="shared" si="436"/>
        <v>1</v>
      </c>
      <c r="U1574" s="32">
        <f t="shared" si="439"/>
        <v>1</v>
      </c>
      <c r="V1574" s="32" t="str">
        <f t="shared" si="440"/>
        <v/>
      </c>
      <c r="W1574" s="41">
        <f t="shared" si="437"/>
        <v>3.0301257763396801</v>
      </c>
      <c r="X1574" s="6">
        <f t="shared" si="438"/>
        <v>218.16905589645697</v>
      </c>
      <c r="Y1574" s="7">
        <f t="shared" si="441"/>
        <v>143</v>
      </c>
      <c r="AA1574" s="7">
        <f t="shared" si="442"/>
        <v>0</v>
      </c>
      <c r="AB1574" s="7" t="str">
        <f t="shared" si="443"/>
        <v/>
      </c>
      <c r="AC1574" s="7">
        <f t="shared" si="444"/>
        <v>1</v>
      </c>
      <c r="AD1574" s="7">
        <f t="shared" si="445"/>
        <v>72</v>
      </c>
      <c r="AE1574" s="6">
        <f t="shared" si="446"/>
        <v>0</v>
      </c>
      <c r="AF1574" s="69">
        <f t="shared" si="447"/>
        <v>3.0301257763396801</v>
      </c>
      <c r="AG1574" s="6">
        <f t="shared" si="448"/>
        <v>0</v>
      </c>
      <c r="AH1574" s="6">
        <f t="shared" si="449"/>
        <v>604</v>
      </c>
    </row>
    <row r="1575" spans="8:34" x14ac:dyDescent="0.25">
      <c r="H1575" s="7">
        <v>1582</v>
      </c>
      <c r="I1575" s="7" t="s">
        <v>14</v>
      </c>
      <c r="J1575" s="8">
        <v>38276</v>
      </c>
      <c r="K1575" s="12" t="s">
        <v>20</v>
      </c>
      <c r="L1575" s="9">
        <v>11</v>
      </c>
      <c r="M1575" s="10">
        <v>35.116221937392133</v>
      </c>
      <c r="N1575" s="7" t="s">
        <v>24</v>
      </c>
      <c r="P1575" s="29" t="str">
        <f t="shared" si="432"/>
        <v/>
      </c>
      <c r="Q1575" s="29" t="str">
        <f t="shared" si="433"/>
        <v/>
      </c>
      <c r="R1575" s="29" t="str">
        <f t="shared" si="434"/>
        <v/>
      </c>
      <c r="S1575" s="29">
        <f t="shared" si="435"/>
        <v>1</v>
      </c>
      <c r="T1575" s="32" t="str">
        <f t="shared" si="436"/>
        <v/>
      </c>
      <c r="U1575" s="32" t="str">
        <f t="shared" si="439"/>
        <v/>
      </c>
      <c r="V1575" s="32" t="str">
        <f t="shared" si="440"/>
        <v/>
      </c>
      <c r="W1575" s="41">
        <f t="shared" si="437"/>
        <v>3.1923838124901938</v>
      </c>
      <c r="X1575" s="6">
        <f t="shared" si="438"/>
        <v>0</v>
      </c>
      <c r="Y1575" s="7">
        <f t="shared" si="441"/>
        <v>567</v>
      </c>
      <c r="AA1575" s="7">
        <f t="shared" si="442"/>
        <v>0</v>
      </c>
      <c r="AB1575" s="7" t="str">
        <f t="shared" si="443"/>
        <v/>
      </c>
      <c r="AC1575" s="7">
        <f t="shared" si="444"/>
        <v>0</v>
      </c>
      <c r="AD1575" s="7" t="str">
        <f t="shared" si="445"/>
        <v/>
      </c>
      <c r="AE1575" s="6">
        <f t="shared" si="446"/>
        <v>0</v>
      </c>
      <c r="AF1575" s="69">
        <f t="shared" si="447"/>
        <v>3.1923838124901938</v>
      </c>
      <c r="AG1575" s="6">
        <f t="shared" si="448"/>
        <v>35.116221937392133</v>
      </c>
      <c r="AH1575" s="6">
        <f t="shared" si="449"/>
        <v>519</v>
      </c>
    </row>
    <row r="1576" spans="8:34" x14ac:dyDescent="0.25">
      <c r="H1576" s="7">
        <v>1583</v>
      </c>
      <c r="I1576" s="7" t="s">
        <v>11</v>
      </c>
      <c r="J1576" s="8">
        <v>38914</v>
      </c>
      <c r="K1576" s="12" t="s">
        <v>17</v>
      </c>
      <c r="L1576" s="9">
        <v>18</v>
      </c>
      <c r="M1576" s="10">
        <v>55.780124801169777</v>
      </c>
      <c r="N1576" s="7" t="s">
        <v>21</v>
      </c>
      <c r="P1576" s="29" t="str">
        <f t="shared" si="432"/>
        <v/>
      </c>
      <c r="Q1576" s="29" t="str">
        <f t="shared" si="433"/>
        <v/>
      </c>
      <c r="R1576" s="29" t="str">
        <f t="shared" si="434"/>
        <v/>
      </c>
      <c r="S1576" s="29" t="str">
        <f t="shared" si="435"/>
        <v/>
      </c>
      <c r="T1576" s="32" t="str">
        <f t="shared" si="436"/>
        <v/>
      </c>
      <c r="U1576" s="32" t="str">
        <f t="shared" si="439"/>
        <v/>
      </c>
      <c r="V1576" s="32">
        <f t="shared" si="440"/>
        <v>1</v>
      </c>
      <c r="W1576" s="41">
        <f t="shared" si="437"/>
        <v>3.0988958222872096</v>
      </c>
      <c r="X1576" s="6">
        <f t="shared" si="438"/>
        <v>0</v>
      </c>
      <c r="Y1576" s="7">
        <f t="shared" si="441"/>
        <v>567</v>
      </c>
      <c r="AA1576" s="7">
        <f t="shared" si="442"/>
        <v>0</v>
      </c>
      <c r="AB1576" s="7" t="str">
        <f t="shared" si="443"/>
        <v/>
      </c>
      <c r="AC1576" s="7">
        <f t="shared" si="444"/>
        <v>0</v>
      </c>
      <c r="AD1576" s="7" t="str">
        <f t="shared" si="445"/>
        <v/>
      </c>
      <c r="AE1576" s="6">
        <f t="shared" si="446"/>
        <v>0</v>
      </c>
      <c r="AF1576" s="69">
        <f t="shared" si="447"/>
        <v>3.0988958222872096</v>
      </c>
      <c r="AG1576" s="6">
        <f t="shared" si="448"/>
        <v>0</v>
      </c>
      <c r="AH1576" s="6">
        <f t="shared" si="449"/>
        <v>604</v>
      </c>
    </row>
    <row r="1577" spans="8:34" x14ac:dyDescent="0.25">
      <c r="H1577" s="7">
        <v>1584</v>
      </c>
      <c r="I1577" s="7" t="s">
        <v>7</v>
      </c>
      <c r="J1577" s="8">
        <v>38947</v>
      </c>
      <c r="K1577" s="12" t="s">
        <v>18</v>
      </c>
      <c r="L1577" s="9">
        <v>93</v>
      </c>
      <c r="M1577" s="10">
        <v>281.25885991416516</v>
      </c>
      <c r="N1577" s="7" t="s">
        <v>24</v>
      </c>
      <c r="P1577" s="29" t="str">
        <f t="shared" si="432"/>
        <v/>
      </c>
      <c r="Q1577" s="29" t="str">
        <f t="shared" si="433"/>
        <v/>
      </c>
      <c r="R1577" s="29" t="str">
        <f t="shared" si="434"/>
        <v/>
      </c>
      <c r="S1577" s="29" t="str">
        <f t="shared" si="435"/>
        <v/>
      </c>
      <c r="T1577" s="32" t="str">
        <f t="shared" si="436"/>
        <v/>
      </c>
      <c r="U1577" s="32" t="str">
        <f t="shared" si="439"/>
        <v/>
      </c>
      <c r="V1577" s="32">
        <f t="shared" si="440"/>
        <v>1</v>
      </c>
      <c r="W1577" s="41">
        <f t="shared" si="437"/>
        <v>3.0242888162813459</v>
      </c>
      <c r="X1577" s="6">
        <f t="shared" si="438"/>
        <v>0</v>
      </c>
      <c r="Y1577" s="7">
        <f t="shared" si="441"/>
        <v>567</v>
      </c>
      <c r="AA1577" s="7">
        <f t="shared" si="442"/>
        <v>0</v>
      </c>
      <c r="AB1577" s="7" t="str">
        <f t="shared" si="443"/>
        <v/>
      </c>
      <c r="AC1577" s="7">
        <f t="shared" si="444"/>
        <v>0</v>
      </c>
      <c r="AD1577" s="7" t="str">
        <f t="shared" si="445"/>
        <v/>
      </c>
      <c r="AE1577" s="6">
        <f t="shared" si="446"/>
        <v>0</v>
      </c>
      <c r="AF1577" s="69">
        <f t="shared" si="447"/>
        <v>3.0242888162813459</v>
      </c>
      <c r="AG1577" s="6">
        <f t="shared" si="448"/>
        <v>0</v>
      </c>
      <c r="AH1577" s="6">
        <f t="shared" si="449"/>
        <v>604</v>
      </c>
    </row>
    <row r="1578" spans="8:34" x14ac:dyDescent="0.25">
      <c r="H1578" s="7">
        <v>1585</v>
      </c>
      <c r="I1578" s="7" t="s">
        <v>8</v>
      </c>
      <c r="J1578" s="8">
        <v>38584</v>
      </c>
      <c r="K1578" s="12" t="s">
        <v>18</v>
      </c>
      <c r="L1578" s="9">
        <v>56</v>
      </c>
      <c r="M1578" s="10">
        <v>170.42559015332697</v>
      </c>
      <c r="N1578" s="7" t="s">
        <v>23</v>
      </c>
      <c r="P1578" s="29" t="str">
        <f t="shared" si="432"/>
        <v/>
      </c>
      <c r="Q1578" s="29" t="str">
        <f t="shared" si="433"/>
        <v/>
      </c>
      <c r="R1578" s="29" t="str">
        <f t="shared" si="434"/>
        <v/>
      </c>
      <c r="S1578" s="29" t="str">
        <f t="shared" si="435"/>
        <v/>
      </c>
      <c r="T1578" s="32" t="str">
        <f t="shared" si="436"/>
        <v/>
      </c>
      <c r="U1578" s="32">
        <f t="shared" si="439"/>
        <v>1</v>
      </c>
      <c r="V1578" s="32" t="str">
        <f t="shared" si="440"/>
        <v/>
      </c>
      <c r="W1578" s="41">
        <f t="shared" si="437"/>
        <v>3.0433141098808387</v>
      </c>
      <c r="X1578" s="6">
        <f t="shared" si="438"/>
        <v>170.42559015332697</v>
      </c>
      <c r="Y1578" s="7">
        <f t="shared" si="441"/>
        <v>225</v>
      </c>
      <c r="AA1578" s="7">
        <f t="shared" si="442"/>
        <v>1</v>
      </c>
      <c r="AB1578" s="7">
        <f t="shared" si="443"/>
        <v>56</v>
      </c>
      <c r="AC1578" s="7">
        <f t="shared" si="444"/>
        <v>0</v>
      </c>
      <c r="AD1578" s="7" t="str">
        <f t="shared" si="445"/>
        <v/>
      </c>
      <c r="AE1578" s="6">
        <f t="shared" si="446"/>
        <v>0</v>
      </c>
      <c r="AF1578" s="69">
        <f t="shared" si="447"/>
        <v>3.0433141098808387</v>
      </c>
      <c r="AG1578" s="6">
        <f t="shared" si="448"/>
        <v>0</v>
      </c>
      <c r="AH1578" s="6">
        <f t="shared" si="449"/>
        <v>604</v>
      </c>
    </row>
    <row r="1579" spans="8:34" x14ac:dyDescent="0.25">
      <c r="H1579" s="7">
        <v>1586</v>
      </c>
      <c r="I1579" s="7" t="s">
        <v>9</v>
      </c>
      <c r="J1579" s="8">
        <v>38254</v>
      </c>
      <c r="K1579" s="12" t="s">
        <v>17</v>
      </c>
      <c r="L1579" s="9">
        <v>66</v>
      </c>
      <c r="M1579" s="10">
        <v>199.70274563442874</v>
      </c>
      <c r="N1579" s="7" t="s">
        <v>22</v>
      </c>
      <c r="P1579" s="29" t="str">
        <f t="shared" si="432"/>
        <v/>
      </c>
      <c r="Q1579" s="29" t="str">
        <f t="shared" si="433"/>
        <v/>
      </c>
      <c r="R1579" s="29">
        <f t="shared" si="434"/>
        <v>1</v>
      </c>
      <c r="S1579" s="29" t="str">
        <f t="shared" si="435"/>
        <v/>
      </c>
      <c r="T1579" s="32" t="str">
        <f t="shared" si="436"/>
        <v/>
      </c>
      <c r="U1579" s="32" t="str">
        <f t="shared" si="439"/>
        <v/>
      </c>
      <c r="V1579" s="32" t="str">
        <f t="shared" si="440"/>
        <v/>
      </c>
      <c r="W1579" s="41">
        <f t="shared" si="437"/>
        <v>3.0257991762792233</v>
      </c>
      <c r="X1579" s="6">
        <f t="shared" si="438"/>
        <v>0</v>
      </c>
      <c r="Y1579" s="7">
        <f t="shared" si="441"/>
        <v>567</v>
      </c>
      <c r="AA1579" s="7">
        <f t="shared" si="442"/>
        <v>0</v>
      </c>
      <c r="AB1579" s="7" t="str">
        <f t="shared" si="443"/>
        <v/>
      </c>
      <c r="AC1579" s="7">
        <f t="shared" si="444"/>
        <v>0</v>
      </c>
      <c r="AD1579" s="7" t="str">
        <f t="shared" si="445"/>
        <v/>
      </c>
      <c r="AE1579" s="6">
        <f t="shared" si="446"/>
        <v>0</v>
      </c>
      <c r="AF1579" s="69">
        <f t="shared" si="447"/>
        <v>3.0257991762792233</v>
      </c>
      <c r="AG1579" s="6">
        <f t="shared" si="448"/>
        <v>199.70274563442874</v>
      </c>
      <c r="AH1579" s="6">
        <f t="shared" si="449"/>
        <v>177</v>
      </c>
    </row>
    <row r="1580" spans="8:34" x14ac:dyDescent="0.25">
      <c r="H1580" s="7">
        <v>1587</v>
      </c>
      <c r="I1580" s="7" t="s">
        <v>9</v>
      </c>
      <c r="J1580" s="8">
        <v>38364</v>
      </c>
      <c r="K1580" s="12" t="s">
        <v>17</v>
      </c>
      <c r="L1580" s="9">
        <v>95</v>
      </c>
      <c r="M1580" s="10">
        <v>286.75530123408925</v>
      </c>
      <c r="N1580" s="7" t="s">
        <v>23</v>
      </c>
      <c r="P1580" s="29" t="str">
        <f t="shared" si="432"/>
        <v/>
      </c>
      <c r="Q1580" s="29" t="str">
        <f t="shared" si="433"/>
        <v/>
      </c>
      <c r="R1580" s="29" t="str">
        <f t="shared" si="434"/>
        <v/>
      </c>
      <c r="S1580" s="29" t="str">
        <f t="shared" si="435"/>
        <v/>
      </c>
      <c r="T1580" s="32" t="str">
        <f t="shared" si="436"/>
        <v/>
      </c>
      <c r="U1580" s="32">
        <f t="shared" si="439"/>
        <v>1</v>
      </c>
      <c r="V1580" s="32" t="str">
        <f t="shared" si="440"/>
        <v/>
      </c>
      <c r="W1580" s="41">
        <f t="shared" si="437"/>
        <v>3.0184768550956762</v>
      </c>
      <c r="X1580" s="6">
        <f t="shared" si="438"/>
        <v>286.75530123408925</v>
      </c>
      <c r="Y1580" s="7">
        <f t="shared" si="441"/>
        <v>4</v>
      </c>
      <c r="AA1580" s="7">
        <f t="shared" si="442"/>
        <v>1</v>
      </c>
      <c r="AB1580" s="7">
        <f t="shared" si="443"/>
        <v>95</v>
      </c>
      <c r="AC1580" s="7">
        <f t="shared" si="444"/>
        <v>0</v>
      </c>
      <c r="AD1580" s="7" t="str">
        <f t="shared" si="445"/>
        <v/>
      </c>
      <c r="AE1580" s="6">
        <f t="shared" si="446"/>
        <v>0</v>
      </c>
      <c r="AF1580" s="69">
        <f t="shared" si="447"/>
        <v>3.0184768550956762</v>
      </c>
      <c r="AG1580" s="6">
        <f t="shared" si="448"/>
        <v>0</v>
      </c>
      <c r="AH1580" s="6">
        <f t="shared" si="449"/>
        <v>604</v>
      </c>
    </row>
    <row r="1581" spans="8:34" x14ac:dyDescent="0.25">
      <c r="H1581" s="7">
        <v>1588</v>
      </c>
      <c r="I1581" s="7" t="s">
        <v>10</v>
      </c>
      <c r="J1581" s="8">
        <v>38540</v>
      </c>
      <c r="K1581" s="12" t="s">
        <v>20</v>
      </c>
      <c r="L1581" s="9">
        <v>61</v>
      </c>
      <c r="M1581" s="10">
        <v>184.83908498989172</v>
      </c>
      <c r="N1581" s="7" t="s">
        <v>22</v>
      </c>
      <c r="P1581" s="29" t="str">
        <f t="shared" si="432"/>
        <v/>
      </c>
      <c r="Q1581" s="29" t="str">
        <f t="shared" si="433"/>
        <v/>
      </c>
      <c r="R1581" s="29" t="str">
        <f t="shared" si="434"/>
        <v/>
      </c>
      <c r="S1581" s="29" t="str">
        <f t="shared" si="435"/>
        <v/>
      </c>
      <c r="T1581" s="32" t="str">
        <f t="shared" si="436"/>
        <v/>
      </c>
      <c r="U1581" s="32">
        <f t="shared" si="439"/>
        <v>1</v>
      </c>
      <c r="V1581" s="32" t="str">
        <f t="shared" si="440"/>
        <v/>
      </c>
      <c r="W1581" s="41">
        <f t="shared" si="437"/>
        <v>3.0301489342605201</v>
      </c>
      <c r="X1581" s="6">
        <f t="shared" si="438"/>
        <v>184.83908498989172</v>
      </c>
      <c r="Y1581" s="7">
        <f t="shared" si="441"/>
        <v>196</v>
      </c>
      <c r="AA1581" s="7">
        <f t="shared" si="442"/>
        <v>1</v>
      </c>
      <c r="AB1581" s="7">
        <f t="shared" si="443"/>
        <v>61</v>
      </c>
      <c r="AC1581" s="7">
        <f t="shared" si="444"/>
        <v>0</v>
      </c>
      <c r="AD1581" s="7" t="str">
        <f t="shared" si="445"/>
        <v/>
      </c>
      <c r="AE1581" s="6">
        <f t="shared" si="446"/>
        <v>0</v>
      </c>
      <c r="AF1581" s="69">
        <f t="shared" si="447"/>
        <v>3.0301489342605201</v>
      </c>
      <c r="AG1581" s="6">
        <f t="shared" si="448"/>
        <v>0</v>
      </c>
      <c r="AH1581" s="6">
        <f t="shared" si="449"/>
        <v>604</v>
      </c>
    </row>
    <row r="1582" spans="8:34" x14ac:dyDescent="0.25">
      <c r="H1582" s="7">
        <v>1589</v>
      </c>
      <c r="I1582" s="7" t="s">
        <v>11</v>
      </c>
      <c r="J1582" s="8">
        <v>38914</v>
      </c>
      <c r="K1582" s="12" t="s">
        <v>17</v>
      </c>
      <c r="L1582" s="9">
        <v>26</v>
      </c>
      <c r="M1582" s="10">
        <v>79.322466776997217</v>
      </c>
      <c r="N1582" s="7" t="s">
        <v>24</v>
      </c>
      <c r="P1582" s="29" t="str">
        <f t="shared" si="432"/>
        <v/>
      </c>
      <c r="Q1582" s="29" t="str">
        <f t="shared" si="433"/>
        <v/>
      </c>
      <c r="R1582" s="29" t="str">
        <f t="shared" si="434"/>
        <v/>
      </c>
      <c r="S1582" s="29" t="str">
        <f t="shared" si="435"/>
        <v/>
      </c>
      <c r="T1582" s="32" t="str">
        <f t="shared" si="436"/>
        <v/>
      </c>
      <c r="U1582" s="32" t="str">
        <f t="shared" si="439"/>
        <v/>
      </c>
      <c r="V1582" s="32">
        <f t="shared" si="440"/>
        <v>1</v>
      </c>
      <c r="W1582" s="41">
        <f t="shared" si="437"/>
        <v>3.0508641068075852</v>
      </c>
      <c r="X1582" s="6">
        <f t="shared" si="438"/>
        <v>0</v>
      </c>
      <c r="Y1582" s="7">
        <f t="shared" si="441"/>
        <v>567</v>
      </c>
      <c r="AA1582" s="7">
        <f t="shared" si="442"/>
        <v>0</v>
      </c>
      <c r="AB1582" s="7" t="str">
        <f t="shared" si="443"/>
        <v/>
      </c>
      <c r="AC1582" s="7">
        <f t="shared" si="444"/>
        <v>0</v>
      </c>
      <c r="AD1582" s="7" t="str">
        <f t="shared" si="445"/>
        <v/>
      </c>
      <c r="AE1582" s="6">
        <f t="shared" si="446"/>
        <v>0</v>
      </c>
      <c r="AF1582" s="69">
        <f t="shared" si="447"/>
        <v>3.0508641068075852</v>
      </c>
      <c r="AG1582" s="6">
        <f t="shared" si="448"/>
        <v>0</v>
      </c>
      <c r="AH1582" s="6">
        <f t="shared" si="449"/>
        <v>604</v>
      </c>
    </row>
    <row r="1583" spans="8:34" x14ac:dyDescent="0.25">
      <c r="H1583" s="7">
        <v>1590</v>
      </c>
      <c r="I1583" s="7" t="s">
        <v>13</v>
      </c>
      <c r="J1583" s="8">
        <v>38694</v>
      </c>
      <c r="K1583" s="12" t="s">
        <v>20</v>
      </c>
      <c r="L1583" s="9">
        <v>29</v>
      </c>
      <c r="M1583" s="10">
        <v>89.116436100256237</v>
      </c>
      <c r="N1583" s="7" t="s">
        <v>23</v>
      </c>
      <c r="P1583" s="29" t="str">
        <f t="shared" si="432"/>
        <v/>
      </c>
      <c r="Q1583" s="29" t="str">
        <f t="shared" si="433"/>
        <v/>
      </c>
      <c r="R1583" s="29" t="str">
        <f t="shared" si="434"/>
        <v/>
      </c>
      <c r="S1583" s="29" t="str">
        <f t="shared" si="435"/>
        <v/>
      </c>
      <c r="T1583" s="32">
        <f t="shared" si="436"/>
        <v>1</v>
      </c>
      <c r="U1583" s="32">
        <f t="shared" si="439"/>
        <v>1</v>
      </c>
      <c r="V1583" s="32" t="str">
        <f t="shared" si="440"/>
        <v/>
      </c>
      <c r="W1583" s="41">
        <f t="shared" si="437"/>
        <v>3.0729805551812497</v>
      </c>
      <c r="X1583" s="6">
        <f t="shared" si="438"/>
        <v>89.116436100256237</v>
      </c>
      <c r="Y1583" s="7">
        <f t="shared" si="441"/>
        <v>378</v>
      </c>
      <c r="AA1583" s="7">
        <f t="shared" si="442"/>
        <v>0</v>
      </c>
      <c r="AB1583" s="7" t="str">
        <f t="shared" si="443"/>
        <v/>
      </c>
      <c r="AC1583" s="7">
        <f t="shared" si="444"/>
        <v>1</v>
      </c>
      <c r="AD1583" s="7">
        <f t="shared" si="445"/>
        <v>29</v>
      </c>
      <c r="AE1583" s="6">
        <f t="shared" si="446"/>
        <v>0</v>
      </c>
      <c r="AF1583" s="69">
        <f t="shared" si="447"/>
        <v>3.0729805551812497</v>
      </c>
      <c r="AG1583" s="6">
        <f t="shared" si="448"/>
        <v>0</v>
      </c>
      <c r="AH1583" s="6">
        <f t="shared" si="449"/>
        <v>604</v>
      </c>
    </row>
    <row r="1584" spans="8:34" x14ac:dyDescent="0.25">
      <c r="H1584" s="7">
        <v>1591</v>
      </c>
      <c r="I1584" s="7" t="s">
        <v>13</v>
      </c>
      <c r="J1584" s="8">
        <v>38397</v>
      </c>
      <c r="K1584" s="12" t="s">
        <v>17</v>
      </c>
      <c r="L1584" s="9">
        <v>61</v>
      </c>
      <c r="M1584" s="10">
        <v>184.79269376899887</v>
      </c>
      <c r="N1584" s="7" t="s">
        <v>24</v>
      </c>
      <c r="P1584" s="29" t="str">
        <f t="shared" si="432"/>
        <v/>
      </c>
      <c r="Q1584" s="29" t="str">
        <f t="shared" si="433"/>
        <v/>
      </c>
      <c r="R1584" s="29" t="str">
        <f t="shared" si="434"/>
        <v/>
      </c>
      <c r="S1584" s="29" t="str">
        <f t="shared" si="435"/>
        <v/>
      </c>
      <c r="T1584" s="32" t="str">
        <f t="shared" si="436"/>
        <v/>
      </c>
      <c r="U1584" s="32">
        <f t="shared" si="439"/>
        <v>1</v>
      </c>
      <c r="V1584" s="32" t="str">
        <f t="shared" si="440"/>
        <v/>
      </c>
      <c r="W1584" s="41">
        <f t="shared" si="437"/>
        <v>3.0293884224426044</v>
      </c>
      <c r="X1584" s="6">
        <f t="shared" si="438"/>
        <v>184.79269376899887</v>
      </c>
      <c r="Y1584" s="7">
        <f t="shared" si="441"/>
        <v>198</v>
      </c>
      <c r="AA1584" s="7">
        <f t="shared" si="442"/>
        <v>1</v>
      </c>
      <c r="AB1584" s="7">
        <f t="shared" si="443"/>
        <v>61</v>
      </c>
      <c r="AC1584" s="7">
        <f t="shared" si="444"/>
        <v>0</v>
      </c>
      <c r="AD1584" s="7" t="str">
        <f t="shared" si="445"/>
        <v/>
      </c>
      <c r="AE1584" s="6">
        <f t="shared" si="446"/>
        <v>0</v>
      </c>
      <c r="AF1584" s="69">
        <f t="shared" si="447"/>
        <v>3.0293884224426044</v>
      </c>
      <c r="AG1584" s="6">
        <f t="shared" si="448"/>
        <v>0</v>
      </c>
      <c r="AH1584" s="6">
        <f t="shared" si="449"/>
        <v>604</v>
      </c>
    </row>
    <row r="1585" spans="8:34" x14ac:dyDescent="0.25">
      <c r="H1585" s="7">
        <v>1592</v>
      </c>
      <c r="I1585" s="7" t="s">
        <v>8</v>
      </c>
      <c r="J1585" s="8">
        <v>38881</v>
      </c>
      <c r="K1585" s="12" t="s">
        <v>20</v>
      </c>
      <c r="L1585" s="9">
        <v>-3</v>
      </c>
      <c r="M1585" s="10">
        <v>-7.0063461933355882</v>
      </c>
      <c r="N1585" s="7" t="s">
        <v>21</v>
      </c>
      <c r="P1585" s="29" t="str">
        <f t="shared" si="432"/>
        <v/>
      </c>
      <c r="Q1585" s="29" t="str">
        <f t="shared" si="433"/>
        <v/>
      </c>
      <c r="R1585" s="29" t="str">
        <f t="shared" si="434"/>
        <v/>
      </c>
      <c r="S1585" s="29" t="str">
        <f t="shared" si="435"/>
        <v/>
      </c>
      <c r="T1585" s="32" t="str">
        <f t="shared" si="436"/>
        <v/>
      </c>
      <c r="U1585" s="32" t="str">
        <f t="shared" si="439"/>
        <v/>
      </c>
      <c r="V1585" s="32">
        <f t="shared" si="440"/>
        <v>1</v>
      </c>
      <c r="W1585" s="41" t="str">
        <f t="shared" si="437"/>
        <v/>
      </c>
      <c r="X1585" s="6">
        <f t="shared" si="438"/>
        <v>0</v>
      </c>
      <c r="Y1585" s="7">
        <f t="shared" si="441"/>
        <v>567</v>
      </c>
      <c r="AA1585" s="7">
        <f t="shared" si="442"/>
        <v>0</v>
      </c>
      <c r="AB1585" s="7" t="str">
        <f t="shared" si="443"/>
        <v/>
      </c>
      <c r="AC1585" s="7">
        <f t="shared" si="444"/>
        <v>0</v>
      </c>
      <c r="AD1585" s="7" t="str">
        <f t="shared" si="445"/>
        <v/>
      </c>
      <c r="AE1585" s="6">
        <f t="shared" si="446"/>
        <v>-3</v>
      </c>
      <c r="AF1585" s="69" t="str">
        <f t="shared" si="447"/>
        <v/>
      </c>
      <c r="AG1585" s="6">
        <f t="shared" si="448"/>
        <v>0</v>
      </c>
      <c r="AH1585" s="6">
        <f t="shared" si="449"/>
        <v>604</v>
      </c>
    </row>
    <row r="1586" spans="8:34" x14ac:dyDescent="0.25">
      <c r="H1586" s="7">
        <v>1593</v>
      </c>
      <c r="I1586" s="7" t="s">
        <v>15</v>
      </c>
      <c r="J1586" s="8">
        <v>38727</v>
      </c>
      <c r="K1586" s="12" t="s">
        <v>18</v>
      </c>
      <c r="L1586" s="9">
        <v>40</v>
      </c>
      <c r="M1586" s="10">
        <v>122.05274122201725</v>
      </c>
      <c r="N1586" s="7" t="s">
        <v>21</v>
      </c>
      <c r="P1586" s="29" t="str">
        <f t="shared" si="432"/>
        <v/>
      </c>
      <c r="Q1586" s="29" t="str">
        <f t="shared" si="433"/>
        <v/>
      </c>
      <c r="R1586" s="29" t="str">
        <f t="shared" si="434"/>
        <v/>
      </c>
      <c r="S1586" s="29" t="str">
        <f t="shared" si="435"/>
        <v/>
      </c>
      <c r="T1586" s="32" t="str">
        <f t="shared" si="436"/>
        <v/>
      </c>
      <c r="U1586" s="32" t="str">
        <f t="shared" si="439"/>
        <v/>
      </c>
      <c r="V1586" s="32">
        <f t="shared" si="440"/>
        <v>1</v>
      </c>
      <c r="W1586" s="41">
        <f t="shared" si="437"/>
        <v>3.0513185305504313</v>
      </c>
      <c r="X1586" s="6">
        <f t="shared" si="438"/>
        <v>0</v>
      </c>
      <c r="Y1586" s="7">
        <f t="shared" si="441"/>
        <v>567</v>
      </c>
      <c r="AA1586" s="7">
        <f t="shared" si="442"/>
        <v>0</v>
      </c>
      <c r="AB1586" s="7" t="str">
        <f t="shared" si="443"/>
        <v/>
      </c>
      <c r="AC1586" s="7">
        <f t="shared" si="444"/>
        <v>0</v>
      </c>
      <c r="AD1586" s="7" t="str">
        <f t="shared" si="445"/>
        <v/>
      </c>
      <c r="AE1586" s="6">
        <f t="shared" si="446"/>
        <v>0</v>
      </c>
      <c r="AF1586" s="69">
        <f t="shared" si="447"/>
        <v>3.0513185305504313</v>
      </c>
      <c r="AG1586" s="6">
        <f t="shared" si="448"/>
        <v>0</v>
      </c>
      <c r="AH1586" s="6">
        <f t="shared" si="449"/>
        <v>604</v>
      </c>
    </row>
    <row r="1587" spans="8:34" x14ac:dyDescent="0.25">
      <c r="H1587" s="7">
        <v>1594</v>
      </c>
      <c r="I1587" s="7" t="s">
        <v>8</v>
      </c>
      <c r="J1587" s="8">
        <v>38914</v>
      </c>
      <c r="K1587" s="12" t="s">
        <v>18</v>
      </c>
      <c r="L1587" s="9">
        <v>86</v>
      </c>
      <c r="M1587" s="10">
        <v>260.36699971588303</v>
      </c>
      <c r="N1587" s="7" t="s">
        <v>23</v>
      </c>
      <c r="P1587" s="29" t="str">
        <f t="shared" si="432"/>
        <v/>
      </c>
      <c r="Q1587" s="29" t="str">
        <f t="shared" si="433"/>
        <v/>
      </c>
      <c r="R1587" s="29" t="str">
        <f t="shared" si="434"/>
        <v/>
      </c>
      <c r="S1587" s="29" t="str">
        <f t="shared" si="435"/>
        <v/>
      </c>
      <c r="T1587" s="32" t="str">
        <f t="shared" si="436"/>
        <v/>
      </c>
      <c r="U1587" s="32" t="str">
        <f t="shared" si="439"/>
        <v/>
      </c>
      <c r="V1587" s="32">
        <f t="shared" si="440"/>
        <v>1</v>
      </c>
      <c r="W1587" s="41">
        <f t="shared" si="437"/>
        <v>3.0275232525102678</v>
      </c>
      <c r="X1587" s="6">
        <f t="shared" si="438"/>
        <v>0</v>
      </c>
      <c r="Y1587" s="7">
        <f t="shared" si="441"/>
        <v>567</v>
      </c>
      <c r="AA1587" s="7">
        <f t="shared" si="442"/>
        <v>0</v>
      </c>
      <c r="AB1587" s="7" t="str">
        <f t="shared" si="443"/>
        <v/>
      </c>
      <c r="AC1587" s="7">
        <f t="shared" si="444"/>
        <v>0</v>
      </c>
      <c r="AD1587" s="7" t="str">
        <f t="shared" si="445"/>
        <v/>
      </c>
      <c r="AE1587" s="6">
        <f t="shared" si="446"/>
        <v>0</v>
      </c>
      <c r="AF1587" s="69">
        <f t="shared" si="447"/>
        <v>3.0275232525102678</v>
      </c>
      <c r="AG1587" s="6">
        <f t="shared" si="448"/>
        <v>0</v>
      </c>
      <c r="AH1587" s="6">
        <f t="shared" si="449"/>
        <v>604</v>
      </c>
    </row>
    <row r="1588" spans="8:34" x14ac:dyDescent="0.25">
      <c r="H1588" s="7">
        <v>1595</v>
      </c>
      <c r="I1588" s="7" t="s">
        <v>15</v>
      </c>
      <c r="J1588" s="8">
        <v>38507</v>
      </c>
      <c r="K1588" s="12" t="s">
        <v>19</v>
      </c>
      <c r="L1588" s="9">
        <v>58</v>
      </c>
      <c r="M1588" s="10">
        <v>176.57900116326704</v>
      </c>
      <c r="N1588" s="7" t="s">
        <v>22</v>
      </c>
      <c r="P1588" s="29" t="str">
        <f t="shared" si="432"/>
        <v/>
      </c>
      <c r="Q1588" s="29" t="str">
        <f t="shared" si="433"/>
        <v/>
      </c>
      <c r="R1588" s="29" t="str">
        <f t="shared" si="434"/>
        <v/>
      </c>
      <c r="S1588" s="29" t="str">
        <f t="shared" si="435"/>
        <v/>
      </c>
      <c r="T1588" s="32" t="str">
        <f t="shared" si="436"/>
        <v/>
      </c>
      <c r="U1588" s="32">
        <f t="shared" si="439"/>
        <v>1</v>
      </c>
      <c r="V1588" s="32" t="str">
        <f t="shared" si="440"/>
        <v/>
      </c>
      <c r="W1588" s="41">
        <f t="shared" si="437"/>
        <v>3.0444655372977074</v>
      </c>
      <c r="X1588" s="6">
        <f t="shared" si="438"/>
        <v>176.57900116326704</v>
      </c>
      <c r="Y1588" s="7">
        <f t="shared" si="441"/>
        <v>212</v>
      </c>
      <c r="AA1588" s="7">
        <f t="shared" si="442"/>
        <v>0</v>
      </c>
      <c r="AB1588" s="7" t="str">
        <f t="shared" si="443"/>
        <v/>
      </c>
      <c r="AC1588" s="7">
        <f t="shared" si="444"/>
        <v>1</v>
      </c>
      <c r="AD1588" s="7">
        <f t="shared" si="445"/>
        <v>58</v>
      </c>
      <c r="AE1588" s="6">
        <f t="shared" si="446"/>
        <v>0</v>
      </c>
      <c r="AF1588" s="69">
        <f t="shared" si="447"/>
        <v>3.0444655372977074</v>
      </c>
      <c r="AG1588" s="6">
        <f t="shared" si="448"/>
        <v>0</v>
      </c>
      <c r="AH1588" s="6">
        <f t="shared" si="449"/>
        <v>604</v>
      </c>
    </row>
    <row r="1589" spans="8:34" x14ac:dyDescent="0.25">
      <c r="H1589" s="7">
        <v>1596</v>
      </c>
      <c r="I1589" s="7" t="s">
        <v>8</v>
      </c>
      <c r="J1589" s="8">
        <v>38397</v>
      </c>
      <c r="K1589" s="12" t="s">
        <v>16</v>
      </c>
      <c r="L1589" s="9">
        <v>13</v>
      </c>
      <c r="M1589" s="10">
        <v>41.15897784518318</v>
      </c>
      <c r="N1589" s="7" t="s">
        <v>23</v>
      </c>
      <c r="P1589" s="29" t="str">
        <f t="shared" si="432"/>
        <v/>
      </c>
      <c r="Q1589" s="29" t="str">
        <f t="shared" si="433"/>
        <v/>
      </c>
      <c r="R1589" s="29" t="str">
        <f t="shared" si="434"/>
        <v/>
      </c>
      <c r="S1589" s="29" t="str">
        <f t="shared" si="435"/>
        <v/>
      </c>
      <c r="T1589" s="32" t="str">
        <f t="shared" si="436"/>
        <v/>
      </c>
      <c r="U1589" s="32">
        <f t="shared" si="439"/>
        <v>1</v>
      </c>
      <c r="V1589" s="32" t="str">
        <f t="shared" si="440"/>
        <v/>
      </c>
      <c r="W1589" s="41">
        <f t="shared" si="437"/>
        <v>3.1660752188602448</v>
      </c>
      <c r="X1589" s="6">
        <f t="shared" si="438"/>
        <v>41.15897784518318</v>
      </c>
      <c r="Y1589" s="7">
        <f t="shared" si="441"/>
        <v>477</v>
      </c>
      <c r="AA1589" s="7">
        <f t="shared" si="442"/>
        <v>1</v>
      </c>
      <c r="AB1589" s="7">
        <f t="shared" si="443"/>
        <v>13</v>
      </c>
      <c r="AC1589" s="7">
        <f t="shared" si="444"/>
        <v>0</v>
      </c>
      <c r="AD1589" s="7" t="str">
        <f t="shared" si="445"/>
        <v/>
      </c>
      <c r="AE1589" s="6">
        <f t="shared" si="446"/>
        <v>0</v>
      </c>
      <c r="AF1589" s="69">
        <f t="shared" si="447"/>
        <v>3.1660752188602448</v>
      </c>
      <c r="AG1589" s="6">
        <f t="shared" si="448"/>
        <v>0</v>
      </c>
      <c r="AH1589" s="6">
        <f t="shared" si="449"/>
        <v>604</v>
      </c>
    </row>
    <row r="1590" spans="8:34" x14ac:dyDescent="0.25">
      <c r="H1590" s="7">
        <v>1597</v>
      </c>
      <c r="I1590" s="7" t="s">
        <v>15</v>
      </c>
      <c r="J1590" s="8">
        <v>39079</v>
      </c>
      <c r="K1590" s="12" t="s">
        <v>16</v>
      </c>
      <c r="L1590" s="9">
        <v>14</v>
      </c>
      <c r="M1590" s="10">
        <v>44.433583210085722</v>
      </c>
      <c r="N1590" s="7" t="s">
        <v>21</v>
      </c>
      <c r="P1590" s="29" t="str">
        <f t="shared" si="432"/>
        <v/>
      </c>
      <c r="Q1590" s="29" t="str">
        <f t="shared" si="433"/>
        <v/>
      </c>
      <c r="R1590" s="29" t="str">
        <f t="shared" si="434"/>
        <v/>
      </c>
      <c r="S1590" s="29" t="str">
        <f t="shared" si="435"/>
        <v/>
      </c>
      <c r="T1590" s="32" t="str">
        <f t="shared" si="436"/>
        <v/>
      </c>
      <c r="U1590" s="32" t="str">
        <f t="shared" si="439"/>
        <v/>
      </c>
      <c r="V1590" s="32">
        <f t="shared" si="440"/>
        <v>1</v>
      </c>
      <c r="W1590" s="41">
        <f t="shared" si="437"/>
        <v>3.1738273721489803</v>
      </c>
      <c r="X1590" s="6">
        <f t="shared" si="438"/>
        <v>0</v>
      </c>
      <c r="Y1590" s="7">
        <f t="shared" si="441"/>
        <v>567</v>
      </c>
      <c r="AA1590" s="7">
        <f t="shared" si="442"/>
        <v>0</v>
      </c>
      <c r="AB1590" s="7" t="str">
        <f t="shared" si="443"/>
        <v/>
      </c>
      <c r="AC1590" s="7">
        <f t="shared" si="444"/>
        <v>0</v>
      </c>
      <c r="AD1590" s="7" t="str">
        <f t="shared" si="445"/>
        <v/>
      </c>
      <c r="AE1590" s="6">
        <f t="shared" si="446"/>
        <v>0</v>
      </c>
      <c r="AF1590" s="69">
        <f t="shared" si="447"/>
        <v>3.1738273721489803</v>
      </c>
      <c r="AG1590" s="6">
        <f t="shared" si="448"/>
        <v>0</v>
      </c>
      <c r="AH1590" s="6">
        <f t="shared" si="449"/>
        <v>604</v>
      </c>
    </row>
    <row r="1591" spans="8:34" x14ac:dyDescent="0.25">
      <c r="H1591" s="7">
        <v>1598</v>
      </c>
      <c r="I1591" s="7" t="s">
        <v>13</v>
      </c>
      <c r="J1591" s="8">
        <v>38463</v>
      </c>
      <c r="K1591" s="12" t="s">
        <v>20</v>
      </c>
      <c r="L1591" s="9">
        <v>85</v>
      </c>
      <c r="M1591" s="10">
        <v>256.67637583501136</v>
      </c>
      <c r="N1591" s="7" t="s">
        <v>21</v>
      </c>
      <c r="P1591" s="29" t="str">
        <f t="shared" si="432"/>
        <v/>
      </c>
      <c r="Q1591" s="29" t="str">
        <f t="shared" si="433"/>
        <v/>
      </c>
      <c r="R1591" s="29" t="str">
        <f t="shared" si="434"/>
        <v/>
      </c>
      <c r="S1591" s="29" t="str">
        <f t="shared" si="435"/>
        <v/>
      </c>
      <c r="T1591" s="32" t="str">
        <f t="shared" si="436"/>
        <v/>
      </c>
      <c r="U1591" s="32">
        <f t="shared" si="439"/>
        <v>1</v>
      </c>
      <c r="V1591" s="32" t="str">
        <f t="shared" si="440"/>
        <v/>
      </c>
      <c r="W1591" s="41">
        <f t="shared" si="437"/>
        <v>3.0197220686471926</v>
      </c>
      <c r="X1591" s="6">
        <f t="shared" si="438"/>
        <v>256.67637583501136</v>
      </c>
      <c r="Y1591" s="7">
        <f t="shared" si="441"/>
        <v>69</v>
      </c>
      <c r="AA1591" s="7">
        <f t="shared" si="442"/>
        <v>0</v>
      </c>
      <c r="AB1591" s="7" t="str">
        <f t="shared" si="443"/>
        <v/>
      </c>
      <c r="AC1591" s="7">
        <f t="shared" si="444"/>
        <v>1</v>
      </c>
      <c r="AD1591" s="7">
        <f t="shared" si="445"/>
        <v>85</v>
      </c>
      <c r="AE1591" s="6">
        <f t="shared" si="446"/>
        <v>0</v>
      </c>
      <c r="AF1591" s="69">
        <f t="shared" si="447"/>
        <v>3.0197220686471926</v>
      </c>
      <c r="AG1591" s="6">
        <f t="shared" si="448"/>
        <v>0</v>
      </c>
      <c r="AH1591" s="6">
        <f t="shared" si="449"/>
        <v>604</v>
      </c>
    </row>
    <row r="1592" spans="8:34" x14ac:dyDescent="0.25">
      <c r="H1592" s="7">
        <v>1599</v>
      </c>
      <c r="I1592" s="7" t="s">
        <v>12</v>
      </c>
      <c r="J1592" s="8">
        <v>38749</v>
      </c>
      <c r="K1592" s="12" t="s">
        <v>17</v>
      </c>
      <c r="L1592" s="9">
        <v>42</v>
      </c>
      <c r="M1592" s="10">
        <v>127.6000829370011</v>
      </c>
      <c r="N1592" s="7" t="s">
        <v>22</v>
      </c>
      <c r="P1592" s="29" t="str">
        <f t="shared" si="432"/>
        <v/>
      </c>
      <c r="Q1592" s="29" t="str">
        <f t="shared" si="433"/>
        <v/>
      </c>
      <c r="R1592" s="29" t="str">
        <f t="shared" si="434"/>
        <v/>
      </c>
      <c r="S1592" s="29" t="str">
        <f t="shared" si="435"/>
        <v/>
      </c>
      <c r="T1592" s="32" t="str">
        <f t="shared" si="436"/>
        <v/>
      </c>
      <c r="U1592" s="32" t="str">
        <f t="shared" si="439"/>
        <v/>
      </c>
      <c r="V1592" s="32">
        <f t="shared" si="440"/>
        <v>1</v>
      </c>
      <c r="W1592" s="41">
        <f t="shared" si="437"/>
        <v>3.0380972127857406</v>
      </c>
      <c r="X1592" s="6">
        <f t="shared" si="438"/>
        <v>0</v>
      </c>
      <c r="Y1592" s="7">
        <f t="shared" si="441"/>
        <v>567</v>
      </c>
      <c r="AA1592" s="7">
        <f t="shared" si="442"/>
        <v>0</v>
      </c>
      <c r="AB1592" s="7" t="str">
        <f t="shared" si="443"/>
        <v/>
      </c>
      <c r="AC1592" s="7">
        <f t="shared" si="444"/>
        <v>0</v>
      </c>
      <c r="AD1592" s="7" t="str">
        <f t="shared" si="445"/>
        <v/>
      </c>
      <c r="AE1592" s="6">
        <f t="shared" si="446"/>
        <v>0</v>
      </c>
      <c r="AF1592" s="69">
        <f t="shared" si="447"/>
        <v>3.0380972127857406</v>
      </c>
      <c r="AG1592" s="6">
        <f t="shared" si="448"/>
        <v>0</v>
      </c>
      <c r="AH1592" s="6">
        <f t="shared" si="449"/>
        <v>604</v>
      </c>
    </row>
    <row r="1593" spans="8:34" x14ac:dyDescent="0.25">
      <c r="H1593" s="7">
        <v>1600</v>
      </c>
      <c r="I1593" s="7" t="s">
        <v>15</v>
      </c>
      <c r="J1593" s="8">
        <v>39035</v>
      </c>
      <c r="K1593" s="12" t="s">
        <v>19</v>
      </c>
      <c r="L1593" s="9">
        <v>11</v>
      </c>
      <c r="M1593" s="10">
        <v>35.427503831280553</v>
      </c>
      <c r="N1593" s="7" t="s">
        <v>23</v>
      </c>
      <c r="P1593" s="29" t="str">
        <f t="shared" si="432"/>
        <v/>
      </c>
      <c r="Q1593" s="29" t="str">
        <f t="shared" si="433"/>
        <v/>
      </c>
      <c r="R1593" s="29" t="str">
        <f t="shared" si="434"/>
        <v/>
      </c>
      <c r="S1593" s="29" t="str">
        <f t="shared" si="435"/>
        <v/>
      </c>
      <c r="T1593" s="32" t="str">
        <f t="shared" si="436"/>
        <v/>
      </c>
      <c r="U1593" s="32" t="str">
        <f t="shared" si="439"/>
        <v/>
      </c>
      <c r="V1593" s="32">
        <f t="shared" si="440"/>
        <v>1</v>
      </c>
      <c r="W1593" s="41">
        <f t="shared" si="437"/>
        <v>3.2206821664800502</v>
      </c>
      <c r="X1593" s="6">
        <f t="shared" si="438"/>
        <v>0</v>
      </c>
      <c r="Y1593" s="7">
        <f t="shared" si="441"/>
        <v>567</v>
      </c>
      <c r="AA1593" s="7">
        <f t="shared" si="442"/>
        <v>0</v>
      </c>
      <c r="AB1593" s="7" t="str">
        <f t="shared" si="443"/>
        <v/>
      </c>
      <c r="AC1593" s="7">
        <f t="shared" si="444"/>
        <v>0</v>
      </c>
      <c r="AD1593" s="7" t="str">
        <f t="shared" si="445"/>
        <v/>
      </c>
      <c r="AE1593" s="6">
        <f t="shared" si="446"/>
        <v>0</v>
      </c>
      <c r="AF1593" s="69">
        <f t="shared" si="447"/>
        <v>3.2206821664800502</v>
      </c>
      <c r="AG1593" s="6">
        <f t="shared" si="448"/>
        <v>0</v>
      </c>
      <c r="AH1593" s="6">
        <f t="shared" si="449"/>
        <v>604</v>
      </c>
    </row>
    <row r="1594" spans="8:34" x14ac:dyDescent="0.25">
      <c r="H1594" s="7">
        <v>1601</v>
      </c>
      <c r="I1594" s="7" t="s">
        <v>14</v>
      </c>
      <c r="J1594" s="8">
        <v>38012</v>
      </c>
      <c r="K1594" s="12" t="s">
        <v>17</v>
      </c>
      <c r="L1594" s="9">
        <v>32</v>
      </c>
      <c r="M1594" s="10">
        <v>98.405028744773347</v>
      </c>
      <c r="N1594" s="7" t="s">
        <v>21</v>
      </c>
      <c r="P1594" s="29">
        <f t="shared" si="432"/>
        <v>1</v>
      </c>
      <c r="Q1594" s="29" t="str">
        <f t="shared" si="433"/>
        <v/>
      </c>
      <c r="R1594" s="29" t="str">
        <f t="shared" si="434"/>
        <v/>
      </c>
      <c r="S1594" s="29" t="str">
        <f t="shared" si="435"/>
        <v/>
      </c>
      <c r="T1594" s="32" t="str">
        <f t="shared" si="436"/>
        <v/>
      </c>
      <c r="U1594" s="32" t="str">
        <f t="shared" si="439"/>
        <v/>
      </c>
      <c r="V1594" s="32" t="str">
        <f t="shared" si="440"/>
        <v/>
      </c>
      <c r="W1594" s="41">
        <f t="shared" si="437"/>
        <v>3.0751571482741671</v>
      </c>
      <c r="X1594" s="6">
        <f t="shared" si="438"/>
        <v>0</v>
      </c>
      <c r="Y1594" s="7">
        <f t="shared" si="441"/>
        <v>567</v>
      </c>
      <c r="AA1594" s="7">
        <f t="shared" si="442"/>
        <v>0</v>
      </c>
      <c r="AB1594" s="7" t="str">
        <f t="shared" si="443"/>
        <v/>
      </c>
      <c r="AC1594" s="7">
        <f t="shared" si="444"/>
        <v>0</v>
      </c>
      <c r="AD1594" s="7" t="str">
        <f t="shared" si="445"/>
        <v/>
      </c>
      <c r="AE1594" s="6">
        <f t="shared" si="446"/>
        <v>0</v>
      </c>
      <c r="AF1594" s="69">
        <f t="shared" si="447"/>
        <v>3.0751571482741671</v>
      </c>
      <c r="AG1594" s="6">
        <f t="shared" si="448"/>
        <v>98.405028744773347</v>
      </c>
      <c r="AH1594" s="6">
        <f t="shared" si="449"/>
        <v>378</v>
      </c>
    </row>
    <row r="1595" spans="8:34" x14ac:dyDescent="0.25">
      <c r="H1595" s="7">
        <v>1602</v>
      </c>
      <c r="I1595" s="7" t="s">
        <v>8</v>
      </c>
      <c r="J1595" s="8">
        <v>38375</v>
      </c>
      <c r="K1595" s="12" t="s">
        <v>17</v>
      </c>
      <c r="L1595" s="9">
        <v>79</v>
      </c>
      <c r="M1595" s="10">
        <v>239.26463824341167</v>
      </c>
      <c r="N1595" s="7" t="s">
        <v>21</v>
      </c>
      <c r="P1595" s="29" t="str">
        <f t="shared" si="432"/>
        <v/>
      </c>
      <c r="Q1595" s="29" t="str">
        <f t="shared" si="433"/>
        <v/>
      </c>
      <c r="R1595" s="29" t="str">
        <f t="shared" si="434"/>
        <v/>
      </c>
      <c r="S1595" s="29" t="str">
        <f t="shared" si="435"/>
        <v/>
      </c>
      <c r="T1595" s="32" t="str">
        <f t="shared" si="436"/>
        <v/>
      </c>
      <c r="U1595" s="32">
        <f t="shared" si="439"/>
        <v>1</v>
      </c>
      <c r="V1595" s="32" t="str">
        <f t="shared" si="440"/>
        <v/>
      </c>
      <c r="W1595" s="41">
        <f t="shared" si="437"/>
        <v>3.0286663068786286</v>
      </c>
      <c r="X1595" s="6">
        <f t="shared" si="438"/>
        <v>239.26463824341167</v>
      </c>
      <c r="Y1595" s="7">
        <f t="shared" si="441"/>
        <v>104</v>
      </c>
      <c r="AA1595" s="7">
        <f t="shared" si="442"/>
        <v>1</v>
      </c>
      <c r="AB1595" s="7">
        <f t="shared" si="443"/>
        <v>79</v>
      </c>
      <c r="AC1595" s="7">
        <f t="shared" si="444"/>
        <v>0</v>
      </c>
      <c r="AD1595" s="7" t="str">
        <f t="shared" si="445"/>
        <v/>
      </c>
      <c r="AE1595" s="6">
        <f t="shared" si="446"/>
        <v>0</v>
      </c>
      <c r="AF1595" s="69">
        <f t="shared" si="447"/>
        <v>3.0286663068786286</v>
      </c>
      <c r="AG1595" s="6">
        <f t="shared" si="448"/>
        <v>0</v>
      </c>
      <c r="AH1595" s="6">
        <f t="shared" si="449"/>
        <v>604</v>
      </c>
    </row>
    <row r="1596" spans="8:34" x14ac:dyDescent="0.25">
      <c r="H1596" s="7">
        <v>1603</v>
      </c>
      <c r="I1596" s="7" t="s">
        <v>13</v>
      </c>
      <c r="J1596" s="8">
        <v>38155</v>
      </c>
      <c r="K1596" s="12" t="s">
        <v>17</v>
      </c>
      <c r="L1596" s="9">
        <v>25</v>
      </c>
      <c r="M1596" s="10">
        <v>77.046747006624841</v>
      </c>
      <c r="N1596" s="7" t="s">
        <v>23</v>
      </c>
      <c r="P1596" s="29" t="str">
        <f t="shared" si="432"/>
        <v/>
      </c>
      <c r="Q1596" s="29">
        <f t="shared" si="433"/>
        <v>1</v>
      </c>
      <c r="R1596" s="29" t="str">
        <f t="shared" si="434"/>
        <v/>
      </c>
      <c r="S1596" s="29" t="str">
        <f t="shared" si="435"/>
        <v/>
      </c>
      <c r="T1596" s="32" t="str">
        <f t="shared" si="436"/>
        <v/>
      </c>
      <c r="U1596" s="32" t="str">
        <f t="shared" si="439"/>
        <v/>
      </c>
      <c r="V1596" s="32" t="str">
        <f t="shared" si="440"/>
        <v/>
      </c>
      <c r="W1596" s="41">
        <f t="shared" si="437"/>
        <v>3.0818698802649935</v>
      </c>
      <c r="X1596" s="6">
        <f t="shared" si="438"/>
        <v>0</v>
      </c>
      <c r="Y1596" s="7">
        <f t="shared" si="441"/>
        <v>567</v>
      </c>
      <c r="AA1596" s="7">
        <f t="shared" si="442"/>
        <v>0</v>
      </c>
      <c r="AB1596" s="7" t="str">
        <f t="shared" si="443"/>
        <v/>
      </c>
      <c r="AC1596" s="7">
        <f t="shared" si="444"/>
        <v>0</v>
      </c>
      <c r="AD1596" s="7" t="str">
        <f t="shared" si="445"/>
        <v/>
      </c>
      <c r="AE1596" s="6">
        <f t="shared" si="446"/>
        <v>0</v>
      </c>
      <c r="AF1596" s="69">
        <f t="shared" si="447"/>
        <v>3.0818698802649935</v>
      </c>
      <c r="AG1596" s="6">
        <f t="shared" si="448"/>
        <v>77.046747006624841</v>
      </c>
      <c r="AH1596" s="6">
        <f t="shared" si="449"/>
        <v>429</v>
      </c>
    </row>
    <row r="1597" spans="8:34" x14ac:dyDescent="0.25">
      <c r="H1597" s="7">
        <v>1604</v>
      </c>
      <c r="I1597" s="7" t="s">
        <v>12</v>
      </c>
      <c r="J1597" s="8">
        <v>38683</v>
      </c>
      <c r="K1597" s="12" t="s">
        <v>18</v>
      </c>
      <c r="L1597" s="9">
        <v>94</v>
      </c>
      <c r="M1597" s="10">
        <v>284.06034486899824</v>
      </c>
      <c r="N1597" s="7" t="s">
        <v>23</v>
      </c>
      <c r="P1597" s="29" t="str">
        <f t="shared" si="432"/>
        <v/>
      </c>
      <c r="Q1597" s="29" t="str">
        <f t="shared" si="433"/>
        <v/>
      </c>
      <c r="R1597" s="29" t="str">
        <f t="shared" si="434"/>
        <v/>
      </c>
      <c r="S1597" s="29" t="str">
        <f t="shared" si="435"/>
        <v/>
      </c>
      <c r="T1597" s="32">
        <f t="shared" si="436"/>
        <v>1</v>
      </c>
      <c r="U1597" s="32">
        <f t="shared" si="439"/>
        <v>1</v>
      </c>
      <c r="V1597" s="32" t="str">
        <f t="shared" si="440"/>
        <v/>
      </c>
      <c r="W1597" s="41">
        <f t="shared" si="437"/>
        <v>3.0219185624361513</v>
      </c>
      <c r="X1597" s="6">
        <f t="shared" si="438"/>
        <v>284.06034486899824</v>
      </c>
      <c r="Y1597" s="7">
        <f t="shared" si="441"/>
        <v>12</v>
      </c>
      <c r="AA1597" s="7">
        <f t="shared" si="442"/>
        <v>0</v>
      </c>
      <c r="AB1597" s="7" t="str">
        <f t="shared" si="443"/>
        <v/>
      </c>
      <c r="AC1597" s="7">
        <f t="shared" si="444"/>
        <v>1</v>
      </c>
      <c r="AD1597" s="7">
        <f t="shared" si="445"/>
        <v>94</v>
      </c>
      <c r="AE1597" s="6">
        <f t="shared" si="446"/>
        <v>0</v>
      </c>
      <c r="AF1597" s="69">
        <f t="shared" si="447"/>
        <v>3.0219185624361513</v>
      </c>
      <c r="AG1597" s="6">
        <f t="shared" si="448"/>
        <v>0</v>
      </c>
      <c r="AH1597" s="6">
        <f t="shared" si="449"/>
        <v>604</v>
      </c>
    </row>
    <row r="1598" spans="8:34" x14ac:dyDescent="0.25">
      <c r="H1598" s="7">
        <v>1605</v>
      </c>
      <c r="I1598" s="7" t="s">
        <v>11</v>
      </c>
      <c r="J1598" s="8">
        <v>39035</v>
      </c>
      <c r="K1598" s="12" t="s">
        <v>16</v>
      </c>
      <c r="L1598" s="9">
        <v>6</v>
      </c>
      <c r="M1598" s="10">
        <v>20.057205766736782</v>
      </c>
      <c r="N1598" s="7" t="s">
        <v>22</v>
      </c>
      <c r="P1598" s="29" t="str">
        <f t="shared" si="432"/>
        <v/>
      </c>
      <c r="Q1598" s="29" t="str">
        <f t="shared" si="433"/>
        <v/>
      </c>
      <c r="R1598" s="29" t="str">
        <f t="shared" si="434"/>
        <v/>
      </c>
      <c r="S1598" s="29" t="str">
        <f t="shared" si="435"/>
        <v/>
      </c>
      <c r="T1598" s="32" t="str">
        <f t="shared" si="436"/>
        <v/>
      </c>
      <c r="U1598" s="32" t="str">
        <f t="shared" si="439"/>
        <v/>
      </c>
      <c r="V1598" s="32">
        <f t="shared" si="440"/>
        <v>1</v>
      </c>
      <c r="W1598" s="41">
        <f t="shared" si="437"/>
        <v>3.3428676277894636</v>
      </c>
      <c r="X1598" s="6">
        <f t="shared" si="438"/>
        <v>0</v>
      </c>
      <c r="Y1598" s="7">
        <f t="shared" si="441"/>
        <v>567</v>
      </c>
      <c r="AA1598" s="7">
        <f t="shared" si="442"/>
        <v>0</v>
      </c>
      <c r="AB1598" s="7" t="str">
        <f t="shared" si="443"/>
        <v/>
      </c>
      <c r="AC1598" s="7">
        <f t="shared" si="444"/>
        <v>0</v>
      </c>
      <c r="AD1598" s="7" t="str">
        <f t="shared" si="445"/>
        <v/>
      </c>
      <c r="AE1598" s="6">
        <f t="shared" si="446"/>
        <v>0</v>
      </c>
      <c r="AF1598" s="69">
        <f t="shared" si="447"/>
        <v>3.3428676277894636</v>
      </c>
      <c r="AG1598" s="6">
        <f t="shared" si="448"/>
        <v>0</v>
      </c>
      <c r="AH1598" s="6">
        <f t="shared" si="449"/>
        <v>604</v>
      </c>
    </row>
    <row r="1599" spans="8:34" x14ac:dyDescent="0.25">
      <c r="H1599" s="7">
        <v>1606</v>
      </c>
      <c r="I1599" s="7" t="s">
        <v>10</v>
      </c>
      <c r="J1599" s="8">
        <v>38518</v>
      </c>
      <c r="K1599" s="12" t="s">
        <v>19</v>
      </c>
      <c r="L1599" s="9">
        <v>15</v>
      </c>
      <c r="M1599" s="10">
        <v>46.567063375670365</v>
      </c>
      <c r="N1599" s="7" t="s">
        <v>23</v>
      </c>
      <c r="P1599" s="29" t="str">
        <f t="shared" si="432"/>
        <v/>
      </c>
      <c r="Q1599" s="29" t="str">
        <f t="shared" si="433"/>
        <v/>
      </c>
      <c r="R1599" s="29" t="str">
        <f t="shared" si="434"/>
        <v/>
      </c>
      <c r="S1599" s="29" t="str">
        <f t="shared" si="435"/>
        <v/>
      </c>
      <c r="T1599" s="32" t="str">
        <f t="shared" si="436"/>
        <v/>
      </c>
      <c r="U1599" s="32">
        <f t="shared" si="439"/>
        <v>1</v>
      </c>
      <c r="V1599" s="32" t="str">
        <f t="shared" si="440"/>
        <v/>
      </c>
      <c r="W1599" s="41">
        <f t="shared" si="437"/>
        <v>3.1044708917113577</v>
      </c>
      <c r="X1599" s="6">
        <f t="shared" si="438"/>
        <v>46.567063375670365</v>
      </c>
      <c r="Y1599" s="7">
        <f t="shared" si="441"/>
        <v>467</v>
      </c>
      <c r="AA1599" s="7">
        <f t="shared" si="442"/>
        <v>0</v>
      </c>
      <c r="AB1599" s="7" t="str">
        <f t="shared" si="443"/>
        <v/>
      </c>
      <c r="AC1599" s="7">
        <f t="shared" si="444"/>
        <v>1</v>
      </c>
      <c r="AD1599" s="7">
        <f t="shared" si="445"/>
        <v>15</v>
      </c>
      <c r="AE1599" s="6">
        <f t="shared" si="446"/>
        <v>0</v>
      </c>
      <c r="AF1599" s="69">
        <f t="shared" si="447"/>
        <v>3.1044708917113577</v>
      </c>
      <c r="AG1599" s="6">
        <f t="shared" si="448"/>
        <v>0</v>
      </c>
      <c r="AH1599" s="6">
        <f t="shared" si="449"/>
        <v>604</v>
      </c>
    </row>
    <row r="1600" spans="8:34" x14ac:dyDescent="0.25">
      <c r="H1600" s="7">
        <v>1607</v>
      </c>
      <c r="I1600" s="7" t="s">
        <v>12</v>
      </c>
      <c r="J1600" s="8">
        <v>38166</v>
      </c>
      <c r="K1600" s="12" t="s">
        <v>16</v>
      </c>
      <c r="L1600" s="9">
        <v>15</v>
      </c>
      <c r="M1600" s="10">
        <v>47.252520248890754</v>
      </c>
      <c r="N1600" s="7" t="s">
        <v>24</v>
      </c>
      <c r="P1600" s="29" t="str">
        <f t="shared" si="432"/>
        <v/>
      </c>
      <c r="Q1600" s="29">
        <f t="shared" si="433"/>
        <v>1</v>
      </c>
      <c r="R1600" s="29" t="str">
        <f t="shared" si="434"/>
        <v/>
      </c>
      <c r="S1600" s="29" t="str">
        <f t="shared" si="435"/>
        <v/>
      </c>
      <c r="T1600" s="32" t="str">
        <f t="shared" si="436"/>
        <v/>
      </c>
      <c r="U1600" s="32" t="str">
        <f t="shared" si="439"/>
        <v/>
      </c>
      <c r="V1600" s="32" t="str">
        <f t="shared" si="440"/>
        <v/>
      </c>
      <c r="W1600" s="41">
        <f t="shared" si="437"/>
        <v>3.1501680165927168</v>
      </c>
      <c r="X1600" s="6">
        <f t="shared" si="438"/>
        <v>0</v>
      </c>
      <c r="Y1600" s="7">
        <f t="shared" si="441"/>
        <v>567</v>
      </c>
      <c r="AA1600" s="7">
        <f t="shared" si="442"/>
        <v>0</v>
      </c>
      <c r="AB1600" s="7" t="str">
        <f t="shared" si="443"/>
        <v/>
      </c>
      <c r="AC1600" s="7">
        <f t="shared" si="444"/>
        <v>0</v>
      </c>
      <c r="AD1600" s="7" t="str">
        <f t="shared" si="445"/>
        <v/>
      </c>
      <c r="AE1600" s="6">
        <f t="shared" si="446"/>
        <v>0</v>
      </c>
      <c r="AF1600" s="69">
        <f t="shared" si="447"/>
        <v>3.1501680165927168</v>
      </c>
      <c r="AG1600" s="6">
        <f t="shared" si="448"/>
        <v>47.252520248890754</v>
      </c>
      <c r="AH1600" s="6">
        <f t="shared" si="449"/>
        <v>485</v>
      </c>
    </row>
    <row r="1601" spans="8:34" x14ac:dyDescent="0.25">
      <c r="H1601" s="7">
        <v>1608</v>
      </c>
      <c r="I1601" s="7" t="s">
        <v>13</v>
      </c>
      <c r="J1601" s="8">
        <v>38056</v>
      </c>
      <c r="K1601" s="12" t="s">
        <v>18</v>
      </c>
      <c r="L1601" s="9">
        <v>81</v>
      </c>
      <c r="M1601" s="10">
        <v>244.70980660248637</v>
      </c>
      <c r="N1601" s="7" t="s">
        <v>24</v>
      </c>
      <c r="P1601" s="29">
        <f t="shared" si="432"/>
        <v>1</v>
      </c>
      <c r="Q1601" s="29" t="str">
        <f t="shared" si="433"/>
        <v/>
      </c>
      <c r="R1601" s="29" t="str">
        <f t="shared" si="434"/>
        <v/>
      </c>
      <c r="S1601" s="29" t="str">
        <f t="shared" si="435"/>
        <v/>
      </c>
      <c r="T1601" s="32" t="str">
        <f t="shared" si="436"/>
        <v/>
      </c>
      <c r="U1601" s="32" t="str">
        <f t="shared" si="439"/>
        <v/>
      </c>
      <c r="V1601" s="32" t="str">
        <f t="shared" si="440"/>
        <v/>
      </c>
      <c r="W1601" s="41">
        <f t="shared" si="437"/>
        <v>3.0211087234874858</v>
      </c>
      <c r="X1601" s="6">
        <f t="shared" si="438"/>
        <v>0</v>
      </c>
      <c r="Y1601" s="7">
        <f t="shared" si="441"/>
        <v>567</v>
      </c>
      <c r="AA1601" s="7">
        <f t="shared" si="442"/>
        <v>0</v>
      </c>
      <c r="AB1601" s="7" t="str">
        <f t="shared" si="443"/>
        <v/>
      </c>
      <c r="AC1601" s="7">
        <f t="shared" si="444"/>
        <v>0</v>
      </c>
      <c r="AD1601" s="7" t="str">
        <f t="shared" si="445"/>
        <v/>
      </c>
      <c r="AE1601" s="6">
        <f t="shared" si="446"/>
        <v>0</v>
      </c>
      <c r="AF1601" s="69">
        <f t="shared" si="447"/>
        <v>3.0211087234874858</v>
      </c>
      <c r="AG1601" s="6">
        <f t="shared" si="448"/>
        <v>244.70980660248637</v>
      </c>
      <c r="AH1601" s="6">
        <f t="shared" si="449"/>
        <v>77</v>
      </c>
    </row>
    <row r="1602" spans="8:34" x14ac:dyDescent="0.25">
      <c r="H1602" s="7">
        <v>1609</v>
      </c>
      <c r="I1602" s="7" t="s">
        <v>7</v>
      </c>
      <c r="J1602" s="8">
        <v>38452</v>
      </c>
      <c r="K1602" s="12" t="s">
        <v>16</v>
      </c>
      <c r="L1602" s="9">
        <v>94</v>
      </c>
      <c r="M1602" s="10">
        <v>283.45878652006695</v>
      </c>
      <c r="N1602" s="7" t="s">
        <v>24</v>
      </c>
      <c r="P1602" s="29" t="str">
        <f t="shared" si="432"/>
        <v/>
      </c>
      <c r="Q1602" s="29" t="str">
        <f t="shared" si="433"/>
        <v/>
      </c>
      <c r="R1602" s="29" t="str">
        <f t="shared" si="434"/>
        <v/>
      </c>
      <c r="S1602" s="29" t="str">
        <f t="shared" si="435"/>
        <v/>
      </c>
      <c r="T1602" s="32" t="str">
        <f t="shared" si="436"/>
        <v/>
      </c>
      <c r="U1602" s="32">
        <f t="shared" si="439"/>
        <v>1</v>
      </c>
      <c r="V1602" s="32" t="str">
        <f t="shared" si="440"/>
        <v/>
      </c>
      <c r="W1602" s="41">
        <f t="shared" si="437"/>
        <v>3.0155190055326271</v>
      </c>
      <c r="X1602" s="6">
        <f t="shared" si="438"/>
        <v>283.45878652006695</v>
      </c>
      <c r="Y1602" s="7">
        <f t="shared" si="441"/>
        <v>15</v>
      </c>
      <c r="AA1602" s="7">
        <f t="shared" si="442"/>
        <v>0</v>
      </c>
      <c r="AB1602" s="7" t="str">
        <f t="shared" si="443"/>
        <v/>
      </c>
      <c r="AC1602" s="7">
        <f t="shared" si="444"/>
        <v>1</v>
      </c>
      <c r="AD1602" s="7">
        <f t="shared" si="445"/>
        <v>94</v>
      </c>
      <c r="AE1602" s="6">
        <f t="shared" si="446"/>
        <v>0</v>
      </c>
      <c r="AF1602" s="69">
        <f t="shared" si="447"/>
        <v>3.0155190055326271</v>
      </c>
      <c r="AG1602" s="6">
        <f t="shared" si="448"/>
        <v>0</v>
      </c>
      <c r="AH1602" s="6">
        <f t="shared" si="449"/>
        <v>604</v>
      </c>
    </row>
    <row r="1603" spans="8:34" x14ac:dyDescent="0.25">
      <c r="H1603" s="7">
        <v>1610</v>
      </c>
      <c r="I1603" s="7" t="s">
        <v>10</v>
      </c>
      <c r="J1603" s="8">
        <v>38001</v>
      </c>
      <c r="K1603" s="12" t="s">
        <v>20</v>
      </c>
      <c r="L1603" s="9">
        <v>11</v>
      </c>
      <c r="M1603" s="10">
        <v>35.187328425003173</v>
      </c>
      <c r="N1603" s="7" t="s">
        <v>22</v>
      </c>
      <c r="P1603" s="29">
        <f t="shared" ref="P1603:P1666" si="450">IF(AND((MONTH(J1603))&lt;4,YEAR(J1603)=2004),1,"")</f>
        <v>1</v>
      </c>
      <c r="Q1603" s="29" t="str">
        <f t="shared" ref="Q1603:Q1666" si="451">IF(AND(3&lt;(MONTH(J1603)),(MONTH(J1603)&lt;7),YEAR(J1603)=2004),1,"")</f>
        <v/>
      </c>
      <c r="R1603" s="29" t="str">
        <f t="shared" ref="R1603:R1666" si="452">IF(AND(6&lt;(MONTH(J1603)),(MONTH(J1603)&lt;10),YEAR(J1603)=2004),1,"")</f>
        <v/>
      </c>
      <c r="S1603" s="29" t="str">
        <f t="shared" ref="S1603:S1666" si="453">IF(AND(9&lt;(MONTH(J1603)),(MONTH(J1603)&lt;13),YEAR(J1603)=2004),1,"")</f>
        <v/>
      </c>
      <c r="T1603" s="32" t="str">
        <f t="shared" ref="T1603:T1666" si="454">IF(AND((9&lt;MONTH(J1603)),YEAR(J1603)=2005),1,"")</f>
        <v/>
      </c>
      <c r="U1603" s="32" t="str">
        <f t="shared" si="439"/>
        <v/>
      </c>
      <c r="V1603" s="32" t="str">
        <f t="shared" si="440"/>
        <v/>
      </c>
      <c r="W1603" s="41">
        <f t="shared" ref="W1603:W1666" si="455">IF(L1603&gt;0,M1603/L1603,"")</f>
        <v>3.198848038636652</v>
      </c>
      <c r="X1603" s="6">
        <f t="shared" ref="X1603:X1666" si="456">IF(U1603=1,M1603,0)</f>
        <v>0</v>
      </c>
      <c r="Y1603" s="7">
        <f t="shared" si="441"/>
        <v>567</v>
      </c>
      <c r="AA1603" s="7">
        <f t="shared" si="442"/>
        <v>0</v>
      </c>
      <c r="AB1603" s="7" t="str">
        <f t="shared" si="443"/>
        <v/>
      </c>
      <c r="AC1603" s="7">
        <f t="shared" si="444"/>
        <v>0</v>
      </c>
      <c r="AD1603" s="7" t="str">
        <f t="shared" si="445"/>
        <v/>
      </c>
      <c r="AE1603" s="6">
        <f t="shared" si="446"/>
        <v>0</v>
      </c>
      <c r="AF1603" s="69">
        <f t="shared" si="447"/>
        <v>3.198848038636652</v>
      </c>
      <c r="AG1603" s="6">
        <f t="shared" si="448"/>
        <v>35.187328425003173</v>
      </c>
      <c r="AH1603" s="6">
        <f t="shared" si="449"/>
        <v>518</v>
      </c>
    </row>
    <row r="1604" spans="8:34" x14ac:dyDescent="0.25">
      <c r="H1604" s="7">
        <v>1611</v>
      </c>
      <c r="I1604" s="7" t="s">
        <v>11</v>
      </c>
      <c r="J1604" s="8">
        <v>38078</v>
      </c>
      <c r="K1604" s="12" t="s">
        <v>16</v>
      </c>
      <c r="L1604" s="9">
        <v>12</v>
      </c>
      <c r="M1604" s="10">
        <v>38.183005482105493</v>
      </c>
      <c r="N1604" s="7" t="s">
        <v>23</v>
      </c>
      <c r="P1604" s="29" t="str">
        <f t="shared" si="450"/>
        <v/>
      </c>
      <c r="Q1604" s="29">
        <f t="shared" si="451"/>
        <v>1</v>
      </c>
      <c r="R1604" s="29" t="str">
        <f t="shared" si="452"/>
        <v/>
      </c>
      <c r="S1604" s="29" t="str">
        <f t="shared" si="453"/>
        <v/>
      </c>
      <c r="T1604" s="32" t="str">
        <f t="shared" si="454"/>
        <v/>
      </c>
      <c r="U1604" s="32" t="str">
        <f t="shared" ref="U1604:U1667" si="457">IF(YEAR(J1604)=2005,1,"")</f>
        <v/>
      </c>
      <c r="V1604" s="32" t="str">
        <f t="shared" ref="V1604:V1667" si="458">IF(YEAR(J1604)=2006,1,"")</f>
        <v/>
      </c>
      <c r="W1604" s="41">
        <f t="shared" si="455"/>
        <v>3.1819171235087911</v>
      </c>
      <c r="X1604" s="6">
        <f t="shared" si="456"/>
        <v>0</v>
      </c>
      <c r="Y1604" s="7">
        <f t="shared" ref="Y1604:Y1667" si="459">RANK(X1604,$X$3:$X$1893)</f>
        <v>567</v>
      </c>
      <c r="AA1604" s="7">
        <f t="shared" ref="AA1604:AA1667" si="460">IF(AND(OR((MONTH(J1604))=1,(MONTH(J1604))=2,(MONTH(J1604))=3,(MONTH(J1604))=7,(MONTH(J1604))=8,(MONTH(J1604))=9),YEAR(J1604)=2005),1,0)</f>
        <v>0</v>
      </c>
      <c r="AB1604" s="7" t="str">
        <f t="shared" ref="AB1604:AB1667" si="461">IF(AA1604=1,L1604,"")</f>
        <v/>
      </c>
      <c r="AC1604" s="7">
        <f t="shared" ref="AC1604:AC1667" si="462">IF(AND(OR((MONTH(J1604))=4,(MONTH(J1604))=5,(MONTH(J1604))=6,(MONTH(J1604))=10,(MONTH(J1604))=11,(MONTH(J1604))=12),YEAR(J1604)=2005),1,0)</f>
        <v>0</v>
      </c>
      <c r="AD1604" s="7" t="str">
        <f t="shared" ref="AD1604:AD1667" si="463">IF(AC1604=1,L1604,"")</f>
        <v/>
      </c>
      <c r="AE1604" s="6">
        <f t="shared" ref="AE1604:AE1667" si="464">IF(L1604&lt;0,L1604,0)</f>
        <v>0</v>
      </c>
      <c r="AF1604" s="69">
        <f t="shared" ref="AF1604:AF1667" si="465">IF(L1604&gt;0,W1604,"")</f>
        <v>3.1819171235087911</v>
      </c>
      <c r="AG1604" s="6">
        <f t="shared" ref="AG1604:AG1667" si="466">IF(AND((M1604&gt;0),(YEAR(J1604)=2004)),M1604,0)</f>
        <v>38.183005482105493</v>
      </c>
      <c r="AH1604" s="6">
        <f t="shared" ref="AH1604:AH1667" si="467">RANK(AG1604,$AG$3:$AG$1893)</f>
        <v>510</v>
      </c>
    </row>
    <row r="1605" spans="8:34" x14ac:dyDescent="0.25">
      <c r="H1605" s="7">
        <v>1612</v>
      </c>
      <c r="I1605" s="7" t="s">
        <v>8</v>
      </c>
      <c r="J1605" s="8">
        <v>38595</v>
      </c>
      <c r="K1605" s="12" t="s">
        <v>16</v>
      </c>
      <c r="L1605" s="9">
        <v>85</v>
      </c>
      <c r="M1605" s="10">
        <v>257.13848470493929</v>
      </c>
      <c r="N1605" s="7" t="s">
        <v>22</v>
      </c>
      <c r="P1605" s="29" t="str">
        <f t="shared" si="450"/>
        <v/>
      </c>
      <c r="Q1605" s="29" t="str">
        <f t="shared" si="451"/>
        <v/>
      </c>
      <c r="R1605" s="29" t="str">
        <f t="shared" si="452"/>
        <v/>
      </c>
      <c r="S1605" s="29" t="str">
        <f t="shared" si="453"/>
        <v/>
      </c>
      <c r="T1605" s="32" t="str">
        <f t="shared" si="454"/>
        <v/>
      </c>
      <c r="U1605" s="32">
        <f t="shared" si="457"/>
        <v>1</v>
      </c>
      <c r="V1605" s="32" t="str">
        <f t="shared" si="458"/>
        <v/>
      </c>
      <c r="W1605" s="41">
        <f t="shared" si="455"/>
        <v>3.0251586435875208</v>
      </c>
      <c r="X1605" s="6">
        <f t="shared" si="456"/>
        <v>257.13848470493929</v>
      </c>
      <c r="Y1605" s="7">
        <f t="shared" si="459"/>
        <v>64</v>
      </c>
      <c r="AA1605" s="7">
        <f t="shared" si="460"/>
        <v>1</v>
      </c>
      <c r="AB1605" s="7">
        <f t="shared" si="461"/>
        <v>85</v>
      </c>
      <c r="AC1605" s="7">
        <f t="shared" si="462"/>
        <v>0</v>
      </c>
      <c r="AD1605" s="7" t="str">
        <f t="shared" si="463"/>
        <v/>
      </c>
      <c r="AE1605" s="6">
        <f t="shared" si="464"/>
        <v>0</v>
      </c>
      <c r="AF1605" s="69">
        <f t="shared" si="465"/>
        <v>3.0251586435875208</v>
      </c>
      <c r="AG1605" s="6">
        <f t="shared" si="466"/>
        <v>0</v>
      </c>
      <c r="AH1605" s="6">
        <f t="shared" si="467"/>
        <v>604</v>
      </c>
    </row>
    <row r="1606" spans="8:34" x14ac:dyDescent="0.25">
      <c r="H1606" s="7">
        <v>1613</v>
      </c>
      <c r="I1606" s="7" t="s">
        <v>10</v>
      </c>
      <c r="J1606" s="8">
        <v>39046</v>
      </c>
      <c r="K1606" s="12" t="s">
        <v>16</v>
      </c>
      <c r="L1606" s="9">
        <v>39</v>
      </c>
      <c r="M1606" s="10">
        <v>119.05508877849219</v>
      </c>
      <c r="N1606" s="7" t="s">
        <v>21</v>
      </c>
      <c r="P1606" s="29" t="str">
        <f t="shared" si="450"/>
        <v/>
      </c>
      <c r="Q1606" s="29" t="str">
        <f t="shared" si="451"/>
        <v/>
      </c>
      <c r="R1606" s="29" t="str">
        <f t="shared" si="452"/>
        <v/>
      </c>
      <c r="S1606" s="29" t="str">
        <f t="shared" si="453"/>
        <v/>
      </c>
      <c r="T1606" s="32" t="str">
        <f t="shared" si="454"/>
        <v/>
      </c>
      <c r="U1606" s="32" t="str">
        <f t="shared" si="457"/>
        <v/>
      </c>
      <c r="V1606" s="32">
        <f t="shared" si="458"/>
        <v>1</v>
      </c>
      <c r="W1606" s="41">
        <f t="shared" si="455"/>
        <v>3.0526945840639024</v>
      </c>
      <c r="X1606" s="6">
        <f t="shared" si="456"/>
        <v>0</v>
      </c>
      <c r="Y1606" s="7">
        <f t="shared" si="459"/>
        <v>567</v>
      </c>
      <c r="AA1606" s="7">
        <f t="shared" si="460"/>
        <v>0</v>
      </c>
      <c r="AB1606" s="7" t="str">
        <f t="shared" si="461"/>
        <v/>
      </c>
      <c r="AC1606" s="7">
        <f t="shared" si="462"/>
        <v>0</v>
      </c>
      <c r="AD1606" s="7" t="str">
        <f t="shared" si="463"/>
        <v/>
      </c>
      <c r="AE1606" s="6">
        <f t="shared" si="464"/>
        <v>0</v>
      </c>
      <c r="AF1606" s="69">
        <f t="shared" si="465"/>
        <v>3.0526945840639024</v>
      </c>
      <c r="AG1606" s="6">
        <f t="shared" si="466"/>
        <v>0</v>
      </c>
      <c r="AH1606" s="6">
        <f t="shared" si="467"/>
        <v>604</v>
      </c>
    </row>
    <row r="1607" spans="8:34" x14ac:dyDescent="0.25">
      <c r="H1607" s="7">
        <v>1614</v>
      </c>
      <c r="I1607" s="7" t="s">
        <v>10</v>
      </c>
      <c r="J1607" s="8">
        <v>38177</v>
      </c>
      <c r="K1607" s="12" t="s">
        <v>18</v>
      </c>
      <c r="L1607" s="9">
        <v>9</v>
      </c>
      <c r="M1607" s="10">
        <v>29.108535014212187</v>
      </c>
      <c r="N1607" s="7" t="s">
        <v>24</v>
      </c>
      <c r="P1607" s="29" t="str">
        <f t="shared" si="450"/>
        <v/>
      </c>
      <c r="Q1607" s="29" t="str">
        <f t="shared" si="451"/>
        <v/>
      </c>
      <c r="R1607" s="29">
        <f t="shared" si="452"/>
        <v>1</v>
      </c>
      <c r="S1607" s="29" t="str">
        <f t="shared" si="453"/>
        <v/>
      </c>
      <c r="T1607" s="32" t="str">
        <f t="shared" si="454"/>
        <v/>
      </c>
      <c r="U1607" s="32" t="str">
        <f t="shared" si="457"/>
        <v/>
      </c>
      <c r="V1607" s="32" t="str">
        <f t="shared" si="458"/>
        <v/>
      </c>
      <c r="W1607" s="41">
        <f t="shared" si="455"/>
        <v>3.2342816682457984</v>
      </c>
      <c r="X1607" s="6">
        <f t="shared" si="456"/>
        <v>0</v>
      </c>
      <c r="Y1607" s="7">
        <f t="shared" si="459"/>
        <v>567</v>
      </c>
      <c r="AA1607" s="7">
        <f t="shared" si="460"/>
        <v>0</v>
      </c>
      <c r="AB1607" s="7" t="str">
        <f t="shared" si="461"/>
        <v/>
      </c>
      <c r="AC1607" s="7">
        <f t="shared" si="462"/>
        <v>0</v>
      </c>
      <c r="AD1607" s="7" t="str">
        <f t="shared" si="463"/>
        <v/>
      </c>
      <c r="AE1607" s="6">
        <f t="shared" si="464"/>
        <v>0</v>
      </c>
      <c r="AF1607" s="69">
        <f t="shared" si="465"/>
        <v>3.2342816682457984</v>
      </c>
      <c r="AG1607" s="6">
        <f t="shared" si="466"/>
        <v>29.108535014212187</v>
      </c>
      <c r="AH1607" s="6">
        <f t="shared" si="467"/>
        <v>534</v>
      </c>
    </row>
    <row r="1608" spans="8:34" x14ac:dyDescent="0.25">
      <c r="H1608" s="7">
        <v>1615</v>
      </c>
      <c r="I1608" s="7" t="s">
        <v>10</v>
      </c>
      <c r="J1608" s="8">
        <v>38386</v>
      </c>
      <c r="K1608" s="12" t="s">
        <v>20</v>
      </c>
      <c r="L1608" s="9">
        <v>25</v>
      </c>
      <c r="M1608" s="10">
        <v>77.542041967509959</v>
      </c>
      <c r="N1608" s="7" t="s">
        <v>23</v>
      </c>
      <c r="P1608" s="29" t="str">
        <f t="shared" si="450"/>
        <v/>
      </c>
      <c r="Q1608" s="29" t="str">
        <f t="shared" si="451"/>
        <v/>
      </c>
      <c r="R1608" s="29" t="str">
        <f t="shared" si="452"/>
        <v/>
      </c>
      <c r="S1608" s="29" t="str">
        <f t="shared" si="453"/>
        <v/>
      </c>
      <c r="T1608" s="32" t="str">
        <f t="shared" si="454"/>
        <v/>
      </c>
      <c r="U1608" s="32">
        <f t="shared" si="457"/>
        <v>1</v>
      </c>
      <c r="V1608" s="32" t="str">
        <f t="shared" si="458"/>
        <v/>
      </c>
      <c r="W1608" s="41">
        <f t="shared" si="455"/>
        <v>3.1016816787003982</v>
      </c>
      <c r="X1608" s="6">
        <f t="shared" si="456"/>
        <v>77.542041967509959</v>
      </c>
      <c r="Y1608" s="7">
        <f t="shared" si="459"/>
        <v>409</v>
      </c>
      <c r="AA1608" s="7">
        <f t="shared" si="460"/>
        <v>1</v>
      </c>
      <c r="AB1608" s="7">
        <f t="shared" si="461"/>
        <v>25</v>
      </c>
      <c r="AC1608" s="7">
        <f t="shared" si="462"/>
        <v>0</v>
      </c>
      <c r="AD1608" s="7" t="str">
        <f t="shared" si="463"/>
        <v/>
      </c>
      <c r="AE1608" s="6">
        <f t="shared" si="464"/>
        <v>0</v>
      </c>
      <c r="AF1608" s="69">
        <f t="shared" si="465"/>
        <v>3.1016816787003982</v>
      </c>
      <c r="AG1608" s="6">
        <f t="shared" si="466"/>
        <v>0</v>
      </c>
      <c r="AH1608" s="6">
        <f t="shared" si="467"/>
        <v>604</v>
      </c>
    </row>
    <row r="1609" spans="8:34" x14ac:dyDescent="0.25">
      <c r="H1609" s="7">
        <v>1616</v>
      </c>
      <c r="I1609" s="7" t="s">
        <v>14</v>
      </c>
      <c r="J1609" s="8">
        <v>38144</v>
      </c>
      <c r="K1609" s="12" t="s">
        <v>16</v>
      </c>
      <c r="L1609" s="9">
        <v>79</v>
      </c>
      <c r="M1609" s="10">
        <v>239.89003921274065</v>
      </c>
      <c r="N1609" s="7" t="s">
        <v>22</v>
      </c>
      <c r="P1609" s="29" t="str">
        <f t="shared" si="450"/>
        <v/>
      </c>
      <c r="Q1609" s="29">
        <f t="shared" si="451"/>
        <v>1</v>
      </c>
      <c r="R1609" s="29" t="str">
        <f t="shared" si="452"/>
        <v/>
      </c>
      <c r="S1609" s="29" t="str">
        <f t="shared" si="453"/>
        <v/>
      </c>
      <c r="T1609" s="32" t="str">
        <f t="shared" si="454"/>
        <v/>
      </c>
      <c r="U1609" s="32" t="str">
        <f t="shared" si="457"/>
        <v/>
      </c>
      <c r="V1609" s="32" t="str">
        <f t="shared" si="458"/>
        <v/>
      </c>
      <c r="W1609" s="41">
        <f t="shared" si="455"/>
        <v>3.0365827748448182</v>
      </c>
      <c r="X1609" s="6">
        <f t="shared" si="456"/>
        <v>0</v>
      </c>
      <c r="Y1609" s="7">
        <f t="shared" si="459"/>
        <v>567</v>
      </c>
      <c r="AA1609" s="7">
        <f t="shared" si="460"/>
        <v>0</v>
      </c>
      <c r="AB1609" s="7" t="str">
        <f t="shared" si="461"/>
        <v/>
      </c>
      <c r="AC1609" s="7">
        <f t="shared" si="462"/>
        <v>0</v>
      </c>
      <c r="AD1609" s="7" t="str">
        <f t="shared" si="463"/>
        <v/>
      </c>
      <c r="AE1609" s="6">
        <f t="shared" si="464"/>
        <v>0</v>
      </c>
      <c r="AF1609" s="69">
        <f t="shared" si="465"/>
        <v>3.0365827748448182</v>
      </c>
      <c r="AG1609" s="6">
        <f t="shared" si="466"/>
        <v>239.89003921274065</v>
      </c>
      <c r="AH1609" s="6">
        <f t="shared" si="467"/>
        <v>89</v>
      </c>
    </row>
    <row r="1610" spans="8:34" x14ac:dyDescent="0.25">
      <c r="H1610" s="7">
        <v>1617</v>
      </c>
      <c r="I1610" s="7" t="s">
        <v>8</v>
      </c>
      <c r="J1610" s="8">
        <v>38133</v>
      </c>
      <c r="K1610" s="12" t="s">
        <v>16</v>
      </c>
      <c r="L1610" s="9">
        <v>83</v>
      </c>
      <c r="M1610" s="10">
        <v>250.62172213757762</v>
      </c>
      <c r="N1610" s="7" t="s">
        <v>22</v>
      </c>
      <c r="P1610" s="29" t="str">
        <f t="shared" si="450"/>
        <v/>
      </c>
      <c r="Q1610" s="29">
        <f t="shared" si="451"/>
        <v>1</v>
      </c>
      <c r="R1610" s="29" t="str">
        <f t="shared" si="452"/>
        <v/>
      </c>
      <c r="S1610" s="29" t="str">
        <f t="shared" si="453"/>
        <v/>
      </c>
      <c r="T1610" s="32" t="str">
        <f t="shared" si="454"/>
        <v/>
      </c>
      <c r="U1610" s="32" t="str">
        <f t="shared" si="457"/>
        <v/>
      </c>
      <c r="V1610" s="32" t="str">
        <f t="shared" si="458"/>
        <v/>
      </c>
      <c r="W1610" s="41">
        <f t="shared" si="455"/>
        <v>3.0195388209346703</v>
      </c>
      <c r="X1610" s="6">
        <f t="shared" si="456"/>
        <v>0</v>
      </c>
      <c r="Y1610" s="7">
        <f t="shared" si="459"/>
        <v>567</v>
      </c>
      <c r="AA1610" s="7">
        <f t="shared" si="460"/>
        <v>0</v>
      </c>
      <c r="AB1610" s="7" t="str">
        <f t="shared" si="461"/>
        <v/>
      </c>
      <c r="AC1610" s="7">
        <f t="shared" si="462"/>
        <v>0</v>
      </c>
      <c r="AD1610" s="7" t="str">
        <f t="shared" si="463"/>
        <v/>
      </c>
      <c r="AE1610" s="6">
        <f t="shared" si="464"/>
        <v>0</v>
      </c>
      <c r="AF1610" s="69">
        <f t="shared" si="465"/>
        <v>3.0195388209346703</v>
      </c>
      <c r="AG1610" s="6">
        <f t="shared" si="466"/>
        <v>250.62172213757762</v>
      </c>
      <c r="AH1610" s="6">
        <f t="shared" si="467"/>
        <v>67</v>
      </c>
    </row>
    <row r="1611" spans="8:34" x14ac:dyDescent="0.25">
      <c r="H1611" s="7">
        <v>1618</v>
      </c>
      <c r="I1611" s="7" t="s">
        <v>8</v>
      </c>
      <c r="J1611" s="8">
        <v>38694</v>
      </c>
      <c r="K1611" s="12" t="s">
        <v>18</v>
      </c>
      <c r="L1611" s="9">
        <v>-3</v>
      </c>
      <c r="M1611" s="10">
        <v>-6.4441526293000173</v>
      </c>
      <c r="N1611" s="7" t="s">
        <v>21</v>
      </c>
      <c r="P1611" s="29" t="str">
        <f t="shared" si="450"/>
        <v/>
      </c>
      <c r="Q1611" s="29" t="str">
        <f t="shared" si="451"/>
        <v/>
      </c>
      <c r="R1611" s="29" t="str">
        <f t="shared" si="452"/>
        <v/>
      </c>
      <c r="S1611" s="29" t="str">
        <f t="shared" si="453"/>
        <v/>
      </c>
      <c r="T1611" s="32">
        <f t="shared" si="454"/>
        <v>1</v>
      </c>
      <c r="U1611" s="32">
        <f t="shared" si="457"/>
        <v>1</v>
      </c>
      <c r="V1611" s="32" t="str">
        <f t="shared" si="458"/>
        <v/>
      </c>
      <c r="W1611" s="41" t="str">
        <f t="shared" si="455"/>
        <v/>
      </c>
      <c r="X1611" s="6">
        <f t="shared" si="456"/>
        <v>-6.4441526293000173</v>
      </c>
      <c r="Y1611" s="7">
        <f t="shared" si="459"/>
        <v>1853</v>
      </c>
      <c r="AA1611" s="7">
        <f t="shared" si="460"/>
        <v>0</v>
      </c>
      <c r="AB1611" s="7" t="str">
        <f t="shared" si="461"/>
        <v/>
      </c>
      <c r="AC1611" s="7">
        <f t="shared" si="462"/>
        <v>1</v>
      </c>
      <c r="AD1611" s="7">
        <f t="shared" si="463"/>
        <v>-3</v>
      </c>
      <c r="AE1611" s="6">
        <f t="shared" si="464"/>
        <v>-3</v>
      </c>
      <c r="AF1611" s="69" t="str">
        <f t="shared" si="465"/>
        <v/>
      </c>
      <c r="AG1611" s="6">
        <f t="shared" si="466"/>
        <v>0</v>
      </c>
      <c r="AH1611" s="6">
        <f t="shared" si="467"/>
        <v>604</v>
      </c>
    </row>
    <row r="1612" spans="8:34" x14ac:dyDescent="0.25">
      <c r="H1612" s="7">
        <v>1619</v>
      </c>
      <c r="I1612" s="7" t="s">
        <v>15</v>
      </c>
      <c r="J1612" s="8">
        <v>38771</v>
      </c>
      <c r="K1612" s="12" t="s">
        <v>20</v>
      </c>
      <c r="L1612" s="9">
        <v>62</v>
      </c>
      <c r="M1612" s="10">
        <v>188.23625463241646</v>
      </c>
      <c r="N1612" s="7" t="s">
        <v>22</v>
      </c>
      <c r="P1612" s="29" t="str">
        <f t="shared" si="450"/>
        <v/>
      </c>
      <c r="Q1612" s="29" t="str">
        <f t="shared" si="451"/>
        <v/>
      </c>
      <c r="R1612" s="29" t="str">
        <f t="shared" si="452"/>
        <v/>
      </c>
      <c r="S1612" s="29" t="str">
        <f t="shared" si="453"/>
        <v/>
      </c>
      <c r="T1612" s="32" t="str">
        <f t="shared" si="454"/>
        <v/>
      </c>
      <c r="U1612" s="32" t="str">
        <f t="shared" si="457"/>
        <v/>
      </c>
      <c r="V1612" s="32">
        <f t="shared" si="458"/>
        <v>1</v>
      </c>
      <c r="W1612" s="41">
        <f t="shared" si="455"/>
        <v>3.0360686231034912</v>
      </c>
      <c r="X1612" s="6">
        <f t="shared" si="456"/>
        <v>0</v>
      </c>
      <c r="Y1612" s="7">
        <f t="shared" si="459"/>
        <v>567</v>
      </c>
      <c r="AA1612" s="7">
        <f t="shared" si="460"/>
        <v>0</v>
      </c>
      <c r="AB1612" s="7" t="str">
        <f t="shared" si="461"/>
        <v/>
      </c>
      <c r="AC1612" s="7">
        <f t="shared" si="462"/>
        <v>0</v>
      </c>
      <c r="AD1612" s="7" t="str">
        <f t="shared" si="463"/>
        <v/>
      </c>
      <c r="AE1612" s="6">
        <f t="shared" si="464"/>
        <v>0</v>
      </c>
      <c r="AF1612" s="69">
        <f t="shared" si="465"/>
        <v>3.0360686231034912</v>
      </c>
      <c r="AG1612" s="6">
        <f t="shared" si="466"/>
        <v>0</v>
      </c>
      <c r="AH1612" s="6">
        <f t="shared" si="467"/>
        <v>604</v>
      </c>
    </row>
    <row r="1613" spans="8:34" x14ac:dyDescent="0.25">
      <c r="H1613" s="7">
        <v>1620</v>
      </c>
      <c r="I1613" s="7" t="s">
        <v>15</v>
      </c>
      <c r="J1613" s="8">
        <v>38023</v>
      </c>
      <c r="K1613" s="12" t="s">
        <v>16</v>
      </c>
      <c r="L1613" s="9">
        <v>6</v>
      </c>
      <c r="M1613" s="10">
        <v>19.315165106288639</v>
      </c>
      <c r="N1613" s="7" t="s">
        <v>24</v>
      </c>
      <c r="P1613" s="29">
        <f t="shared" si="450"/>
        <v>1</v>
      </c>
      <c r="Q1613" s="29" t="str">
        <f t="shared" si="451"/>
        <v/>
      </c>
      <c r="R1613" s="29" t="str">
        <f t="shared" si="452"/>
        <v/>
      </c>
      <c r="S1613" s="29" t="str">
        <f t="shared" si="453"/>
        <v/>
      </c>
      <c r="T1613" s="32" t="str">
        <f t="shared" si="454"/>
        <v/>
      </c>
      <c r="U1613" s="32" t="str">
        <f t="shared" si="457"/>
        <v/>
      </c>
      <c r="V1613" s="32" t="str">
        <f t="shared" si="458"/>
        <v/>
      </c>
      <c r="W1613" s="41">
        <f t="shared" si="455"/>
        <v>3.2191941843814398</v>
      </c>
      <c r="X1613" s="6">
        <f t="shared" si="456"/>
        <v>0</v>
      </c>
      <c r="Y1613" s="7">
        <f t="shared" si="459"/>
        <v>567</v>
      </c>
      <c r="AA1613" s="7">
        <f t="shared" si="460"/>
        <v>0</v>
      </c>
      <c r="AB1613" s="7" t="str">
        <f t="shared" si="461"/>
        <v/>
      </c>
      <c r="AC1613" s="7">
        <f t="shared" si="462"/>
        <v>0</v>
      </c>
      <c r="AD1613" s="7" t="str">
        <f t="shared" si="463"/>
        <v/>
      </c>
      <c r="AE1613" s="6">
        <f t="shared" si="464"/>
        <v>0</v>
      </c>
      <c r="AF1613" s="69">
        <f t="shared" si="465"/>
        <v>3.2191941843814398</v>
      </c>
      <c r="AG1613" s="6">
        <f t="shared" si="466"/>
        <v>19.315165106288639</v>
      </c>
      <c r="AH1613" s="6">
        <f t="shared" si="467"/>
        <v>565</v>
      </c>
    </row>
    <row r="1614" spans="8:34" x14ac:dyDescent="0.25">
      <c r="H1614" s="7">
        <v>1621</v>
      </c>
      <c r="I1614" s="7" t="s">
        <v>9</v>
      </c>
      <c r="J1614" s="8">
        <v>38815</v>
      </c>
      <c r="K1614" s="12" t="s">
        <v>20</v>
      </c>
      <c r="L1614" s="9">
        <v>13</v>
      </c>
      <c r="M1614" s="10">
        <v>41.394747641625173</v>
      </c>
      <c r="N1614" s="7" t="s">
        <v>22</v>
      </c>
      <c r="P1614" s="29" t="str">
        <f t="shared" si="450"/>
        <v/>
      </c>
      <c r="Q1614" s="29" t="str">
        <f t="shared" si="451"/>
        <v/>
      </c>
      <c r="R1614" s="29" t="str">
        <f t="shared" si="452"/>
        <v/>
      </c>
      <c r="S1614" s="29" t="str">
        <f t="shared" si="453"/>
        <v/>
      </c>
      <c r="T1614" s="32" t="str">
        <f t="shared" si="454"/>
        <v/>
      </c>
      <c r="U1614" s="32" t="str">
        <f t="shared" si="457"/>
        <v/>
      </c>
      <c r="V1614" s="32">
        <f t="shared" si="458"/>
        <v>1</v>
      </c>
      <c r="W1614" s="41">
        <f t="shared" si="455"/>
        <v>3.1842113570480901</v>
      </c>
      <c r="X1614" s="6">
        <f t="shared" si="456"/>
        <v>0</v>
      </c>
      <c r="Y1614" s="7">
        <f t="shared" si="459"/>
        <v>567</v>
      </c>
      <c r="AA1614" s="7">
        <f t="shared" si="460"/>
        <v>0</v>
      </c>
      <c r="AB1614" s="7" t="str">
        <f t="shared" si="461"/>
        <v/>
      </c>
      <c r="AC1614" s="7">
        <f t="shared" si="462"/>
        <v>0</v>
      </c>
      <c r="AD1614" s="7" t="str">
        <f t="shared" si="463"/>
        <v/>
      </c>
      <c r="AE1614" s="6">
        <f t="shared" si="464"/>
        <v>0</v>
      </c>
      <c r="AF1614" s="69">
        <f t="shared" si="465"/>
        <v>3.1842113570480901</v>
      </c>
      <c r="AG1614" s="6">
        <f t="shared" si="466"/>
        <v>0</v>
      </c>
      <c r="AH1614" s="6">
        <f t="shared" si="467"/>
        <v>604</v>
      </c>
    </row>
    <row r="1615" spans="8:34" x14ac:dyDescent="0.25">
      <c r="H1615" s="7">
        <v>1622</v>
      </c>
      <c r="I1615" s="7" t="s">
        <v>13</v>
      </c>
      <c r="J1615" s="8">
        <v>38617</v>
      </c>
      <c r="K1615" s="12" t="s">
        <v>16</v>
      </c>
      <c r="L1615" s="9">
        <v>88</v>
      </c>
      <c r="M1615" s="10">
        <v>266.15306975216902</v>
      </c>
      <c r="N1615" s="7" t="s">
        <v>23</v>
      </c>
      <c r="P1615" s="29" t="str">
        <f t="shared" si="450"/>
        <v/>
      </c>
      <c r="Q1615" s="29" t="str">
        <f t="shared" si="451"/>
        <v/>
      </c>
      <c r="R1615" s="29" t="str">
        <f t="shared" si="452"/>
        <v/>
      </c>
      <c r="S1615" s="29" t="str">
        <f t="shared" si="453"/>
        <v/>
      </c>
      <c r="T1615" s="32" t="str">
        <f t="shared" si="454"/>
        <v/>
      </c>
      <c r="U1615" s="32">
        <f t="shared" si="457"/>
        <v>1</v>
      </c>
      <c r="V1615" s="32" t="str">
        <f t="shared" si="458"/>
        <v/>
      </c>
      <c r="W1615" s="41">
        <f t="shared" si="455"/>
        <v>3.0244667017291933</v>
      </c>
      <c r="X1615" s="6">
        <f t="shared" si="456"/>
        <v>266.15306975216902</v>
      </c>
      <c r="Y1615" s="7">
        <f t="shared" si="459"/>
        <v>53</v>
      </c>
      <c r="AA1615" s="7">
        <f t="shared" si="460"/>
        <v>1</v>
      </c>
      <c r="AB1615" s="7">
        <f t="shared" si="461"/>
        <v>88</v>
      </c>
      <c r="AC1615" s="7">
        <f t="shared" si="462"/>
        <v>0</v>
      </c>
      <c r="AD1615" s="7" t="str">
        <f t="shared" si="463"/>
        <v/>
      </c>
      <c r="AE1615" s="6">
        <f t="shared" si="464"/>
        <v>0</v>
      </c>
      <c r="AF1615" s="69">
        <f t="shared" si="465"/>
        <v>3.0244667017291933</v>
      </c>
      <c r="AG1615" s="6">
        <f t="shared" si="466"/>
        <v>0</v>
      </c>
      <c r="AH1615" s="6">
        <f t="shared" si="467"/>
        <v>604</v>
      </c>
    </row>
    <row r="1616" spans="8:34" x14ac:dyDescent="0.25">
      <c r="H1616" s="7">
        <v>1623</v>
      </c>
      <c r="I1616" s="7" t="s">
        <v>13</v>
      </c>
      <c r="J1616" s="8">
        <v>38089</v>
      </c>
      <c r="K1616" s="12" t="s">
        <v>16</v>
      </c>
      <c r="L1616" s="9">
        <v>35</v>
      </c>
      <c r="M1616" s="10">
        <v>106.7048352932988</v>
      </c>
      <c r="N1616" s="7" t="s">
        <v>23</v>
      </c>
      <c r="P1616" s="29" t="str">
        <f t="shared" si="450"/>
        <v/>
      </c>
      <c r="Q1616" s="29">
        <f t="shared" si="451"/>
        <v>1</v>
      </c>
      <c r="R1616" s="29" t="str">
        <f t="shared" si="452"/>
        <v/>
      </c>
      <c r="S1616" s="29" t="str">
        <f t="shared" si="453"/>
        <v/>
      </c>
      <c r="T1616" s="32" t="str">
        <f t="shared" si="454"/>
        <v/>
      </c>
      <c r="U1616" s="32" t="str">
        <f t="shared" si="457"/>
        <v/>
      </c>
      <c r="V1616" s="32" t="str">
        <f t="shared" si="458"/>
        <v/>
      </c>
      <c r="W1616" s="41">
        <f t="shared" si="455"/>
        <v>3.0487095798085373</v>
      </c>
      <c r="X1616" s="6">
        <f t="shared" si="456"/>
        <v>0</v>
      </c>
      <c r="Y1616" s="7">
        <f t="shared" si="459"/>
        <v>567</v>
      </c>
      <c r="AA1616" s="7">
        <f t="shared" si="460"/>
        <v>0</v>
      </c>
      <c r="AB1616" s="7" t="str">
        <f t="shared" si="461"/>
        <v/>
      </c>
      <c r="AC1616" s="7">
        <f t="shared" si="462"/>
        <v>0</v>
      </c>
      <c r="AD1616" s="7" t="str">
        <f t="shared" si="463"/>
        <v/>
      </c>
      <c r="AE1616" s="6">
        <f t="shared" si="464"/>
        <v>0</v>
      </c>
      <c r="AF1616" s="69">
        <f t="shared" si="465"/>
        <v>3.0487095798085373</v>
      </c>
      <c r="AG1616" s="6">
        <f t="shared" si="466"/>
        <v>106.7048352932988</v>
      </c>
      <c r="AH1616" s="6">
        <f t="shared" si="467"/>
        <v>359</v>
      </c>
    </row>
    <row r="1617" spans="8:34" x14ac:dyDescent="0.25">
      <c r="H1617" s="7">
        <v>1624</v>
      </c>
      <c r="I1617" s="7" t="s">
        <v>12</v>
      </c>
      <c r="J1617" s="8">
        <v>38276</v>
      </c>
      <c r="K1617" s="12" t="s">
        <v>16</v>
      </c>
      <c r="L1617" s="9">
        <v>61</v>
      </c>
      <c r="M1617" s="10">
        <v>185.38182854142642</v>
      </c>
      <c r="N1617" s="7" t="s">
        <v>22</v>
      </c>
      <c r="P1617" s="29" t="str">
        <f t="shared" si="450"/>
        <v/>
      </c>
      <c r="Q1617" s="29" t="str">
        <f t="shared" si="451"/>
        <v/>
      </c>
      <c r="R1617" s="29" t="str">
        <f t="shared" si="452"/>
        <v/>
      </c>
      <c r="S1617" s="29">
        <f t="shared" si="453"/>
        <v>1</v>
      </c>
      <c r="T1617" s="32" t="str">
        <f t="shared" si="454"/>
        <v/>
      </c>
      <c r="U1617" s="32" t="str">
        <f t="shared" si="457"/>
        <v/>
      </c>
      <c r="V1617" s="32" t="str">
        <f t="shared" si="458"/>
        <v/>
      </c>
      <c r="W1617" s="41">
        <f t="shared" si="455"/>
        <v>3.0390463695315804</v>
      </c>
      <c r="X1617" s="6">
        <f t="shared" si="456"/>
        <v>0</v>
      </c>
      <c r="Y1617" s="7">
        <f t="shared" si="459"/>
        <v>567</v>
      </c>
      <c r="AA1617" s="7">
        <f t="shared" si="460"/>
        <v>0</v>
      </c>
      <c r="AB1617" s="7" t="str">
        <f t="shared" si="461"/>
        <v/>
      </c>
      <c r="AC1617" s="7">
        <f t="shared" si="462"/>
        <v>0</v>
      </c>
      <c r="AD1617" s="7" t="str">
        <f t="shared" si="463"/>
        <v/>
      </c>
      <c r="AE1617" s="6">
        <f t="shared" si="464"/>
        <v>0</v>
      </c>
      <c r="AF1617" s="69">
        <f t="shared" si="465"/>
        <v>3.0390463695315804</v>
      </c>
      <c r="AG1617" s="6">
        <f t="shared" si="466"/>
        <v>185.38182854142642</v>
      </c>
      <c r="AH1617" s="6">
        <f t="shared" si="467"/>
        <v>211</v>
      </c>
    </row>
    <row r="1618" spans="8:34" x14ac:dyDescent="0.25">
      <c r="H1618" s="7">
        <v>1625</v>
      </c>
      <c r="I1618" s="7" t="s">
        <v>8</v>
      </c>
      <c r="J1618" s="8">
        <v>38562</v>
      </c>
      <c r="K1618" s="12" t="s">
        <v>16</v>
      </c>
      <c r="L1618" s="9">
        <v>95</v>
      </c>
      <c r="M1618" s="10">
        <v>287.15467709700755</v>
      </c>
      <c r="N1618" s="7" t="s">
        <v>23</v>
      </c>
      <c r="P1618" s="29" t="str">
        <f t="shared" si="450"/>
        <v/>
      </c>
      <c r="Q1618" s="29" t="str">
        <f t="shared" si="451"/>
        <v/>
      </c>
      <c r="R1618" s="29" t="str">
        <f t="shared" si="452"/>
        <v/>
      </c>
      <c r="S1618" s="29" t="str">
        <f t="shared" si="453"/>
        <v/>
      </c>
      <c r="T1618" s="32" t="str">
        <f t="shared" si="454"/>
        <v/>
      </c>
      <c r="U1618" s="32">
        <f t="shared" si="457"/>
        <v>1</v>
      </c>
      <c r="V1618" s="32" t="str">
        <f t="shared" si="458"/>
        <v/>
      </c>
      <c r="W1618" s="41">
        <f t="shared" si="455"/>
        <v>3.0226808115474477</v>
      </c>
      <c r="X1618" s="6">
        <f t="shared" si="456"/>
        <v>287.15467709700755</v>
      </c>
      <c r="Y1618" s="7">
        <f t="shared" si="459"/>
        <v>1</v>
      </c>
      <c r="AA1618" s="7">
        <f t="shared" si="460"/>
        <v>1</v>
      </c>
      <c r="AB1618" s="7">
        <f t="shared" si="461"/>
        <v>95</v>
      </c>
      <c r="AC1618" s="7">
        <f t="shared" si="462"/>
        <v>0</v>
      </c>
      <c r="AD1618" s="7" t="str">
        <f t="shared" si="463"/>
        <v/>
      </c>
      <c r="AE1618" s="6">
        <f t="shared" si="464"/>
        <v>0</v>
      </c>
      <c r="AF1618" s="69">
        <f t="shared" si="465"/>
        <v>3.0226808115474477</v>
      </c>
      <c r="AG1618" s="6">
        <f t="shared" si="466"/>
        <v>0</v>
      </c>
      <c r="AH1618" s="6">
        <f t="shared" si="467"/>
        <v>604</v>
      </c>
    </row>
    <row r="1619" spans="8:34" x14ac:dyDescent="0.25">
      <c r="H1619" s="7">
        <v>1626</v>
      </c>
      <c r="I1619" s="7" t="s">
        <v>13</v>
      </c>
      <c r="J1619" s="8">
        <v>38353</v>
      </c>
      <c r="K1619" s="12" t="s">
        <v>16</v>
      </c>
      <c r="L1619" s="9">
        <v>30</v>
      </c>
      <c r="M1619" s="10">
        <v>92.417025758970482</v>
      </c>
      <c r="N1619" s="7" t="s">
        <v>24</v>
      </c>
      <c r="P1619" s="29" t="str">
        <f t="shared" si="450"/>
        <v/>
      </c>
      <c r="Q1619" s="29" t="str">
        <f t="shared" si="451"/>
        <v/>
      </c>
      <c r="R1619" s="29" t="str">
        <f t="shared" si="452"/>
        <v/>
      </c>
      <c r="S1619" s="29" t="str">
        <f t="shared" si="453"/>
        <v/>
      </c>
      <c r="T1619" s="32" t="str">
        <f t="shared" si="454"/>
        <v/>
      </c>
      <c r="U1619" s="32">
        <f t="shared" si="457"/>
        <v>1</v>
      </c>
      <c r="V1619" s="32" t="str">
        <f t="shared" si="458"/>
        <v/>
      </c>
      <c r="W1619" s="41">
        <f t="shared" si="455"/>
        <v>3.0805675252990161</v>
      </c>
      <c r="X1619" s="6">
        <f t="shared" si="456"/>
        <v>92.417025758970482</v>
      </c>
      <c r="Y1619" s="7">
        <f t="shared" si="459"/>
        <v>372</v>
      </c>
      <c r="AA1619" s="7">
        <f t="shared" si="460"/>
        <v>1</v>
      </c>
      <c r="AB1619" s="7">
        <f t="shared" si="461"/>
        <v>30</v>
      </c>
      <c r="AC1619" s="7">
        <f t="shared" si="462"/>
        <v>0</v>
      </c>
      <c r="AD1619" s="7" t="str">
        <f t="shared" si="463"/>
        <v/>
      </c>
      <c r="AE1619" s="6">
        <f t="shared" si="464"/>
        <v>0</v>
      </c>
      <c r="AF1619" s="69">
        <f t="shared" si="465"/>
        <v>3.0805675252990161</v>
      </c>
      <c r="AG1619" s="6">
        <f t="shared" si="466"/>
        <v>0</v>
      </c>
      <c r="AH1619" s="6">
        <f t="shared" si="467"/>
        <v>604</v>
      </c>
    </row>
    <row r="1620" spans="8:34" x14ac:dyDescent="0.25">
      <c r="H1620" s="7">
        <v>1627</v>
      </c>
      <c r="I1620" s="7" t="s">
        <v>13</v>
      </c>
      <c r="J1620" s="8">
        <v>38914</v>
      </c>
      <c r="K1620" s="12" t="s">
        <v>16</v>
      </c>
      <c r="L1620" s="9">
        <v>-1</v>
      </c>
      <c r="M1620" s="10">
        <v>-1.6370674232788498</v>
      </c>
      <c r="N1620" s="7" t="s">
        <v>24</v>
      </c>
      <c r="P1620" s="29" t="str">
        <f t="shared" si="450"/>
        <v/>
      </c>
      <c r="Q1620" s="29" t="str">
        <f t="shared" si="451"/>
        <v/>
      </c>
      <c r="R1620" s="29" t="str">
        <f t="shared" si="452"/>
        <v/>
      </c>
      <c r="S1620" s="29" t="str">
        <f t="shared" si="453"/>
        <v/>
      </c>
      <c r="T1620" s="32" t="str">
        <f t="shared" si="454"/>
        <v/>
      </c>
      <c r="U1620" s="32" t="str">
        <f t="shared" si="457"/>
        <v/>
      </c>
      <c r="V1620" s="32">
        <f t="shared" si="458"/>
        <v>1</v>
      </c>
      <c r="W1620" s="41" t="str">
        <f t="shared" si="455"/>
        <v/>
      </c>
      <c r="X1620" s="6">
        <f t="shared" si="456"/>
        <v>0</v>
      </c>
      <c r="Y1620" s="7">
        <f t="shared" si="459"/>
        <v>567</v>
      </c>
      <c r="AA1620" s="7">
        <f t="shared" si="460"/>
        <v>0</v>
      </c>
      <c r="AB1620" s="7" t="str">
        <f t="shared" si="461"/>
        <v/>
      </c>
      <c r="AC1620" s="7">
        <f t="shared" si="462"/>
        <v>0</v>
      </c>
      <c r="AD1620" s="7" t="str">
        <f t="shared" si="463"/>
        <v/>
      </c>
      <c r="AE1620" s="6">
        <f t="shared" si="464"/>
        <v>-1</v>
      </c>
      <c r="AF1620" s="69" t="str">
        <f t="shared" si="465"/>
        <v/>
      </c>
      <c r="AG1620" s="6">
        <f t="shared" si="466"/>
        <v>0</v>
      </c>
      <c r="AH1620" s="6">
        <f t="shared" si="467"/>
        <v>604</v>
      </c>
    </row>
    <row r="1621" spans="8:34" x14ac:dyDescent="0.25">
      <c r="H1621" s="7">
        <v>1628</v>
      </c>
      <c r="I1621" s="7" t="s">
        <v>7</v>
      </c>
      <c r="J1621" s="8">
        <v>38353</v>
      </c>
      <c r="K1621" s="12" t="s">
        <v>19</v>
      </c>
      <c r="L1621" s="9">
        <v>5</v>
      </c>
      <c r="M1621" s="10">
        <v>16.92808141657132</v>
      </c>
      <c r="N1621" s="7" t="s">
        <v>22</v>
      </c>
      <c r="P1621" s="29" t="str">
        <f t="shared" si="450"/>
        <v/>
      </c>
      <c r="Q1621" s="29" t="str">
        <f t="shared" si="451"/>
        <v/>
      </c>
      <c r="R1621" s="29" t="str">
        <f t="shared" si="452"/>
        <v/>
      </c>
      <c r="S1621" s="29" t="str">
        <f t="shared" si="453"/>
        <v/>
      </c>
      <c r="T1621" s="32" t="str">
        <f t="shared" si="454"/>
        <v/>
      </c>
      <c r="U1621" s="32">
        <f t="shared" si="457"/>
        <v>1</v>
      </c>
      <c r="V1621" s="32" t="str">
        <f t="shared" si="458"/>
        <v/>
      </c>
      <c r="W1621" s="41">
        <f t="shared" si="455"/>
        <v>3.3856162833142642</v>
      </c>
      <c r="X1621" s="6">
        <f t="shared" si="456"/>
        <v>16.92808141657132</v>
      </c>
      <c r="Y1621" s="7">
        <f t="shared" si="459"/>
        <v>531</v>
      </c>
      <c r="AA1621" s="7">
        <f t="shared" si="460"/>
        <v>1</v>
      </c>
      <c r="AB1621" s="7">
        <f t="shared" si="461"/>
        <v>5</v>
      </c>
      <c r="AC1621" s="7">
        <f t="shared" si="462"/>
        <v>0</v>
      </c>
      <c r="AD1621" s="7" t="str">
        <f t="shared" si="463"/>
        <v/>
      </c>
      <c r="AE1621" s="6">
        <f t="shared" si="464"/>
        <v>0</v>
      </c>
      <c r="AF1621" s="69">
        <f t="shared" si="465"/>
        <v>3.3856162833142642</v>
      </c>
      <c r="AG1621" s="6">
        <f t="shared" si="466"/>
        <v>0</v>
      </c>
      <c r="AH1621" s="6">
        <f t="shared" si="467"/>
        <v>604</v>
      </c>
    </row>
    <row r="1622" spans="8:34" x14ac:dyDescent="0.25">
      <c r="H1622" s="7">
        <v>1629</v>
      </c>
      <c r="I1622" s="7" t="s">
        <v>7</v>
      </c>
      <c r="J1622" s="8">
        <v>38419</v>
      </c>
      <c r="K1622" s="12" t="s">
        <v>18</v>
      </c>
      <c r="L1622" s="9">
        <v>42</v>
      </c>
      <c r="M1622" s="10">
        <v>127.31651996144141</v>
      </c>
      <c r="N1622" s="7" t="s">
        <v>24</v>
      </c>
      <c r="P1622" s="29" t="str">
        <f t="shared" si="450"/>
        <v/>
      </c>
      <c r="Q1622" s="29" t="str">
        <f t="shared" si="451"/>
        <v/>
      </c>
      <c r="R1622" s="29" t="str">
        <f t="shared" si="452"/>
        <v/>
      </c>
      <c r="S1622" s="29" t="str">
        <f t="shared" si="453"/>
        <v/>
      </c>
      <c r="T1622" s="32" t="str">
        <f t="shared" si="454"/>
        <v/>
      </c>
      <c r="U1622" s="32">
        <f t="shared" si="457"/>
        <v>1</v>
      </c>
      <c r="V1622" s="32" t="str">
        <f t="shared" si="458"/>
        <v/>
      </c>
      <c r="W1622" s="41">
        <f t="shared" si="455"/>
        <v>3.0313457133676529</v>
      </c>
      <c r="X1622" s="6">
        <f t="shared" si="456"/>
        <v>127.31651996144141</v>
      </c>
      <c r="Y1622" s="7">
        <f t="shared" si="459"/>
        <v>308</v>
      </c>
      <c r="AA1622" s="7">
        <f t="shared" si="460"/>
        <v>1</v>
      </c>
      <c r="AB1622" s="7">
        <f t="shared" si="461"/>
        <v>42</v>
      </c>
      <c r="AC1622" s="7">
        <f t="shared" si="462"/>
        <v>0</v>
      </c>
      <c r="AD1622" s="7" t="str">
        <f t="shared" si="463"/>
        <v/>
      </c>
      <c r="AE1622" s="6">
        <f t="shared" si="464"/>
        <v>0</v>
      </c>
      <c r="AF1622" s="69">
        <f t="shared" si="465"/>
        <v>3.0313457133676529</v>
      </c>
      <c r="AG1622" s="6">
        <f t="shared" si="466"/>
        <v>0</v>
      </c>
      <c r="AH1622" s="6">
        <f t="shared" si="467"/>
        <v>604</v>
      </c>
    </row>
    <row r="1623" spans="8:34" x14ac:dyDescent="0.25">
      <c r="H1623" s="7">
        <v>1630</v>
      </c>
      <c r="I1623" s="7" t="s">
        <v>10</v>
      </c>
      <c r="J1623" s="8">
        <v>38474</v>
      </c>
      <c r="K1623" s="12" t="s">
        <v>16</v>
      </c>
      <c r="L1623" s="9">
        <v>14</v>
      </c>
      <c r="M1623" s="10">
        <v>44.540640710887878</v>
      </c>
      <c r="N1623" s="7" t="s">
        <v>22</v>
      </c>
      <c r="P1623" s="29" t="str">
        <f t="shared" si="450"/>
        <v/>
      </c>
      <c r="Q1623" s="29" t="str">
        <f t="shared" si="451"/>
        <v/>
      </c>
      <c r="R1623" s="29" t="str">
        <f t="shared" si="452"/>
        <v/>
      </c>
      <c r="S1623" s="29" t="str">
        <f t="shared" si="453"/>
        <v/>
      </c>
      <c r="T1623" s="32" t="str">
        <f t="shared" si="454"/>
        <v/>
      </c>
      <c r="U1623" s="32">
        <f t="shared" si="457"/>
        <v>1</v>
      </c>
      <c r="V1623" s="32" t="str">
        <f t="shared" si="458"/>
        <v/>
      </c>
      <c r="W1623" s="41">
        <f t="shared" si="455"/>
        <v>3.1814743364919913</v>
      </c>
      <c r="X1623" s="6">
        <f t="shared" si="456"/>
        <v>44.540640710887878</v>
      </c>
      <c r="Y1623" s="7">
        <f t="shared" si="459"/>
        <v>469</v>
      </c>
      <c r="AA1623" s="7">
        <f t="shared" si="460"/>
        <v>0</v>
      </c>
      <c r="AB1623" s="7" t="str">
        <f t="shared" si="461"/>
        <v/>
      </c>
      <c r="AC1623" s="7">
        <f t="shared" si="462"/>
        <v>1</v>
      </c>
      <c r="AD1623" s="7">
        <f t="shared" si="463"/>
        <v>14</v>
      </c>
      <c r="AE1623" s="6">
        <f t="shared" si="464"/>
        <v>0</v>
      </c>
      <c r="AF1623" s="69">
        <f t="shared" si="465"/>
        <v>3.1814743364919913</v>
      </c>
      <c r="AG1623" s="6">
        <f t="shared" si="466"/>
        <v>0</v>
      </c>
      <c r="AH1623" s="6">
        <f t="shared" si="467"/>
        <v>604</v>
      </c>
    </row>
    <row r="1624" spans="8:34" x14ac:dyDescent="0.25">
      <c r="H1624" s="7">
        <v>1631</v>
      </c>
      <c r="I1624" s="7" t="s">
        <v>12</v>
      </c>
      <c r="J1624" s="8">
        <v>38573</v>
      </c>
      <c r="K1624" s="12" t="s">
        <v>16</v>
      </c>
      <c r="L1624" s="9">
        <v>-4</v>
      </c>
      <c r="M1624" s="10">
        <v>-10.005990967007831</v>
      </c>
      <c r="N1624" s="7" t="s">
        <v>21</v>
      </c>
      <c r="P1624" s="29" t="str">
        <f t="shared" si="450"/>
        <v/>
      </c>
      <c r="Q1624" s="29" t="str">
        <f t="shared" si="451"/>
        <v/>
      </c>
      <c r="R1624" s="29" t="str">
        <f t="shared" si="452"/>
        <v/>
      </c>
      <c r="S1624" s="29" t="str">
        <f t="shared" si="453"/>
        <v/>
      </c>
      <c r="T1624" s="32" t="str">
        <f t="shared" si="454"/>
        <v/>
      </c>
      <c r="U1624" s="32">
        <f t="shared" si="457"/>
        <v>1</v>
      </c>
      <c r="V1624" s="32" t="str">
        <f t="shared" si="458"/>
        <v/>
      </c>
      <c r="W1624" s="41" t="str">
        <f t="shared" si="455"/>
        <v/>
      </c>
      <c r="X1624" s="6">
        <f t="shared" si="456"/>
        <v>-10.005990967007831</v>
      </c>
      <c r="Y1624" s="7">
        <f t="shared" si="459"/>
        <v>1859</v>
      </c>
      <c r="AA1624" s="7">
        <f t="shared" si="460"/>
        <v>1</v>
      </c>
      <c r="AB1624" s="7">
        <f t="shared" si="461"/>
        <v>-4</v>
      </c>
      <c r="AC1624" s="7">
        <f t="shared" si="462"/>
        <v>0</v>
      </c>
      <c r="AD1624" s="7" t="str">
        <f t="shared" si="463"/>
        <v/>
      </c>
      <c r="AE1624" s="6">
        <f t="shared" si="464"/>
        <v>-4</v>
      </c>
      <c r="AF1624" s="69" t="str">
        <f t="shared" si="465"/>
        <v/>
      </c>
      <c r="AG1624" s="6">
        <f t="shared" si="466"/>
        <v>0</v>
      </c>
      <c r="AH1624" s="6">
        <f t="shared" si="467"/>
        <v>604</v>
      </c>
    </row>
    <row r="1625" spans="8:34" x14ac:dyDescent="0.25">
      <c r="H1625" s="7">
        <v>1632</v>
      </c>
      <c r="I1625" s="7" t="s">
        <v>15</v>
      </c>
      <c r="J1625" s="8">
        <v>38738</v>
      </c>
      <c r="K1625" s="12" t="s">
        <v>18</v>
      </c>
      <c r="L1625" s="9">
        <v>27</v>
      </c>
      <c r="M1625" s="10">
        <v>82.256344701253937</v>
      </c>
      <c r="N1625" s="7" t="s">
        <v>21</v>
      </c>
      <c r="P1625" s="29" t="str">
        <f t="shared" si="450"/>
        <v/>
      </c>
      <c r="Q1625" s="29" t="str">
        <f t="shared" si="451"/>
        <v/>
      </c>
      <c r="R1625" s="29" t="str">
        <f t="shared" si="452"/>
        <v/>
      </c>
      <c r="S1625" s="29" t="str">
        <f t="shared" si="453"/>
        <v/>
      </c>
      <c r="T1625" s="32" t="str">
        <f t="shared" si="454"/>
        <v/>
      </c>
      <c r="U1625" s="32" t="str">
        <f t="shared" si="457"/>
        <v/>
      </c>
      <c r="V1625" s="32">
        <f t="shared" si="458"/>
        <v>1</v>
      </c>
      <c r="W1625" s="41">
        <f t="shared" si="455"/>
        <v>3.0465312852316271</v>
      </c>
      <c r="X1625" s="6">
        <f t="shared" si="456"/>
        <v>0</v>
      </c>
      <c r="Y1625" s="7">
        <f t="shared" si="459"/>
        <v>567</v>
      </c>
      <c r="AA1625" s="7">
        <f t="shared" si="460"/>
        <v>0</v>
      </c>
      <c r="AB1625" s="7" t="str">
        <f t="shared" si="461"/>
        <v/>
      </c>
      <c r="AC1625" s="7">
        <f t="shared" si="462"/>
        <v>0</v>
      </c>
      <c r="AD1625" s="7" t="str">
        <f t="shared" si="463"/>
        <v/>
      </c>
      <c r="AE1625" s="6">
        <f t="shared" si="464"/>
        <v>0</v>
      </c>
      <c r="AF1625" s="69">
        <f t="shared" si="465"/>
        <v>3.0465312852316271</v>
      </c>
      <c r="AG1625" s="6">
        <f t="shared" si="466"/>
        <v>0</v>
      </c>
      <c r="AH1625" s="6">
        <f t="shared" si="467"/>
        <v>604</v>
      </c>
    </row>
    <row r="1626" spans="8:34" x14ac:dyDescent="0.25">
      <c r="H1626" s="7">
        <v>1633</v>
      </c>
      <c r="I1626" s="7" t="s">
        <v>15</v>
      </c>
      <c r="J1626" s="8">
        <v>38111</v>
      </c>
      <c r="K1626" s="12" t="s">
        <v>20</v>
      </c>
      <c r="L1626" s="9">
        <v>5</v>
      </c>
      <c r="M1626" s="10">
        <v>17.11095820057195</v>
      </c>
      <c r="N1626" s="7" t="s">
        <v>24</v>
      </c>
      <c r="P1626" s="29" t="str">
        <f t="shared" si="450"/>
        <v/>
      </c>
      <c r="Q1626" s="29">
        <f t="shared" si="451"/>
        <v>1</v>
      </c>
      <c r="R1626" s="29" t="str">
        <f t="shared" si="452"/>
        <v/>
      </c>
      <c r="S1626" s="29" t="str">
        <f t="shared" si="453"/>
        <v/>
      </c>
      <c r="T1626" s="32" t="str">
        <f t="shared" si="454"/>
        <v/>
      </c>
      <c r="U1626" s="32" t="str">
        <f t="shared" si="457"/>
        <v/>
      </c>
      <c r="V1626" s="32" t="str">
        <f t="shared" si="458"/>
        <v/>
      </c>
      <c r="W1626" s="41">
        <f t="shared" si="455"/>
        <v>3.4221916401143901</v>
      </c>
      <c r="X1626" s="6">
        <f t="shared" si="456"/>
        <v>0</v>
      </c>
      <c r="Y1626" s="7">
        <f t="shared" si="459"/>
        <v>567</v>
      </c>
      <c r="AA1626" s="7">
        <f t="shared" si="460"/>
        <v>0</v>
      </c>
      <c r="AB1626" s="7" t="str">
        <f t="shared" si="461"/>
        <v/>
      </c>
      <c r="AC1626" s="7">
        <f t="shared" si="462"/>
        <v>0</v>
      </c>
      <c r="AD1626" s="7" t="str">
        <f t="shared" si="463"/>
        <v/>
      </c>
      <c r="AE1626" s="6">
        <f t="shared" si="464"/>
        <v>0</v>
      </c>
      <c r="AF1626" s="69">
        <f t="shared" si="465"/>
        <v>3.4221916401143901</v>
      </c>
      <c r="AG1626" s="6">
        <f t="shared" si="466"/>
        <v>17.11095820057195</v>
      </c>
      <c r="AH1626" s="6">
        <f t="shared" si="467"/>
        <v>570</v>
      </c>
    </row>
    <row r="1627" spans="8:34" x14ac:dyDescent="0.25">
      <c r="H1627" s="7">
        <v>1634</v>
      </c>
      <c r="I1627" s="7" t="s">
        <v>9</v>
      </c>
      <c r="J1627" s="8">
        <v>38430</v>
      </c>
      <c r="K1627" s="12" t="s">
        <v>20</v>
      </c>
      <c r="L1627" s="9">
        <v>57</v>
      </c>
      <c r="M1627" s="10">
        <v>173.29644937565891</v>
      </c>
      <c r="N1627" s="7" t="s">
        <v>21</v>
      </c>
      <c r="P1627" s="29" t="str">
        <f t="shared" si="450"/>
        <v/>
      </c>
      <c r="Q1627" s="29" t="str">
        <f t="shared" si="451"/>
        <v/>
      </c>
      <c r="R1627" s="29" t="str">
        <f t="shared" si="452"/>
        <v/>
      </c>
      <c r="S1627" s="29" t="str">
        <f t="shared" si="453"/>
        <v/>
      </c>
      <c r="T1627" s="32" t="str">
        <f t="shared" si="454"/>
        <v/>
      </c>
      <c r="U1627" s="32">
        <f t="shared" si="457"/>
        <v>1</v>
      </c>
      <c r="V1627" s="32" t="str">
        <f t="shared" si="458"/>
        <v/>
      </c>
      <c r="W1627" s="41">
        <f t="shared" si="455"/>
        <v>3.0402885855378754</v>
      </c>
      <c r="X1627" s="6">
        <f t="shared" si="456"/>
        <v>173.29644937565891</v>
      </c>
      <c r="Y1627" s="7">
        <f t="shared" si="459"/>
        <v>219</v>
      </c>
      <c r="AA1627" s="7">
        <f t="shared" si="460"/>
        <v>1</v>
      </c>
      <c r="AB1627" s="7">
        <f t="shared" si="461"/>
        <v>57</v>
      </c>
      <c r="AC1627" s="7">
        <f t="shared" si="462"/>
        <v>0</v>
      </c>
      <c r="AD1627" s="7" t="str">
        <f t="shared" si="463"/>
        <v/>
      </c>
      <c r="AE1627" s="6">
        <f t="shared" si="464"/>
        <v>0</v>
      </c>
      <c r="AF1627" s="69">
        <f t="shared" si="465"/>
        <v>3.0402885855378754</v>
      </c>
      <c r="AG1627" s="6">
        <f t="shared" si="466"/>
        <v>0</v>
      </c>
      <c r="AH1627" s="6">
        <f t="shared" si="467"/>
        <v>604</v>
      </c>
    </row>
    <row r="1628" spans="8:34" x14ac:dyDescent="0.25">
      <c r="H1628" s="7">
        <v>1635</v>
      </c>
      <c r="I1628" s="7" t="s">
        <v>8</v>
      </c>
      <c r="J1628" s="8">
        <v>38265</v>
      </c>
      <c r="K1628" s="12" t="s">
        <v>17</v>
      </c>
      <c r="L1628" s="9">
        <v>78</v>
      </c>
      <c r="M1628" s="10">
        <v>235.61102661696142</v>
      </c>
      <c r="N1628" s="7" t="s">
        <v>23</v>
      </c>
      <c r="P1628" s="29" t="str">
        <f t="shared" si="450"/>
        <v/>
      </c>
      <c r="Q1628" s="29" t="str">
        <f t="shared" si="451"/>
        <v/>
      </c>
      <c r="R1628" s="29" t="str">
        <f t="shared" si="452"/>
        <v/>
      </c>
      <c r="S1628" s="29">
        <f t="shared" si="453"/>
        <v>1</v>
      </c>
      <c r="T1628" s="32" t="str">
        <f t="shared" si="454"/>
        <v/>
      </c>
      <c r="U1628" s="32" t="str">
        <f t="shared" si="457"/>
        <v/>
      </c>
      <c r="V1628" s="32" t="str">
        <f t="shared" si="458"/>
        <v/>
      </c>
      <c r="W1628" s="41">
        <f t="shared" si="455"/>
        <v>3.0206541873969415</v>
      </c>
      <c r="X1628" s="6">
        <f t="shared" si="456"/>
        <v>0</v>
      </c>
      <c r="Y1628" s="7">
        <f t="shared" si="459"/>
        <v>567</v>
      </c>
      <c r="AA1628" s="7">
        <f t="shared" si="460"/>
        <v>0</v>
      </c>
      <c r="AB1628" s="7" t="str">
        <f t="shared" si="461"/>
        <v/>
      </c>
      <c r="AC1628" s="7">
        <f t="shared" si="462"/>
        <v>0</v>
      </c>
      <c r="AD1628" s="7" t="str">
        <f t="shared" si="463"/>
        <v/>
      </c>
      <c r="AE1628" s="6">
        <f t="shared" si="464"/>
        <v>0</v>
      </c>
      <c r="AF1628" s="69">
        <f t="shared" si="465"/>
        <v>3.0206541873969415</v>
      </c>
      <c r="AG1628" s="6">
        <f t="shared" si="466"/>
        <v>235.61102661696142</v>
      </c>
      <c r="AH1628" s="6">
        <f t="shared" si="467"/>
        <v>108</v>
      </c>
    </row>
    <row r="1629" spans="8:34" x14ac:dyDescent="0.25">
      <c r="H1629" s="7">
        <v>1636</v>
      </c>
      <c r="I1629" s="7" t="s">
        <v>15</v>
      </c>
      <c r="J1629" s="8">
        <v>38969</v>
      </c>
      <c r="K1629" s="12" t="s">
        <v>20</v>
      </c>
      <c r="L1629" s="9">
        <v>11</v>
      </c>
      <c r="M1629" s="10">
        <v>35.303927193880931</v>
      </c>
      <c r="N1629" s="7" t="s">
        <v>22</v>
      </c>
      <c r="P1629" s="29" t="str">
        <f t="shared" si="450"/>
        <v/>
      </c>
      <c r="Q1629" s="29" t="str">
        <f t="shared" si="451"/>
        <v/>
      </c>
      <c r="R1629" s="29" t="str">
        <f t="shared" si="452"/>
        <v/>
      </c>
      <c r="S1629" s="29" t="str">
        <f t="shared" si="453"/>
        <v/>
      </c>
      <c r="T1629" s="32" t="str">
        <f t="shared" si="454"/>
        <v/>
      </c>
      <c r="U1629" s="32" t="str">
        <f t="shared" si="457"/>
        <v/>
      </c>
      <c r="V1629" s="32">
        <f t="shared" si="458"/>
        <v>1</v>
      </c>
      <c r="W1629" s="41">
        <f t="shared" si="455"/>
        <v>3.2094479267164484</v>
      </c>
      <c r="X1629" s="6">
        <f t="shared" si="456"/>
        <v>0</v>
      </c>
      <c r="Y1629" s="7">
        <f t="shared" si="459"/>
        <v>567</v>
      </c>
      <c r="AA1629" s="7">
        <f t="shared" si="460"/>
        <v>0</v>
      </c>
      <c r="AB1629" s="7" t="str">
        <f t="shared" si="461"/>
        <v/>
      </c>
      <c r="AC1629" s="7">
        <f t="shared" si="462"/>
        <v>0</v>
      </c>
      <c r="AD1629" s="7" t="str">
        <f t="shared" si="463"/>
        <v/>
      </c>
      <c r="AE1629" s="6">
        <f t="shared" si="464"/>
        <v>0</v>
      </c>
      <c r="AF1629" s="69">
        <f t="shared" si="465"/>
        <v>3.2094479267164484</v>
      </c>
      <c r="AG1629" s="6">
        <f t="shared" si="466"/>
        <v>0</v>
      </c>
      <c r="AH1629" s="6">
        <f t="shared" si="467"/>
        <v>604</v>
      </c>
    </row>
    <row r="1630" spans="8:34" x14ac:dyDescent="0.25">
      <c r="H1630" s="7">
        <v>1637</v>
      </c>
      <c r="I1630" s="7" t="s">
        <v>12</v>
      </c>
      <c r="J1630" s="8">
        <v>38265</v>
      </c>
      <c r="K1630" s="12" t="s">
        <v>17</v>
      </c>
      <c r="L1630" s="9">
        <v>55</v>
      </c>
      <c r="M1630" s="10">
        <v>166.9336198966493</v>
      </c>
      <c r="N1630" s="7" t="s">
        <v>21</v>
      </c>
      <c r="P1630" s="29" t="str">
        <f t="shared" si="450"/>
        <v/>
      </c>
      <c r="Q1630" s="29" t="str">
        <f t="shared" si="451"/>
        <v/>
      </c>
      <c r="R1630" s="29" t="str">
        <f t="shared" si="452"/>
        <v/>
      </c>
      <c r="S1630" s="29">
        <f t="shared" si="453"/>
        <v>1</v>
      </c>
      <c r="T1630" s="32" t="str">
        <f t="shared" si="454"/>
        <v/>
      </c>
      <c r="U1630" s="32" t="str">
        <f t="shared" si="457"/>
        <v/>
      </c>
      <c r="V1630" s="32" t="str">
        <f t="shared" si="458"/>
        <v/>
      </c>
      <c r="W1630" s="41">
        <f t="shared" si="455"/>
        <v>3.0351567253936236</v>
      </c>
      <c r="X1630" s="6">
        <f t="shared" si="456"/>
        <v>0</v>
      </c>
      <c r="Y1630" s="7">
        <f t="shared" si="459"/>
        <v>567</v>
      </c>
      <c r="AA1630" s="7">
        <f t="shared" si="460"/>
        <v>0</v>
      </c>
      <c r="AB1630" s="7" t="str">
        <f t="shared" si="461"/>
        <v/>
      </c>
      <c r="AC1630" s="7">
        <f t="shared" si="462"/>
        <v>0</v>
      </c>
      <c r="AD1630" s="7" t="str">
        <f t="shared" si="463"/>
        <v/>
      </c>
      <c r="AE1630" s="6">
        <f t="shared" si="464"/>
        <v>0</v>
      </c>
      <c r="AF1630" s="69">
        <f t="shared" si="465"/>
        <v>3.0351567253936236</v>
      </c>
      <c r="AG1630" s="6">
        <f t="shared" si="466"/>
        <v>166.9336198966493</v>
      </c>
      <c r="AH1630" s="6">
        <f t="shared" si="467"/>
        <v>248</v>
      </c>
    </row>
    <row r="1631" spans="8:34" x14ac:dyDescent="0.25">
      <c r="H1631" s="7">
        <v>1638</v>
      </c>
      <c r="I1631" s="7" t="s">
        <v>9</v>
      </c>
      <c r="J1631" s="8">
        <v>38265</v>
      </c>
      <c r="K1631" s="12" t="s">
        <v>20</v>
      </c>
      <c r="L1631" s="9">
        <v>15</v>
      </c>
      <c r="M1631" s="10">
        <v>46.988168377437937</v>
      </c>
      <c r="N1631" s="7" t="s">
        <v>24</v>
      </c>
      <c r="P1631" s="29" t="str">
        <f t="shared" si="450"/>
        <v/>
      </c>
      <c r="Q1631" s="29" t="str">
        <f t="shared" si="451"/>
        <v/>
      </c>
      <c r="R1631" s="29" t="str">
        <f t="shared" si="452"/>
        <v/>
      </c>
      <c r="S1631" s="29">
        <f t="shared" si="453"/>
        <v>1</v>
      </c>
      <c r="T1631" s="32" t="str">
        <f t="shared" si="454"/>
        <v/>
      </c>
      <c r="U1631" s="32" t="str">
        <f t="shared" si="457"/>
        <v/>
      </c>
      <c r="V1631" s="32" t="str">
        <f t="shared" si="458"/>
        <v/>
      </c>
      <c r="W1631" s="41">
        <f t="shared" si="455"/>
        <v>3.1325445584958627</v>
      </c>
      <c r="X1631" s="6">
        <f t="shared" si="456"/>
        <v>0</v>
      </c>
      <c r="Y1631" s="7">
        <f t="shared" si="459"/>
        <v>567</v>
      </c>
      <c r="AA1631" s="7">
        <f t="shared" si="460"/>
        <v>0</v>
      </c>
      <c r="AB1631" s="7" t="str">
        <f t="shared" si="461"/>
        <v/>
      </c>
      <c r="AC1631" s="7">
        <f t="shared" si="462"/>
        <v>0</v>
      </c>
      <c r="AD1631" s="7" t="str">
        <f t="shared" si="463"/>
        <v/>
      </c>
      <c r="AE1631" s="6">
        <f t="shared" si="464"/>
        <v>0</v>
      </c>
      <c r="AF1631" s="69">
        <f t="shared" si="465"/>
        <v>3.1325445584958627</v>
      </c>
      <c r="AG1631" s="6">
        <f t="shared" si="466"/>
        <v>46.988168377437937</v>
      </c>
      <c r="AH1631" s="6">
        <f t="shared" si="467"/>
        <v>488</v>
      </c>
    </row>
    <row r="1632" spans="8:34" x14ac:dyDescent="0.25">
      <c r="H1632" s="7">
        <v>1639</v>
      </c>
      <c r="I1632" s="7" t="s">
        <v>12</v>
      </c>
      <c r="J1632" s="8">
        <v>38023</v>
      </c>
      <c r="K1632" s="12" t="s">
        <v>16</v>
      </c>
      <c r="L1632" s="9">
        <v>53</v>
      </c>
      <c r="M1632" s="10">
        <v>161.39224032948613</v>
      </c>
      <c r="N1632" s="7" t="s">
        <v>22</v>
      </c>
      <c r="P1632" s="29">
        <f t="shared" si="450"/>
        <v>1</v>
      </c>
      <c r="Q1632" s="29" t="str">
        <f t="shared" si="451"/>
        <v/>
      </c>
      <c r="R1632" s="29" t="str">
        <f t="shared" si="452"/>
        <v/>
      </c>
      <c r="S1632" s="29" t="str">
        <f t="shared" si="453"/>
        <v/>
      </c>
      <c r="T1632" s="32" t="str">
        <f t="shared" si="454"/>
        <v/>
      </c>
      <c r="U1632" s="32" t="str">
        <f t="shared" si="457"/>
        <v/>
      </c>
      <c r="V1632" s="32" t="str">
        <f t="shared" si="458"/>
        <v/>
      </c>
      <c r="W1632" s="41">
        <f t="shared" si="455"/>
        <v>3.0451366099903043</v>
      </c>
      <c r="X1632" s="6">
        <f t="shared" si="456"/>
        <v>0</v>
      </c>
      <c r="Y1632" s="7">
        <f t="shared" si="459"/>
        <v>567</v>
      </c>
      <c r="AA1632" s="7">
        <f t="shared" si="460"/>
        <v>0</v>
      </c>
      <c r="AB1632" s="7" t="str">
        <f t="shared" si="461"/>
        <v/>
      </c>
      <c r="AC1632" s="7">
        <f t="shared" si="462"/>
        <v>0</v>
      </c>
      <c r="AD1632" s="7" t="str">
        <f t="shared" si="463"/>
        <v/>
      </c>
      <c r="AE1632" s="6">
        <f t="shared" si="464"/>
        <v>0</v>
      </c>
      <c r="AF1632" s="69">
        <f t="shared" si="465"/>
        <v>3.0451366099903043</v>
      </c>
      <c r="AG1632" s="6">
        <f t="shared" si="466"/>
        <v>161.39224032948613</v>
      </c>
      <c r="AH1632" s="6">
        <f t="shared" si="467"/>
        <v>257</v>
      </c>
    </row>
    <row r="1633" spans="8:34" x14ac:dyDescent="0.25">
      <c r="H1633" s="7">
        <v>1640</v>
      </c>
      <c r="I1633" s="7" t="s">
        <v>10</v>
      </c>
      <c r="J1633" s="8">
        <v>38584</v>
      </c>
      <c r="K1633" s="12" t="s">
        <v>17</v>
      </c>
      <c r="L1633" s="9">
        <v>70</v>
      </c>
      <c r="M1633" s="10">
        <v>212.01090684722931</v>
      </c>
      <c r="N1633" s="7" t="s">
        <v>22</v>
      </c>
      <c r="P1633" s="29" t="str">
        <f t="shared" si="450"/>
        <v/>
      </c>
      <c r="Q1633" s="29" t="str">
        <f t="shared" si="451"/>
        <v/>
      </c>
      <c r="R1633" s="29" t="str">
        <f t="shared" si="452"/>
        <v/>
      </c>
      <c r="S1633" s="29" t="str">
        <f t="shared" si="453"/>
        <v/>
      </c>
      <c r="T1633" s="32" t="str">
        <f t="shared" si="454"/>
        <v/>
      </c>
      <c r="U1633" s="32">
        <f t="shared" si="457"/>
        <v>1</v>
      </c>
      <c r="V1633" s="32" t="str">
        <f t="shared" si="458"/>
        <v/>
      </c>
      <c r="W1633" s="41">
        <f t="shared" si="455"/>
        <v>3.0287272406747046</v>
      </c>
      <c r="X1633" s="6">
        <f t="shared" si="456"/>
        <v>212.01090684722931</v>
      </c>
      <c r="Y1633" s="7">
        <f t="shared" si="459"/>
        <v>159</v>
      </c>
      <c r="AA1633" s="7">
        <f t="shared" si="460"/>
        <v>1</v>
      </c>
      <c r="AB1633" s="7">
        <f t="shared" si="461"/>
        <v>70</v>
      </c>
      <c r="AC1633" s="7">
        <f t="shared" si="462"/>
        <v>0</v>
      </c>
      <c r="AD1633" s="7" t="str">
        <f t="shared" si="463"/>
        <v/>
      </c>
      <c r="AE1633" s="6">
        <f t="shared" si="464"/>
        <v>0</v>
      </c>
      <c r="AF1633" s="69">
        <f t="shared" si="465"/>
        <v>3.0287272406747046</v>
      </c>
      <c r="AG1633" s="6">
        <f t="shared" si="466"/>
        <v>0</v>
      </c>
      <c r="AH1633" s="6">
        <f t="shared" si="467"/>
        <v>604</v>
      </c>
    </row>
    <row r="1634" spans="8:34" x14ac:dyDescent="0.25">
      <c r="H1634" s="7">
        <v>1641</v>
      </c>
      <c r="I1634" s="7" t="s">
        <v>15</v>
      </c>
      <c r="J1634" s="8">
        <v>38947</v>
      </c>
      <c r="K1634" s="12" t="s">
        <v>18</v>
      </c>
      <c r="L1634" s="9">
        <v>56</v>
      </c>
      <c r="M1634" s="10">
        <v>170.03159669706065</v>
      </c>
      <c r="N1634" s="7" t="s">
        <v>24</v>
      </c>
      <c r="P1634" s="29" t="str">
        <f t="shared" si="450"/>
        <v/>
      </c>
      <c r="Q1634" s="29" t="str">
        <f t="shared" si="451"/>
        <v/>
      </c>
      <c r="R1634" s="29" t="str">
        <f t="shared" si="452"/>
        <v/>
      </c>
      <c r="S1634" s="29" t="str">
        <f t="shared" si="453"/>
        <v/>
      </c>
      <c r="T1634" s="32" t="str">
        <f t="shared" si="454"/>
        <v/>
      </c>
      <c r="U1634" s="32" t="str">
        <f t="shared" si="457"/>
        <v/>
      </c>
      <c r="V1634" s="32">
        <f t="shared" si="458"/>
        <v>1</v>
      </c>
      <c r="W1634" s="41">
        <f t="shared" si="455"/>
        <v>3.0362785124475118</v>
      </c>
      <c r="X1634" s="6">
        <f t="shared" si="456"/>
        <v>0</v>
      </c>
      <c r="Y1634" s="7">
        <f t="shared" si="459"/>
        <v>567</v>
      </c>
      <c r="AA1634" s="7">
        <f t="shared" si="460"/>
        <v>0</v>
      </c>
      <c r="AB1634" s="7" t="str">
        <f t="shared" si="461"/>
        <v/>
      </c>
      <c r="AC1634" s="7">
        <f t="shared" si="462"/>
        <v>0</v>
      </c>
      <c r="AD1634" s="7" t="str">
        <f t="shared" si="463"/>
        <v/>
      </c>
      <c r="AE1634" s="6">
        <f t="shared" si="464"/>
        <v>0</v>
      </c>
      <c r="AF1634" s="69">
        <f t="shared" si="465"/>
        <v>3.0362785124475118</v>
      </c>
      <c r="AG1634" s="6">
        <f t="shared" si="466"/>
        <v>0</v>
      </c>
      <c r="AH1634" s="6">
        <f t="shared" si="467"/>
        <v>604</v>
      </c>
    </row>
    <row r="1635" spans="8:34" x14ac:dyDescent="0.25">
      <c r="H1635" s="7">
        <v>1642</v>
      </c>
      <c r="I1635" s="7" t="s">
        <v>10</v>
      </c>
      <c r="J1635" s="8">
        <v>38859</v>
      </c>
      <c r="K1635" s="12" t="s">
        <v>16</v>
      </c>
      <c r="L1635" s="9">
        <v>91</v>
      </c>
      <c r="M1635" s="10">
        <v>275.47209572369957</v>
      </c>
      <c r="N1635" s="7" t="s">
        <v>24</v>
      </c>
      <c r="P1635" s="29" t="str">
        <f t="shared" si="450"/>
        <v/>
      </c>
      <c r="Q1635" s="29" t="str">
        <f t="shared" si="451"/>
        <v/>
      </c>
      <c r="R1635" s="29" t="str">
        <f t="shared" si="452"/>
        <v/>
      </c>
      <c r="S1635" s="29" t="str">
        <f t="shared" si="453"/>
        <v/>
      </c>
      <c r="T1635" s="32" t="str">
        <f t="shared" si="454"/>
        <v/>
      </c>
      <c r="U1635" s="32" t="str">
        <f t="shared" si="457"/>
        <v/>
      </c>
      <c r="V1635" s="32">
        <f t="shared" si="458"/>
        <v>1</v>
      </c>
      <c r="W1635" s="41">
        <f t="shared" si="455"/>
        <v>3.0271658870736218</v>
      </c>
      <c r="X1635" s="6">
        <f t="shared" si="456"/>
        <v>0</v>
      </c>
      <c r="Y1635" s="7">
        <f t="shared" si="459"/>
        <v>567</v>
      </c>
      <c r="AA1635" s="7">
        <f t="shared" si="460"/>
        <v>0</v>
      </c>
      <c r="AB1635" s="7" t="str">
        <f t="shared" si="461"/>
        <v/>
      </c>
      <c r="AC1635" s="7">
        <f t="shared" si="462"/>
        <v>0</v>
      </c>
      <c r="AD1635" s="7" t="str">
        <f t="shared" si="463"/>
        <v/>
      </c>
      <c r="AE1635" s="6">
        <f t="shared" si="464"/>
        <v>0</v>
      </c>
      <c r="AF1635" s="69">
        <f t="shared" si="465"/>
        <v>3.0271658870736218</v>
      </c>
      <c r="AG1635" s="6">
        <f t="shared" si="466"/>
        <v>0</v>
      </c>
      <c r="AH1635" s="6">
        <f t="shared" si="467"/>
        <v>604</v>
      </c>
    </row>
    <row r="1636" spans="8:34" x14ac:dyDescent="0.25">
      <c r="H1636" s="7">
        <v>1643</v>
      </c>
      <c r="I1636" s="7" t="s">
        <v>14</v>
      </c>
      <c r="J1636" s="8">
        <v>38342</v>
      </c>
      <c r="K1636" s="12" t="s">
        <v>19</v>
      </c>
      <c r="L1636" s="9">
        <v>55</v>
      </c>
      <c r="M1636" s="10">
        <v>167.80569976811464</v>
      </c>
      <c r="N1636" s="7" t="s">
        <v>22</v>
      </c>
      <c r="P1636" s="29" t="str">
        <f t="shared" si="450"/>
        <v/>
      </c>
      <c r="Q1636" s="29" t="str">
        <f t="shared" si="451"/>
        <v/>
      </c>
      <c r="R1636" s="29" t="str">
        <f t="shared" si="452"/>
        <v/>
      </c>
      <c r="S1636" s="29">
        <f t="shared" si="453"/>
        <v>1</v>
      </c>
      <c r="T1636" s="32" t="str">
        <f t="shared" si="454"/>
        <v/>
      </c>
      <c r="U1636" s="32" t="str">
        <f t="shared" si="457"/>
        <v/>
      </c>
      <c r="V1636" s="32" t="str">
        <f t="shared" si="458"/>
        <v/>
      </c>
      <c r="W1636" s="41">
        <f t="shared" si="455"/>
        <v>3.0510127230566297</v>
      </c>
      <c r="X1636" s="6">
        <f t="shared" si="456"/>
        <v>0</v>
      </c>
      <c r="Y1636" s="7">
        <f t="shared" si="459"/>
        <v>567</v>
      </c>
      <c r="AA1636" s="7">
        <f t="shared" si="460"/>
        <v>0</v>
      </c>
      <c r="AB1636" s="7" t="str">
        <f t="shared" si="461"/>
        <v/>
      </c>
      <c r="AC1636" s="7">
        <f t="shared" si="462"/>
        <v>0</v>
      </c>
      <c r="AD1636" s="7" t="str">
        <f t="shared" si="463"/>
        <v/>
      </c>
      <c r="AE1636" s="6">
        <f t="shared" si="464"/>
        <v>0</v>
      </c>
      <c r="AF1636" s="69">
        <f t="shared" si="465"/>
        <v>3.0510127230566297</v>
      </c>
      <c r="AG1636" s="6">
        <f t="shared" si="466"/>
        <v>167.80569976811464</v>
      </c>
      <c r="AH1636" s="6">
        <f t="shared" si="467"/>
        <v>243</v>
      </c>
    </row>
    <row r="1637" spans="8:34" x14ac:dyDescent="0.25">
      <c r="H1637" s="7">
        <v>1644</v>
      </c>
      <c r="I1637" s="7" t="s">
        <v>12</v>
      </c>
      <c r="J1637" s="8">
        <v>38650</v>
      </c>
      <c r="K1637" s="12" t="s">
        <v>20</v>
      </c>
      <c r="L1637" s="9">
        <v>1</v>
      </c>
      <c r="M1637" s="10">
        <v>4.7067653474104088</v>
      </c>
      <c r="N1637" s="7" t="s">
        <v>21</v>
      </c>
      <c r="P1637" s="29" t="str">
        <f t="shared" si="450"/>
        <v/>
      </c>
      <c r="Q1637" s="29" t="str">
        <f t="shared" si="451"/>
        <v/>
      </c>
      <c r="R1637" s="29" t="str">
        <f t="shared" si="452"/>
        <v/>
      </c>
      <c r="S1637" s="29" t="str">
        <f t="shared" si="453"/>
        <v/>
      </c>
      <c r="T1637" s="32">
        <f t="shared" si="454"/>
        <v>1</v>
      </c>
      <c r="U1637" s="32">
        <f t="shared" si="457"/>
        <v>1</v>
      </c>
      <c r="V1637" s="32" t="str">
        <f t="shared" si="458"/>
        <v/>
      </c>
      <c r="W1637" s="41">
        <f t="shared" si="455"/>
        <v>4.7067653474104088</v>
      </c>
      <c r="X1637" s="6">
        <f t="shared" si="456"/>
        <v>4.7067653474104088</v>
      </c>
      <c r="Y1637" s="7">
        <f t="shared" si="459"/>
        <v>559</v>
      </c>
      <c r="AA1637" s="7">
        <f t="shared" si="460"/>
        <v>0</v>
      </c>
      <c r="AB1637" s="7" t="str">
        <f t="shared" si="461"/>
        <v/>
      </c>
      <c r="AC1637" s="7">
        <f t="shared" si="462"/>
        <v>1</v>
      </c>
      <c r="AD1637" s="7">
        <f t="shared" si="463"/>
        <v>1</v>
      </c>
      <c r="AE1637" s="6">
        <f t="shared" si="464"/>
        <v>0</v>
      </c>
      <c r="AF1637" s="69">
        <f t="shared" si="465"/>
        <v>4.7067653474104088</v>
      </c>
      <c r="AG1637" s="6">
        <f t="shared" si="466"/>
        <v>0</v>
      </c>
      <c r="AH1637" s="6">
        <f t="shared" si="467"/>
        <v>604</v>
      </c>
    </row>
    <row r="1638" spans="8:34" x14ac:dyDescent="0.25">
      <c r="H1638" s="7">
        <v>1645</v>
      </c>
      <c r="I1638" s="7" t="s">
        <v>12</v>
      </c>
      <c r="J1638" s="8">
        <v>38386</v>
      </c>
      <c r="K1638" s="12" t="s">
        <v>16</v>
      </c>
      <c r="L1638" s="9">
        <v>23</v>
      </c>
      <c r="M1638" s="10">
        <v>70.736237537390394</v>
      </c>
      <c r="N1638" s="7" t="s">
        <v>23</v>
      </c>
      <c r="P1638" s="29" t="str">
        <f t="shared" si="450"/>
        <v/>
      </c>
      <c r="Q1638" s="29" t="str">
        <f t="shared" si="451"/>
        <v/>
      </c>
      <c r="R1638" s="29" t="str">
        <f t="shared" si="452"/>
        <v/>
      </c>
      <c r="S1638" s="29" t="str">
        <f t="shared" si="453"/>
        <v/>
      </c>
      <c r="T1638" s="32" t="str">
        <f t="shared" si="454"/>
        <v/>
      </c>
      <c r="U1638" s="32">
        <f t="shared" si="457"/>
        <v>1</v>
      </c>
      <c r="V1638" s="32" t="str">
        <f t="shared" si="458"/>
        <v/>
      </c>
      <c r="W1638" s="41">
        <f t="shared" si="455"/>
        <v>3.075488588582191</v>
      </c>
      <c r="X1638" s="6">
        <f t="shared" si="456"/>
        <v>70.736237537390394</v>
      </c>
      <c r="Y1638" s="7">
        <f t="shared" si="459"/>
        <v>427</v>
      </c>
      <c r="AA1638" s="7">
        <f t="shared" si="460"/>
        <v>1</v>
      </c>
      <c r="AB1638" s="7">
        <f t="shared" si="461"/>
        <v>23</v>
      </c>
      <c r="AC1638" s="7">
        <f t="shared" si="462"/>
        <v>0</v>
      </c>
      <c r="AD1638" s="7" t="str">
        <f t="shared" si="463"/>
        <v/>
      </c>
      <c r="AE1638" s="6">
        <f t="shared" si="464"/>
        <v>0</v>
      </c>
      <c r="AF1638" s="69">
        <f t="shared" si="465"/>
        <v>3.075488588582191</v>
      </c>
      <c r="AG1638" s="6">
        <f t="shared" si="466"/>
        <v>0</v>
      </c>
      <c r="AH1638" s="6">
        <f t="shared" si="467"/>
        <v>604</v>
      </c>
    </row>
    <row r="1639" spans="8:34" x14ac:dyDescent="0.25">
      <c r="H1639" s="7">
        <v>1646</v>
      </c>
      <c r="I1639" s="7" t="s">
        <v>8</v>
      </c>
      <c r="J1639" s="8">
        <v>38705</v>
      </c>
      <c r="K1639" s="12" t="s">
        <v>17</v>
      </c>
      <c r="L1639" s="9">
        <v>0</v>
      </c>
      <c r="M1639" s="10">
        <v>2.2998593901546056</v>
      </c>
      <c r="N1639" s="7" t="s">
        <v>24</v>
      </c>
      <c r="P1639" s="29" t="str">
        <f t="shared" si="450"/>
        <v/>
      </c>
      <c r="Q1639" s="29" t="str">
        <f t="shared" si="451"/>
        <v/>
      </c>
      <c r="R1639" s="29" t="str">
        <f t="shared" si="452"/>
        <v/>
      </c>
      <c r="S1639" s="29" t="str">
        <f t="shared" si="453"/>
        <v/>
      </c>
      <c r="T1639" s="32">
        <f t="shared" si="454"/>
        <v>1</v>
      </c>
      <c r="U1639" s="32">
        <f t="shared" si="457"/>
        <v>1</v>
      </c>
      <c r="V1639" s="32" t="str">
        <f t="shared" si="458"/>
        <v/>
      </c>
      <c r="W1639" s="41" t="str">
        <f t="shared" si="455"/>
        <v/>
      </c>
      <c r="X1639" s="6">
        <f t="shared" si="456"/>
        <v>2.2998593901546056</v>
      </c>
      <c r="Y1639" s="7">
        <f t="shared" si="459"/>
        <v>562</v>
      </c>
      <c r="AA1639" s="7">
        <f t="shared" si="460"/>
        <v>0</v>
      </c>
      <c r="AB1639" s="7" t="str">
        <f t="shared" si="461"/>
        <v/>
      </c>
      <c r="AC1639" s="7">
        <f t="shared" si="462"/>
        <v>1</v>
      </c>
      <c r="AD1639" s="7">
        <f t="shared" si="463"/>
        <v>0</v>
      </c>
      <c r="AE1639" s="6">
        <f t="shared" si="464"/>
        <v>0</v>
      </c>
      <c r="AF1639" s="69" t="str">
        <f t="shared" si="465"/>
        <v/>
      </c>
      <c r="AG1639" s="6">
        <f t="shared" si="466"/>
        <v>0</v>
      </c>
      <c r="AH1639" s="6">
        <f t="shared" si="467"/>
        <v>604</v>
      </c>
    </row>
    <row r="1640" spans="8:34" x14ac:dyDescent="0.25">
      <c r="H1640" s="7">
        <v>1647</v>
      </c>
      <c r="I1640" s="7" t="s">
        <v>12</v>
      </c>
      <c r="J1640" s="8">
        <v>38342</v>
      </c>
      <c r="K1640" s="12" t="s">
        <v>20</v>
      </c>
      <c r="L1640" s="9">
        <v>86</v>
      </c>
      <c r="M1640" s="10">
        <v>259.96491478210521</v>
      </c>
      <c r="N1640" s="7" t="s">
        <v>23</v>
      </c>
      <c r="P1640" s="29" t="str">
        <f t="shared" si="450"/>
        <v/>
      </c>
      <c r="Q1640" s="29" t="str">
        <f t="shared" si="451"/>
        <v/>
      </c>
      <c r="R1640" s="29" t="str">
        <f t="shared" si="452"/>
        <v/>
      </c>
      <c r="S1640" s="29">
        <f t="shared" si="453"/>
        <v>1</v>
      </c>
      <c r="T1640" s="32" t="str">
        <f t="shared" si="454"/>
        <v/>
      </c>
      <c r="U1640" s="32" t="str">
        <f t="shared" si="457"/>
        <v/>
      </c>
      <c r="V1640" s="32" t="str">
        <f t="shared" si="458"/>
        <v/>
      </c>
      <c r="W1640" s="41">
        <f t="shared" si="455"/>
        <v>3.0228478463035491</v>
      </c>
      <c r="X1640" s="6">
        <f t="shared" si="456"/>
        <v>0</v>
      </c>
      <c r="Y1640" s="7">
        <f t="shared" si="459"/>
        <v>567</v>
      </c>
      <c r="AA1640" s="7">
        <f t="shared" si="460"/>
        <v>0</v>
      </c>
      <c r="AB1640" s="7" t="str">
        <f t="shared" si="461"/>
        <v/>
      </c>
      <c r="AC1640" s="7">
        <f t="shared" si="462"/>
        <v>0</v>
      </c>
      <c r="AD1640" s="7" t="str">
        <f t="shared" si="463"/>
        <v/>
      </c>
      <c r="AE1640" s="6">
        <f t="shared" si="464"/>
        <v>0</v>
      </c>
      <c r="AF1640" s="69">
        <f t="shared" si="465"/>
        <v>3.0228478463035491</v>
      </c>
      <c r="AG1640" s="6">
        <f t="shared" si="466"/>
        <v>259.96491478210521</v>
      </c>
      <c r="AH1640" s="6">
        <f t="shared" si="467"/>
        <v>54</v>
      </c>
    </row>
    <row r="1641" spans="8:34" x14ac:dyDescent="0.25">
      <c r="H1641" s="7">
        <v>1648</v>
      </c>
      <c r="I1641" s="7" t="s">
        <v>11</v>
      </c>
      <c r="J1641" s="8">
        <v>38078</v>
      </c>
      <c r="K1641" s="12" t="s">
        <v>16</v>
      </c>
      <c r="L1641" s="9">
        <v>13</v>
      </c>
      <c r="M1641" s="10">
        <v>40.990045684129242</v>
      </c>
      <c r="N1641" s="7" t="s">
        <v>22</v>
      </c>
      <c r="P1641" s="29" t="str">
        <f t="shared" si="450"/>
        <v/>
      </c>
      <c r="Q1641" s="29">
        <f t="shared" si="451"/>
        <v>1</v>
      </c>
      <c r="R1641" s="29" t="str">
        <f t="shared" si="452"/>
        <v/>
      </c>
      <c r="S1641" s="29" t="str">
        <f t="shared" si="453"/>
        <v/>
      </c>
      <c r="T1641" s="32" t="str">
        <f t="shared" si="454"/>
        <v/>
      </c>
      <c r="U1641" s="32" t="str">
        <f t="shared" si="457"/>
        <v/>
      </c>
      <c r="V1641" s="32" t="str">
        <f t="shared" si="458"/>
        <v/>
      </c>
      <c r="W1641" s="41">
        <f t="shared" si="455"/>
        <v>3.1530804372407109</v>
      </c>
      <c r="X1641" s="6">
        <f t="shared" si="456"/>
        <v>0</v>
      </c>
      <c r="Y1641" s="7">
        <f t="shared" si="459"/>
        <v>567</v>
      </c>
      <c r="AA1641" s="7">
        <f t="shared" si="460"/>
        <v>0</v>
      </c>
      <c r="AB1641" s="7" t="str">
        <f t="shared" si="461"/>
        <v/>
      </c>
      <c r="AC1641" s="7">
        <f t="shared" si="462"/>
        <v>0</v>
      </c>
      <c r="AD1641" s="7" t="str">
        <f t="shared" si="463"/>
        <v/>
      </c>
      <c r="AE1641" s="6">
        <f t="shared" si="464"/>
        <v>0</v>
      </c>
      <c r="AF1641" s="69">
        <f t="shared" si="465"/>
        <v>3.1530804372407109</v>
      </c>
      <c r="AG1641" s="6">
        <f t="shared" si="466"/>
        <v>40.990045684129242</v>
      </c>
      <c r="AH1641" s="6">
        <f t="shared" si="467"/>
        <v>500</v>
      </c>
    </row>
    <row r="1642" spans="8:34" x14ac:dyDescent="0.25">
      <c r="H1642" s="7">
        <v>1649</v>
      </c>
      <c r="I1642" s="7" t="s">
        <v>9</v>
      </c>
      <c r="J1642" s="8">
        <v>38826</v>
      </c>
      <c r="K1642" s="12" t="s">
        <v>20</v>
      </c>
      <c r="L1642" s="9">
        <v>54</v>
      </c>
      <c r="M1642" s="10">
        <v>163.68855299520598</v>
      </c>
      <c r="N1642" s="7" t="s">
        <v>23</v>
      </c>
      <c r="P1642" s="29" t="str">
        <f t="shared" si="450"/>
        <v/>
      </c>
      <c r="Q1642" s="29" t="str">
        <f t="shared" si="451"/>
        <v/>
      </c>
      <c r="R1642" s="29" t="str">
        <f t="shared" si="452"/>
        <v/>
      </c>
      <c r="S1642" s="29" t="str">
        <f t="shared" si="453"/>
        <v/>
      </c>
      <c r="T1642" s="32" t="str">
        <f t="shared" si="454"/>
        <v/>
      </c>
      <c r="U1642" s="32" t="str">
        <f t="shared" si="457"/>
        <v/>
      </c>
      <c r="V1642" s="32">
        <f t="shared" si="458"/>
        <v>1</v>
      </c>
      <c r="W1642" s="41">
        <f t="shared" si="455"/>
        <v>3.0312694999112217</v>
      </c>
      <c r="X1642" s="6">
        <f t="shared" si="456"/>
        <v>0</v>
      </c>
      <c r="Y1642" s="7">
        <f t="shared" si="459"/>
        <v>567</v>
      </c>
      <c r="AA1642" s="7">
        <f t="shared" si="460"/>
        <v>0</v>
      </c>
      <c r="AB1642" s="7" t="str">
        <f t="shared" si="461"/>
        <v/>
      </c>
      <c r="AC1642" s="7">
        <f t="shared" si="462"/>
        <v>0</v>
      </c>
      <c r="AD1642" s="7" t="str">
        <f t="shared" si="463"/>
        <v/>
      </c>
      <c r="AE1642" s="6">
        <f t="shared" si="464"/>
        <v>0</v>
      </c>
      <c r="AF1642" s="69">
        <f t="shared" si="465"/>
        <v>3.0312694999112217</v>
      </c>
      <c r="AG1642" s="6">
        <f t="shared" si="466"/>
        <v>0</v>
      </c>
      <c r="AH1642" s="6">
        <f t="shared" si="467"/>
        <v>604</v>
      </c>
    </row>
    <row r="1643" spans="8:34" x14ac:dyDescent="0.25">
      <c r="H1643" s="7">
        <v>1650</v>
      </c>
      <c r="I1643" s="7" t="s">
        <v>11</v>
      </c>
      <c r="J1643" s="8">
        <v>38056</v>
      </c>
      <c r="K1643" s="12" t="s">
        <v>20</v>
      </c>
      <c r="L1643" s="9">
        <v>82</v>
      </c>
      <c r="M1643" s="10">
        <v>247.65702123487802</v>
      </c>
      <c r="N1643" s="7" t="s">
        <v>24</v>
      </c>
      <c r="P1643" s="29">
        <f t="shared" si="450"/>
        <v>1</v>
      </c>
      <c r="Q1643" s="29" t="str">
        <f t="shared" si="451"/>
        <v/>
      </c>
      <c r="R1643" s="29" t="str">
        <f t="shared" si="452"/>
        <v/>
      </c>
      <c r="S1643" s="29" t="str">
        <f t="shared" si="453"/>
        <v/>
      </c>
      <c r="T1643" s="32" t="str">
        <f t="shared" si="454"/>
        <v/>
      </c>
      <c r="U1643" s="32" t="str">
        <f t="shared" si="457"/>
        <v/>
      </c>
      <c r="V1643" s="32" t="str">
        <f t="shared" si="458"/>
        <v/>
      </c>
      <c r="W1643" s="41">
        <f t="shared" si="455"/>
        <v>3.0202075760350979</v>
      </c>
      <c r="X1643" s="6">
        <f t="shared" si="456"/>
        <v>0</v>
      </c>
      <c r="Y1643" s="7">
        <f t="shared" si="459"/>
        <v>567</v>
      </c>
      <c r="AA1643" s="7">
        <f t="shared" si="460"/>
        <v>0</v>
      </c>
      <c r="AB1643" s="7" t="str">
        <f t="shared" si="461"/>
        <v/>
      </c>
      <c r="AC1643" s="7">
        <f t="shared" si="462"/>
        <v>0</v>
      </c>
      <c r="AD1643" s="7" t="str">
        <f t="shared" si="463"/>
        <v/>
      </c>
      <c r="AE1643" s="6">
        <f t="shared" si="464"/>
        <v>0</v>
      </c>
      <c r="AF1643" s="69">
        <f t="shared" si="465"/>
        <v>3.0202075760350979</v>
      </c>
      <c r="AG1643" s="6">
        <f t="shared" si="466"/>
        <v>247.65702123487802</v>
      </c>
      <c r="AH1643" s="6">
        <f t="shared" si="467"/>
        <v>72</v>
      </c>
    </row>
    <row r="1644" spans="8:34" x14ac:dyDescent="0.25">
      <c r="H1644" s="7">
        <v>1651</v>
      </c>
      <c r="I1644" s="7" t="s">
        <v>13</v>
      </c>
      <c r="J1644" s="8">
        <v>38397</v>
      </c>
      <c r="K1644" s="12" t="s">
        <v>18</v>
      </c>
      <c r="L1644" s="9">
        <v>27</v>
      </c>
      <c r="M1644" s="10">
        <v>82.646392449751019</v>
      </c>
      <c r="N1644" s="7" t="s">
        <v>22</v>
      </c>
      <c r="P1644" s="29" t="str">
        <f t="shared" si="450"/>
        <v/>
      </c>
      <c r="Q1644" s="29" t="str">
        <f t="shared" si="451"/>
        <v/>
      </c>
      <c r="R1644" s="29" t="str">
        <f t="shared" si="452"/>
        <v/>
      </c>
      <c r="S1644" s="29" t="str">
        <f t="shared" si="453"/>
        <v/>
      </c>
      <c r="T1644" s="32" t="str">
        <f t="shared" si="454"/>
        <v/>
      </c>
      <c r="U1644" s="32">
        <f t="shared" si="457"/>
        <v>1</v>
      </c>
      <c r="V1644" s="32" t="str">
        <f t="shared" si="458"/>
        <v/>
      </c>
      <c r="W1644" s="41">
        <f t="shared" si="455"/>
        <v>3.0609774981389268</v>
      </c>
      <c r="X1644" s="6">
        <f t="shared" si="456"/>
        <v>82.646392449751019</v>
      </c>
      <c r="Y1644" s="7">
        <f t="shared" si="459"/>
        <v>399</v>
      </c>
      <c r="AA1644" s="7">
        <f t="shared" si="460"/>
        <v>1</v>
      </c>
      <c r="AB1644" s="7">
        <f t="shared" si="461"/>
        <v>27</v>
      </c>
      <c r="AC1644" s="7">
        <f t="shared" si="462"/>
        <v>0</v>
      </c>
      <c r="AD1644" s="7" t="str">
        <f t="shared" si="463"/>
        <v/>
      </c>
      <c r="AE1644" s="6">
        <f t="shared" si="464"/>
        <v>0</v>
      </c>
      <c r="AF1644" s="69">
        <f t="shared" si="465"/>
        <v>3.0609774981389268</v>
      </c>
      <c r="AG1644" s="6">
        <f t="shared" si="466"/>
        <v>0</v>
      </c>
      <c r="AH1644" s="6">
        <f t="shared" si="467"/>
        <v>604</v>
      </c>
    </row>
    <row r="1645" spans="8:34" x14ac:dyDescent="0.25">
      <c r="H1645" s="7">
        <v>1652</v>
      </c>
      <c r="I1645" s="7" t="s">
        <v>10</v>
      </c>
      <c r="J1645" s="8">
        <v>39002</v>
      </c>
      <c r="K1645" s="12" t="s">
        <v>19</v>
      </c>
      <c r="L1645" s="9">
        <v>84</v>
      </c>
      <c r="M1645" s="10">
        <v>254.58342526964253</v>
      </c>
      <c r="N1645" s="7" t="s">
        <v>23</v>
      </c>
      <c r="P1645" s="29" t="str">
        <f t="shared" si="450"/>
        <v/>
      </c>
      <c r="Q1645" s="29" t="str">
        <f t="shared" si="451"/>
        <v/>
      </c>
      <c r="R1645" s="29" t="str">
        <f t="shared" si="452"/>
        <v/>
      </c>
      <c r="S1645" s="29" t="str">
        <f t="shared" si="453"/>
        <v/>
      </c>
      <c r="T1645" s="32" t="str">
        <f t="shared" si="454"/>
        <v/>
      </c>
      <c r="U1645" s="32" t="str">
        <f t="shared" si="457"/>
        <v/>
      </c>
      <c r="V1645" s="32">
        <f t="shared" si="458"/>
        <v>1</v>
      </c>
      <c r="W1645" s="41">
        <f t="shared" si="455"/>
        <v>3.0307550627338395</v>
      </c>
      <c r="X1645" s="6">
        <f t="shared" si="456"/>
        <v>0</v>
      </c>
      <c r="Y1645" s="7">
        <f t="shared" si="459"/>
        <v>567</v>
      </c>
      <c r="AA1645" s="7">
        <f t="shared" si="460"/>
        <v>0</v>
      </c>
      <c r="AB1645" s="7" t="str">
        <f t="shared" si="461"/>
        <v/>
      </c>
      <c r="AC1645" s="7">
        <f t="shared" si="462"/>
        <v>0</v>
      </c>
      <c r="AD1645" s="7" t="str">
        <f t="shared" si="463"/>
        <v/>
      </c>
      <c r="AE1645" s="6">
        <f t="shared" si="464"/>
        <v>0</v>
      </c>
      <c r="AF1645" s="69">
        <f t="shared" si="465"/>
        <v>3.0307550627338395</v>
      </c>
      <c r="AG1645" s="6">
        <f t="shared" si="466"/>
        <v>0</v>
      </c>
      <c r="AH1645" s="6">
        <f t="shared" si="467"/>
        <v>604</v>
      </c>
    </row>
    <row r="1646" spans="8:34" x14ac:dyDescent="0.25">
      <c r="H1646" s="7">
        <v>1653</v>
      </c>
      <c r="I1646" s="7" t="s">
        <v>9</v>
      </c>
      <c r="J1646" s="8">
        <v>38111</v>
      </c>
      <c r="K1646" s="12" t="s">
        <v>16</v>
      </c>
      <c r="L1646" s="9">
        <v>56</v>
      </c>
      <c r="M1646" s="10">
        <v>170.24926391624365</v>
      </c>
      <c r="N1646" s="7" t="s">
        <v>24</v>
      </c>
      <c r="P1646" s="29" t="str">
        <f t="shared" si="450"/>
        <v/>
      </c>
      <c r="Q1646" s="29">
        <f t="shared" si="451"/>
        <v>1</v>
      </c>
      <c r="R1646" s="29" t="str">
        <f t="shared" si="452"/>
        <v/>
      </c>
      <c r="S1646" s="29" t="str">
        <f t="shared" si="453"/>
        <v/>
      </c>
      <c r="T1646" s="32" t="str">
        <f t="shared" si="454"/>
        <v/>
      </c>
      <c r="U1646" s="32" t="str">
        <f t="shared" si="457"/>
        <v/>
      </c>
      <c r="V1646" s="32" t="str">
        <f t="shared" si="458"/>
        <v/>
      </c>
      <c r="W1646" s="41">
        <f t="shared" si="455"/>
        <v>3.0401654270757796</v>
      </c>
      <c r="X1646" s="6">
        <f t="shared" si="456"/>
        <v>0</v>
      </c>
      <c r="Y1646" s="7">
        <f t="shared" si="459"/>
        <v>567</v>
      </c>
      <c r="AA1646" s="7">
        <f t="shared" si="460"/>
        <v>0</v>
      </c>
      <c r="AB1646" s="7" t="str">
        <f t="shared" si="461"/>
        <v/>
      </c>
      <c r="AC1646" s="7">
        <f t="shared" si="462"/>
        <v>0</v>
      </c>
      <c r="AD1646" s="7" t="str">
        <f t="shared" si="463"/>
        <v/>
      </c>
      <c r="AE1646" s="6">
        <f t="shared" si="464"/>
        <v>0</v>
      </c>
      <c r="AF1646" s="69">
        <f t="shared" si="465"/>
        <v>3.0401654270757796</v>
      </c>
      <c r="AG1646" s="6">
        <f t="shared" si="466"/>
        <v>170.24926391624365</v>
      </c>
      <c r="AH1646" s="6">
        <f t="shared" si="467"/>
        <v>236</v>
      </c>
    </row>
    <row r="1647" spans="8:34" x14ac:dyDescent="0.25">
      <c r="H1647" s="7">
        <v>1654</v>
      </c>
      <c r="I1647" s="7" t="s">
        <v>7</v>
      </c>
      <c r="J1647" s="8">
        <v>38045</v>
      </c>
      <c r="K1647" s="12" t="s">
        <v>19</v>
      </c>
      <c r="L1647" s="9">
        <v>92</v>
      </c>
      <c r="M1647" s="10">
        <v>277.26934431778176</v>
      </c>
      <c r="N1647" s="7" t="s">
        <v>21</v>
      </c>
      <c r="P1647" s="29">
        <f t="shared" si="450"/>
        <v>1</v>
      </c>
      <c r="Q1647" s="29" t="str">
        <f t="shared" si="451"/>
        <v/>
      </c>
      <c r="R1647" s="29" t="str">
        <f t="shared" si="452"/>
        <v/>
      </c>
      <c r="S1647" s="29" t="str">
        <f t="shared" si="453"/>
        <v/>
      </c>
      <c r="T1647" s="32" t="str">
        <f t="shared" si="454"/>
        <v/>
      </c>
      <c r="U1647" s="32" t="str">
        <f t="shared" si="457"/>
        <v/>
      </c>
      <c r="V1647" s="32" t="str">
        <f t="shared" si="458"/>
        <v/>
      </c>
      <c r="W1647" s="41">
        <f t="shared" si="455"/>
        <v>3.0137972208454538</v>
      </c>
      <c r="X1647" s="6">
        <f t="shared" si="456"/>
        <v>0</v>
      </c>
      <c r="Y1647" s="7">
        <f t="shared" si="459"/>
        <v>567</v>
      </c>
      <c r="AA1647" s="7">
        <f t="shared" si="460"/>
        <v>0</v>
      </c>
      <c r="AB1647" s="7" t="str">
        <f t="shared" si="461"/>
        <v/>
      </c>
      <c r="AC1647" s="7">
        <f t="shared" si="462"/>
        <v>0</v>
      </c>
      <c r="AD1647" s="7" t="str">
        <f t="shared" si="463"/>
        <v/>
      </c>
      <c r="AE1647" s="6">
        <f t="shared" si="464"/>
        <v>0</v>
      </c>
      <c r="AF1647" s="69">
        <f t="shared" si="465"/>
        <v>3.0137972208454538</v>
      </c>
      <c r="AG1647" s="6">
        <f t="shared" si="466"/>
        <v>277.26934431778176</v>
      </c>
      <c r="AH1647" s="6">
        <f t="shared" si="467"/>
        <v>24</v>
      </c>
    </row>
    <row r="1648" spans="8:34" x14ac:dyDescent="0.25">
      <c r="H1648" s="7">
        <v>1655</v>
      </c>
      <c r="I1648" s="7" t="s">
        <v>7</v>
      </c>
      <c r="J1648" s="8">
        <v>38001</v>
      </c>
      <c r="K1648" s="12" t="s">
        <v>17</v>
      </c>
      <c r="L1648" s="9">
        <v>25</v>
      </c>
      <c r="M1648" s="10">
        <v>77.553918573002605</v>
      </c>
      <c r="N1648" s="7" t="s">
        <v>23</v>
      </c>
      <c r="P1648" s="29">
        <f t="shared" si="450"/>
        <v>1</v>
      </c>
      <c r="Q1648" s="29" t="str">
        <f t="shared" si="451"/>
        <v/>
      </c>
      <c r="R1648" s="29" t="str">
        <f t="shared" si="452"/>
        <v/>
      </c>
      <c r="S1648" s="29" t="str">
        <f t="shared" si="453"/>
        <v/>
      </c>
      <c r="T1648" s="32" t="str">
        <f t="shared" si="454"/>
        <v/>
      </c>
      <c r="U1648" s="32" t="str">
        <f t="shared" si="457"/>
        <v/>
      </c>
      <c r="V1648" s="32" t="str">
        <f t="shared" si="458"/>
        <v/>
      </c>
      <c r="W1648" s="41">
        <f t="shared" si="455"/>
        <v>3.102156742920104</v>
      </c>
      <c r="X1648" s="6">
        <f t="shared" si="456"/>
        <v>0</v>
      </c>
      <c r="Y1648" s="7">
        <f t="shared" si="459"/>
        <v>567</v>
      </c>
      <c r="AA1648" s="7">
        <f t="shared" si="460"/>
        <v>0</v>
      </c>
      <c r="AB1648" s="7" t="str">
        <f t="shared" si="461"/>
        <v/>
      </c>
      <c r="AC1648" s="7">
        <f t="shared" si="462"/>
        <v>0</v>
      </c>
      <c r="AD1648" s="7" t="str">
        <f t="shared" si="463"/>
        <v/>
      </c>
      <c r="AE1648" s="6">
        <f t="shared" si="464"/>
        <v>0</v>
      </c>
      <c r="AF1648" s="69">
        <f t="shared" si="465"/>
        <v>3.102156742920104</v>
      </c>
      <c r="AG1648" s="6">
        <f t="shared" si="466"/>
        <v>77.553918573002605</v>
      </c>
      <c r="AH1648" s="6">
        <f t="shared" si="467"/>
        <v>425</v>
      </c>
    </row>
    <row r="1649" spans="8:34" x14ac:dyDescent="0.25">
      <c r="H1649" s="7">
        <v>1656</v>
      </c>
      <c r="I1649" s="7" t="s">
        <v>7</v>
      </c>
      <c r="J1649" s="8">
        <v>38353</v>
      </c>
      <c r="K1649" s="12" t="s">
        <v>16</v>
      </c>
      <c r="L1649" s="9">
        <v>67</v>
      </c>
      <c r="M1649" s="10">
        <v>203.0044570204021</v>
      </c>
      <c r="N1649" s="7" t="s">
        <v>24</v>
      </c>
      <c r="P1649" s="29" t="str">
        <f t="shared" si="450"/>
        <v/>
      </c>
      <c r="Q1649" s="29" t="str">
        <f t="shared" si="451"/>
        <v/>
      </c>
      <c r="R1649" s="29" t="str">
        <f t="shared" si="452"/>
        <v/>
      </c>
      <c r="S1649" s="29" t="str">
        <f t="shared" si="453"/>
        <v/>
      </c>
      <c r="T1649" s="32" t="str">
        <f t="shared" si="454"/>
        <v/>
      </c>
      <c r="U1649" s="32">
        <f t="shared" si="457"/>
        <v>1</v>
      </c>
      <c r="V1649" s="32" t="str">
        <f t="shared" si="458"/>
        <v/>
      </c>
      <c r="W1649" s="41">
        <f t="shared" si="455"/>
        <v>3.0299172689612255</v>
      </c>
      <c r="X1649" s="6">
        <f t="shared" si="456"/>
        <v>203.0044570204021</v>
      </c>
      <c r="Y1649" s="7">
        <f t="shared" si="459"/>
        <v>174</v>
      </c>
      <c r="AA1649" s="7">
        <f t="shared" si="460"/>
        <v>1</v>
      </c>
      <c r="AB1649" s="7">
        <f t="shared" si="461"/>
        <v>67</v>
      </c>
      <c r="AC1649" s="7">
        <f t="shared" si="462"/>
        <v>0</v>
      </c>
      <c r="AD1649" s="7" t="str">
        <f t="shared" si="463"/>
        <v/>
      </c>
      <c r="AE1649" s="6">
        <f t="shared" si="464"/>
        <v>0</v>
      </c>
      <c r="AF1649" s="69">
        <f t="shared" si="465"/>
        <v>3.0299172689612255</v>
      </c>
      <c r="AG1649" s="6">
        <f t="shared" si="466"/>
        <v>0</v>
      </c>
      <c r="AH1649" s="6">
        <f t="shared" si="467"/>
        <v>604</v>
      </c>
    </row>
    <row r="1650" spans="8:34" x14ac:dyDescent="0.25">
      <c r="H1650" s="7">
        <v>1657</v>
      </c>
      <c r="I1650" s="7" t="s">
        <v>15</v>
      </c>
      <c r="J1650" s="8">
        <v>38089</v>
      </c>
      <c r="K1650" s="12" t="s">
        <v>19</v>
      </c>
      <c r="L1650" s="9">
        <v>75</v>
      </c>
      <c r="M1650" s="10">
        <v>226.86441343955028</v>
      </c>
      <c r="N1650" s="7" t="s">
        <v>23</v>
      </c>
      <c r="P1650" s="29" t="str">
        <f t="shared" si="450"/>
        <v/>
      </c>
      <c r="Q1650" s="29">
        <f t="shared" si="451"/>
        <v>1</v>
      </c>
      <c r="R1650" s="29" t="str">
        <f t="shared" si="452"/>
        <v/>
      </c>
      <c r="S1650" s="29" t="str">
        <f t="shared" si="453"/>
        <v/>
      </c>
      <c r="T1650" s="32" t="str">
        <f t="shared" si="454"/>
        <v/>
      </c>
      <c r="U1650" s="32" t="str">
        <f t="shared" si="457"/>
        <v/>
      </c>
      <c r="V1650" s="32" t="str">
        <f t="shared" si="458"/>
        <v/>
      </c>
      <c r="W1650" s="41">
        <f t="shared" si="455"/>
        <v>3.0248588458606704</v>
      </c>
      <c r="X1650" s="6">
        <f t="shared" si="456"/>
        <v>0</v>
      </c>
      <c r="Y1650" s="7">
        <f t="shared" si="459"/>
        <v>567</v>
      </c>
      <c r="AA1650" s="7">
        <f t="shared" si="460"/>
        <v>0</v>
      </c>
      <c r="AB1650" s="7" t="str">
        <f t="shared" si="461"/>
        <v/>
      </c>
      <c r="AC1650" s="7">
        <f t="shared" si="462"/>
        <v>0</v>
      </c>
      <c r="AD1650" s="7" t="str">
        <f t="shared" si="463"/>
        <v/>
      </c>
      <c r="AE1650" s="6">
        <f t="shared" si="464"/>
        <v>0</v>
      </c>
      <c r="AF1650" s="69">
        <f t="shared" si="465"/>
        <v>3.0248588458606704</v>
      </c>
      <c r="AG1650" s="6">
        <f t="shared" si="466"/>
        <v>226.86441343955028</v>
      </c>
      <c r="AH1650" s="6">
        <f t="shared" si="467"/>
        <v>124</v>
      </c>
    </row>
    <row r="1651" spans="8:34" x14ac:dyDescent="0.25">
      <c r="H1651" s="7">
        <v>1658</v>
      </c>
      <c r="I1651" s="7" t="s">
        <v>13</v>
      </c>
      <c r="J1651" s="8">
        <v>38617</v>
      </c>
      <c r="K1651" s="12" t="s">
        <v>16</v>
      </c>
      <c r="L1651" s="9">
        <v>14</v>
      </c>
      <c r="M1651" s="10">
        <v>44.140520464612329</v>
      </c>
      <c r="N1651" s="7" t="s">
        <v>22</v>
      </c>
      <c r="P1651" s="29" t="str">
        <f t="shared" si="450"/>
        <v/>
      </c>
      <c r="Q1651" s="29" t="str">
        <f t="shared" si="451"/>
        <v/>
      </c>
      <c r="R1651" s="29" t="str">
        <f t="shared" si="452"/>
        <v/>
      </c>
      <c r="S1651" s="29" t="str">
        <f t="shared" si="453"/>
        <v/>
      </c>
      <c r="T1651" s="32" t="str">
        <f t="shared" si="454"/>
        <v/>
      </c>
      <c r="U1651" s="32">
        <f t="shared" si="457"/>
        <v>1</v>
      </c>
      <c r="V1651" s="32" t="str">
        <f t="shared" si="458"/>
        <v/>
      </c>
      <c r="W1651" s="41">
        <f t="shared" si="455"/>
        <v>3.1528943189008807</v>
      </c>
      <c r="X1651" s="6">
        <f t="shared" si="456"/>
        <v>44.140520464612329</v>
      </c>
      <c r="Y1651" s="7">
        <f t="shared" si="459"/>
        <v>472</v>
      </c>
      <c r="AA1651" s="7">
        <f t="shared" si="460"/>
        <v>1</v>
      </c>
      <c r="AB1651" s="7">
        <f t="shared" si="461"/>
        <v>14</v>
      </c>
      <c r="AC1651" s="7">
        <f t="shared" si="462"/>
        <v>0</v>
      </c>
      <c r="AD1651" s="7" t="str">
        <f t="shared" si="463"/>
        <v/>
      </c>
      <c r="AE1651" s="6">
        <f t="shared" si="464"/>
        <v>0</v>
      </c>
      <c r="AF1651" s="69">
        <f t="shared" si="465"/>
        <v>3.1528943189008807</v>
      </c>
      <c r="AG1651" s="6">
        <f t="shared" si="466"/>
        <v>0</v>
      </c>
      <c r="AH1651" s="6">
        <f t="shared" si="467"/>
        <v>604</v>
      </c>
    </row>
    <row r="1652" spans="8:34" x14ac:dyDescent="0.25">
      <c r="H1652" s="7">
        <v>1659</v>
      </c>
      <c r="I1652" s="7" t="s">
        <v>12</v>
      </c>
      <c r="J1652" s="8">
        <v>38705</v>
      </c>
      <c r="K1652" s="12" t="s">
        <v>17</v>
      </c>
      <c r="L1652" s="9">
        <v>48</v>
      </c>
      <c r="M1652" s="10">
        <v>145.81129384316213</v>
      </c>
      <c r="N1652" s="7" t="s">
        <v>23</v>
      </c>
      <c r="P1652" s="29" t="str">
        <f t="shared" si="450"/>
        <v/>
      </c>
      <c r="Q1652" s="29" t="str">
        <f t="shared" si="451"/>
        <v/>
      </c>
      <c r="R1652" s="29" t="str">
        <f t="shared" si="452"/>
        <v/>
      </c>
      <c r="S1652" s="29" t="str">
        <f t="shared" si="453"/>
        <v/>
      </c>
      <c r="T1652" s="32">
        <f t="shared" si="454"/>
        <v>1</v>
      </c>
      <c r="U1652" s="32">
        <f t="shared" si="457"/>
        <v>1</v>
      </c>
      <c r="V1652" s="32" t="str">
        <f t="shared" si="458"/>
        <v/>
      </c>
      <c r="W1652" s="41">
        <f t="shared" si="455"/>
        <v>3.0377352883992113</v>
      </c>
      <c r="X1652" s="6">
        <f t="shared" si="456"/>
        <v>145.81129384316213</v>
      </c>
      <c r="Y1652" s="7">
        <f t="shared" si="459"/>
        <v>279</v>
      </c>
      <c r="AA1652" s="7">
        <f t="shared" si="460"/>
        <v>0</v>
      </c>
      <c r="AB1652" s="7" t="str">
        <f t="shared" si="461"/>
        <v/>
      </c>
      <c r="AC1652" s="7">
        <f t="shared" si="462"/>
        <v>1</v>
      </c>
      <c r="AD1652" s="7">
        <f t="shared" si="463"/>
        <v>48</v>
      </c>
      <c r="AE1652" s="6">
        <f t="shared" si="464"/>
        <v>0</v>
      </c>
      <c r="AF1652" s="69">
        <f t="shared" si="465"/>
        <v>3.0377352883992113</v>
      </c>
      <c r="AG1652" s="6">
        <f t="shared" si="466"/>
        <v>0</v>
      </c>
      <c r="AH1652" s="6">
        <f t="shared" si="467"/>
        <v>604</v>
      </c>
    </row>
    <row r="1653" spans="8:34" x14ac:dyDescent="0.25">
      <c r="H1653" s="7">
        <v>1660</v>
      </c>
      <c r="I1653" s="7" t="s">
        <v>11</v>
      </c>
      <c r="J1653" s="8">
        <v>38122</v>
      </c>
      <c r="K1653" s="12" t="s">
        <v>18</v>
      </c>
      <c r="L1653" s="9">
        <v>73</v>
      </c>
      <c r="M1653" s="10">
        <v>221.16800423559653</v>
      </c>
      <c r="N1653" s="7" t="s">
        <v>23</v>
      </c>
      <c r="P1653" s="29" t="str">
        <f t="shared" si="450"/>
        <v/>
      </c>
      <c r="Q1653" s="29">
        <f t="shared" si="451"/>
        <v>1</v>
      </c>
      <c r="R1653" s="29" t="str">
        <f t="shared" si="452"/>
        <v/>
      </c>
      <c r="S1653" s="29" t="str">
        <f t="shared" si="453"/>
        <v/>
      </c>
      <c r="T1653" s="32" t="str">
        <f t="shared" si="454"/>
        <v/>
      </c>
      <c r="U1653" s="32" t="str">
        <f t="shared" si="457"/>
        <v/>
      </c>
      <c r="V1653" s="32" t="str">
        <f t="shared" si="458"/>
        <v/>
      </c>
      <c r="W1653" s="41">
        <f t="shared" si="455"/>
        <v>3.0296986881588563</v>
      </c>
      <c r="X1653" s="6">
        <f t="shared" si="456"/>
        <v>0</v>
      </c>
      <c r="Y1653" s="7">
        <f t="shared" si="459"/>
        <v>567</v>
      </c>
      <c r="AA1653" s="7">
        <f t="shared" si="460"/>
        <v>0</v>
      </c>
      <c r="AB1653" s="7" t="str">
        <f t="shared" si="461"/>
        <v/>
      </c>
      <c r="AC1653" s="7">
        <f t="shared" si="462"/>
        <v>0</v>
      </c>
      <c r="AD1653" s="7" t="str">
        <f t="shared" si="463"/>
        <v/>
      </c>
      <c r="AE1653" s="6">
        <f t="shared" si="464"/>
        <v>0</v>
      </c>
      <c r="AF1653" s="69">
        <f t="shared" si="465"/>
        <v>3.0296986881588563</v>
      </c>
      <c r="AG1653" s="6">
        <f t="shared" si="466"/>
        <v>221.16800423559653</v>
      </c>
      <c r="AH1653" s="6">
        <f t="shared" si="467"/>
        <v>133</v>
      </c>
    </row>
    <row r="1654" spans="8:34" x14ac:dyDescent="0.25">
      <c r="H1654" s="7">
        <v>1661</v>
      </c>
      <c r="I1654" s="7" t="s">
        <v>8</v>
      </c>
      <c r="J1654" s="8">
        <v>38507</v>
      </c>
      <c r="K1654" s="12" t="s">
        <v>18</v>
      </c>
      <c r="L1654" s="9">
        <v>28</v>
      </c>
      <c r="M1654" s="10">
        <v>85.646088345809403</v>
      </c>
      <c r="N1654" s="7" t="s">
        <v>24</v>
      </c>
      <c r="P1654" s="29" t="str">
        <f t="shared" si="450"/>
        <v/>
      </c>
      <c r="Q1654" s="29" t="str">
        <f t="shared" si="451"/>
        <v/>
      </c>
      <c r="R1654" s="29" t="str">
        <f t="shared" si="452"/>
        <v/>
      </c>
      <c r="S1654" s="29" t="str">
        <f t="shared" si="453"/>
        <v/>
      </c>
      <c r="T1654" s="32" t="str">
        <f t="shared" si="454"/>
        <v/>
      </c>
      <c r="U1654" s="32">
        <f t="shared" si="457"/>
        <v>1</v>
      </c>
      <c r="V1654" s="32" t="str">
        <f t="shared" si="458"/>
        <v/>
      </c>
      <c r="W1654" s="41">
        <f t="shared" si="455"/>
        <v>3.0587888694931928</v>
      </c>
      <c r="X1654" s="6">
        <f t="shared" si="456"/>
        <v>85.646088345809403</v>
      </c>
      <c r="Y1654" s="7">
        <f t="shared" si="459"/>
        <v>390</v>
      </c>
      <c r="AA1654" s="7">
        <f t="shared" si="460"/>
        <v>0</v>
      </c>
      <c r="AB1654" s="7" t="str">
        <f t="shared" si="461"/>
        <v/>
      </c>
      <c r="AC1654" s="7">
        <f t="shared" si="462"/>
        <v>1</v>
      </c>
      <c r="AD1654" s="7">
        <f t="shared" si="463"/>
        <v>28</v>
      </c>
      <c r="AE1654" s="6">
        <f t="shared" si="464"/>
        <v>0</v>
      </c>
      <c r="AF1654" s="69">
        <f t="shared" si="465"/>
        <v>3.0587888694931928</v>
      </c>
      <c r="AG1654" s="6">
        <f t="shared" si="466"/>
        <v>0</v>
      </c>
      <c r="AH1654" s="6">
        <f t="shared" si="467"/>
        <v>604</v>
      </c>
    </row>
    <row r="1655" spans="8:34" x14ac:dyDescent="0.25">
      <c r="H1655" s="7">
        <v>1662</v>
      </c>
      <c r="I1655" s="7" t="s">
        <v>9</v>
      </c>
      <c r="J1655" s="8">
        <v>38683</v>
      </c>
      <c r="K1655" s="12" t="s">
        <v>16</v>
      </c>
      <c r="L1655" s="9">
        <v>12</v>
      </c>
      <c r="M1655" s="10">
        <v>38.543998121108487</v>
      </c>
      <c r="N1655" s="7" t="s">
        <v>23</v>
      </c>
      <c r="P1655" s="29" t="str">
        <f t="shared" si="450"/>
        <v/>
      </c>
      <c r="Q1655" s="29" t="str">
        <f t="shared" si="451"/>
        <v/>
      </c>
      <c r="R1655" s="29" t="str">
        <f t="shared" si="452"/>
        <v/>
      </c>
      <c r="S1655" s="29" t="str">
        <f t="shared" si="453"/>
        <v/>
      </c>
      <c r="T1655" s="32">
        <f t="shared" si="454"/>
        <v>1</v>
      </c>
      <c r="U1655" s="32">
        <f t="shared" si="457"/>
        <v>1</v>
      </c>
      <c r="V1655" s="32" t="str">
        <f t="shared" si="458"/>
        <v/>
      </c>
      <c r="W1655" s="41">
        <f t="shared" si="455"/>
        <v>3.2119998434257071</v>
      </c>
      <c r="X1655" s="6">
        <f t="shared" si="456"/>
        <v>38.543998121108487</v>
      </c>
      <c r="Y1655" s="7">
        <f t="shared" si="459"/>
        <v>480</v>
      </c>
      <c r="AA1655" s="7">
        <f t="shared" si="460"/>
        <v>0</v>
      </c>
      <c r="AB1655" s="7" t="str">
        <f t="shared" si="461"/>
        <v/>
      </c>
      <c r="AC1655" s="7">
        <f t="shared" si="462"/>
        <v>1</v>
      </c>
      <c r="AD1655" s="7">
        <f t="shared" si="463"/>
        <v>12</v>
      </c>
      <c r="AE1655" s="6">
        <f t="shared" si="464"/>
        <v>0</v>
      </c>
      <c r="AF1655" s="69">
        <f t="shared" si="465"/>
        <v>3.2119998434257071</v>
      </c>
      <c r="AG1655" s="6">
        <f t="shared" si="466"/>
        <v>0</v>
      </c>
      <c r="AH1655" s="6">
        <f t="shared" si="467"/>
        <v>604</v>
      </c>
    </row>
    <row r="1656" spans="8:34" x14ac:dyDescent="0.25">
      <c r="H1656" s="7">
        <v>1663</v>
      </c>
      <c r="I1656" s="7" t="s">
        <v>15</v>
      </c>
      <c r="J1656" s="8">
        <v>38474</v>
      </c>
      <c r="K1656" s="12" t="s">
        <v>17</v>
      </c>
      <c r="L1656" s="9">
        <v>50</v>
      </c>
      <c r="M1656" s="10">
        <v>152.11340525555411</v>
      </c>
      <c r="N1656" s="7" t="s">
        <v>21</v>
      </c>
      <c r="P1656" s="29" t="str">
        <f t="shared" si="450"/>
        <v/>
      </c>
      <c r="Q1656" s="29" t="str">
        <f t="shared" si="451"/>
        <v/>
      </c>
      <c r="R1656" s="29" t="str">
        <f t="shared" si="452"/>
        <v/>
      </c>
      <c r="S1656" s="29" t="str">
        <f t="shared" si="453"/>
        <v/>
      </c>
      <c r="T1656" s="32" t="str">
        <f t="shared" si="454"/>
        <v/>
      </c>
      <c r="U1656" s="32">
        <f t="shared" si="457"/>
        <v>1</v>
      </c>
      <c r="V1656" s="32" t="str">
        <f t="shared" si="458"/>
        <v/>
      </c>
      <c r="W1656" s="41">
        <f t="shared" si="455"/>
        <v>3.0422681051110825</v>
      </c>
      <c r="X1656" s="6">
        <f t="shared" si="456"/>
        <v>152.11340525555411</v>
      </c>
      <c r="Y1656" s="7">
        <f t="shared" si="459"/>
        <v>268</v>
      </c>
      <c r="AA1656" s="7">
        <f t="shared" si="460"/>
        <v>0</v>
      </c>
      <c r="AB1656" s="7" t="str">
        <f t="shared" si="461"/>
        <v/>
      </c>
      <c r="AC1656" s="7">
        <f t="shared" si="462"/>
        <v>1</v>
      </c>
      <c r="AD1656" s="7">
        <f t="shared" si="463"/>
        <v>50</v>
      </c>
      <c r="AE1656" s="6">
        <f t="shared" si="464"/>
        <v>0</v>
      </c>
      <c r="AF1656" s="69">
        <f t="shared" si="465"/>
        <v>3.0422681051110825</v>
      </c>
      <c r="AG1656" s="6">
        <f t="shared" si="466"/>
        <v>0</v>
      </c>
      <c r="AH1656" s="6">
        <f t="shared" si="467"/>
        <v>604</v>
      </c>
    </row>
    <row r="1657" spans="8:34" x14ac:dyDescent="0.25">
      <c r="H1657" s="7">
        <v>1664</v>
      </c>
      <c r="I1657" s="7" t="s">
        <v>12</v>
      </c>
      <c r="J1657" s="8">
        <v>38991</v>
      </c>
      <c r="K1657" s="12" t="s">
        <v>18</v>
      </c>
      <c r="L1657" s="9">
        <v>-5</v>
      </c>
      <c r="M1657" s="10">
        <v>-12.64098802195692</v>
      </c>
      <c r="N1657" s="7" t="s">
        <v>22</v>
      </c>
      <c r="P1657" s="29" t="str">
        <f t="shared" si="450"/>
        <v/>
      </c>
      <c r="Q1657" s="29" t="str">
        <f t="shared" si="451"/>
        <v/>
      </c>
      <c r="R1657" s="29" t="str">
        <f t="shared" si="452"/>
        <v/>
      </c>
      <c r="S1657" s="29" t="str">
        <f t="shared" si="453"/>
        <v/>
      </c>
      <c r="T1657" s="32" t="str">
        <f t="shared" si="454"/>
        <v/>
      </c>
      <c r="U1657" s="32" t="str">
        <f t="shared" si="457"/>
        <v/>
      </c>
      <c r="V1657" s="32">
        <f t="shared" si="458"/>
        <v>1</v>
      </c>
      <c r="W1657" s="41" t="str">
        <f t="shared" si="455"/>
        <v/>
      </c>
      <c r="X1657" s="6">
        <f t="shared" si="456"/>
        <v>0</v>
      </c>
      <c r="Y1657" s="7">
        <f t="shared" si="459"/>
        <v>567</v>
      </c>
      <c r="AA1657" s="7">
        <f t="shared" si="460"/>
        <v>0</v>
      </c>
      <c r="AB1657" s="7" t="str">
        <f t="shared" si="461"/>
        <v/>
      </c>
      <c r="AC1657" s="7">
        <f t="shared" si="462"/>
        <v>0</v>
      </c>
      <c r="AD1657" s="7" t="str">
        <f t="shared" si="463"/>
        <v/>
      </c>
      <c r="AE1657" s="6">
        <f t="shared" si="464"/>
        <v>-5</v>
      </c>
      <c r="AF1657" s="69" t="str">
        <f t="shared" si="465"/>
        <v/>
      </c>
      <c r="AG1657" s="6">
        <f t="shared" si="466"/>
        <v>0</v>
      </c>
      <c r="AH1657" s="6">
        <f t="shared" si="467"/>
        <v>604</v>
      </c>
    </row>
    <row r="1658" spans="8:34" x14ac:dyDescent="0.25">
      <c r="H1658" s="7">
        <v>1665</v>
      </c>
      <c r="I1658" s="7" t="s">
        <v>8</v>
      </c>
      <c r="J1658" s="8">
        <v>38375</v>
      </c>
      <c r="K1658" s="12" t="s">
        <v>17</v>
      </c>
      <c r="L1658" s="9">
        <v>6</v>
      </c>
      <c r="M1658" s="10">
        <v>19.476233913607583</v>
      </c>
      <c r="N1658" s="7" t="s">
        <v>24</v>
      </c>
      <c r="P1658" s="29" t="str">
        <f t="shared" si="450"/>
        <v/>
      </c>
      <c r="Q1658" s="29" t="str">
        <f t="shared" si="451"/>
        <v/>
      </c>
      <c r="R1658" s="29" t="str">
        <f t="shared" si="452"/>
        <v/>
      </c>
      <c r="S1658" s="29" t="str">
        <f t="shared" si="453"/>
        <v/>
      </c>
      <c r="T1658" s="32" t="str">
        <f t="shared" si="454"/>
        <v/>
      </c>
      <c r="U1658" s="32">
        <f t="shared" si="457"/>
        <v>1</v>
      </c>
      <c r="V1658" s="32" t="str">
        <f t="shared" si="458"/>
        <v/>
      </c>
      <c r="W1658" s="41">
        <f t="shared" si="455"/>
        <v>3.2460389856012637</v>
      </c>
      <c r="X1658" s="6">
        <f t="shared" si="456"/>
        <v>19.476233913607583</v>
      </c>
      <c r="Y1658" s="7">
        <f t="shared" si="459"/>
        <v>527</v>
      </c>
      <c r="AA1658" s="7">
        <f t="shared" si="460"/>
        <v>1</v>
      </c>
      <c r="AB1658" s="7">
        <f t="shared" si="461"/>
        <v>6</v>
      </c>
      <c r="AC1658" s="7">
        <f t="shared" si="462"/>
        <v>0</v>
      </c>
      <c r="AD1658" s="7" t="str">
        <f t="shared" si="463"/>
        <v/>
      </c>
      <c r="AE1658" s="6">
        <f t="shared" si="464"/>
        <v>0</v>
      </c>
      <c r="AF1658" s="69">
        <f t="shared" si="465"/>
        <v>3.2460389856012637</v>
      </c>
      <c r="AG1658" s="6">
        <f t="shared" si="466"/>
        <v>0</v>
      </c>
      <c r="AH1658" s="6">
        <f t="shared" si="467"/>
        <v>604</v>
      </c>
    </row>
    <row r="1659" spans="8:34" x14ac:dyDescent="0.25">
      <c r="H1659" s="7">
        <v>1666</v>
      </c>
      <c r="I1659" s="7" t="s">
        <v>8</v>
      </c>
      <c r="J1659" s="8">
        <v>38408</v>
      </c>
      <c r="K1659" s="12" t="s">
        <v>18</v>
      </c>
      <c r="L1659" s="9">
        <v>63</v>
      </c>
      <c r="M1659" s="10">
        <v>190.56862486239569</v>
      </c>
      <c r="N1659" s="7" t="s">
        <v>24</v>
      </c>
      <c r="P1659" s="29" t="str">
        <f t="shared" si="450"/>
        <v/>
      </c>
      <c r="Q1659" s="29" t="str">
        <f t="shared" si="451"/>
        <v/>
      </c>
      <c r="R1659" s="29" t="str">
        <f t="shared" si="452"/>
        <v/>
      </c>
      <c r="S1659" s="29" t="str">
        <f t="shared" si="453"/>
        <v/>
      </c>
      <c r="T1659" s="32" t="str">
        <f t="shared" si="454"/>
        <v/>
      </c>
      <c r="U1659" s="32">
        <f t="shared" si="457"/>
        <v>1</v>
      </c>
      <c r="V1659" s="32" t="str">
        <f t="shared" si="458"/>
        <v/>
      </c>
      <c r="W1659" s="41">
        <f t="shared" si="455"/>
        <v>3.0248988073396141</v>
      </c>
      <c r="X1659" s="6">
        <f t="shared" si="456"/>
        <v>190.56862486239569</v>
      </c>
      <c r="Y1659" s="7">
        <f t="shared" si="459"/>
        <v>192</v>
      </c>
      <c r="AA1659" s="7">
        <f t="shared" si="460"/>
        <v>1</v>
      </c>
      <c r="AB1659" s="7">
        <f t="shared" si="461"/>
        <v>63</v>
      </c>
      <c r="AC1659" s="7">
        <f t="shared" si="462"/>
        <v>0</v>
      </c>
      <c r="AD1659" s="7" t="str">
        <f t="shared" si="463"/>
        <v/>
      </c>
      <c r="AE1659" s="6">
        <f t="shared" si="464"/>
        <v>0</v>
      </c>
      <c r="AF1659" s="69">
        <f t="shared" si="465"/>
        <v>3.0248988073396141</v>
      </c>
      <c r="AG1659" s="6">
        <f t="shared" si="466"/>
        <v>0</v>
      </c>
      <c r="AH1659" s="6">
        <f t="shared" si="467"/>
        <v>604</v>
      </c>
    </row>
    <row r="1660" spans="8:34" x14ac:dyDescent="0.25">
      <c r="H1660" s="7">
        <v>1667</v>
      </c>
      <c r="I1660" s="7" t="s">
        <v>13</v>
      </c>
      <c r="J1660" s="8">
        <v>38881</v>
      </c>
      <c r="K1660" s="12" t="s">
        <v>18</v>
      </c>
      <c r="L1660" s="9">
        <v>33</v>
      </c>
      <c r="M1660" s="10">
        <v>100.75324427531469</v>
      </c>
      <c r="N1660" s="7" t="s">
        <v>22</v>
      </c>
      <c r="P1660" s="29" t="str">
        <f t="shared" si="450"/>
        <v/>
      </c>
      <c r="Q1660" s="29" t="str">
        <f t="shared" si="451"/>
        <v/>
      </c>
      <c r="R1660" s="29" t="str">
        <f t="shared" si="452"/>
        <v/>
      </c>
      <c r="S1660" s="29" t="str">
        <f t="shared" si="453"/>
        <v/>
      </c>
      <c r="T1660" s="32" t="str">
        <f t="shared" si="454"/>
        <v/>
      </c>
      <c r="U1660" s="32" t="str">
        <f t="shared" si="457"/>
        <v/>
      </c>
      <c r="V1660" s="32">
        <f t="shared" si="458"/>
        <v>1</v>
      </c>
      <c r="W1660" s="41">
        <f t="shared" si="455"/>
        <v>3.0531286144034753</v>
      </c>
      <c r="X1660" s="6">
        <f t="shared" si="456"/>
        <v>0</v>
      </c>
      <c r="Y1660" s="7">
        <f t="shared" si="459"/>
        <v>567</v>
      </c>
      <c r="AA1660" s="7">
        <f t="shared" si="460"/>
        <v>0</v>
      </c>
      <c r="AB1660" s="7" t="str">
        <f t="shared" si="461"/>
        <v/>
      </c>
      <c r="AC1660" s="7">
        <f t="shared" si="462"/>
        <v>0</v>
      </c>
      <c r="AD1660" s="7" t="str">
        <f t="shared" si="463"/>
        <v/>
      </c>
      <c r="AE1660" s="6">
        <f t="shared" si="464"/>
        <v>0</v>
      </c>
      <c r="AF1660" s="69">
        <f t="shared" si="465"/>
        <v>3.0531286144034753</v>
      </c>
      <c r="AG1660" s="6">
        <f t="shared" si="466"/>
        <v>0</v>
      </c>
      <c r="AH1660" s="6">
        <f t="shared" si="467"/>
        <v>604</v>
      </c>
    </row>
    <row r="1661" spans="8:34" x14ac:dyDescent="0.25">
      <c r="H1661" s="7">
        <v>1668</v>
      </c>
      <c r="I1661" s="7" t="s">
        <v>15</v>
      </c>
      <c r="J1661" s="8">
        <v>38254</v>
      </c>
      <c r="K1661" s="12" t="s">
        <v>16</v>
      </c>
      <c r="L1661" s="9">
        <v>61</v>
      </c>
      <c r="M1661" s="10">
        <v>185.16541785072013</v>
      </c>
      <c r="N1661" s="7" t="s">
        <v>21</v>
      </c>
      <c r="P1661" s="29" t="str">
        <f t="shared" si="450"/>
        <v/>
      </c>
      <c r="Q1661" s="29" t="str">
        <f t="shared" si="451"/>
        <v/>
      </c>
      <c r="R1661" s="29">
        <f t="shared" si="452"/>
        <v>1</v>
      </c>
      <c r="S1661" s="29" t="str">
        <f t="shared" si="453"/>
        <v/>
      </c>
      <c r="T1661" s="32" t="str">
        <f t="shared" si="454"/>
        <v/>
      </c>
      <c r="U1661" s="32" t="str">
        <f t="shared" si="457"/>
        <v/>
      </c>
      <c r="V1661" s="32" t="str">
        <f t="shared" si="458"/>
        <v/>
      </c>
      <c r="W1661" s="41">
        <f t="shared" si="455"/>
        <v>3.0354986532904942</v>
      </c>
      <c r="X1661" s="6">
        <f t="shared" si="456"/>
        <v>0</v>
      </c>
      <c r="Y1661" s="7">
        <f t="shared" si="459"/>
        <v>567</v>
      </c>
      <c r="AA1661" s="7">
        <f t="shared" si="460"/>
        <v>0</v>
      </c>
      <c r="AB1661" s="7" t="str">
        <f t="shared" si="461"/>
        <v/>
      </c>
      <c r="AC1661" s="7">
        <f t="shared" si="462"/>
        <v>0</v>
      </c>
      <c r="AD1661" s="7" t="str">
        <f t="shared" si="463"/>
        <v/>
      </c>
      <c r="AE1661" s="6">
        <f t="shared" si="464"/>
        <v>0</v>
      </c>
      <c r="AF1661" s="69">
        <f t="shared" si="465"/>
        <v>3.0354986532904942</v>
      </c>
      <c r="AG1661" s="6">
        <f t="shared" si="466"/>
        <v>185.16541785072013</v>
      </c>
      <c r="AH1661" s="6">
        <f t="shared" si="467"/>
        <v>213</v>
      </c>
    </row>
    <row r="1662" spans="8:34" x14ac:dyDescent="0.25">
      <c r="H1662" s="7">
        <v>1669</v>
      </c>
      <c r="I1662" s="7" t="s">
        <v>11</v>
      </c>
      <c r="J1662" s="8">
        <v>38331</v>
      </c>
      <c r="K1662" s="12" t="s">
        <v>18</v>
      </c>
      <c r="L1662" s="9">
        <v>16</v>
      </c>
      <c r="M1662" s="10">
        <v>50.709076483884871</v>
      </c>
      <c r="N1662" s="7" t="s">
        <v>24</v>
      </c>
      <c r="P1662" s="29" t="str">
        <f t="shared" si="450"/>
        <v/>
      </c>
      <c r="Q1662" s="29" t="str">
        <f t="shared" si="451"/>
        <v/>
      </c>
      <c r="R1662" s="29" t="str">
        <f t="shared" si="452"/>
        <v/>
      </c>
      <c r="S1662" s="29">
        <f t="shared" si="453"/>
        <v>1</v>
      </c>
      <c r="T1662" s="32" t="str">
        <f t="shared" si="454"/>
        <v/>
      </c>
      <c r="U1662" s="32" t="str">
        <f t="shared" si="457"/>
        <v/>
      </c>
      <c r="V1662" s="32" t="str">
        <f t="shared" si="458"/>
        <v/>
      </c>
      <c r="W1662" s="41">
        <f t="shared" si="455"/>
        <v>3.1693172802428045</v>
      </c>
      <c r="X1662" s="6">
        <f t="shared" si="456"/>
        <v>0</v>
      </c>
      <c r="Y1662" s="7">
        <f t="shared" si="459"/>
        <v>567</v>
      </c>
      <c r="AA1662" s="7">
        <f t="shared" si="460"/>
        <v>0</v>
      </c>
      <c r="AB1662" s="7" t="str">
        <f t="shared" si="461"/>
        <v/>
      </c>
      <c r="AC1662" s="7">
        <f t="shared" si="462"/>
        <v>0</v>
      </c>
      <c r="AD1662" s="7" t="str">
        <f t="shared" si="463"/>
        <v/>
      </c>
      <c r="AE1662" s="6">
        <f t="shared" si="464"/>
        <v>0</v>
      </c>
      <c r="AF1662" s="69">
        <f t="shared" si="465"/>
        <v>3.1693172802428045</v>
      </c>
      <c r="AG1662" s="6">
        <f t="shared" si="466"/>
        <v>50.709076483884871</v>
      </c>
      <c r="AH1662" s="6">
        <f t="shared" si="467"/>
        <v>478</v>
      </c>
    </row>
    <row r="1663" spans="8:34" x14ac:dyDescent="0.25">
      <c r="H1663" s="7">
        <v>1670</v>
      </c>
      <c r="I1663" s="7" t="s">
        <v>14</v>
      </c>
      <c r="J1663" s="8">
        <v>38870</v>
      </c>
      <c r="K1663" s="12" t="s">
        <v>16</v>
      </c>
      <c r="L1663" s="9">
        <v>15</v>
      </c>
      <c r="M1663" s="10">
        <v>47.142751278135883</v>
      </c>
      <c r="N1663" s="7" t="s">
        <v>22</v>
      </c>
      <c r="P1663" s="29" t="str">
        <f t="shared" si="450"/>
        <v/>
      </c>
      <c r="Q1663" s="29" t="str">
        <f t="shared" si="451"/>
        <v/>
      </c>
      <c r="R1663" s="29" t="str">
        <f t="shared" si="452"/>
        <v/>
      </c>
      <c r="S1663" s="29" t="str">
        <f t="shared" si="453"/>
        <v/>
      </c>
      <c r="T1663" s="32" t="str">
        <f t="shared" si="454"/>
        <v/>
      </c>
      <c r="U1663" s="32" t="str">
        <f t="shared" si="457"/>
        <v/>
      </c>
      <c r="V1663" s="32">
        <f t="shared" si="458"/>
        <v>1</v>
      </c>
      <c r="W1663" s="41">
        <f t="shared" si="455"/>
        <v>3.1428500852090591</v>
      </c>
      <c r="X1663" s="6">
        <f t="shared" si="456"/>
        <v>0</v>
      </c>
      <c r="Y1663" s="7">
        <f t="shared" si="459"/>
        <v>567</v>
      </c>
      <c r="AA1663" s="7">
        <f t="shared" si="460"/>
        <v>0</v>
      </c>
      <c r="AB1663" s="7" t="str">
        <f t="shared" si="461"/>
        <v/>
      </c>
      <c r="AC1663" s="7">
        <f t="shared" si="462"/>
        <v>0</v>
      </c>
      <c r="AD1663" s="7" t="str">
        <f t="shared" si="463"/>
        <v/>
      </c>
      <c r="AE1663" s="6">
        <f t="shared" si="464"/>
        <v>0</v>
      </c>
      <c r="AF1663" s="69">
        <f t="shared" si="465"/>
        <v>3.1428500852090591</v>
      </c>
      <c r="AG1663" s="6">
        <f t="shared" si="466"/>
        <v>0</v>
      </c>
      <c r="AH1663" s="6">
        <f t="shared" si="467"/>
        <v>604</v>
      </c>
    </row>
    <row r="1664" spans="8:34" x14ac:dyDescent="0.25">
      <c r="H1664" s="7">
        <v>1671</v>
      </c>
      <c r="I1664" s="7" t="s">
        <v>11</v>
      </c>
      <c r="J1664" s="8">
        <v>38925</v>
      </c>
      <c r="K1664" s="12" t="s">
        <v>16</v>
      </c>
      <c r="L1664" s="9">
        <v>-1</v>
      </c>
      <c r="M1664" s="10">
        <v>-0.59949529532525503</v>
      </c>
      <c r="N1664" s="7" t="s">
        <v>21</v>
      </c>
      <c r="P1664" s="29" t="str">
        <f t="shared" si="450"/>
        <v/>
      </c>
      <c r="Q1664" s="29" t="str">
        <f t="shared" si="451"/>
        <v/>
      </c>
      <c r="R1664" s="29" t="str">
        <f t="shared" si="452"/>
        <v/>
      </c>
      <c r="S1664" s="29" t="str">
        <f t="shared" si="453"/>
        <v/>
      </c>
      <c r="T1664" s="32" t="str">
        <f t="shared" si="454"/>
        <v/>
      </c>
      <c r="U1664" s="32" t="str">
        <f t="shared" si="457"/>
        <v/>
      </c>
      <c r="V1664" s="32">
        <f t="shared" si="458"/>
        <v>1</v>
      </c>
      <c r="W1664" s="41" t="str">
        <f t="shared" si="455"/>
        <v/>
      </c>
      <c r="X1664" s="6">
        <f t="shared" si="456"/>
        <v>0</v>
      </c>
      <c r="Y1664" s="7">
        <f t="shared" si="459"/>
        <v>567</v>
      </c>
      <c r="AA1664" s="7">
        <f t="shared" si="460"/>
        <v>0</v>
      </c>
      <c r="AB1664" s="7" t="str">
        <f t="shared" si="461"/>
        <v/>
      </c>
      <c r="AC1664" s="7">
        <f t="shared" si="462"/>
        <v>0</v>
      </c>
      <c r="AD1664" s="7" t="str">
        <f t="shared" si="463"/>
        <v/>
      </c>
      <c r="AE1664" s="6">
        <f t="shared" si="464"/>
        <v>-1</v>
      </c>
      <c r="AF1664" s="69" t="str">
        <f t="shared" si="465"/>
        <v/>
      </c>
      <c r="AG1664" s="6">
        <f t="shared" si="466"/>
        <v>0</v>
      </c>
      <c r="AH1664" s="6">
        <f t="shared" si="467"/>
        <v>604</v>
      </c>
    </row>
    <row r="1665" spans="8:34" x14ac:dyDescent="0.25">
      <c r="H1665" s="7">
        <v>1672</v>
      </c>
      <c r="I1665" s="7" t="s">
        <v>8</v>
      </c>
      <c r="J1665" s="8">
        <v>38507</v>
      </c>
      <c r="K1665" s="12" t="s">
        <v>17</v>
      </c>
      <c r="L1665" s="9">
        <v>28</v>
      </c>
      <c r="M1665" s="10">
        <v>85.359164284772746</v>
      </c>
      <c r="N1665" s="7" t="s">
        <v>23</v>
      </c>
      <c r="P1665" s="29" t="str">
        <f t="shared" si="450"/>
        <v/>
      </c>
      <c r="Q1665" s="29" t="str">
        <f t="shared" si="451"/>
        <v/>
      </c>
      <c r="R1665" s="29" t="str">
        <f t="shared" si="452"/>
        <v/>
      </c>
      <c r="S1665" s="29" t="str">
        <f t="shared" si="453"/>
        <v/>
      </c>
      <c r="T1665" s="32" t="str">
        <f t="shared" si="454"/>
        <v/>
      </c>
      <c r="U1665" s="32">
        <f t="shared" si="457"/>
        <v>1</v>
      </c>
      <c r="V1665" s="32" t="str">
        <f t="shared" si="458"/>
        <v/>
      </c>
      <c r="W1665" s="41">
        <f t="shared" si="455"/>
        <v>3.0485415815990264</v>
      </c>
      <c r="X1665" s="6">
        <f t="shared" si="456"/>
        <v>85.359164284772746</v>
      </c>
      <c r="Y1665" s="7">
        <f t="shared" si="459"/>
        <v>392</v>
      </c>
      <c r="AA1665" s="7">
        <f t="shared" si="460"/>
        <v>0</v>
      </c>
      <c r="AB1665" s="7" t="str">
        <f t="shared" si="461"/>
        <v/>
      </c>
      <c r="AC1665" s="7">
        <f t="shared" si="462"/>
        <v>1</v>
      </c>
      <c r="AD1665" s="7">
        <f t="shared" si="463"/>
        <v>28</v>
      </c>
      <c r="AE1665" s="6">
        <f t="shared" si="464"/>
        <v>0</v>
      </c>
      <c r="AF1665" s="69">
        <f t="shared" si="465"/>
        <v>3.0485415815990264</v>
      </c>
      <c r="AG1665" s="6">
        <f t="shared" si="466"/>
        <v>0</v>
      </c>
      <c r="AH1665" s="6">
        <f t="shared" si="467"/>
        <v>604</v>
      </c>
    </row>
    <row r="1666" spans="8:34" x14ac:dyDescent="0.25">
      <c r="H1666" s="7">
        <v>1673</v>
      </c>
      <c r="I1666" s="7" t="s">
        <v>14</v>
      </c>
      <c r="J1666" s="8">
        <v>38991</v>
      </c>
      <c r="K1666" s="12" t="s">
        <v>18</v>
      </c>
      <c r="L1666" s="9">
        <v>74</v>
      </c>
      <c r="M1666" s="10">
        <v>223.5358944867458</v>
      </c>
      <c r="N1666" s="7" t="s">
        <v>24</v>
      </c>
      <c r="P1666" s="29" t="str">
        <f t="shared" si="450"/>
        <v/>
      </c>
      <c r="Q1666" s="29" t="str">
        <f t="shared" si="451"/>
        <v/>
      </c>
      <c r="R1666" s="29" t="str">
        <f t="shared" si="452"/>
        <v/>
      </c>
      <c r="S1666" s="29" t="str">
        <f t="shared" si="453"/>
        <v/>
      </c>
      <c r="T1666" s="32" t="str">
        <f t="shared" si="454"/>
        <v/>
      </c>
      <c r="U1666" s="32" t="str">
        <f t="shared" si="457"/>
        <v/>
      </c>
      <c r="V1666" s="32">
        <f t="shared" si="458"/>
        <v>1</v>
      </c>
      <c r="W1666" s="41">
        <f t="shared" si="455"/>
        <v>3.0207553309019701</v>
      </c>
      <c r="X1666" s="6">
        <f t="shared" si="456"/>
        <v>0</v>
      </c>
      <c r="Y1666" s="7">
        <f t="shared" si="459"/>
        <v>567</v>
      </c>
      <c r="AA1666" s="7">
        <f t="shared" si="460"/>
        <v>0</v>
      </c>
      <c r="AB1666" s="7" t="str">
        <f t="shared" si="461"/>
        <v/>
      </c>
      <c r="AC1666" s="7">
        <f t="shared" si="462"/>
        <v>0</v>
      </c>
      <c r="AD1666" s="7" t="str">
        <f t="shared" si="463"/>
        <v/>
      </c>
      <c r="AE1666" s="6">
        <f t="shared" si="464"/>
        <v>0</v>
      </c>
      <c r="AF1666" s="69">
        <f t="shared" si="465"/>
        <v>3.0207553309019701</v>
      </c>
      <c r="AG1666" s="6">
        <f t="shared" si="466"/>
        <v>0</v>
      </c>
      <c r="AH1666" s="6">
        <f t="shared" si="467"/>
        <v>604</v>
      </c>
    </row>
    <row r="1667" spans="8:34" x14ac:dyDescent="0.25">
      <c r="H1667" s="7">
        <v>1674</v>
      </c>
      <c r="I1667" s="7" t="s">
        <v>13</v>
      </c>
      <c r="J1667" s="8">
        <v>38089</v>
      </c>
      <c r="K1667" s="12" t="s">
        <v>17</v>
      </c>
      <c r="L1667" s="9">
        <v>60</v>
      </c>
      <c r="M1667" s="10">
        <v>182.52957283898829</v>
      </c>
      <c r="N1667" s="7" t="s">
        <v>24</v>
      </c>
      <c r="P1667" s="29" t="str">
        <f t="shared" ref="P1667:P1730" si="468">IF(AND((MONTH(J1667))&lt;4,YEAR(J1667)=2004),1,"")</f>
        <v/>
      </c>
      <c r="Q1667" s="29">
        <f t="shared" ref="Q1667:Q1730" si="469">IF(AND(3&lt;(MONTH(J1667)),(MONTH(J1667)&lt;7),YEAR(J1667)=2004),1,"")</f>
        <v>1</v>
      </c>
      <c r="R1667" s="29" t="str">
        <f t="shared" ref="R1667:R1730" si="470">IF(AND(6&lt;(MONTH(J1667)),(MONTH(J1667)&lt;10),YEAR(J1667)=2004),1,"")</f>
        <v/>
      </c>
      <c r="S1667" s="29" t="str">
        <f t="shared" ref="S1667:S1730" si="471">IF(AND(9&lt;(MONTH(J1667)),(MONTH(J1667)&lt;13),YEAR(J1667)=2004),1,"")</f>
        <v/>
      </c>
      <c r="T1667" s="32" t="str">
        <f t="shared" ref="T1667:T1730" si="472">IF(AND((9&lt;MONTH(J1667)),YEAR(J1667)=2005),1,"")</f>
        <v/>
      </c>
      <c r="U1667" s="32" t="str">
        <f t="shared" si="457"/>
        <v/>
      </c>
      <c r="V1667" s="32" t="str">
        <f t="shared" si="458"/>
        <v/>
      </c>
      <c r="W1667" s="41">
        <f t="shared" ref="W1667:W1730" si="473">IF(L1667&gt;0,M1667/L1667,"")</f>
        <v>3.0421595473164715</v>
      </c>
      <c r="X1667" s="6">
        <f t="shared" ref="X1667:X1730" si="474">IF(U1667=1,M1667,0)</f>
        <v>0</v>
      </c>
      <c r="Y1667" s="7">
        <f t="shared" si="459"/>
        <v>567</v>
      </c>
      <c r="AA1667" s="7">
        <f t="shared" si="460"/>
        <v>0</v>
      </c>
      <c r="AB1667" s="7" t="str">
        <f t="shared" si="461"/>
        <v/>
      </c>
      <c r="AC1667" s="7">
        <f t="shared" si="462"/>
        <v>0</v>
      </c>
      <c r="AD1667" s="7" t="str">
        <f t="shared" si="463"/>
        <v/>
      </c>
      <c r="AE1667" s="6">
        <f t="shared" si="464"/>
        <v>0</v>
      </c>
      <c r="AF1667" s="69">
        <f t="shared" si="465"/>
        <v>3.0421595473164715</v>
      </c>
      <c r="AG1667" s="6">
        <f t="shared" si="466"/>
        <v>182.52957283898829</v>
      </c>
      <c r="AH1667" s="6">
        <f t="shared" si="467"/>
        <v>217</v>
      </c>
    </row>
    <row r="1668" spans="8:34" x14ac:dyDescent="0.25">
      <c r="H1668" s="7">
        <v>1675</v>
      </c>
      <c r="I1668" s="7" t="s">
        <v>12</v>
      </c>
      <c r="J1668" s="8">
        <v>38474</v>
      </c>
      <c r="K1668" s="12" t="s">
        <v>20</v>
      </c>
      <c r="L1668" s="9">
        <v>26</v>
      </c>
      <c r="M1668" s="10">
        <v>79.644787892751594</v>
      </c>
      <c r="N1668" s="7" t="s">
        <v>22</v>
      </c>
      <c r="P1668" s="29" t="str">
        <f t="shared" si="468"/>
        <v/>
      </c>
      <c r="Q1668" s="29" t="str">
        <f t="shared" si="469"/>
        <v/>
      </c>
      <c r="R1668" s="29" t="str">
        <f t="shared" si="470"/>
        <v/>
      </c>
      <c r="S1668" s="29" t="str">
        <f t="shared" si="471"/>
        <v/>
      </c>
      <c r="T1668" s="32" t="str">
        <f t="shared" si="472"/>
        <v/>
      </c>
      <c r="U1668" s="32">
        <f t="shared" ref="U1668:U1731" si="475">IF(YEAR(J1668)=2005,1,"")</f>
        <v>1</v>
      </c>
      <c r="V1668" s="32" t="str">
        <f t="shared" ref="V1668:V1731" si="476">IF(YEAR(J1668)=2006,1,"")</f>
        <v/>
      </c>
      <c r="W1668" s="41">
        <f t="shared" si="473"/>
        <v>3.0632610727981384</v>
      </c>
      <c r="X1668" s="6">
        <f t="shared" si="474"/>
        <v>79.644787892751594</v>
      </c>
      <c r="Y1668" s="7">
        <f t="shared" ref="Y1668:Y1731" si="477">RANK(X1668,$X$3:$X$1893)</f>
        <v>406</v>
      </c>
      <c r="AA1668" s="7">
        <f t="shared" ref="AA1668:AA1731" si="478">IF(AND(OR((MONTH(J1668))=1,(MONTH(J1668))=2,(MONTH(J1668))=3,(MONTH(J1668))=7,(MONTH(J1668))=8,(MONTH(J1668))=9),YEAR(J1668)=2005),1,0)</f>
        <v>0</v>
      </c>
      <c r="AB1668" s="7" t="str">
        <f t="shared" ref="AB1668:AB1731" si="479">IF(AA1668=1,L1668,"")</f>
        <v/>
      </c>
      <c r="AC1668" s="7">
        <f t="shared" ref="AC1668:AC1731" si="480">IF(AND(OR((MONTH(J1668))=4,(MONTH(J1668))=5,(MONTH(J1668))=6,(MONTH(J1668))=10,(MONTH(J1668))=11,(MONTH(J1668))=12),YEAR(J1668)=2005),1,0)</f>
        <v>1</v>
      </c>
      <c r="AD1668" s="7">
        <f t="shared" ref="AD1668:AD1731" si="481">IF(AC1668=1,L1668,"")</f>
        <v>26</v>
      </c>
      <c r="AE1668" s="6">
        <f t="shared" ref="AE1668:AE1731" si="482">IF(L1668&lt;0,L1668,0)</f>
        <v>0</v>
      </c>
      <c r="AF1668" s="69">
        <f t="shared" ref="AF1668:AF1731" si="483">IF(L1668&gt;0,W1668,"")</f>
        <v>3.0632610727981384</v>
      </c>
      <c r="AG1668" s="6">
        <f t="shared" ref="AG1668:AG1731" si="484">IF(AND((M1668&gt;0),(YEAR(J1668)=2004)),M1668,0)</f>
        <v>0</v>
      </c>
      <c r="AH1668" s="6">
        <f t="shared" ref="AH1668:AH1731" si="485">RANK(AG1668,$AG$3:$AG$1893)</f>
        <v>604</v>
      </c>
    </row>
    <row r="1669" spans="8:34" x14ac:dyDescent="0.25">
      <c r="H1669" s="7">
        <v>1676</v>
      </c>
      <c r="I1669" s="7" t="s">
        <v>8</v>
      </c>
      <c r="J1669" s="8">
        <v>38045</v>
      </c>
      <c r="K1669" s="12" t="s">
        <v>18</v>
      </c>
      <c r="L1669" s="9">
        <v>41</v>
      </c>
      <c r="M1669" s="10">
        <v>124.80546413554566</v>
      </c>
      <c r="N1669" s="7" t="s">
        <v>24</v>
      </c>
      <c r="P1669" s="29">
        <f t="shared" si="468"/>
        <v>1</v>
      </c>
      <c r="Q1669" s="29" t="str">
        <f t="shared" si="469"/>
        <v/>
      </c>
      <c r="R1669" s="29" t="str">
        <f t="shared" si="470"/>
        <v/>
      </c>
      <c r="S1669" s="29" t="str">
        <f t="shared" si="471"/>
        <v/>
      </c>
      <c r="T1669" s="32" t="str">
        <f t="shared" si="472"/>
        <v/>
      </c>
      <c r="U1669" s="32" t="str">
        <f t="shared" si="475"/>
        <v/>
      </c>
      <c r="V1669" s="32" t="str">
        <f t="shared" si="476"/>
        <v/>
      </c>
      <c r="W1669" s="41">
        <f t="shared" si="473"/>
        <v>3.0440357106230649</v>
      </c>
      <c r="X1669" s="6">
        <f t="shared" si="474"/>
        <v>0</v>
      </c>
      <c r="Y1669" s="7">
        <f t="shared" si="477"/>
        <v>567</v>
      </c>
      <c r="AA1669" s="7">
        <f t="shared" si="478"/>
        <v>0</v>
      </c>
      <c r="AB1669" s="7" t="str">
        <f t="shared" si="479"/>
        <v/>
      </c>
      <c r="AC1669" s="7">
        <f t="shared" si="480"/>
        <v>0</v>
      </c>
      <c r="AD1669" s="7" t="str">
        <f t="shared" si="481"/>
        <v/>
      </c>
      <c r="AE1669" s="6">
        <f t="shared" si="482"/>
        <v>0</v>
      </c>
      <c r="AF1669" s="69">
        <f t="shared" si="483"/>
        <v>3.0440357106230649</v>
      </c>
      <c r="AG1669" s="6">
        <f t="shared" si="484"/>
        <v>124.80546413554566</v>
      </c>
      <c r="AH1669" s="6">
        <f t="shared" si="485"/>
        <v>325</v>
      </c>
    </row>
    <row r="1670" spans="8:34" x14ac:dyDescent="0.25">
      <c r="H1670" s="7">
        <v>1677</v>
      </c>
      <c r="I1670" s="7" t="s">
        <v>9</v>
      </c>
      <c r="J1670" s="8">
        <v>38122</v>
      </c>
      <c r="K1670" s="12" t="s">
        <v>17</v>
      </c>
      <c r="L1670" s="9">
        <v>-1</v>
      </c>
      <c r="M1670" s="10">
        <v>-0.72875697552539753</v>
      </c>
      <c r="N1670" s="7" t="s">
        <v>21</v>
      </c>
      <c r="P1670" s="29" t="str">
        <f t="shared" si="468"/>
        <v/>
      </c>
      <c r="Q1670" s="29">
        <f t="shared" si="469"/>
        <v>1</v>
      </c>
      <c r="R1670" s="29" t="str">
        <f t="shared" si="470"/>
        <v/>
      </c>
      <c r="S1670" s="29" t="str">
        <f t="shared" si="471"/>
        <v/>
      </c>
      <c r="T1670" s="32" t="str">
        <f t="shared" si="472"/>
        <v/>
      </c>
      <c r="U1670" s="32" t="str">
        <f t="shared" si="475"/>
        <v/>
      </c>
      <c r="V1670" s="32" t="str">
        <f t="shared" si="476"/>
        <v/>
      </c>
      <c r="W1670" s="41" t="str">
        <f t="shared" si="473"/>
        <v/>
      </c>
      <c r="X1670" s="6">
        <f t="shared" si="474"/>
        <v>0</v>
      </c>
      <c r="Y1670" s="7">
        <f t="shared" si="477"/>
        <v>567</v>
      </c>
      <c r="AA1670" s="7">
        <f t="shared" si="478"/>
        <v>0</v>
      </c>
      <c r="AB1670" s="7" t="str">
        <f t="shared" si="479"/>
        <v/>
      </c>
      <c r="AC1670" s="7">
        <f t="shared" si="480"/>
        <v>0</v>
      </c>
      <c r="AD1670" s="7" t="str">
        <f t="shared" si="481"/>
        <v/>
      </c>
      <c r="AE1670" s="6">
        <f t="shared" si="482"/>
        <v>-1</v>
      </c>
      <c r="AF1670" s="69" t="str">
        <f t="shared" si="483"/>
        <v/>
      </c>
      <c r="AG1670" s="6">
        <f t="shared" si="484"/>
        <v>0</v>
      </c>
      <c r="AH1670" s="6">
        <f t="shared" si="485"/>
        <v>604</v>
      </c>
    </row>
    <row r="1671" spans="8:34" x14ac:dyDescent="0.25">
      <c r="H1671" s="7">
        <v>1678</v>
      </c>
      <c r="I1671" s="7" t="s">
        <v>9</v>
      </c>
      <c r="J1671" s="8">
        <v>38903</v>
      </c>
      <c r="K1671" s="12" t="s">
        <v>17</v>
      </c>
      <c r="L1671" s="9">
        <v>89</v>
      </c>
      <c r="M1671" s="10">
        <v>268.71620455118574</v>
      </c>
      <c r="N1671" s="7" t="s">
        <v>24</v>
      </c>
      <c r="P1671" s="29" t="str">
        <f t="shared" si="468"/>
        <v/>
      </c>
      <c r="Q1671" s="29" t="str">
        <f t="shared" si="469"/>
        <v/>
      </c>
      <c r="R1671" s="29" t="str">
        <f t="shared" si="470"/>
        <v/>
      </c>
      <c r="S1671" s="29" t="str">
        <f t="shared" si="471"/>
        <v/>
      </c>
      <c r="T1671" s="32" t="str">
        <f t="shared" si="472"/>
        <v/>
      </c>
      <c r="U1671" s="32" t="str">
        <f t="shared" si="475"/>
        <v/>
      </c>
      <c r="V1671" s="32">
        <f t="shared" si="476"/>
        <v>1</v>
      </c>
      <c r="W1671" s="41">
        <f t="shared" si="473"/>
        <v>3.0192831972043344</v>
      </c>
      <c r="X1671" s="6">
        <f t="shared" si="474"/>
        <v>0</v>
      </c>
      <c r="Y1671" s="7">
        <f t="shared" si="477"/>
        <v>567</v>
      </c>
      <c r="AA1671" s="7">
        <f t="shared" si="478"/>
        <v>0</v>
      </c>
      <c r="AB1671" s="7" t="str">
        <f t="shared" si="479"/>
        <v/>
      </c>
      <c r="AC1671" s="7">
        <f t="shared" si="480"/>
        <v>0</v>
      </c>
      <c r="AD1671" s="7" t="str">
        <f t="shared" si="481"/>
        <v/>
      </c>
      <c r="AE1671" s="6">
        <f t="shared" si="482"/>
        <v>0</v>
      </c>
      <c r="AF1671" s="69">
        <f t="shared" si="483"/>
        <v>3.0192831972043344</v>
      </c>
      <c r="AG1671" s="6">
        <f t="shared" si="484"/>
        <v>0</v>
      </c>
      <c r="AH1671" s="6">
        <f t="shared" si="485"/>
        <v>604</v>
      </c>
    </row>
    <row r="1672" spans="8:34" x14ac:dyDescent="0.25">
      <c r="H1672" s="7">
        <v>1679</v>
      </c>
      <c r="I1672" s="7" t="s">
        <v>8</v>
      </c>
      <c r="J1672" s="8">
        <v>38144</v>
      </c>
      <c r="K1672" s="12" t="s">
        <v>20</v>
      </c>
      <c r="L1672" s="9">
        <v>12</v>
      </c>
      <c r="M1672" s="10">
        <v>38.034373617715126</v>
      </c>
      <c r="N1672" s="7" t="s">
        <v>24</v>
      </c>
      <c r="P1672" s="29" t="str">
        <f t="shared" si="468"/>
        <v/>
      </c>
      <c r="Q1672" s="29">
        <f t="shared" si="469"/>
        <v>1</v>
      </c>
      <c r="R1672" s="29" t="str">
        <f t="shared" si="470"/>
        <v/>
      </c>
      <c r="S1672" s="29" t="str">
        <f t="shared" si="471"/>
        <v/>
      </c>
      <c r="T1672" s="32" t="str">
        <f t="shared" si="472"/>
        <v/>
      </c>
      <c r="U1672" s="32" t="str">
        <f t="shared" si="475"/>
        <v/>
      </c>
      <c r="V1672" s="32" t="str">
        <f t="shared" si="476"/>
        <v/>
      </c>
      <c r="W1672" s="41">
        <f t="shared" si="473"/>
        <v>3.1695311348095938</v>
      </c>
      <c r="X1672" s="6">
        <f t="shared" si="474"/>
        <v>0</v>
      </c>
      <c r="Y1672" s="7">
        <f t="shared" si="477"/>
        <v>567</v>
      </c>
      <c r="AA1672" s="7">
        <f t="shared" si="478"/>
        <v>0</v>
      </c>
      <c r="AB1672" s="7" t="str">
        <f t="shared" si="479"/>
        <v/>
      </c>
      <c r="AC1672" s="7">
        <f t="shared" si="480"/>
        <v>0</v>
      </c>
      <c r="AD1672" s="7" t="str">
        <f t="shared" si="481"/>
        <v/>
      </c>
      <c r="AE1672" s="6">
        <f t="shared" si="482"/>
        <v>0</v>
      </c>
      <c r="AF1672" s="69">
        <f t="shared" si="483"/>
        <v>3.1695311348095938</v>
      </c>
      <c r="AG1672" s="6">
        <f t="shared" si="484"/>
        <v>38.034373617715126</v>
      </c>
      <c r="AH1672" s="6">
        <f t="shared" si="485"/>
        <v>511</v>
      </c>
    </row>
    <row r="1673" spans="8:34" x14ac:dyDescent="0.25">
      <c r="H1673" s="7">
        <v>1680</v>
      </c>
      <c r="I1673" s="7" t="s">
        <v>12</v>
      </c>
      <c r="J1673" s="8">
        <v>38276</v>
      </c>
      <c r="K1673" s="12" t="s">
        <v>16</v>
      </c>
      <c r="L1673" s="9">
        <v>21</v>
      </c>
      <c r="M1673" s="10">
        <v>65.91159641394708</v>
      </c>
      <c r="N1673" s="7" t="s">
        <v>21</v>
      </c>
      <c r="P1673" s="29" t="str">
        <f t="shared" si="468"/>
        <v/>
      </c>
      <c r="Q1673" s="29" t="str">
        <f t="shared" si="469"/>
        <v/>
      </c>
      <c r="R1673" s="29" t="str">
        <f t="shared" si="470"/>
        <v/>
      </c>
      <c r="S1673" s="29">
        <f t="shared" si="471"/>
        <v>1</v>
      </c>
      <c r="T1673" s="32" t="str">
        <f t="shared" si="472"/>
        <v/>
      </c>
      <c r="U1673" s="32" t="str">
        <f t="shared" si="475"/>
        <v/>
      </c>
      <c r="V1673" s="32" t="str">
        <f t="shared" si="476"/>
        <v/>
      </c>
      <c r="W1673" s="41">
        <f t="shared" si="473"/>
        <v>3.1386474482831943</v>
      </c>
      <c r="X1673" s="6">
        <f t="shared" si="474"/>
        <v>0</v>
      </c>
      <c r="Y1673" s="7">
        <f t="shared" si="477"/>
        <v>567</v>
      </c>
      <c r="AA1673" s="7">
        <f t="shared" si="478"/>
        <v>0</v>
      </c>
      <c r="AB1673" s="7" t="str">
        <f t="shared" si="479"/>
        <v/>
      </c>
      <c r="AC1673" s="7">
        <f t="shared" si="480"/>
        <v>0</v>
      </c>
      <c r="AD1673" s="7" t="str">
        <f t="shared" si="481"/>
        <v/>
      </c>
      <c r="AE1673" s="6">
        <f t="shared" si="482"/>
        <v>0</v>
      </c>
      <c r="AF1673" s="69">
        <f t="shared" si="483"/>
        <v>3.1386474482831943</v>
      </c>
      <c r="AG1673" s="6">
        <f t="shared" si="484"/>
        <v>65.91159641394708</v>
      </c>
      <c r="AH1673" s="6">
        <f t="shared" si="485"/>
        <v>447</v>
      </c>
    </row>
    <row r="1674" spans="8:34" x14ac:dyDescent="0.25">
      <c r="H1674" s="7">
        <v>1681</v>
      </c>
      <c r="I1674" s="7" t="s">
        <v>14</v>
      </c>
      <c r="J1674" s="8">
        <v>38892</v>
      </c>
      <c r="K1674" s="12" t="s">
        <v>20</v>
      </c>
      <c r="L1674" s="9">
        <v>23</v>
      </c>
      <c r="M1674" s="10">
        <v>71.518171146886857</v>
      </c>
      <c r="N1674" s="7" t="s">
        <v>23</v>
      </c>
      <c r="P1674" s="29" t="str">
        <f t="shared" si="468"/>
        <v/>
      </c>
      <c r="Q1674" s="29" t="str">
        <f t="shared" si="469"/>
        <v/>
      </c>
      <c r="R1674" s="29" t="str">
        <f t="shared" si="470"/>
        <v/>
      </c>
      <c r="S1674" s="29" t="str">
        <f t="shared" si="471"/>
        <v/>
      </c>
      <c r="T1674" s="32" t="str">
        <f t="shared" si="472"/>
        <v/>
      </c>
      <c r="U1674" s="32" t="str">
        <f t="shared" si="475"/>
        <v/>
      </c>
      <c r="V1674" s="32">
        <f t="shared" si="476"/>
        <v>1</v>
      </c>
      <c r="W1674" s="41">
        <f t="shared" si="473"/>
        <v>3.1094857020385591</v>
      </c>
      <c r="X1674" s="6">
        <f t="shared" si="474"/>
        <v>0</v>
      </c>
      <c r="Y1674" s="7">
        <f t="shared" si="477"/>
        <v>567</v>
      </c>
      <c r="AA1674" s="7">
        <f t="shared" si="478"/>
        <v>0</v>
      </c>
      <c r="AB1674" s="7" t="str">
        <f t="shared" si="479"/>
        <v/>
      </c>
      <c r="AC1674" s="7">
        <f t="shared" si="480"/>
        <v>0</v>
      </c>
      <c r="AD1674" s="7" t="str">
        <f t="shared" si="481"/>
        <v/>
      </c>
      <c r="AE1674" s="6">
        <f t="shared" si="482"/>
        <v>0</v>
      </c>
      <c r="AF1674" s="69">
        <f t="shared" si="483"/>
        <v>3.1094857020385591</v>
      </c>
      <c r="AG1674" s="6">
        <f t="shared" si="484"/>
        <v>0</v>
      </c>
      <c r="AH1674" s="6">
        <f t="shared" si="485"/>
        <v>604</v>
      </c>
    </row>
    <row r="1675" spans="8:34" x14ac:dyDescent="0.25">
      <c r="H1675" s="7">
        <v>1682</v>
      </c>
      <c r="I1675" s="7" t="s">
        <v>15</v>
      </c>
      <c r="J1675" s="8">
        <v>38441</v>
      </c>
      <c r="K1675" s="12" t="s">
        <v>18</v>
      </c>
      <c r="L1675" s="9">
        <v>-7</v>
      </c>
      <c r="M1675" s="10">
        <v>-18.640973323270995</v>
      </c>
      <c r="N1675" s="7" t="s">
        <v>21</v>
      </c>
      <c r="P1675" s="29" t="str">
        <f t="shared" si="468"/>
        <v/>
      </c>
      <c r="Q1675" s="29" t="str">
        <f t="shared" si="469"/>
        <v/>
      </c>
      <c r="R1675" s="29" t="str">
        <f t="shared" si="470"/>
        <v/>
      </c>
      <c r="S1675" s="29" t="str">
        <f t="shared" si="471"/>
        <v/>
      </c>
      <c r="T1675" s="32" t="str">
        <f t="shared" si="472"/>
        <v/>
      </c>
      <c r="U1675" s="32">
        <f t="shared" si="475"/>
        <v>1</v>
      </c>
      <c r="V1675" s="32" t="str">
        <f t="shared" si="476"/>
        <v/>
      </c>
      <c r="W1675" s="41" t="str">
        <f t="shared" si="473"/>
        <v/>
      </c>
      <c r="X1675" s="6">
        <f t="shared" si="474"/>
        <v>-18.640973323270995</v>
      </c>
      <c r="Y1675" s="7">
        <f t="shared" si="477"/>
        <v>1873</v>
      </c>
      <c r="AA1675" s="7">
        <f t="shared" si="478"/>
        <v>1</v>
      </c>
      <c r="AB1675" s="7">
        <f t="shared" si="479"/>
        <v>-7</v>
      </c>
      <c r="AC1675" s="7">
        <f t="shared" si="480"/>
        <v>0</v>
      </c>
      <c r="AD1675" s="7" t="str">
        <f t="shared" si="481"/>
        <v/>
      </c>
      <c r="AE1675" s="6">
        <f t="shared" si="482"/>
        <v>-7</v>
      </c>
      <c r="AF1675" s="69" t="str">
        <f t="shared" si="483"/>
        <v/>
      </c>
      <c r="AG1675" s="6">
        <f t="shared" si="484"/>
        <v>0</v>
      </c>
      <c r="AH1675" s="6">
        <f t="shared" si="485"/>
        <v>604</v>
      </c>
    </row>
    <row r="1676" spans="8:34" x14ac:dyDescent="0.25">
      <c r="H1676" s="7">
        <v>1683</v>
      </c>
      <c r="I1676" s="7" t="s">
        <v>7</v>
      </c>
      <c r="J1676" s="8">
        <v>38056</v>
      </c>
      <c r="K1676" s="12" t="s">
        <v>18</v>
      </c>
      <c r="L1676" s="9">
        <v>35</v>
      </c>
      <c r="M1676" s="10">
        <v>106.65095335657088</v>
      </c>
      <c r="N1676" s="7" t="s">
        <v>21</v>
      </c>
      <c r="P1676" s="29">
        <f t="shared" si="468"/>
        <v>1</v>
      </c>
      <c r="Q1676" s="29" t="str">
        <f t="shared" si="469"/>
        <v/>
      </c>
      <c r="R1676" s="29" t="str">
        <f t="shared" si="470"/>
        <v/>
      </c>
      <c r="S1676" s="29" t="str">
        <f t="shared" si="471"/>
        <v/>
      </c>
      <c r="T1676" s="32" t="str">
        <f t="shared" si="472"/>
        <v/>
      </c>
      <c r="U1676" s="32" t="str">
        <f t="shared" si="475"/>
        <v/>
      </c>
      <c r="V1676" s="32" t="str">
        <f t="shared" si="476"/>
        <v/>
      </c>
      <c r="W1676" s="41">
        <f t="shared" si="473"/>
        <v>3.0471700959020254</v>
      </c>
      <c r="X1676" s="6">
        <f t="shared" si="474"/>
        <v>0</v>
      </c>
      <c r="Y1676" s="7">
        <f t="shared" si="477"/>
        <v>567</v>
      </c>
      <c r="AA1676" s="7">
        <f t="shared" si="478"/>
        <v>0</v>
      </c>
      <c r="AB1676" s="7" t="str">
        <f t="shared" si="479"/>
        <v/>
      </c>
      <c r="AC1676" s="7">
        <f t="shared" si="480"/>
        <v>0</v>
      </c>
      <c r="AD1676" s="7" t="str">
        <f t="shared" si="481"/>
        <v/>
      </c>
      <c r="AE1676" s="6">
        <f t="shared" si="482"/>
        <v>0</v>
      </c>
      <c r="AF1676" s="69">
        <f t="shared" si="483"/>
        <v>3.0471700959020254</v>
      </c>
      <c r="AG1676" s="6">
        <f t="shared" si="484"/>
        <v>106.65095335657088</v>
      </c>
      <c r="AH1676" s="6">
        <f t="shared" si="485"/>
        <v>360</v>
      </c>
    </row>
    <row r="1677" spans="8:34" x14ac:dyDescent="0.25">
      <c r="H1677" s="7">
        <v>1684</v>
      </c>
      <c r="I1677" s="7" t="s">
        <v>9</v>
      </c>
      <c r="J1677" s="8">
        <v>38243</v>
      </c>
      <c r="K1677" s="12" t="s">
        <v>20</v>
      </c>
      <c r="L1677" s="9">
        <v>94</v>
      </c>
      <c r="M1677" s="10">
        <v>283.7951382741839</v>
      </c>
      <c r="N1677" s="7" t="s">
        <v>22</v>
      </c>
      <c r="P1677" s="29" t="str">
        <f t="shared" si="468"/>
        <v/>
      </c>
      <c r="Q1677" s="29" t="str">
        <f t="shared" si="469"/>
        <v/>
      </c>
      <c r="R1677" s="29">
        <f t="shared" si="470"/>
        <v>1</v>
      </c>
      <c r="S1677" s="29" t="str">
        <f t="shared" si="471"/>
        <v/>
      </c>
      <c r="T1677" s="32" t="str">
        <f t="shared" si="472"/>
        <v/>
      </c>
      <c r="U1677" s="32" t="str">
        <f t="shared" si="475"/>
        <v/>
      </c>
      <c r="V1677" s="32" t="str">
        <f t="shared" si="476"/>
        <v/>
      </c>
      <c r="W1677" s="41">
        <f t="shared" si="473"/>
        <v>3.0190972156828075</v>
      </c>
      <c r="X1677" s="6">
        <f t="shared" si="474"/>
        <v>0</v>
      </c>
      <c r="Y1677" s="7">
        <f t="shared" si="477"/>
        <v>567</v>
      </c>
      <c r="AA1677" s="7">
        <f t="shared" si="478"/>
        <v>0</v>
      </c>
      <c r="AB1677" s="7" t="str">
        <f t="shared" si="479"/>
        <v/>
      </c>
      <c r="AC1677" s="7">
        <f t="shared" si="480"/>
        <v>0</v>
      </c>
      <c r="AD1677" s="7" t="str">
        <f t="shared" si="481"/>
        <v/>
      </c>
      <c r="AE1677" s="6">
        <f t="shared" si="482"/>
        <v>0</v>
      </c>
      <c r="AF1677" s="69">
        <f t="shared" si="483"/>
        <v>3.0190972156828075</v>
      </c>
      <c r="AG1677" s="6">
        <f t="shared" si="484"/>
        <v>283.7951382741839</v>
      </c>
      <c r="AH1677" s="6">
        <f t="shared" si="485"/>
        <v>11</v>
      </c>
    </row>
    <row r="1678" spans="8:34" x14ac:dyDescent="0.25">
      <c r="H1678" s="7">
        <v>1685</v>
      </c>
      <c r="I1678" s="7" t="s">
        <v>9</v>
      </c>
      <c r="J1678" s="8">
        <v>38661</v>
      </c>
      <c r="K1678" s="12" t="s">
        <v>16</v>
      </c>
      <c r="L1678" s="9">
        <v>88</v>
      </c>
      <c r="M1678" s="10">
        <v>265.96151267807471</v>
      </c>
      <c r="N1678" s="7" t="s">
        <v>21</v>
      </c>
      <c r="P1678" s="29" t="str">
        <f t="shared" si="468"/>
        <v/>
      </c>
      <c r="Q1678" s="29" t="str">
        <f t="shared" si="469"/>
        <v/>
      </c>
      <c r="R1678" s="29" t="str">
        <f t="shared" si="470"/>
        <v/>
      </c>
      <c r="S1678" s="29" t="str">
        <f t="shared" si="471"/>
        <v/>
      </c>
      <c r="T1678" s="32">
        <f t="shared" si="472"/>
        <v>1</v>
      </c>
      <c r="U1678" s="32">
        <f t="shared" si="475"/>
        <v>1</v>
      </c>
      <c r="V1678" s="32" t="str">
        <f t="shared" si="476"/>
        <v/>
      </c>
      <c r="W1678" s="41">
        <f t="shared" si="473"/>
        <v>3.0222899167963035</v>
      </c>
      <c r="X1678" s="6">
        <f t="shared" si="474"/>
        <v>265.96151267807471</v>
      </c>
      <c r="Y1678" s="7">
        <f t="shared" si="477"/>
        <v>55</v>
      </c>
      <c r="AA1678" s="7">
        <f t="shared" si="478"/>
        <v>0</v>
      </c>
      <c r="AB1678" s="7" t="str">
        <f t="shared" si="479"/>
        <v/>
      </c>
      <c r="AC1678" s="7">
        <f t="shared" si="480"/>
        <v>1</v>
      </c>
      <c r="AD1678" s="7">
        <f t="shared" si="481"/>
        <v>88</v>
      </c>
      <c r="AE1678" s="6">
        <f t="shared" si="482"/>
        <v>0</v>
      </c>
      <c r="AF1678" s="69">
        <f t="shared" si="483"/>
        <v>3.0222899167963035</v>
      </c>
      <c r="AG1678" s="6">
        <f t="shared" si="484"/>
        <v>0</v>
      </c>
      <c r="AH1678" s="6">
        <f t="shared" si="485"/>
        <v>604</v>
      </c>
    </row>
    <row r="1679" spans="8:34" x14ac:dyDescent="0.25">
      <c r="H1679" s="7">
        <v>1686</v>
      </c>
      <c r="I1679" s="7" t="s">
        <v>9</v>
      </c>
      <c r="J1679" s="8">
        <v>38056</v>
      </c>
      <c r="K1679" s="12" t="s">
        <v>19</v>
      </c>
      <c r="L1679" s="9">
        <v>26</v>
      </c>
      <c r="M1679" s="10">
        <v>79.798393656893168</v>
      </c>
      <c r="N1679" s="7" t="s">
        <v>21</v>
      </c>
      <c r="P1679" s="29">
        <f t="shared" si="468"/>
        <v>1</v>
      </c>
      <c r="Q1679" s="29" t="str">
        <f t="shared" si="469"/>
        <v/>
      </c>
      <c r="R1679" s="29" t="str">
        <f t="shared" si="470"/>
        <v/>
      </c>
      <c r="S1679" s="29" t="str">
        <f t="shared" si="471"/>
        <v/>
      </c>
      <c r="T1679" s="32" t="str">
        <f t="shared" si="472"/>
        <v/>
      </c>
      <c r="U1679" s="32" t="str">
        <f t="shared" si="475"/>
        <v/>
      </c>
      <c r="V1679" s="32" t="str">
        <f t="shared" si="476"/>
        <v/>
      </c>
      <c r="W1679" s="41">
        <f t="shared" si="473"/>
        <v>3.0691689868035832</v>
      </c>
      <c r="X1679" s="6">
        <f t="shared" si="474"/>
        <v>0</v>
      </c>
      <c r="Y1679" s="7">
        <f t="shared" si="477"/>
        <v>567</v>
      </c>
      <c r="AA1679" s="7">
        <f t="shared" si="478"/>
        <v>0</v>
      </c>
      <c r="AB1679" s="7" t="str">
        <f t="shared" si="479"/>
        <v/>
      </c>
      <c r="AC1679" s="7">
        <f t="shared" si="480"/>
        <v>0</v>
      </c>
      <c r="AD1679" s="7" t="str">
        <f t="shared" si="481"/>
        <v/>
      </c>
      <c r="AE1679" s="6">
        <f t="shared" si="482"/>
        <v>0</v>
      </c>
      <c r="AF1679" s="69">
        <f t="shared" si="483"/>
        <v>3.0691689868035832</v>
      </c>
      <c r="AG1679" s="6">
        <f t="shared" si="484"/>
        <v>79.798393656893168</v>
      </c>
      <c r="AH1679" s="6">
        <f t="shared" si="485"/>
        <v>424</v>
      </c>
    </row>
    <row r="1680" spans="8:34" x14ac:dyDescent="0.25">
      <c r="H1680" s="7">
        <v>1687</v>
      </c>
      <c r="I1680" s="7" t="s">
        <v>15</v>
      </c>
      <c r="J1680" s="8">
        <v>38177</v>
      </c>
      <c r="K1680" s="12" t="s">
        <v>18</v>
      </c>
      <c r="L1680" s="9">
        <v>83</v>
      </c>
      <c r="M1680" s="10">
        <v>250.98698082020448</v>
      </c>
      <c r="N1680" s="7" t="s">
        <v>21</v>
      </c>
      <c r="P1680" s="29" t="str">
        <f t="shared" si="468"/>
        <v/>
      </c>
      <c r="Q1680" s="29" t="str">
        <f t="shared" si="469"/>
        <v/>
      </c>
      <c r="R1680" s="29">
        <f t="shared" si="470"/>
        <v>1</v>
      </c>
      <c r="S1680" s="29" t="str">
        <f t="shared" si="471"/>
        <v/>
      </c>
      <c r="T1680" s="32" t="str">
        <f t="shared" si="472"/>
        <v/>
      </c>
      <c r="U1680" s="32" t="str">
        <f t="shared" si="475"/>
        <v/>
      </c>
      <c r="V1680" s="32" t="str">
        <f t="shared" si="476"/>
        <v/>
      </c>
      <c r="W1680" s="41">
        <f t="shared" si="473"/>
        <v>3.0239395279542709</v>
      </c>
      <c r="X1680" s="6">
        <f t="shared" si="474"/>
        <v>0</v>
      </c>
      <c r="Y1680" s="7">
        <f t="shared" si="477"/>
        <v>567</v>
      </c>
      <c r="AA1680" s="7">
        <f t="shared" si="478"/>
        <v>0</v>
      </c>
      <c r="AB1680" s="7" t="str">
        <f t="shared" si="479"/>
        <v/>
      </c>
      <c r="AC1680" s="7">
        <f t="shared" si="480"/>
        <v>0</v>
      </c>
      <c r="AD1680" s="7" t="str">
        <f t="shared" si="481"/>
        <v/>
      </c>
      <c r="AE1680" s="6">
        <f t="shared" si="482"/>
        <v>0</v>
      </c>
      <c r="AF1680" s="69">
        <f t="shared" si="483"/>
        <v>3.0239395279542709</v>
      </c>
      <c r="AG1680" s="6">
        <f t="shared" si="484"/>
        <v>250.98698082020448</v>
      </c>
      <c r="AH1680" s="6">
        <f t="shared" si="485"/>
        <v>65</v>
      </c>
    </row>
    <row r="1681" spans="8:34" x14ac:dyDescent="0.25">
      <c r="H1681" s="7">
        <v>1688</v>
      </c>
      <c r="I1681" s="7" t="s">
        <v>13</v>
      </c>
      <c r="J1681" s="8">
        <v>38870</v>
      </c>
      <c r="K1681" s="12" t="s">
        <v>20</v>
      </c>
      <c r="L1681" s="9">
        <v>11</v>
      </c>
      <c r="M1681" s="10">
        <v>34.677474217404566</v>
      </c>
      <c r="N1681" s="7" t="s">
        <v>23</v>
      </c>
      <c r="P1681" s="29" t="str">
        <f t="shared" si="468"/>
        <v/>
      </c>
      <c r="Q1681" s="29" t="str">
        <f t="shared" si="469"/>
        <v/>
      </c>
      <c r="R1681" s="29" t="str">
        <f t="shared" si="470"/>
        <v/>
      </c>
      <c r="S1681" s="29" t="str">
        <f t="shared" si="471"/>
        <v/>
      </c>
      <c r="T1681" s="32" t="str">
        <f t="shared" si="472"/>
        <v/>
      </c>
      <c r="U1681" s="32" t="str">
        <f t="shared" si="475"/>
        <v/>
      </c>
      <c r="V1681" s="32">
        <f t="shared" si="476"/>
        <v>1</v>
      </c>
      <c r="W1681" s="41">
        <f t="shared" si="473"/>
        <v>3.1524976561276876</v>
      </c>
      <c r="X1681" s="6">
        <f t="shared" si="474"/>
        <v>0</v>
      </c>
      <c r="Y1681" s="7">
        <f t="shared" si="477"/>
        <v>567</v>
      </c>
      <c r="AA1681" s="7">
        <f t="shared" si="478"/>
        <v>0</v>
      </c>
      <c r="AB1681" s="7" t="str">
        <f t="shared" si="479"/>
        <v/>
      </c>
      <c r="AC1681" s="7">
        <f t="shared" si="480"/>
        <v>0</v>
      </c>
      <c r="AD1681" s="7" t="str">
        <f t="shared" si="481"/>
        <v/>
      </c>
      <c r="AE1681" s="6">
        <f t="shared" si="482"/>
        <v>0</v>
      </c>
      <c r="AF1681" s="69">
        <f t="shared" si="483"/>
        <v>3.1524976561276876</v>
      </c>
      <c r="AG1681" s="6">
        <f t="shared" si="484"/>
        <v>0</v>
      </c>
      <c r="AH1681" s="6">
        <f t="shared" si="485"/>
        <v>604</v>
      </c>
    </row>
    <row r="1682" spans="8:34" x14ac:dyDescent="0.25">
      <c r="H1682" s="7">
        <v>1689</v>
      </c>
      <c r="I1682" s="7" t="s">
        <v>11</v>
      </c>
      <c r="J1682" s="8">
        <v>38980</v>
      </c>
      <c r="K1682" s="12" t="s">
        <v>18</v>
      </c>
      <c r="L1682" s="9">
        <v>18</v>
      </c>
      <c r="M1682" s="10">
        <v>56.570167419014545</v>
      </c>
      <c r="N1682" s="7" t="s">
        <v>24</v>
      </c>
      <c r="P1682" s="29" t="str">
        <f t="shared" si="468"/>
        <v/>
      </c>
      <c r="Q1682" s="29" t="str">
        <f t="shared" si="469"/>
        <v/>
      </c>
      <c r="R1682" s="29" t="str">
        <f t="shared" si="470"/>
        <v/>
      </c>
      <c r="S1682" s="29" t="str">
        <f t="shared" si="471"/>
        <v/>
      </c>
      <c r="T1682" s="32" t="str">
        <f t="shared" si="472"/>
        <v/>
      </c>
      <c r="U1682" s="32" t="str">
        <f t="shared" si="475"/>
        <v/>
      </c>
      <c r="V1682" s="32">
        <f t="shared" si="476"/>
        <v>1</v>
      </c>
      <c r="W1682" s="41">
        <f t="shared" si="473"/>
        <v>3.1427870788341412</v>
      </c>
      <c r="X1682" s="6">
        <f t="shared" si="474"/>
        <v>0</v>
      </c>
      <c r="Y1682" s="7">
        <f t="shared" si="477"/>
        <v>567</v>
      </c>
      <c r="AA1682" s="7">
        <f t="shared" si="478"/>
        <v>0</v>
      </c>
      <c r="AB1682" s="7" t="str">
        <f t="shared" si="479"/>
        <v/>
      </c>
      <c r="AC1682" s="7">
        <f t="shared" si="480"/>
        <v>0</v>
      </c>
      <c r="AD1682" s="7" t="str">
        <f t="shared" si="481"/>
        <v/>
      </c>
      <c r="AE1682" s="6">
        <f t="shared" si="482"/>
        <v>0</v>
      </c>
      <c r="AF1682" s="69">
        <f t="shared" si="483"/>
        <v>3.1427870788341412</v>
      </c>
      <c r="AG1682" s="6">
        <f t="shared" si="484"/>
        <v>0</v>
      </c>
      <c r="AH1682" s="6">
        <f t="shared" si="485"/>
        <v>604</v>
      </c>
    </row>
    <row r="1683" spans="8:34" x14ac:dyDescent="0.25">
      <c r="H1683" s="7">
        <v>1690</v>
      </c>
      <c r="I1683" s="7" t="s">
        <v>10</v>
      </c>
      <c r="J1683" s="8">
        <v>38430</v>
      </c>
      <c r="K1683" s="12" t="s">
        <v>16</v>
      </c>
      <c r="L1683" s="9">
        <v>90</v>
      </c>
      <c r="M1683" s="10">
        <v>272.35988641044867</v>
      </c>
      <c r="N1683" s="7" t="s">
        <v>24</v>
      </c>
      <c r="P1683" s="29" t="str">
        <f t="shared" si="468"/>
        <v/>
      </c>
      <c r="Q1683" s="29" t="str">
        <f t="shared" si="469"/>
        <v/>
      </c>
      <c r="R1683" s="29" t="str">
        <f t="shared" si="470"/>
        <v/>
      </c>
      <c r="S1683" s="29" t="str">
        <f t="shared" si="471"/>
        <v/>
      </c>
      <c r="T1683" s="32" t="str">
        <f t="shared" si="472"/>
        <v/>
      </c>
      <c r="U1683" s="32">
        <f t="shared" si="475"/>
        <v>1</v>
      </c>
      <c r="V1683" s="32" t="str">
        <f t="shared" si="476"/>
        <v/>
      </c>
      <c r="W1683" s="41">
        <f t="shared" si="473"/>
        <v>3.0262209601160963</v>
      </c>
      <c r="X1683" s="6">
        <f t="shared" si="474"/>
        <v>272.35988641044867</v>
      </c>
      <c r="Y1683" s="7">
        <f t="shared" si="477"/>
        <v>39</v>
      </c>
      <c r="AA1683" s="7">
        <f t="shared" si="478"/>
        <v>1</v>
      </c>
      <c r="AB1683" s="7">
        <f t="shared" si="479"/>
        <v>90</v>
      </c>
      <c r="AC1683" s="7">
        <f t="shared" si="480"/>
        <v>0</v>
      </c>
      <c r="AD1683" s="7" t="str">
        <f t="shared" si="481"/>
        <v/>
      </c>
      <c r="AE1683" s="6">
        <f t="shared" si="482"/>
        <v>0</v>
      </c>
      <c r="AF1683" s="69">
        <f t="shared" si="483"/>
        <v>3.0262209601160963</v>
      </c>
      <c r="AG1683" s="6">
        <f t="shared" si="484"/>
        <v>0</v>
      </c>
      <c r="AH1683" s="6">
        <f t="shared" si="485"/>
        <v>604</v>
      </c>
    </row>
    <row r="1684" spans="8:34" x14ac:dyDescent="0.25">
      <c r="H1684" s="7">
        <v>1691</v>
      </c>
      <c r="I1684" s="7" t="s">
        <v>11</v>
      </c>
      <c r="J1684" s="8">
        <v>38628</v>
      </c>
      <c r="K1684" s="12" t="s">
        <v>20</v>
      </c>
      <c r="L1684" s="9">
        <v>12</v>
      </c>
      <c r="M1684" s="10">
        <v>38.358567090515102</v>
      </c>
      <c r="N1684" s="7" t="s">
        <v>24</v>
      </c>
      <c r="P1684" s="29" t="str">
        <f t="shared" si="468"/>
        <v/>
      </c>
      <c r="Q1684" s="29" t="str">
        <f t="shared" si="469"/>
        <v/>
      </c>
      <c r="R1684" s="29" t="str">
        <f t="shared" si="470"/>
        <v/>
      </c>
      <c r="S1684" s="29" t="str">
        <f t="shared" si="471"/>
        <v/>
      </c>
      <c r="T1684" s="32">
        <f t="shared" si="472"/>
        <v>1</v>
      </c>
      <c r="U1684" s="32">
        <f t="shared" si="475"/>
        <v>1</v>
      </c>
      <c r="V1684" s="32" t="str">
        <f t="shared" si="476"/>
        <v/>
      </c>
      <c r="W1684" s="41">
        <f t="shared" si="473"/>
        <v>3.196547257542925</v>
      </c>
      <c r="X1684" s="6">
        <f t="shared" si="474"/>
        <v>38.358567090515102</v>
      </c>
      <c r="Y1684" s="7">
        <f t="shared" si="477"/>
        <v>481</v>
      </c>
      <c r="AA1684" s="7">
        <f t="shared" si="478"/>
        <v>0</v>
      </c>
      <c r="AB1684" s="7" t="str">
        <f t="shared" si="479"/>
        <v/>
      </c>
      <c r="AC1684" s="7">
        <f t="shared" si="480"/>
        <v>1</v>
      </c>
      <c r="AD1684" s="7">
        <f t="shared" si="481"/>
        <v>12</v>
      </c>
      <c r="AE1684" s="6">
        <f t="shared" si="482"/>
        <v>0</v>
      </c>
      <c r="AF1684" s="69">
        <f t="shared" si="483"/>
        <v>3.196547257542925</v>
      </c>
      <c r="AG1684" s="6">
        <f t="shared" si="484"/>
        <v>0</v>
      </c>
      <c r="AH1684" s="6">
        <f t="shared" si="485"/>
        <v>604</v>
      </c>
    </row>
    <row r="1685" spans="8:34" x14ac:dyDescent="0.25">
      <c r="H1685" s="7">
        <v>1692</v>
      </c>
      <c r="I1685" s="7" t="s">
        <v>11</v>
      </c>
      <c r="J1685" s="8">
        <v>38012</v>
      </c>
      <c r="K1685" s="12" t="s">
        <v>17</v>
      </c>
      <c r="L1685" s="9">
        <v>39</v>
      </c>
      <c r="M1685" s="10">
        <v>118.63508946594906</v>
      </c>
      <c r="N1685" s="7" t="s">
        <v>22</v>
      </c>
      <c r="P1685" s="29">
        <f t="shared" si="468"/>
        <v>1</v>
      </c>
      <c r="Q1685" s="29" t="str">
        <f t="shared" si="469"/>
        <v/>
      </c>
      <c r="R1685" s="29" t="str">
        <f t="shared" si="470"/>
        <v/>
      </c>
      <c r="S1685" s="29" t="str">
        <f t="shared" si="471"/>
        <v/>
      </c>
      <c r="T1685" s="32" t="str">
        <f t="shared" si="472"/>
        <v/>
      </c>
      <c r="U1685" s="32" t="str">
        <f t="shared" si="475"/>
        <v/>
      </c>
      <c r="V1685" s="32" t="str">
        <f t="shared" si="476"/>
        <v/>
      </c>
      <c r="W1685" s="41">
        <f t="shared" si="473"/>
        <v>3.0419253709217711</v>
      </c>
      <c r="X1685" s="6">
        <f t="shared" si="474"/>
        <v>0</v>
      </c>
      <c r="Y1685" s="7">
        <f t="shared" si="477"/>
        <v>567</v>
      </c>
      <c r="AA1685" s="7">
        <f t="shared" si="478"/>
        <v>0</v>
      </c>
      <c r="AB1685" s="7" t="str">
        <f t="shared" si="479"/>
        <v/>
      </c>
      <c r="AC1685" s="7">
        <f t="shared" si="480"/>
        <v>0</v>
      </c>
      <c r="AD1685" s="7" t="str">
        <f t="shared" si="481"/>
        <v/>
      </c>
      <c r="AE1685" s="6">
        <f t="shared" si="482"/>
        <v>0</v>
      </c>
      <c r="AF1685" s="69">
        <f t="shared" si="483"/>
        <v>3.0419253709217711</v>
      </c>
      <c r="AG1685" s="6">
        <f t="shared" si="484"/>
        <v>118.63508946594906</v>
      </c>
      <c r="AH1685" s="6">
        <f t="shared" si="485"/>
        <v>336</v>
      </c>
    </row>
    <row r="1686" spans="8:34" x14ac:dyDescent="0.25">
      <c r="H1686" s="7">
        <v>1693</v>
      </c>
      <c r="I1686" s="7" t="s">
        <v>11</v>
      </c>
      <c r="J1686" s="8">
        <v>38034</v>
      </c>
      <c r="K1686" s="12" t="s">
        <v>19</v>
      </c>
      <c r="L1686" s="9">
        <v>45</v>
      </c>
      <c r="M1686" s="10">
        <v>137.71025367694813</v>
      </c>
      <c r="N1686" s="7" t="s">
        <v>22</v>
      </c>
      <c r="P1686" s="29">
        <f t="shared" si="468"/>
        <v>1</v>
      </c>
      <c r="Q1686" s="29" t="str">
        <f t="shared" si="469"/>
        <v/>
      </c>
      <c r="R1686" s="29" t="str">
        <f t="shared" si="470"/>
        <v/>
      </c>
      <c r="S1686" s="29" t="str">
        <f t="shared" si="471"/>
        <v/>
      </c>
      <c r="T1686" s="32" t="str">
        <f t="shared" si="472"/>
        <v/>
      </c>
      <c r="U1686" s="32" t="str">
        <f t="shared" si="475"/>
        <v/>
      </c>
      <c r="V1686" s="32" t="str">
        <f t="shared" si="476"/>
        <v/>
      </c>
      <c r="W1686" s="41">
        <f t="shared" si="473"/>
        <v>3.0602278594877363</v>
      </c>
      <c r="X1686" s="6">
        <f t="shared" si="474"/>
        <v>0</v>
      </c>
      <c r="Y1686" s="7">
        <f t="shared" si="477"/>
        <v>567</v>
      </c>
      <c r="AA1686" s="7">
        <f t="shared" si="478"/>
        <v>0</v>
      </c>
      <c r="AB1686" s="7" t="str">
        <f t="shared" si="479"/>
        <v/>
      </c>
      <c r="AC1686" s="7">
        <f t="shared" si="480"/>
        <v>0</v>
      </c>
      <c r="AD1686" s="7" t="str">
        <f t="shared" si="481"/>
        <v/>
      </c>
      <c r="AE1686" s="6">
        <f t="shared" si="482"/>
        <v>0</v>
      </c>
      <c r="AF1686" s="69">
        <f t="shared" si="483"/>
        <v>3.0602278594877363</v>
      </c>
      <c r="AG1686" s="6">
        <f t="shared" si="484"/>
        <v>137.71025367694813</v>
      </c>
      <c r="AH1686" s="6">
        <f t="shared" si="485"/>
        <v>303</v>
      </c>
    </row>
    <row r="1687" spans="8:34" x14ac:dyDescent="0.25">
      <c r="H1687" s="7">
        <v>1694</v>
      </c>
      <c r="I1687" s="7" t="s">
        <v>10</v>
      </c>
      <c r="J1687" s="8">
        <v>39057</v>
      </c>
      <c r="K1687" s="12" t="s">
        <v>18</v>
      </c>
      <c r="L1687" s="9">
        <v>74</v>
      </c>
      <c r="M1687" s="10">
        <v>223.24261767904073</v>
      </c>
      <c r="N1687" s="7" t="s">
        <v>24</v>
      </c>
      <c r="P1687" s="29" t="str">
        <f t="shared" si="468"/>
        <v/>
      </c>
      <c r="Q1687" s="29" t="str">
        <f t="shared" si="469"/>
        <v/>
      </c>
      <c r="R1687" s="29" t="str">
        <f t="shared" si="470"/>
        <v/>
      </c>
      <c r="S1687" s="29" t="str">
        <f t="shared" si="471"/>
        <v/>
      </c>
      <c r="T1687" s="32" t="str">
        <f t="shared" si="472"/>
        <v/>
      </c>
      <c r="U1687" s="32" t="str">
        <f t="shared" si="475"/>
        <v/>
      </c>
      <c r="V1687" s="32">
        <f t="shared" si="476"/>
        <v>1</v>
      </c>
      <c r="W1687" s="41">
        <f t="shared" si="473"/>
        <v>3.0167921307978478</v>
      </c>
      <c r="X1687" s="6">
        <f t="shared" si="474"/>
        <v>0</v>
      </c>
      <c r="Y1687" s="7">
        <f t="shared" si="477"/>
        <v>567</v>
      </c>
      <c r="AA1687" s="7">
        <f t="shared" si="478"/>
        <v>0</v>
      </c>
      <c r="AB1687" s="7" t="str">
        <f t="shared" si="479"/>
        <v/>
      </c>
      <c r="AC1687" s="7">
        <f t="shared" si="480"/>
        <v>0</v>
      </c>
      <c r="AD1687" s="7" t="str">
        <f t="shared" si="481"/>
        <v/>
      </c>
      <c r="AE1687" s="6">
        <f t="shared" si="482"/>
        <v>0</v>
      </c>
      <c r="AF1687" s="69">
        <f t="shared" si="483"/>
        <v>3.0167921307978478</v>
      </c>
      <c r="AG1687" s="6">
        <f t="shared" si="484"/>
        <v>0</v>
      </c>
      <c r="AH1687" s="6">
        <f t="shared" si="485"/>
        <v>604</v>
      </c>
    </row>
    <row r="1688" spans="8:34" x14ac:dyDescent="0.25">
      <c r="H1688" s="7">
        <v>1695</v>
      </c>
      <c r="I1688" s="7" t="s">
        <v>11</v>
      </c>
      <c r="J1688" s="8">
        <v>38551</v>
      </c>
      <c r="K1688" s="12" t="s">
        <v>18</v>
      </c>
      <c r="L1688" s="9">
        <v>95</v>
      </c>
      <c r="M1688" s="10">
        <v>286.97940760158696</v>
      </c>
      <c r="N1688" s="7" t="s">
        <v>21</v>
      </c>
      <c r="P1688" s="29" t="str">
        <f t="shared" si="468"/>
        <v/>
      </c>
      <c r="Q1688" s="29" t="str">
        <f t="shared" si="469"/>
        <v/>
      </c>
      <c r="R1688" s="29" t="str">
        <f t="shared" si="470"/>
        <v/>
      </c>
      <c r="S1688" s="29" t="str">
        <f t="shared" si="471"/>
        <v/>
      </c>
      <c r="T1688" s="32" t="str">
        <f t="shared" si="472"/>
        <v/>
      </c>
      <c r="U1688" s="32">
        <f t="shared" si="475"/>
        <v>1</v>
      </c>
      <c r="V1688" s="32" t="str">
        <f t="shared" si="476"/>
        <v/>
      </c>
      <c r="W1688" s="41">
        <f t="shared" si="473"/>
        <v>3.020835869490389</v>
      </c>
      <c r="X1688" s="6">
        <f t="shared" si="474"/>
        <v>286.97940760158696</v>
      </c>
      <c r="Y1688" s="7">
        <f t="shared" si="477"/>
        <v>2</v>
      </c>
      <c r="AA1688" s="7">
        <f t="shared" si="478"/>
        <v>1</v>
      </c>
      <c r="AB1688" s="7">
        <f t="shared" si="479"/>
        <v>95</v>
      </c>
      <c r="AC1688" s="7">
        <f t="shared" si="480"/>
        <v>0</v>
      </c>
      <c r="AD1688" s="7" t="str">
        <f t="shared" si="481"/>
        <v/>
      </c>
      <c r="AE1688" s="6">
        <f t="shared" si="482"/>
        <v>0</v>
      </c>
      <c r="AF1688" s="69">
        <f t="shared" si="483"/>
        <v>3.020835869490389</v>
      </c>
      <c r="AG1688" s="6">
        <f t="shared" si="484"/>
        <v>0</v>
      </c>
      <c r="AH1688" s="6">
        <f t="shared" si="485"/>
        <v>604</v>
      </c>
    </row>
    <row r="1689" spans="8:34" x14ac:dyDescent="0.25">
      <c r="H1689" s="7">
        <v>1696</v>
      </c>
      <c r="I1689" s="7" t="s">
        <v>8</v>
      </c>
      <c r="J1689" s="8">
        <v>38144</v>
      </c>
      <c r="K1689" s="12" t="s">
        <v>17</v>
      </c>
      <c r="L1689" s="9">
        <v>48</v>
      </c>
      <c r="M1689" s="10">
        <v>145.47941837398358</v>
      </c>
      <c r="N1689" s="7" t="s">
        <v>23</v>
      </c>
      <c r="P1689" s="29" t="str">
        <f t="shared" si="468"/>
        <v/>
      </c>
      <c r="Q1689" s="29">
        <f t="shared" si="469"/>
        <v>1</v>
      </c>
      <c r="R1689" s="29" t="str">
        <f t="shared" si="470"/>
        <v/>
      </c>
      <c r="S1689" s="29" t="str">
        <f t="shared" si="471"/>
        <v/>
      </c>
      <c r="T1689" s="32" t="str">
        <f t="shared" si="472"/>
        <v/>
      </c>
      <c r="U1689" s="32" t="str">
        <f t="shared" si="475"/>
        <v/>
      </c>
      <c r="V1689" s="32" t="str">
        <f t="shared" si="476"/>
        <v/>
      </c>
      <c r="W1689" s="41">
        <f t="shared" si="473"/>
        <v>3.0308212161246577</v>
      </c>
      <c r="X1689" s="6">
        <f t="shared" si="474"/>
        <v>0</v>
      </c>
      <c r="Y1689" s="7">
        <f t="shared" si="477"/>
        <v>567</v>
      </c>
      <c r="AA1689" s="7">
        <f t="shared" si="478"/>
        <v>0</v>
      </c>
      <c r="AB1689" s="7" t="str">
        <f t="shared" si="479"/>
        <v/>
      </c>
      <c r="AC1689" s="7">
        <f t="shared" si="480"/>
        <v>0</v>
      </c>
      <c r="AD1689" s="7" t="str">
        <f t="shared" si="481"/>
        <v/>
      </c>
      <c r="AE1689" s="6">
        <f t="shared" si="482"/>
        <v>0</v>
      </c>
      <c r="AF1689" s="69">
        <f t="shared" si="483"/>
        <v>3.0308212161246577</v>
      </c>
      <c r="AG1689" s="6">
        <f t="shared" si="484"/>
        <v>145.47941837398358</v>
      </c>
      <c r="AH1689" s="6">
        <f t="shared" si="485"/>
        <v>283</v>
      </c>
    </row>
    <row r="1690" spans="8:34" x14ac:dyDescent="0.25">
      <c r="H1690" s="7">
        <v>1697</v>
      </c>
      <c r="I1690" s="7" t="s">
        <v>7</v>
      </c>
      <c r="J1690" s="8">
        <v>38276</v>
      </c>
      <c r="K1690" s="12" t="s">
        <v>20</v>
      </c>
      <c r="L1690" s="9">
        <v>-3</v>
      </c>
      <c r="M1690" s="10">
        <v>-7.0556984383694044</v>
      </c>
      <c r="N1690" s="7" t="s">
        <v>22</v>
      </c>
      <c r="P1690" s="29" t="str">
        <f t="shared" si="468"/>
        <v/>
      </c>
      <c r="Q1690" s="29" t="str">
        <f t="shared" si="469"/>
        <v/>
      </c>
      <c r="R1690" s="29" t="str">
        <f t="shared" si="470"/>
        <v/>
      </c>
      <c r="S1690" s="29">
        <f t="shared" si="471"/>
        <v>1</v>
      </c>
      <c r="T1690" s="32" t="str">
        <f t="shared" si="472"/>
        <v/>
      </c>
      <c r="U1690" s="32" t="str">
        <f t="shared" si="475"/>
        <v/>
      </c>
      <c r="V1690" s="32" t="str">
        <f t="shared" si="476"/>
        <v/>
      </c>
      <c r="W1690" s="41" t="str">
        <f t="shared" si="473"/>
        <v/>
      </c>
      <c r="X1690" s="6">
        <f t="shared" si="474"/>
        <v>0</v>
      </c>
      <c r="Y1690" s="7">
        <f t="shared" si="477"/>
        <v>567</v>
      </c>
      <c r="AA1690" s="7">
        <f t="shared" si="478"/>
        <v>0</v>
      </c>
      <c r="AB1690" s="7" t="str">
        <f t="shared" si="479"/>
        <v/>
      </c>
      <c r="AC1690" s="7">
        <f t="shared" si="480"/>
        <v>0</v>
      </c>
      <c r="AD1690" s="7" t="str">
        <f t="shared" si="481"/>
        <v/>
      </c>
      <c r="AE1690" s="6">
        <f t="shared" si="482"/>
        <v>-3</v>
      </c>
      <c r="AF1690" s="69" t="str">
        <f t="shared" si="483"/>
        <v/>
      </c>
      <c r="AG1690" s="6">
        <f t="shared" si="484"/>
        <v>0</v>
      </c>
      <c r="AH1690" s="6">
        <f t="shared" si="485"/>
        <v>604</v>
      </c>
    </row>
    <row r="1691" spans="8:34" x14ac:dyDescent="0.25">
      <c r="H1691" s="7">
        <v>1698</v>
      </c>
      <c r="I1691" s="7" t="s">
        <v>12</v>
      </c>
      <c r="J1691" s="8">
        <v>38496</v>
      </c>
      <c r="K1691" s="12" t="s">
        <v>19</v>
      </c>
      <c r="L1691" s="9">
        <v>92</v>
      </c>
      <c r="M1691" s="10">
        <v>278.51510126549795</v>
      </c>
      <c r="N1691" s="7" t="s">
        <v>22</v>
      </c>
      <c r="P1691" s="29" t="str">
        <f t="shared" si="468"/>
        <v/>
      </c>
      <c r="Q1691" s="29" t="str">
        <f t="shared" si="469"/>
        <v/>
      </c>
      <c r="R1691" s="29" t="str">
        <f t="shared" si="470"/>
        <v/>
      </c>
      <c r="S1691" s="29" t="str">
        <f t="shared" si="471"/>
        <v/>
      </c>
      <c r="T1691" s="32" t="str">
        <f t="shared" si="472"/>
        <v/>
      </c>
      <c r="U1691" s="32">
        <f t="shared" si="475"/>
        <v>1</v>
      </c>
      <c r="V1691" s="32" t="str">
        <f t="shared" si="476"/>
        <v/>
      </c>
      <c r="W1691" s="41">
        <f t="shared" si="473"/>
        <v>3.0273380572336732</v>
      </c>
      <c r="X1691" s="6">
        <f t="shared" si="474"/>
        <v>278.51510126549795</v>
      </c>
      <c r="Y1691" s="7">
        <f t="shared" si="477"/>
        <v>29</v>
      </c>
      <c r="AA1691" s="7">
        <f t="shared" si="478"/>
        <v>0</v>
      </c>
      <c r="AB1691" s="7" t="str">
        <f t="shared" si="479"/>
        <v/>
      </c>
      <c r="AC1691" s="7">
        <f t="shared" si="480"/>
        <v>1</v>
      </c>
      <c r="AD1691" s="7">
        <f t="shared" si="481"/>
        <v>92</v>
      </c>
      <c r="AE1691" s="6">
        <f t="shared" si="482"/>
        <v>0</v>
      </c>
      <c r="AF1691" s="69">
        <f t="shared" si="483"/>
        <v>3.0273380572336732</v>
      </c>
      <c r="AG1691" s="6">
        <f t="shared" si="484"/>
        <v>0</v>
      </c>
      <c r="AH1691" s="6">
        <f t="shared" si="485"/>
        <v>604</v>
      </c>
    </row>
    <row r="1692" spans="8:34" x14ac:dyDescent="0.25">
      <c r="H1692" s="7">
        <v>1699</v>
      </c>
      <c r="I1692" s="7" t="s">
        <v>10</v>
      </c>
      <c r="J1692" s="8">
        <v>38419</v>
      </c>
      <c r="K1692" s="12" t="s">
        <v>20</v>
      </c>
      <c r="L1692" s="9">
        <v>17</v>
      </c>
      <c r="M1692" s="10">
        <v>53.278847558385984</v>
      </c>
      <c r="N1692" s="7" t="s">
        <v>24</v>
      </c>
      <c r="P1692" s="29" t="str">
        <f t="shared" si="468"/>
        <v/>
      </c>
      <c r="Q1692" s="29" t="str">
        <f t="shared" si="469"/>
        <v/>
      </c>
      <c r="R1692" s="29" t="str">
        <f t="shared" si="470"/>
        <v/>
      </c>
      <c r="S1692" s="29" t="str">
        <f t="shared" si="471"/>
        <v/>
      </c>
      <c r="T1692" s="32" t="str">
        <f t="shared" si="472"/>
        <v/>
      </c>
      <c r="U1692" s="32">
        <f t="shared" si="475"/>
        <v>1</v>
      </c>
      <c r="V1692" s="32" t="str">
        <f t="shared" si="476"/>
        <v/>
      </c>
      <c r="W1692" s="41">
        <f t="shared" si="473"/>
        <v>3.134049856375646</v>
      </c>
      <c r="X1692" s="6">
        <f t="shared" si="474"/>
        <v>53.278847558385984</v>
      </c>
      <c r="Y1692" s="7">
        <f t="shared" si="477"/>
        <v>456</v>
      </c>
      <c r="AA1692" s="7">
        <f t="shared" si="478"/>
        <v>1</v>
      </c>
      <c r="AB1692" s="7">
        <f t="shared" si="479"/>
        <v>17</v>
      </c>
      <c r="AC1692" s="7">
        <f t="shared" si="480"/>
        <v>0</v>
      </c>
      <c r="AD1692" s="7" t="str">
        <f t="shared" si="481"/>
        <v/>
      </c>
      <c r="AE1692" s="6">
        <f t="shared" si="482"/>
        <v>0</v>
      </c>
      <c r="AF1692" s="69">
        <f t="shared" si="483"/>
        <v>3.134049856375646</v>
      </c>
      <c r="AG1692" s="6">
        <f t="shared" si="484"/>
        <v>0</v>
      </c>
      <c r="AH1692" s="6">
        <f t="shared" si="485"/>
        <v>604</v>
      </c>
    </row>
    <row r="1693" spans="8:34" x14ac:dyDescent="0.25">
      <c r="H1693" s="7">
        <v>1700</v>
      </c>
      <c r="I1693" s="7" t="s">
        <v>8</v>
      </c>
      <c r="J1693" s="8">
        <v>38287</v>
      </c>
      <c r="K1693" s="12" t="s">
        <v>17</v>
      </c>
      <c r="L1693" s="9">
        <v>45</v>
      </c>
      <c r="M1693" s="10">
        <v>136.31233370896607</v>
      </c>
      <c r="N1693" s="7" t="s">
        <v>21</v>
      </c>
      <c r="P1693" s="29" t="str">
        <f t="shared" si="468"/>
        <v/>
      </c>
      <c r="Q1693" s="29" t="str">
        <f t="shared" si="469"/>
        <v/>
      </c>
      <c r="R1693" s="29" t="str">
        <f t="shared" si="470"/>
        <v/>
      </c>
      <c r="S1693" s="29">
        <f t="shared" si="471"/>
        <v>1</v>
      </c>
      <c r="T1693" s="32" t="str">
        <f t="shared" si="472"/>
        <v/>
      </c>
      <c r="U1693" s="32" t="str">
        <f t="shared" si="475"/>
        <v/>
      </c>
      <c r="V1693" s="32" t="str">
        <f t="shared" si="476"/>
        <v/>
      </c>
      <c r="W1693" s="41">
        <f t="shared" si="473"/>
        <v>3.0291629713103569</v>
      </c>
      <c r="X1693" s="6">
        <f t="shared" si="474"/>
        <v>0</v>
      </c>
      <c r="Y1693" s="7">
        <f t="shared" si="477"/>
        <v>567</v>
      </c>
      <c r="AA1693" s="7">
        <f t="shared" si="478"/>
        <v>0</v>
      </c>
      <c r="AB1693" s="7" t="str">
        <f t="shared" si="479"/>
        <v/>
      </c>
      <c r="AC1693" s="7">
        <f t="shared" si="480"/>
        <v>0</v>
      </c>
      <c r="AD1693" s="7" t="str">
        <f t="shared" si="481"/>
        <v/>
      </c>
      <c r="AE1693" s="6">
        <f t="shared" si="482"/>
        <v>0</v>
      </c>
      <c r="AF1693" s="69">
        <f t="shared" si="483"/>
        <v>3.0291629713103569</v>
      </c>
      <c r="AG1693" s="6">
        <f t="shared" si="484"/>
        <v>136.31233370896607</v>
      </c>
      <c r="AH1693" s="6">
        <f t="shared" si="485"/>
        <v>308</v>
      </c>
    </row>
    <row r="1694" spans="8:34" x14ac:dyDescent="0.25">
      <c r="H1694" s="7">
        <v>1701</v>
      </c>
      <c r="I1694" s="7" t="s">
        <v>12</v>
      </c>
      <c r="J1694" s="8">
        <v>39002</v>
      </c>
      <c r="K1694" s="12" t="s">
        <v>19</v>
      </c>
      <c r="L1694" s="9">
        <v>62</v>
      </c>
      <c r="M1694" s="10">
        <v>187.97208926447612</v>
      </c>
      <c r="N1694" s="7" t="s">
        <v>21</v>
      </c>
      <c r="P1694" s="29" t="str">
        <f t="shared" si="468"/>
        <v/>
      </c>
      <c r="Q1694" s="29" t="str">
        <f t="shared" si="469"/>
        <v/>
      </c>
      <c r="R1694" s="29" t="str">
        <f t="shared" si="470"/>
        <v/>
      </c>
      <c r="S1694" s="29" t="str">
        <f t="shared" si="471"/>
        <v/>
      </c>
      <c r="T1694" s="32" t="str">
        <f t="shared" si="472"/>
        <v/>
      </c>
      <c r="U1694" s="32" t="str">
        <f t="shared" si="475"/>
        <v/>
      </c>
      <c r="V1694" s="32">
        <f t="shared" si="476"/>
        <v>1</v>
      </c>
      <c r="W1694" s="41">
        <f t="shared" si="473"/>
        <v>3.0318078913625182</v>
      </c>
      <c r="X1694" s="6">
        <f t="shared" si="474"/>
        <v>0</v>
      </c>
      <c r="Y1694" s="7">
        <f t="shared" si="477"/>
        <v>567</v>
      </c>
      <c r="AA1694" s="7">
        <f t="shared" si="478"/>
        <v>0</v>
      </c>
      <c r="AB1694" s="7" t="str">
        <f t="shared" si="479"/>
        <v/>
      </c>
      <c r="AC1694" s="7">
        <f t="shared" si="480"/>
        <v>0</v>
      </c>
      <c r="AD1694" s="7" t="str">
        <f t="shared" si="481"/>
        <v/>
      </c>
      <c r="AE1694" s="6">
        <f t="shared" si="482"/>
        <v>0</v>
      </c>
      <c r="AF1694" s="69">
        <f t="shared" si="483"/>
        <v>3.0318078913625182</v>
      </c>
      <c r="AG1694" s="6">
        <f t="shared" si="484"/>
        <v>0</v>
      </c>
      <c r="AH1694" s="6">
        <f t="shared" si="485"/>
        <v>604</v>
      </c>
    </row>
    <row r="1695" spans="8:34" x14ac:dyDescent="0.25">
      <c r="H1695" s="7">
        <v>1702</v>
      </c>
      <c r="I1695" s="7" t="s">
        <v>10</v>
      </c>
      <c r="J1695" s="8">
        <v>38287</v>
      </c>
      <c r="K1695" s="12" t="s">
        <v>18</v>
      </c>
      <c r="L1695" s="9">
        <v>52</v>
      </c>
      <c r="M1695" s="10">
        <v>158.0460445332865</v>
      </c>
      <c r="N1695" s="7" t="s">
        <v>22</v>
      </c>
      <c r="P1695" s="29" t="str">
        <f t="shared" si="468"/>
        <v/>
      </c>
      <c r="Q1695" s="29" t="str">
        <f t="shared" si="469"/>
        <v/>
      </c>
      <c r="R1695" s="29" t="str">
        <f t="shared" si="470"/>
        <v/>
      </c>
      <c r="S1695" s="29">
        <f t="shared" si="471"/>
        <v>1</v>
      </c>
      <c r="T1695" s="32" t="str">
        <f t="shared" si="472"/>
        <v/>
      </c>
      <c r="U1695" s="32" t="str">
        <f t="shared" si="475"/>
        <v/>
      </c>
      <c r="V1695" s="32" t="str">
        <f t="shared" si="476"/>
        <v/>
      </c>
      <c r="W1695" s="41">
        <f t="shared" si="473"/>
        <v>3.0393470102555096</v>
      </c>
      <c r="X1695" s="6">
        <f t="shared" si="474"/>
        <v>0</v>
      </c>
      <c r="Y1695" s="7">
        <f t="shared" si="477"/>
        <v>567</v>
      </c>
      <c r="AA1695" s="7">
        <f t="shared" si="478"/>
        <v>0</v>
      </c>
      <c r="AB1695" s="7" t="str">
        <f t="shared" si="479"/>
        <v/>
      </c>
      <c r="AC1695" s="7">
        <f t="shared" si="480"/>
        <v>0</v>
      </c>
      <c r="AD1695" s="7" t="str">
        <f t="shared" si="481"/>
        <v/>
      </c>
      <c r="AE1695" s="6">
        <f t="shared" si="482"/>
        <v>0</v>
      </c>
      <c r="AF1695" s="69">
        <f t="shared" si="483"/>
        <v>3.0393470102555096</v>
      </c>
      <c r="AG1695" s="6">
        <f t="shared" si="484"/>
        <v>158.0460445332865</v>
      </c>
      <c r="AH1695" s="6">
        <f t="shared" si="485"/>
        <v>264</v>
      </c>
    </row>
    <row r="1696" spans="8:34" x14ac:dyDescent="0.25">
      <c r="H1696" s="7">
        <v>1703</v>
      </c>
      <c r="I1696" s="7" t="s">
        <v>8</v>
      </c>
      <c r="J1696" s="8">
        <v>38133</v>
      </c>
      <c r="K1696" s="12" t="s">
        <v>19</v>
      </c>
      <c r="L1696" s="9">
        <v>73</v>
      </c>
      <c r="M1696" s="10">
        <v>221.23952830258372</v>
      </c>
      <c r="N1696" s="7" t="s">
        <v>21</v>
      </c>
      <c r="P1696" s="29" t="str">
        <f t="shared" si="468"/>
        <v/>
      </c>
      <c r="Q1696" s="29">
        <f t="shared" si="469"/>
        <v>1</v>
      </c>
      <c r="R1696" s="29" t="str">
        <f t="shared" si="470"/>
        <v/>
      </c>
      <c r="S1696" s="29" t="str">
        <f t="shared" si="471"/>
        <v/>
      </c>
      <c r="T1696" s="32" t="str">
        <f t="shared" si="472"/>
        <v/>
      </c>
      <c r="U1696" s="32" t="str">
        <f t="shared" si="475"/>
        <v/>
      </c>
      <c r="V1696" s="32" t="str">
        <f t="shared" si="476"/>
        <v/>
      </c>
      <c r="W1696" s="41">
        <f t="shared" si="473"/>
        <v>3.0306784698984073</v>
      </c>
      <c r="X1696" s="6">
        <f t="shared" si="474"/>
        <v>0</v>
      </c>
      <c r="Y1696" s="7">
        <f t="shared" si="477"/>
        <v>567</v>
      </c>
      <c r="AA1696" s="7">
        <f t="shared" si="478"/>
        <v>0</v>
      </c>
      <c r="AB1696" s="7" t="str">
        <f t="shared" si="479"/>
        <v/>
      </c>
      <c r="AC1696" s="7">
        <f t="shared" si="480"/>
        <v>0</v>
      </c>
      <c r="AD1696" s="7" t="str">
        <f t="shared" si="481"/>
        <v/>
      </c>
      <c r="AE1696" s="6">
        <f t="shared" si="482"/>
        <v>0</v>
      </c>
      <c r="AF1696" s="69">
        <f t="shared" si="483"/>
        <v>3.0306784698984073</v>
      </c>
      <c r="AG1696" s="6">
        <f t="shared" si="484"/>
        <v>221.23952830258372</v>
      </c>
      <c r="AH1696" s="6">
        <f t="shared" si="485"/>
        <v>132</v>
      </c>
    </row>
    <row r="1697" spans="8:34" x14ac:dyDescent="0.25">
      <c r="H1697" s="7">
        <v>1704</v>
      </c>
      <c r="I1697" s="7" t="s">
        <v>15</v>
      </c>
      <c r="J1697" s="8">
        <v>38551</v>
      </c>
      <c r="K1697" s="12" t="s">
        <v>19</v>
      </c>
      <c r="L1697" s="9">
        <v>38</v>
      </c>
      <c r="M1697" s="10">
        <v>116.53981147745662</v>
      </c>
      <c r="N1697" s="7" t="s">
        <v>21</v>
      </c>
      <c r="P1697" s="29" t="str">
        <f t="shared" si="468"/>
        <v/>
      </c>
      <c r="Q1697" s="29" t="str">
        <f t="shared" si="469"/>
        <v/>
      </c>
      <c r="R1697" s="29" t="str">
        <f t="shared" si="470"/>
        <v/>
      </c>
      <c r="S1697" s="29" t="str">
        <f t="shared" si="471"/>
        <v/>
      </c>
      <c r="T1697" s="32" t="str">
        <f t="shared" si="472"/>
        <v/>
      </c>
      <c r="U1697" s="32">
        <f t="shared" si="475"/>
        <v>1</v>
      </c>
      <c r="V1697" s="32" t="str">
        <f t="shared" si="476"/>
        <v/>
      </c>
      <c r="W1697" s="41">
        <f t="shared" si="473"/>
        <v>3.0668371441435953</v>
      </c>
      <c r="X1697" s="6">
        <f t="shared" si="474"/>
        <v>116.53981147745662</v>
      </c>
      <c r="Y1697" s="7">
        <f t="shared" si="477"/>
        <v>323</v>
      </c>
      <c r="AA1697" s="7">
        <f t="shared" si="478"/>
        <v>1</v>
      </c>
      <c r="AB1697" s="7">
        <f t="shared" si="479"/>
        <v>38</v>
      </c>
      <c r="AC1697" s="7">
        <f t="shared" si="480"/>
        <v>0</v>
      </c>
      <c r="AD1697" s="7" t="str">
        <f t="shared" si="481"/>
        <v/>
      </c>
      <c r="AE1697" s="6">
        <f t="shared" si="482"/>
        <v>0</v>
      </c>
      <c r="AF1697" s="69">
        <f t="shared" si="483"/>
        <v>3.0668371441435953</v>
      </c>
      <c r="AG1697" s="6">
        <f t="shared" si="484"/>
        <v>0</v>
      </c>
      <c r="AH1697" s="6">
        <f t="shared" si="485"/>
        <v>604</v>
      </c>
    </row>
    <row r="1698" spans="8:34" x14ac:dyDescent="0.25">
      <c r="H1698" s="7">
        <v>1705</v>
      </c>
      <c r="I1698" s="7" t="s">
        <v>8</v>
      </c>
      <c r="J1698" s="8">
        <v>38705</v>
      </c>
      <c r="K1698" s="12" t="s">
        <v>16</v>
      </c>
      <c r="L1698" s="9">
        <v>0</v>
      </c>
      <c r="M1698" s="10">
        <v>1.7059716699737852</v>
      </c>
      <c r="N1698" s="7" t="s">
        <v>23</v>
      </c>
      <c r="P1698" s="29" t="str">
        <f t="shared" si="468"/>
        <v/>
      </c>
      <c r="Q1698" s="29" t="str">
        <f t="shared" si="469"/>
        <v/>
      </c>
      <c r="R1698" s="29" t="str">
        <f t="shared" si="470"/>
        <v/>
      </c>
      <c r="S1698" s="29" t="str">
        <f t="shared" si="471"/>
        <v/>
      </c>
      <c r="T1698" s="32">
        <f t="shared" si="472"/>
        <v>1</v>
      </c>
      <c r="U1698" s="32">
        <f t="shared" si="475"/>
        <v>1</v>
      </c>
      <c r="V1698" s="32" t="str">
        <f t="shared" si="476"/>
        <v/>
      </c>
      <c r="W1698" s="41" t="str">
        <f t="shared" si="473"/>
        <v/>
      </c>
      <c r="X1698" s="6">
        <f t="shared" si="474"/>
        <v>1.7059716699737852</v>
      </c>
      <c r="Y1698" s="7">
        <f t="shared" si="477"/>
        <v>564</v>
      </c>
      <c r="AA1698" s="7">
        <f t="shared" si="478"/>
        <v>0</v>
      </c>
      <c r="AB1698" s="7" t="str">
        <f t="shared" si="479"/>
        <v/>
      </c>
      <c r="AC1698" s="7">
        <f t="shared" si="480"/>
        <v>1</v>
      </c>
      <c r="AD1698" s="7">
        <f t="shared" si="481"/>
        <v>0</v>
      </c>
      <c r="AE1698" s="6">
        <f t="shared" si="482"/>
        <v>0</v>
      </c>
      <c r="AF1698" s="69" t="str">
        <f t="shared" si="483"/>
        <v/>
      </c>
      <c r="AG1698" s="6">
        <f t="shared" si="484"/>
        <v>0</v>
      </c>
      <c r="AH1698" s="6">
        <f t="shared" si="485"/>
        <v>604</v>
      </c>
    </row>
    <row r="1699" spans="8:34" x14ac:dyDescent="0.25">
      <c r="H1699" s="7">
        <v>1706</v>
      </c>
      <c r="I1699" s="7" t="s">
        <v>14</v>
      </c>
      <c r="J1699" s="8">
        <v>38276</v>
      </c>
      <c r="K1699" s="12" t="s">
        <v>16</v>
      </c>
      <c r="L1699" s="9">
        <v>70</v>
      </c>
      <c r="M1699" s="10">
        <v>211.80942925062229</v>
      </c>
      <c r="N1699" s="7" t="s">
        <v>21</v>
      </c>
      <c r="P1699" s="29" t="str">
        <f t="shared" si="468"/>
        <v/>
      </c>
      <c r="Q1699" s="29" t="str">
        <f t="shared" si="469"/>
        <v/>
      </c>
      <c r="R1699" s="29" t="str">
        <f t="shared" si="470"/>
        <v/>
      </c>
      <c r="S1699" s="29">
        <f t="shared" si="471"/>
        <v>1</v>
      </c>
      <c r="T1699" s="32" t="str">
        <f t="shared" si="472"/>
        <v/>
      </c>
      <c r="U1699" s="32" t="str">
        <f t="shared" si="475"/>
        <v/>
      </c>
      <c r="V1699" s="32" t="str">
        <f t="shared" si="476"/>
        <v/>
      </c>
      <c r="W1699" s="41">
        <f t="shared" si="473"/>
        <v>3.0258489892946039</v>
      </c>
      <c r="X1699" s="6">
        <f t="shared" si="474"/>
        <v>0</v>
      </c>
      <c r="Y1699" s="7">
        <f t="shared" si="477"/>
        <v>567</v>
      </c>
      <c r="AA1699" s="7">
        <f t="shared" si="478"/>
        <v>0</v>
      </c>
      <c r="AB1699" s="7" t="str">
        <f t="shared" si="479"/>
        <v/>
      </c>
      <c r="AC1699" s="7">
        <f t="shared" si="480"/>
        <v>0</v>
      </c>
      <c r="AD1699" s="7" t="str">
        <f t="shared" si="481"/>
        <v/>
      </c>
      <c r="AE1699" s="6">
        <f t="shared" si="482"/>
        <v>0</v>
      </c>
      <c r="AF1699" s="69">
        <f t="shared" si="483"/>
        <v>3.0258489892946039</v>
      </c>
      <c r="AG1699" s="6">
        <f t="shared" si="484"/>
        <v>211.80942925062229</v>
      </c>
      <c r="AH1699" s="6">
        <f t="shared" si="485"/>
        <v>153</v>
      </c>
    </row>
    <row r="1700" spans="8:34" x14ac:dyDescent="0.25">
      <c r="H1700" s="7">
        <v>1707</v>
      </c>
      <c r="I1700" s="7" t="s">
        <v>15</v>
      </c>
      <c r="J1700" s="8">
        <v>38485</v>
      </c>
      <c r="K1700" s="12" t="s">
        <v>18</v>
      </c>
      <c r="L1700" s="9">
        <v>-8</v>
      </c>
      <c r="M1700" s="10">
        <v>-22.16452981425434</v>
      </c>
      <c r="N1700" s="7" t="s">
        <v>22</v>
      </c>
      <c r="P1700" s="29" t="str">
        <f t="shared" si="468"/>
        <v/>
      </c>
      <c r="Q1700" s="29" t="str">
        <f t="shared" si="469"/>
        <v/>
      </c>
      <c r="R1700" s="29" t="str">
        <f t="shared" si="470"/>
        <v/>
      </c>
      <c r="S1700" s="29" t="str">
        <f t="shared" si="471"/>
        <v/>
      </c>
      <c r="T1700" s="32" t="str">
        <f t="shared" si="472"/>
        <v/>
      </c>
      <c r="U1700" s="32">
        <f t="shared" si="475"/>
        <v>1</v>
      </c>
      <c r="V1700" s="32" t="str">
        <f t="shared" si="476"/>
        <v/>
      </c>
      <c r="W1700" s="41" t="str">
        <f t="shared" si="473"/>
        <v/>
      </c>
      <c r="X1700" s="6">
        <f t="shared" si="474"/>
        <v>-22.16452981425434</v>
      </c>
      <c r="Y1700" s="7">
        <f t="shared" si="477"/>
        <v>1881</v>
      </c>
      <c r="AA1700" s="7">
        <f t="shared" si="478"/>
        <v>0</v>
      </c>
      <c r="AB1700" s="7" t="str">
        <f t="shared" si="479"/>
        <v/>
      </c>
      <c r="AC1700" s="7">
        <f t="shared" si="480"/>
        <v>1</v>
      </c>
      <c r="AD1700" s="7">
        <f t="shared" si="481"/>
        <v>-8</v>
      </c>
      <c r="AE1700" s="6">
        <f t="shared" si="482"/>
        <v>-8</v>
      </c>
      <c r="AF1700" s="69" t="str">
        <f t="shared" si="483"/>
        <v/>
      </c>
      <c r="AG1700" s="6">
        <f t="shared" si="484"/>
        <v>0</v>
      </c>
      <c r="AH1700" s="6">
        <f t="shared" si="485"/>
        <v>604</v>
      </c>
    </row>
    <row r="1701" spans="8:34" x14ac:dyDescent="0.25">
      <c r="H1701" s="7">
        <v>1708</v>
      </c>
      <c r="I1701" s="7" t="s">
        <v>15</v>
      </c>
      <c r="J1701" s="8">
        <v>38837</v>
      </c>
      <c r="K1701" s="12" t="s">
        <v>16</v>
      </c>
      <c r="L1701" s="9">
        <v>65</v>
      </c>
      <c r="M1701" s="10">
        <v>196.94966457435572</v>
      </c>
      <c r="N1701" s="7" t="s">
        <v>23</v>
      </c>
      <c r="P1701" s="29" t="str">
        <f t="shared" si="468"/>
        <v/>
      </c>
      <c r="Q1701" s="29" t="str">
        <f t="shared" si="469"/>
        <v/>
      </c>
      <c r="R1701" s="29" t="str">
        <f t="shared" si="470"/>
        <v/>
      </c>
      <c r="S1701" s="29" t="str">
        <f t="shared" si="471"/>
        <v/>
      </c>
      <c r="T1701" s="32" t="str">
        <f t="shared" si="472"/>
        <v/>
      </c>
      <c r="U1701" s="32" t="str">
        <f t="shared" si="475"/>
        <v/>
      </c>
      <c r="V1701" s="32">
        <f t="shared" si="476"/>
        <v>1</v>
      </c>
      <c r="W1701" s="41">
        <f t="shared" si="473"/>
        <v>3.0299948396054726</v>
      </c>
      <c r="X1701" s="6">
        <f t="shared" si="474"/>
        <v>0</v>
      </c>
      <c r="Y1701" s="7">
        <f t="shared" si="477"/>
        <v>567</v>
      </c>
      <c r="AA1701" s="7">
        <f t="shared" si="478"/>
        <v>0</v>
      </c>
      <c r="AB1701" s="7" t="str">
        <f t="shared" si="479"/>
        <v/>
      </c>
      <c r="AC1701" s="7">
        <f t="shared" si="480"/>
        <v>0</v>
      </c>
      <c r="AD1701" s="7" t="str">
        <f t="shared" si="481"/>
        <v/>
      </c>
      <c r="AE1701" s="6">
        <f t="shared" si="482"/>
        <v>0</v>
      </c>
      <c r="AF1701" s="69">
        <f t="shared" si="483"/>
        <v>3.0299948396054726</v>
      </c>
      <c r="AG1701" s="6">
        <f t="shared" si="484"/>
        <v>0</v>
      </c>
      <c r="AH1701" s="6">
        <f t="shared" si="485"/>
        <v>604</v>
      </c>
    </row>
    <row r="1702" spans="8:34" x14ac:dyDescent="0.25">
      <c r="H1702" s="7">
        <v>1709</v>
      </c>
      <c r="I1702" s="7" t="s">
        <v>15</v>
      </c>
      <c r="J1702" s="8">
        <v>39046</v>
      </c>
      <c r="K1702" s="12" t="s">
        <v>17</v>
      </c>
      <c r="L1702" s="9">
        <v>-5</v>
      </c>
      <c r="M1702" s="10">
        <v>-12.235172213399022</v>
      </c>
      <c r="N1702" s="7" t="s">
        <v>24</v>
      </c>
      <c r="P1702" s="29" t="str">
        <f t="shared" si="468"/>
        <v/>
      </c>
      <c r="Q1702" s="29" t="str">
        <f t="shared" si="469"/>
        <v/>
      </c>
      <c r="R1702" s="29" t="str">
        <f t="shared" si="470"/>
        <v/>
      </c>
      <c r="S1702" s="29" t="str">
        <f t="shared" si="471"/>
        <v/>
      </c>
      <c r="T1702" s="32" t="str">
        <f t="shared" si="472"/>
        <v/>
      </c>
      <c r="U1702" s="32" t="str">
        <f t="shared" si="475"/>
        <v/>
      </c>
      <c r="V1702" s="32">
        <f t="shared" si="476"/>
        <v>1</v>
      </c>
      <c r="W1702" s="41" t="str">
        <f t="shared" si="473"/>
        <v/>
      </c>
      <c r="X1702" s="6">
        <f t="shared" si="474"/>
        <v>0</v>
      </c>
      <c r="Y1702" s="7">
        <f t="shared" si="477"/>
        <v>567</v>
      </c>
      <c r="AA1702" s="7">
        <f t="shared" si="478"/>
        <v>0</v>
      </c>
      <c r="AB1702" s="7" t="str">
        <f t="shared" si="479"/>
        <v/>
      </c>
      <c r="AC1702" s="7">
        <f t="shared" si="480"/>
        <v>0</v>
      </c>
      <c r="AD1702" s="7" t="str">
        <f t="shared" si="481"/>
        <v/>
      </c>
      <c r="AE1702" s="6">
        <f t="shared" si="482"/>
        <v>-5</v>
      </c>
      <c r="AF1702" s="69" t="str">
        <f t="shared" si="483"/>
        <v/>
      </c>
      <c r="AG1702" s="6">
        <f t="shared" si="484"/>
        <v>0</v>
      </c>
      <c r="AH1702" s="6">
        <f t="shared" si="485"/>
        <v>604</v>
      </c>
    </row>
    <row r="1703" spans="8:34" x14ac:dyDescent="0.25">
      <c r="H1703" s="7">
        <v>1710</v>
      </c>
      <c r="I1703" s="7" t="s">
        <v>15</v>
      </c>
      <c r="J1703" s="8">
        <v>38562</v>
      </c>
      <c r="K1703" s="12" t="s">
        <v>18</v>
      </c>
      <c r="L1703" s="9">
        <v>34</v>
      </c>
      <c r="M1703" s="10">
        <v>104.46148815266854</v>
      </c>
      <c r="N1703" s="7" t="s">
        <v>24</v>
      </c>
      <c r="P1703" s="29" t="str">
        <f t="shared" si="468"/>
        <v/>
      </c>
      <c r="Q1703" s="29" t="str">
        <f t="shared" si="469"/>
        <v/>
      </c>
      <c r="R1703" s="29" t="str">
        <f t="shared" si="470"/>
        <v/>
      </c>
      <c r="S1703" s="29" t="str">
        <f t="shared" si="471"/>
        <v/>
      </c>
      <c r="T1703" s="32" t="str">
        <f t="shared" si="472"/>
        <v/>
      </c>
      <c r="U1703" s="32">
        <f t="shared" si="475"/>
        <v>1</v>
      </c>
      <c r="V1703" s="32" t="str">
        <f t="shared" si="476"/>
        <v/>
      </c>
      <c r="W1703" s="41">
        <f t="shared" si="473"/>
        <v>3.0723967103726042</v>
      </c>
      <c r="X1703" s="6">
        <f t="shared" si="474"/>
        <v>104.46148815266854</v>
      </c>
      <c r="Y1703" s="7">
        <f t="shared" si="477"/>
        <v>351</v>
      </c>
      <c r="AA1703" s="7">
        <f t="shared" si="478"/>
        <v>1</v>
      </c>
      <c r="AB1703" s="7">
        <f t="shared" si="479"/>
        <v>34</v>
      </c>
      <c r="AC1703" s="7">
        <f t="shared" si="480"/>
        <v>0</v>
      </c>
      <c r="AD1703" s="7" t="str">
        <f t="shared" si="481"/>
        <v/>
      </c>
      <c r="AE1703" s="6">
        <f t="shared" si="482"/>
        <v>0</v>
      </c>
      <c r="AF1703" s="69">
        <f t="shared" si="483"/>
        <v>3.0723967103726042</v>
      </c>
      <c r="AG1703" s="6">
        <f t="shared" si="484"/>
        <v>0</v>
      </c>
      <c r="AH1703" s="6">
        <f t="shared" si="485"/>
        <v>604</v>
      </c>
    </row>
    <row r="1704" spans="8:34" x14ac:dyDescent="0.25">
      <c r="H1704" s="7">
        <v>1711</v>
      </c>
      <c r="I1704" s="7" t="s">
        <v>11</v>
      </c>
      <c r="J1704" s="8">
        <v>38804</v>
      </c>
      <c r="K1704" s="12" t="s">
        <v>17</v>
      </c>
      <c r="L1704" s="9">
        <v>72</v>
      </c>
      <c r="M1704" s="10">
        <v>217.88587173222501</v>
      </c>
      <c r="N1704" s="7" t="s">
        <v>23</v>
      </c>
      <c r="P1704" s="29" t="str">
        <f t="shared" si="468"/>
        <v/>
      </c>
      <c r="Q1704" s="29" t="str">
        <f t="shared" si="469"/>
        <v/>
      </c>
      <c r="R1704" s="29" t="str">
        <f t="shared" si="470"/>
        <v/>
      </c>
      <c r="S1704" s="29" t="str">
        <f t="shared" si="471"/>
        <v/>
      </c>
      <c r="T1704" s="32" t="str">
        <f t="shared" si="472"/>
        <v/>
      </c>
      <c r="U1704" s="32" t="str">
        <f t="shared" si="475"/>
        <v/>
      </c>
      <c r="V1704" s="32">
        <f t="shared" si="476"/>
        <v>1</v>
      </c>
      <c r="W1704" s="41">
        <f t="shared" si="473"/>
        <v>3.0261926629475697</v>
      </c>
      <c r="X1704" s="6">
        <f t="shared" si="474"/>
        <v>0</v>
      </c>
      <c r="Y1704" s="7">
        <f t="shared" si="477"/>
        <v>567</v>
      </c>
      <c r="AA1704" s="7">
        <f t="shared" si="478"/>
        <v>0</v>
      </c>
      <c r="AB1704" s="7" t="str">
        <f t="shared" si="479"/>
        <v/>
      </c>
      <c r="AC1704" s="7">
        <f t="shared" si="480"/>
        <v>0</v>
      </c>
      <c r="AD1704" s="7" t="str">
        <f t="shared" si="481"/>
        <v/>
      </c>
      <c r="AE1704" s="6">
        <f t="shared" si="482"/>
        <v>0</v>
      </c>
      <c r="AF1704" s="69">
        <f t="shared" si="483"/>
        <v>3.0261926629475697</v>
      </c>
      <c r="AG1704" s="6">
        <f t="shared" si="484"/>
        <v>0</v>
      </c>
      <c r="AH1704" s="6">
        <f t="shared" si="485"/>
        <v>604</v>
      </c>
    </row>
    <row r="1705" spans="8:34" x14ac:dyDescent="0.25">
      <c r="H1705" s="7">
        <v>1712</v>
      </c>
      <c r="I1705" s="7" t="s">
        <v>14</v>
      </c>
      <c r="J1705" s="8">
        <v>38386</v>
      </c>
      <c r="K1705" s="12" t="s">
        <v>16</v>
      </c>
      <c r="L1705" s="9">
        <v>-1</v>
      </c>
      <c r="M1705" s="10">
        <v>-0.65444775995364735</v>
      </c>
      <c r="N1705" s="7" t="s">
        <v>21</v>
      </c>
      <c r="P1705" s="29" t="str">
        <f t="shared" si="468"/>
        <v/>
      </c>
      <c r="Q1705" s="29" t="str">
        <f t="shared" si="469"/>
        <v/>
      </c>
      <c r="R1705" s="29" t="str">
        <f t="shared" si="470"/>
        <v/>
      </c>
      <c r="S1705" s="29" t="str">
        <f t="shared" si="471"/>
        <v/>
      </c>
      <c r="T1705" s="32" t="str">
        <f t="shared" si="472"/>
        <v/>
      </c>
      <c r="U1705" s="32">
        <f t="shared" si="475"/>
        <v>1</v>
      </c>
      <c r="V1705" s="32" t="str">
        <f t="shared" si="476"/>
        <v/>
      </c>
      <c r="W1705" s="41" t="str">
        <f t="shared" si="473"/>
        <v/>
      </c>
      <c r="X1705" s="6">
        <f t="shared" si="474"/>
        <v>-0.65444775995364735</v>
      </c>
      <c r="Y1705" s="7">
        <f t="shared" si="477"/>
        <v>1840</v>
      </c>
      <c r="AA1705" s="7">
        <f t="shared" si="478"/>
        <v>1</v>
      </c>
      <c r="AB1705" s="7">
        <f t="shared" si="479"/>
        <v>-1</v>
      </c>
      <c r="AC1705" s="7">
        <f t="shared" si="480"/>
        <v>0</v>
      </c>
      <c r="AD1705" s="7" t="str">
        <f t="shared" si="481"/>
        <v/>
      </c>
      <c r="AE1705" s="6">
        <f t="shared" si="482"/>
        <v>-1</v>
      </c>
      <c r="AF1705" s="69" t="str">
        <f t="shared" si="483"/>
        <v/>
      </c>
      <c r="AG1705" s="6">
        <f t="shared" si="484"/>
        <v>0</v>
      </c>
      <c r="AH1705" s="6">
        <f t="shared" si="485"/>
        <v>604</v>
      </c>
    </row>
    <row r="1706" spans="8:34" x14ac:dyDescent="0.25">
      <c r="H1706" s="7">
        <v>1713</v>
      </c>
      <c r="I1706" s="7" t="s">
        <v>13</v>
      </c>
      <c r="J1706" s="8">
        <v>38694</v>
      </c>
      <c r="K1706" s="12" t="s">
        <v>17</v>
      </c>
      <c r="L1706" s="9">
        <v>40</v>
      </c>
      <c r="M1706" s="10">
        <v>122.14268476291653</v>
      </c>
      <c r="N1706" s="7" t="s">
        <v>23</v>
      </c>
      <c r="P1706" s="29" t="str">
        <f t="shared" si="468"/>
        <v/>
      </c>
      <c r="Q1706" s="29" t="str">
        <f t="shared" si="469"/>
        <v/>
      </c>
      <c r="R1706" s="29" t="str">
        <f t="shared" si="470"/>
        <v/>
      </c>
      <c r="S1706" s="29" t="str">
        <f t="shared" si="471"/>
        <v/>
      </c>
      <c r="T1706" s="32">
        <f t="shared" si="472"/>
        <v>1</v>
      </c>
      <c r="U1706" s="32">
        <f t="shared" si="475"/>
        <v>1</v>
      </c>
      <c r="V1706" s="32" t="str">
        <f t="shared" si="476"/>
        <v/>
      </c>
      <c r="W1706" s="41">
        <f t="shared" si="473"/>
        <v>3.0535671190729134</v>
      </c>
      <c r="X1706" s="6">
        <f t="shared" si="474"/>
        <v>122.14268476291653</v>
      </c>
      <c r="Y1706" s="7">
        <f t="shared" si="477"/>
        <v>315</v>
      </c>
      <c r="AA1706" s="7">
        <f t="shared" si="478"/>
        <v>0</v>
      </c>
      <c r="AB1706" s="7" t="str">
        <f t="shared" si="479"/>
        <v/>
      </c>
      <c r="AC1706" s="7">
        <f t="shared" si="480"/>
        <v>1</v>
      </c>
      <c r="AD1706" s="7">
        <f t="shared" si="481"/>
        <v>40</v>
      </c>
      <c r="AE1706" s="6">
        <f t="shared" si="482"/>
        <v>0</v>
      </c>
      <c r="AF1706" s="69">
        <f t="shared" si="483"/>
        <v>3.0535671190729134</v>
      </c>
      <c r="AG1706" s="6">
        <f t="shared" si="484"/>
        <v>0</v>
      </c>
      <c r="AH1706" s="6">
        <f t="shared" si="485"/>
        <v>604</v>
      </c>
    </row>
    <row r="1707" spans="8:34" x14ac:dyDescent="0.25">
      <c r="H1707" s="7">
        <v>1714</v>
      </c>
      <c r="I1707" s="7" t="s">
        <v>8</v>
      </c>
      <c r="J1707" s="8">
        <v>38969</v>
      </c>
      <c r="K1707" s="12" t="s">
        <v>20</v>
      </c>
      <c r="L1707" s="9">
        <v>65</v>
      </c>
      <c r="M1707" s="10">
        <v>196.70486780051661</v>
      </c>
      <c r="N1707" s="7" t="s">
        <v>24</v>
      </c>
      <c r="P1707" s="29" t="str">
        <f t="shared" si="468"/>
        <v/>
      </c>
      <c r="Q1707" s="29" t="str">
        <f t="shared" si="469"/>
        <v/>
      </c>
      <c r="R1707" s="29" t="str">
        <f t="shared" si="470"/>
        <v/>
      </c>
      <c r="S1707" s="29" t="str">
        <f t="shared" si="471"/>
        <v/>
      </c>
      <c r="T1707" s="32" t="str">
        <f t="shared" si="472"/>
        <v/>
      </c>
      <c r="U1707" s="32" t="str">
        <f t="shared" si="475"/>
        <v/>
      </c>
      <c r="V1707" s="32">
        <f t="shared" si="476"/>
        <v>1</v>
      </c>
      <c r="W1707" s="41">
        <f t="shared" si="473"/>
        <v>3.0262287353925634</v>
      </c>
      <c r="X1707" s="6">
        <f t="shared" si="474"/>
        <v>0</v>
      </c>
      <c r="Y1707" s="7">
        <f t="shared" si="477"/>
        <v>567</v>
      </c>
      <c r="AA1707" s="7">
        <f t="shared" si="478"/>
        <v>0</v>
      </c>
      <c r="AB1707" s="7" t="str">
        <f t="shared" si="479"/>
        <v/>
      </c>
      <c r="AC1707" s="7">
        <f t="shared" si="480"/>
        <v>0</v>
      </c>
      <c r="AD1707" s="7" t="str">
        <f t="shared" si="481"/>
        <v/>
      </c>
      <c r="AE1707" s="6">
        <f t="shared" si="482"/>
        <v>0</v>
      </c>
      <c r="AF1707" s="69">
        <f t="shared" si="483"/>
        <v>3.0262287353925634</v>
      </c>
      <c r="AG1707" s="6">
        <f t="shared" si="484"/>
        <v>0</v>
      </c>
      <c r="AH1707" s="6">
        <f t="shared" si="485"/>
        <v>604</v>
      </c>
    </row>
    <row r="1708" spans="8:34" x14ac:dyDescent="0.25">
      <c r="H1708" s="7">
        <v>1715</v>
      </c>
      <c r="I1708" s="7" t="s">
        <v>15</v>
      </c>
      <c r="J1708" s="8">
        <v>38903</v>
      </c>
      <c r="K1708" s="12" t="s">
        <v>17</v>
      </c>
      <c r="L1708" s="9">
        <v>77</v>
      </c>
      <c r="M1708" s="10">
        <v>232.41740522130286</v>
      </c>
      <c r="N1708" s="7" t="s">
        <v>22</v>
      </c>
      <c r="P1708" s="29" t="str">
        <f t="shared" si="468"/>
        <v/>
      </c>
      <c r="Q1708" s="29" t="str">
        <f t="shared" si="469"/>
        <v/>
      </c>
      <c r="R1708" s="29" t="str">
        <f t="shared" si="470"/>
        <v/>
      </c>
      <c r="S1708" s="29" t="str">
        <f t="shared" si="471"/>
        <v/>
      </c>
      <c r="T1708" s="32" t="str">
        <f t="shared" si="472"/>
        <v/>
      </c>
      <c r="U1708" s="32" t="str">
        <f t="shared" si="475"/>
        <v/>
      </c>
      <c r="V1708" s="32">
        <f t="shared" si="476"/>
        <v>1</v>
      </c>
      <c r="W1708" s="41">
        <f t="shared" si="473"/>
        <v>3.0184078600169202</v>
      </c>
      <c r="X1708" s="6">
        <f t="shared" si="474"/>
        <v>0</v>
      </c>
      <c r="Y1708" s="7">
        <f t="shared" si="477"/>
        <v>567</v>
      </c>
      <c r="AA1708" s="7">
        <f t="shared" si="478"/>
        <v>0</v>
      </c>
      <c r="AB1708" s="7" t="str">
        <f t="shared" si="479"/>
        <v/>
      </c>
      <c r="AC1708" s="7">
        <f t="shared" si="480"/>
        <v>0</v>
      </c>
      <c r="AD1708" s="7" t="str">
        <f t="shared" si="481"/>
        <v/>
      </c>
      <c r="AE1708" s="6">
        <f t="shared" si="482"/>
        <v>0</v>
      </c>
      <c r="AF1708" s="69">
        <f t="shared" si="483"/>
        <v>3.0184078600169202</v>
      </c>
      <c r="AG1708" s="6">
        <f t="shared" si="484"/>
        <v>0</v>
      </c>
      <c r="AH1708" s="6">
        <f t="shared" si="485"/>
        <v>604</v>
      </c>
    </row>
    <row r="1709" spans="8:34" x14ac:dyDescent="0.25">
      <c r="H1709" s="7">
        <v>1716</v>
      </c>
      <c r="I1709" s="7" t="s">
        <v>14</v>
      </c>
      <c r="J1709" s="8">
        <v>38826</v>
      </c>
      <c r="K1709" s="12" t="s">
        <v>20</v>
      </c>
      <c r="L1709" s="9">
        <v>51</v>
      </c>
      <c r="M1709" s="10">
        <v>155.00139731564644</v>
      </c>
      <c r="N1709" s="7" t="s">
        <v>21</v>
      </c>
      <c r="P1709" s="29" t="str">
        <f t="shared" si="468"/>
        <v/>
      </c>
      <c r="Q1709" s="29" t="str">
        <f t="shared" si="469"/>
        <v/>
      </c>
      <c r="R1709" s="29" t="str">
        <f t="shared" si="470"/>
        <v/>
      </c>
      <c r="S1709" s="29" t="str">
        <f t="shared" si="471"/>
        <v/>
      </c>
      <c r="T1709" s="32" t="str">
        <f t="shared" si="472"/>
        <v/>
      </c>
      <c r="U1709" s="32" t="str">
        <f t="shared" si="475"/>
        <v/>
      </c>
      <c r="V1709" s="32">
        <f t="shared" si="476"/>
        <v>1</v>
      </c>
      <c r="W1709" s="41">
        <f t="shared" si="473"/>
        <v>3.0392430846205185</v>
      </c>
      <c r="X1709" s="6">
        <f t="shared" si="474"/>
        <v>0</v>
      </c>
      <c r="Y1709" s="7">
        <f t="shared" si="477"/>
        <v>567</v>
      </c>
      <c r="AA1709" s="7">
        <f t="shared" si="478"/>
        <v>0</v>
      </c>
      <c r="AB1709" s="7" t="str">
        <f t="shared" si="479"/>
        <v/>
      </c>
      <c r="AC1709" s="7">
        <f t="shared" si="480"/>
        <v>0</v>
      </c>
      <c r="AD1709" s="7" t="str">
        <f t="shared" si="481"/>
        <v/>
      </c>
      <c r="AE1709" s="6">
        <f t="shared" si="482"/>
        <v>0</v>
      </c>
      <c r="AF1709" s="69">
        <f t="shared" si="483"/>
        <v>3.0392430846205185</v>
      </c>
      <c r="AG1709" s="6">
        <f t="shared" si="484"/>
        <v>0</v>
      </c>
      <c r="AH1709" s="6">
        <f t="shared" si="485"/>
        <v>604</v>
      </c>
    </row>
    <row r="1710" spans="8:34" x14ac:dyDescent="0.25">
      <c r="H1710" s="7">
        <v>1717</v>
      </c>
      <c r="I1710" s="7" t="s">
        <v>10</v>
      </c>
      <c r="J1710" s="8">
        <v>38452</v>
      </c>
      <c r="K1710" s="12" t="s">
        <v>18</v>
      </c>
      <c r="L1710" s="9">
        <v>-9</v>
      </c>
      <c r="M1710" s="10">
        <v>-25.103275559538364</v>
      </c>
      <c r="N1710" s="7" t="s">
        <v>24</v>
      </c>
      <c r="P1710" s="29" t="str">
        <f t="shared" si="468"/>
        <v/>
      </c>
      <c r="Q1710" s="29" t="str">
        <f t="shared" si="469"/>
        <v/>
      </c>
      <c r="R1710" s="29" t="str">
        <f t="shared" si="470"/>
        <v/>
      </c>
      <c r="S1710" s="29" t="str">
        <f t="shared" si="471"/>
        <v/>
      </c>
      <c r="T1710" s="32" t="str">
        <f t="shared" si="472"/>
        <v/>
      </c>
      <c r="U1710" s="32">
        <f t="shared" si="475"/>
        <v>1</v>
      </c>
      <c r="V1710" s="32" t="str">
        <f t="shared" si="476"/>
        <v/>
      </c>
      <c r="W1710" s="41" t="str">
        <f t="shared" si="473"/>
        <v/>
      </c>
      <c r="X1710" s="6">
        <f t="shared" si="474"/>
        <v>-25.103275559538364</v>
      </c>
      <c r="Y1710" s="7">
        <f t="shared" si="477"/>
        <v>1886</v>
      </c>
      <c r="AA1710" s="7">
        <f t="shared" si="478"/>
        <v>0</v>
      </c>
      <c r="AB1710" s="7" t="str">
        <f t="shared" si="479"/>
        <v/>
      </c>
      <c r="AC1710" s="7">
        <f t="shared" si="480"/>
        <v>1</v>
      </c>
      <c r="AD1710" s="7">
        <f t="shared" si="481"/>
        <v>-9</v>
      </c>
      <c r="AE1710" s="6">
        <f t="shared" si="482"/>
        <v>-9</v>
      </c>
      <c r="AF1710" s="69" t="str">
        <f t="shared" si="483"/>
        <v/>
      </c>
      <c r="AG1710" s="6">
        <f t="shared" si="484"/>
        <v>0</v>
      </c>
      <c r="AH1710" s="6">
        <f t="shared" si="485"/>
        <v>604</v>
      </c>
    </row>
    <row r="1711" spans="8:34" x14ac:dyDescent="0.25">
      <c r="H1711" s="7">
        <v>1718</v>
      </c>
      <c r="I1711" s="7" t="s">
        <v>14</v>
      </c>
      <c r="J1711" s="8">
        <v>38441</v>
      </c>
      <c r="K1711" s="12" t="s">
        <v>20</v>
      </c>
      <c r="L1711" s="9">
        <v>17</v>
      </c>
      <c r="M1711" s="10">
        <v>52.732870933394423</v>
      </c>
      <c r="N1711" s="7" t="s">
        <v>22</v>
      </c>
      <c r="P1711" s="29" t="str">
        <f t="shared" si="468"/>
        <v/>
      </c>
      <c r="Q1711" s="29" t="str">
        <f t="shared" si="469"/>
        <v/>
      </c>
      <c r="R1711" s="29" t="str">
        <f t="shared" si="470"/>
        <v/>
      </c>
      <c r="S1711" s="29" t="str">
        <f t="shared" si="471"/>
        <v/>
      </c>
      <c r="T1711" s="32" t="str">
        <f t="shared" si="472"/>
        <v/>
      </c>
      <c r="U1711" s="32">
        <f t="shared" si="475"/>
        <v>1</v>
      </c>
      <c r="V1711" s="32" t="str">
        <f t="shared" si="476"/>
        <v/>
      </c>
      <c r="W1711" s="41">
        <f t="shared" si="473"/>
        <v>3.1019335843173188</v>
      </c>
      <c r="X1711" s="6">
        <f t="shared" si="474"/>
        <v>52.732870933394423</v>
      </c>
      <c r="Y1711" s="7">
        <f t="shared" si="477"/>
        <v>457</v>
      </c>
      <c r="AA1711" s="7">
        <f t="shared" si="478"/>
        <v>1</v>
      </c>
      <c r="AB1711" s="7">
        <f t="shared" si="479"/>
        <v>17</v>
      </c>
      <c r="AC1711" s="7">
        <f t="shared" si="480"/>
        <v>0</v>
      </c>
      <c r="AD1711" s="7" t="str">
        <f t="shared" si="481"/>
        <v/>
      </c>
      <c r="AE1711" s="6">
        <f t="shared" si="482"/>
        <v>0</v>
      </c>
      <c r="AF1711" s="69">
        <f t="shared" si="483"/>
        <v>3.1019335843173188</v>
      </c>
      <c r="AG1711" s="6">
        <f t="shared" si="484"/>
        <v>0</v>
      </c>
      <c r="AH1711" s="6">
        <f t="shared" si="485"/>
        <v>604</v>
      </c>
    </row>
    <row r="1712" spans="8:34" x14ac:dyDescent="0.25">
      <c r="H1712" s="7">
        <v>1719</v>
      </c>
      <c r="I1712" s="7" t="s">
        <v>9</v>
      </c>
      <c r="J1712" s="8">
        <v>38452</v>
      </c>
      <c r="K1712" s="12" t="s">
        <v>16</v>
      </c>
      <c r="L1712" s="9">
        <v>11</v>
      </c>
      <c r="M1712" s="10">
        <v>34.806777506140598</v>
      </c>
      <c r="N1712" s="7" t="s">
        <v>22</v>
      </c>
      <c r="P1712" s="29" t="str">
        <f t="shared" si="468"/>
        <v/>
      </c>
      <c r="Q1712" s="29" t="str">
        <f t="shared" si="469"/>
        <v/>
      </c>
      <c r="R1712" s="29" t="str">
        <f t="shared" si="470"/>
        <v/>
      </c>
      <c r="S1712" s="29" t="str">
        <f t="shared" si="471"/>
        <v/>
      </c>
      <c r="T1712" s="32" t="str">
        <f t="shared" si="472"/>
        <v/>
      </c>
      <c r="U1712" s="32">
        <f t="shared" si="475"/>
        <v>1</v>
      </c>
      <c r="V1712" s="32" t="str">
        <f t="shared" si="476"/>
        <v/>
      </c>
      <c r="W1712" s="41">
        <f t="shared" si="473"/>
        <v>3.164252500558236</v>
      </c>
      <c r="X1712" s="6">
        <f t="shared" si="474"/>
        <v>34.806777506140598</v>
      </c>
      <c r="Y1712" s="7">
        <f t="shared" si="477"/>
        <v>491</v>
      </c>
      <c r="AA1712" s="7">
        <f t="shared" si="478"/>
        <v>0</v>
      </c>
      <c r="AB1712" s="7" t="str">
        <f t="shared" si="479"/>
        <v/>
      </c>
      <c r="AC1712" s="7">
        <f t="shared" si="480"/>
        <v>1</v>
      </c>
      <c r="AD1712" s="7">
        <f t="shared" si="481"/>
        <v>11</v>
      </c>
      <c r="AE1712" s="6">
        <f t="shared" si="482"/>
        <v>0</v>
      </c>
      <c r="AF1712" s="69">
        <f t="shared" si="483"/>
        <v>3.164252500558236</v>
      </c>
      <c r="AG1712" s="6">
        <f t="shared" si="484"/>
        <v>0</v>
      </c>
      <c r="AH1712" s="6">
        <f t="shared" si="485"/>
        <v>604</v>
      </c>
    </row>
    <row r="1713" spans="8:34" x14ac:dyDescent="0.25">
      <c r="H1713" s="7">
        <v>1720</v>
      </c>
      <c r="I1713" s="7" t="s">
        <v>13</v>
      </c>
      <c r="J1713" s="8">
        <v>38892</v>
      </c>
      <c r="K1713" s="12" t="s">
        <v>17</v>
      </c>
      <c r="L1713" s="9">
        <v>40</v>
      </c>
      <c r="M1713" s="10">
        <v>121.64869809891456</v>
      </c>
      <c r="N1713" s="7" t="s">
        <v>24</v>
      </c>
      <c r="P1713" s="29" t="str">
        <f t="shared" si="468"/>
        <v/>
      </c>
      <c r="Q1713" s="29" t="str">
        <f t="shared" si="469"/>
        <v/>
      </c>
      <c r="R1713" s="29" t="str">
        <f t="shared" si="470"/>
        <v/>
      </c>
      <c r="S1713" s="29" t="str">
        <f t="shared" si="471"/>
        <v/>
      </c>
      <c r="T1713" s="32" t="str">
        <f t="shared" si="472"/>
        <v/>
      </c>
      <c r="U1713" s="32" t="str">
        <f t="shared" si="475"/>
        <v/>
      </c>
      <c r="V1713" s="32">
        <f t="shared" si="476"/>
        <v>1</v>
      </c>
      <c r="W1713" s="41">
        <f t="shared" si="473"/>
        <v>3.0412174524728641</v>
      </c>
      <c r="X1713" s="6">
        <f t="shared" si="474"/>
        <v>0</v>
      </c>
      <c r="Y1713" s="7">
        <f t="shared" si="477"/>
        <v>567</v>
      </c>
      <c r="AA1713" s="7">
        <f t="shared" si="478"/>
        <v>0</v>
      </c>
      <c r="AB1713" s="7" t="str">
        <f t="shared" si="479"/>
        <v/>
      </c>
      <c r="AC1713" s="7">
        <f t="shared" si="480"/>
        <v>0</v>
      </c>
      <c r="AD1713" s="7" t="str">
        <f t="shared" si="481"/>
        <v/>
      </c>
      <c r="AE1713" s="6">
        <f t="shared" si="482"/>
        <v>0</v>
      </c>
      <c r="AF1713" s="69">
        <f t="shared" si="483"/>
        <v>3.0412174524728641</v>
      </c>
      <c r="AG1713" s="6">
        <f t="shared" si="484"/>
        <v>0</v>
      </c>
      <c r="AH1713" s="6">
        <f t="shared" si="485"/>
        <v>604</v>
      </c>
    </row>
    <row r="1714" spans="8:34" x14ac:dyDescent="0.25">
      <c r="H1714" s="7">
        <v>1721</v>
      </c>
      <c r="I1714" s="7" t="s">
        <v>9</v>
      </c>
      <c r="J1714" s="8">
        <v>38584</v>
      </c>
      <c r="K1714" s="12" t="s">
        <v>18</v>
      </c>
      <c r="L1714" s="9">
        <v>67</v>
      </c>
      <c r="M1714" s="10">
        <v>202.72483169959665</v>
      </c>
      <c r="N1714" s="7" t="s">
        <v>23</v>
      </c>
      <c r="P1714" s="29" t="str">
        <f t="shared" si="468"/>
        <v/>
      </c>
      <c r="Q1714" s="29" t="str">
        <f t="shared" si="469"/>
        <v/>
      </c>
      <c r="R1714" s="29" t="str">
        <f t="shared" si="470"/>
        <v/>
      </c>
      <c r="S1714" s="29" t="str">
        <f t="shared" si="471"/>
        <v/>
      </c>
      <c r="T1714" s="32" t="str">
        <f t="shared" si="472"/>
        <v/>
      </c>
      <c r="U1714" s="32">
        <f t="shared" si="475"/>
        <v>1</v>
      </c>
      <c r="V1714" s="32" t="str">
        <f t="shared" si="476"/>
        <v/>
      </c>
      <c r="W1714" s="41">
        <f t="shared" si="473"/>
        <v>3.0257437567103977</v>
      </c>
      <c r="X1714" s="6">
        <f t="shared" si="474"/>
        <v>202.72483169959665</v>
      </c>
      <c r="Y1714" s="7">
        <f t="shared" si="477"/>
        <v>176</v>
      </c>
      <c r="AA1714" s="7">
        <f t="shared" si="478"/>
        <v>1</v>
      </c>
      <c r="AB1714" s="7">
        <f t="shared" si="479"/>
        <v>67</v>
      </c>
      <c r="AC1714" s="7">
        <f t="shared" si="480"/>
        <v>0</v>
      </c>
      <c r="AD1714" s="7" t="str">
        <f t="shared" si="481"/>
        <v/>
      </c>
      <c r="AE1714" s="6">
        <f t="shared" si="482"/>
        <v>0</v>
      </c>
      <c r="AF1714" s="69">
        <f t="shared" si="483"/>
        <v>3.0257437567103977</v>
      </c>
      <c r="AG1714" s="6">
        <f t="shared" si="484"/>
        <v>0</v>
      </c>
      <c r="AH1714" s="6">
        <f t="shared" si="485"/>
        <v>604</v>
      </c>
    </row>
    <row r="1715" spans="8:34" x14ac:dyDescent="0.25">
      <c r="H1715" s="7">
        <v>1722</v>
      </c>
      <c r="I1715" s="7" t="s">
        <v>15</v>
      </c>
      <c r="J1715" s="8">
        <v>38562</v>
      </c>
      <c r="K1715" s="12" t="s">
        <v>19</v>
      </c>
      <c r="L1715" s="9">
        <v>79</v>
      </c>
      <c r="M1715" s="10">
        <v>239.25066766148794</v>
      </c>
      <c r="N1715" s="7" t="s">
        <v>21</v>
      </c>
      <c r="P1715" s="29" t="str">
        <f t="shared" si="468"/>
        <v/>
      </c>
      <c r="Q1715" s="29" t="str">
        <f t="shared" si="469"/>
        <v/>
      </c>
      <c r="R1715" s="29" t="str">
        <f t="shared" si="470"/>
        <v/>
      </c>
      <c r="S1715" s="29" t="str">
        <f t="shared" si="471"/>
        <v/>
      </c>
      <c r="T1715" s="32" t="str">
        <f t="shared" si="472"/>
        <v/>
      </c>
      <c r="U1715" s="32">
        <f t="shared" si="475"/>
        <v>1</v>
      </c>
      <c r="V1715" s="32" t="str">
        <f t="shared" si="476"/>
        <v/>
      </c>
      <c r="W1715" s="41">
        <f t="shared" si="473"/>
        <v>3.0284894640694677</v>
      </c>
      <c r="X1715" s="6">
        <f t="shared" si="474"/>
        <v>239.25066766148794</v>
      </c>
      <c r="Y1715" s="7">
        <f t="shared" si="477"/>
        <v>105</v>
      </c>
      <c r="AA1715" s="7">
        <f t="shared" si="478"/>
        <v>1</v>
      </c>
      <c r="AB1715" s="7">
        <f t="shared" si="479"/>
        <v>79</v>
      </c>
      <c r="AC1715" s="7">
        <f t="shared" si="480"/>
        <v>0</v>
      </c>
      <c r="AD1715" s="7" t="str">
        <f t="shared" si="481"/>
        <v/>
      </c>
      <c r="AE1715" s="6">
        <f t="shared" si="482"/>
        <v>0</v>
      </c>
      <c r="AF1715" s="69">
        <f t="shared" si="483"/>
        <v>3.0284894640694677</v>
      </c>
      <c r="AG1715" s="6">
        <f t="shared" si="484"/>
        <v>0</v>
      </c>
      <c r="AH1715" s="6">
        <f t="shared" si="485"/>
        <v>604</v>
      </c>
    </row>
    <row r="1716" spans="8:34" x14ac:dyDescent="0.25">
      <c r="H1716" s="7">
        <v>1723</v>
      </c>
      <c r="I1716" s="7" t="s">
        <v>10</v>
      </c>
      <c r="J1716" s="8">
        <v>38122</v>
      </c>
      <c r="K1716" s="12" t="s">
        <v>18</v>
      </c>
      <c r="L1716" s="9">
        <v>-7</v>
      </c>
      <c r="M1716" s="10">
        <v>-19.159862376296054</v>
      </c>
      <c r="N1716" s="7" t="s">
        <v>21</v>
      </c>
      <c r="P1716" s="29" t="str">
        <f t="shared" si="468"/>
        <v/>
      </c>
      <c r="Q1716" s="29">
        <f t="shared" si="469"/>
        <v>1</v>
      </c>
      <c r="R1716" s="29" t="str">
        <f t="shared" si="470"/>
        <v/>
      </c>
      <c r="S1716" s="29" t="str">
        <f t="shared" si="471"/>
        <v/>
      </c>
      <c r="T1716" s="32" t="str">
        <f t="shared" si="472"/>
        <v/>
      </c>
      <c r="U1716" s="32" t="str">
        <f t="shared" si="475"/>
        <v/>
      </c>
      <c r="V1716" s="32" t="str">
        <f t="shared" si="476"/>
        <v/>
      </c>
      <c r="W1716" s="41" t="str">
        <f t="shared" si="473"/>
        <v/>
      </c>
      <c r="X1716" s="6">
        <f t="shared" si="474"/>
        <v>0</v>
      </c>
      <c r="Y1716" s="7">
        <f t="shared" si="477"/>
        <v>567</v>
      </c>
      <c r="AA1716" s="7">
        <f t="shared" si="478"/>
        <v>0</v>
      </c>
      <c r="AB1716" s="7" t="str">
        <f t="shared" si="479"/>
        <v/>
      </c>
      <c r="AC1716" s="7">
        <f t="shared" si="480"/>
        <v>0</v>
      </c>
      <c r="AD1716" s="7" t="str">
        <f t="shared" si="481"/>
        <v/>
      </c>
      <c r="AE1716" s="6">
        <f t="shared" si="482"/>
        <v>-7</v>
      </c>
      <c r="AF1716" s="69" t="str">
        <f t="shared" si="483"/>
        <v/>
      </c>
      <c r="AG1716" s="6">
        <f t="shared" si="484"/>
        <v>0</v>
      </c>
      <c r="AH1716" s="6">
        <f t="shared" si="485"/>
        <v>604</v>
      </c>
    </row>
    <row r="1717" spans="8:34" x14ac:dyDescent="0.25">
      <c r="H1717" s="7">
        <v>1724</v>
      </c>
      <c r="I1717" s="7" t="s">
        <v>10</v>
      </c>
      <c r="J1717" s="8">
        <v>38496</v>
      </c>
      <c r="K1717" s="12" t="s">
        <v>20</v>
      </c>
      <c r="L1717" s="9">
        <v>72</v>
      </c>
      <c r="M1717" s="10">
        <v>218.05969697818949</v>
      </c>
      <c r="N1717" s="7" t="s">
        <v>24</v>
      </c>
      <c r="P1717" s="29" t="str">
        <f t="shared" si="468"/>
        <v/>
      </c>
      <c r="Q1717" s="29" t="str">
        <f t="shared" si="469"/>
        <v/>
      </c>
      <c r="R1717" s="29" t="str">
        <f t="shared" si="470"/>
        <v/>
      </c>
      <c r="S1717" s="29" t="str">
        <f t="shared" si="471"/>
        <v/>
      </c>
      <c r="T1717" s="32" t="str">
        <f t="shared" si="472"/>
        <v/>
      </c>
      <c r="U1717" s="32">
        <f t="shared" si="475"/>
        <v>1</v>
      </c>
      <c r="V1717" s="32" t="str">
        <f t="shared" si="476"/>
        <v/>
      </c>
      <c r="W1717" s="41">
        <f t="shared" si="473"/>
        <v>3.0286069024748539</v>
      </c>
      <c r="X1717" s="6">
        <f t="shared" si="474"/>
        <v>218.05969697818949</v>
      </c>
      <c r="Y1717" s="7">
        <f t="shared" si="477"/>
        <v>144</v>
      </c>
      <c r="AA1717" s="7">
        <f t="shared" si="478"/>
        <v>0</v>
      </c>
      <c r="AB1717" s="7" t="str">
        <f t="shared" si="479"/>
        <v/>
      </c>
      <c r="AC1717" s="7">
        <f t="shared" si="480"/>
        <v>1</v>
      </c>
      <c r="AD1717" s="7">
        <f t="shared" si="481"/>
        <v>72</v>
      </c>
      <c r="AE1717" s="6">
        <f t="shared" si="482"/>
        <v>0</v>
      </c>
      <c r="AF1717" s="69">
        <f t="shared" si="483"/>
        <v>3.0286069024748539</v>
      </c>
      <c r="AG1717" s="6">
        <f t="shared" si="484"/>
        <v>0</v>
      </c>
      <c r="AH1717" s="6">
        <f t="shared" si="485"/>
        <v>604</v>
      </c>
    </row>
    <row r="1718" spans="8:34" x14ac:dyDescent="0.25">
      <c r="H1718" s="7">
        <v>1725</v>
      </c>
      <c r="I1718" s="7" t="s">
        <v>11</v>
      </c>
      <c r="J1718" s="8">
        <v>38562</v>
      </c>
      <c r="K1718" s="12" t="s">
        <v>16</v>
      </c>
      <c r="L1718" s="9">
        <v>53</v>
      </c>
      <c r="M1718" s="10">
        <v>160.76900841046421</v>
      </c>
      <c r="N1718" s="7" t="s">
        <v>23</v>
      </c>
      <c r="P1718" s="29" t="str">
        <f t="shared" si="468"/>
        <v/>
      </c>
      <c r="Q1718" s="29" t="str">
        <f t="shared" si="469"/>
        <v/>
      </c>
      <c r="R1718" s="29" t="str">
        <f t="shared" si="470"/>
        <v/>
      </c>
      <c r="S1718" s="29" t="str">
        <f t="shared" si="471"/>
        <v/>
      </c>
      <c r="T1718" s="32" t="str">
        <f t="shared" si="472"/>
        <v/>
      </c>
      <c r="U1718" s="32">
        <f t="shared" si="475"/>
        <v>1</v>
      </c>
      <c r="V1718" s="32" t="str">
        <f t="shared" si="476"/>
        <v/>
      </c>
      <c r="W1718" s="41">
        <f t="shared" si="473"/>
        <v>3.03337751717857</v>
      </c>
      <c r="X1718" s="6">
        <f t="shared" si="474"/>
        <v>160.76900841046421</v>
      </c>
      <c r="Y1718" s="7">
        <f t="shared" si="477"/>
        <v>239</v>
      </c>
      <c r="AA1718" s="7">
        <f t="shared" si="478"/>
        <v>1</v>
      </c>
      <c r="AB1718" s="7">
        <f t="shared" si="479"/>
        <v>53</v>
      </c>
      <c r="AC1718" s="7">
        <f t="shared" si="480"/>
        <v>0</v>
      </c>
      <c r="AD1718" s="7" t="str">
        <f t="shared" si="481"/>
        <v/>
      </c>
      <c r="AE1718" s="6">
        <f t="shared" si="482"/>
        <v>0</v>
      </c>
      <c r="AF1718" s="69">
        <f t="shared" si="483"/>
        <v>3.03337751717857</v>
      </c>
      <c r="AG1718" s="6">
        <f t="shared" si="484"/>
        <v>0</v>
      </c>
      <c r="AH1718" s="6">
        <f t="shared" si="485"/>
        <v>604</v>
      </c>
    </row>
    <row r="1719" spans="8:34" x14ac:dyDescent="0.25">
      <c r="H1719" s="7">
        <v>1726</v>
      </c>
      <c r="I1719" s="7" t="s">
        <v>13</v>
      </c>
      <c r="J1719" s="8">
        <v>38903</v>
      </c>
      <c r="K1719" s="12" t="s">
        <v>16</v>
      </c>
      <c r="L1719" s="9">
        <v>35</v>
      </c>
      <c r="M1719" s="10">
        <v>107.40939275823844</v>
      </c>
      <c r="N1719" s="7" t="s">
        <v>24</v>
      </c>
      <c r="P1719" s="29" t="str">
        <f t="shared" si="468"/>
        <v/>
      </c>
      <c r="Q1719" s="29" t="str">
        <f t="shared" si="469"/>
        <v/>
      </c>
      <c r="R1719" s="29" t="str">
        <f t="shared" si="470"/>
        <v/>
      </c>
      <c r="S1719" s="29" t="str">
        <f t="shared" si="471"/>
        <v/>
      </c>
      <c r="T1719" s="32" t="str">
        <f t="shared" si="472"/>
        <v/>
      </c>
      <c r="U1719" s="32" t="str">
        <f t="shared" si="475"/>
        <v/>
      </c>
      <c r="V1719" s="32">
        <f t="shared" si="476"/>
        <v>1</v>
      </c>
      <c r="W1719" s="41">
        <f t="shared" si="473"/>
        <v>3.0688397930925269</v>
      </c>
      <c r="X1719" s="6">
        <f t="shared" si="474"/>
        <v>0</v>
      </c>
      <c r="Y1719" s="7">
        <f t="shared" si="477"/>
        <v>567</v>
      </c>
      <c r="AA1719" s="7">
        <f t="shared" si="478"/>
        <v>0</v>
      </c>
      <c r="AB1719" s="7" t="str">
        <f t="shared" si="479"/>
        <v/>
      </c>
      <c r="AC1719" s="7">
        <f t="shared" si="480"/>
        <v>0</v>
      </c>
      <c r="AD1719" s="7" t="str">
        <f t="shared" si="481"/>
        <v/>
      </c>
      <c r="AE1719" s="6">
        <f t="shared" si="482"/>
        <v>0</v>
      </c>
      <c r="AF1719" s="69">
        <f t="shared" si="483"/>
        <v>3.0688397930925269</v>
      </c>
      <c r="AG1719" s="6">
        <f t="shared" si="484"/>
        <v>0</v>
      </c>
      <c r="AH1719" s="6">
        <f t="shared" si="485"/>
        <v>604</v>
      </c>
    </row>
    <row r="1720" spans="8:34" x14ac:dyDescent="0.25">
      <c r="H1720" s="7">
        <v>1727</v>
      </c>
      <c r="I1720" s="7" t="s">
        <v>9</v>
      </c>
      <c r="J1720" s="8">
        <v>39024</v>
      </c>
      <c r="K1720" s="12" t="s">
        <v>17</v>
      </c>
      <c r="L1720" s="9">
        <v>39</v>
      </c>
      <c r="M1720" s="10">
        <v>118.67053890819109</v>
      </c>
      <c r="N1720" s="7" t="s">
        <v>22</v>
      </c>
      <c r="P1720" s="29" t="str">
        <f t="shared" si="468"/>
        <v/>
      </c>
      <c r="Q1720" s="29" t="str">
        <f t="shared" si="469"/>
        <v/>
      </c>
      <c r="R1720" s="29" t="str">
        <f t="shared" si="470"/>
        <v/>
      </c>
      <c r="S1720" s="29" t="str">
        <f t="shared" si="471"/>
        <v/>
      </c>
      <c r="T1720" s="32" t="str">
        <f t="shared" si="472"/>
        <v/>
      </c>
      <c r="U1720" s="32" t="str">
        <f t="shared" si="475"/>
        <v/>
      </c>
      <c r="V1720" s="32">
        <f t="shared" si="476"/>
        <v>1</v>
      </c>
      <c r="W1720" s="41">
        <f t="shared" si="473"/>
        <v>3.0428343309792587</v>
      </c>
      <c r="X1720" s="6">
        <f t="shared" si="474"/>
        <v>0</v>
      </c>
      <c r="Y1720" s="7">
        <f t="shared" si="477"/>
        <v>567</v>
      </c>
      <c r="AA1720" s="7">
        <f t="shared" si="478"/>
        <v>0</v>
      </c>
      <c r="AB1720" s="7" t="str">
        <f t="shared" si="479"/>
        <v/>
      </c>
      <c r="AC1720" s="7">
        <f t="shared" si="480"/>
        <v>0</v>
      </c>
      <c r="AD1720" s="7" t="str">
        <f t="shared" si="481"/>
        <v/>
      </c>
      <c r="AE1720" s="6">
        <f t="shared" si="482"/>
        <v>0</v>
      </c>
      <c r="AF1720" s="69">
        <f t="shared" si="483"/>
        <v>3.0428343309792587</v>
      </c>
      <c r="AG1720" s="6">
        <f t="shared" si="484"/>
        <v>0</v>
      </c>
      <c r="AH1720" s="6">
        <f t="shared" si="485"/>
        <v>604</v>
      </c>
    </row>
    <row r="1721" spans="8:34" x14ac:dyDescent="0.25">
      <c r="H1721" s="7">
        <v>1728</v>
      </c>
      <c r="I1721" s="7" t="s">
        <v>11</v>
      </c>
      <c r="J1721" s="8">
        <v>38177</v>
      </c>
      <c r="K1721" s="12" t="s">
        <v>20</v>
      </c>
      <c r="L1721" s="9">
        <v>-7</v>
      </c>
      <c r="M1721" s="10">
        <v>-19.354078968263273</v>
      </c>
      <c r="N1721" s="7" t="s">
        <v>21</v>
      </c>
      <c r="P1721" s="29" t="str">
        <f t="shared" si="468"/>
        <v/>
      </c>
      <c r="Q1721" s="29" t="str">
        <f t="shared" si="469"/>
        <v/>
      </c>
      <c r="R1721" s="29">
        <f t="shared" si="470"/>
        <v>1</v>
      </c>
      <c r="S1721" s="29" t="str">
        <f t="shared" si="471"/>
        <v/>
      </c>
      <c r="T1721" s="32" t="str">
        <f t="shared" si="472"/>
        <v/>
      </c>
      <c r="U1721" s="32" t="str">
        <f t="shared" si="475"/>
        <v/>
      </c>
      <c r="V1721" s="32" t="str">
        <f t="shared" si="476"/>
        <v/>
      </c>
      <c r="W1721" s="41" t="str">
        <f t="shared" si="473"/>
        <v/>
      </c>
      <c r="X1721" s="6">
        <f t="shared" si="474"/>
        <v>0</v>
      </c>
      <c r="Y1721" s="7">
        <f t="shared" si="477"/>
        <v>567</v>
      </c>
      <c r="AA1721" s="7">
        <f t="shared" si="478"/>
        <v>0</v>
      </c>
      <c r="AB1721" s="7" t="str">
        <f t="shared" si="479"/>
        <v/>
      </c>
      <c r="AC1721" s="7">
        <f t="shared" si="480"/>
        <v>0</v>
      </c>
      <c r="AD1721" s="7" t="str">
        <f t="shared" si="481"/>
        <v/>
      </c>
      <c r="AE1721" s="6">
        <f t="shared" si="482"/>
        <v>-7</v>
      </c>
      <c r="AF1721" s="69" t="str">
        <f t="shared" si="483"/>
        <v/>
      </c>
      <c r="AG1721" s="6">
        <f t="shared" si="484"/>
        <v>0</v>
      </c>
      <c r="AH1721" s="6">
        <f t="shared" si="485"/>
        <v>604</v>
      </c>
    </row>
    <row r="1722" spans="8:34" x14ac:dyDescent="0.25">
      <c r="H1722" s="7">
        <v>1729</v>
      </c>
      <c r="I1722" s="7" t="s">
        <v>12</v>
      </c>
      <c r="J1722" s="8">
        <v>38155</v>
      </c>
      <c r="K1722" s="12" t="s">
        <v>16</v>
      </c>
      <c r="L1722" s="9">
        <v>68</v>
      </c>
      <c r="M1722" s="10">
        <v>206.3442384317722</v>
      </c>
      <c r="N1722" s="7" t="s">
        <v>24</v>
      </c>
      <c r="P1722" s="29" t="str">
        <f t="shared" si="468"/>
        <v/>
      </c>
      <c r="Q1722" s="29">
        <f t="shared" si="469"/>
        <v>1</v>
      </c>
      <c r="R1722" s="29" t="str">
        <f t="shared" si="470"/>
        <v/>
      </c>
      <c r="S1722" s="29" t="str">
        <f t="shared" si="471"/>
        <v/>
      </c>
      <c r="T1722" s="32" t="str">
        <f t="shared" si="472"/>
        <v/>
      </c>
      <c r="U1722" s="32" t="str">
        <f t="shared" si="475"/>
        <v/>
      </c>
      <c r="V1722" s="32" t="str">
        <f t="shared" si="476"/>
        <v/>
      </c>
      <c r="W1722" s="41">
        <f t="shared" si="473"/>
        <v>3.0344740945848852</v>
      </c>
      <c r="X1722" s="6">
        <f t="shared" si="474"/>
        <v>0</v>
      </c>
      <c r="Y1722" s="7">
        <f t="shared" si="477"/>
        <v>567</v>
      </c>
      <c r="AA1722" s="7">
        <f t="shared" si="478"/>
        <v>0</v>
      </c>
      <c r="AB1722" s="7" t="str">
        <f t="shared" si="479"/>
        <v/>
      </c>
      <c r="AC1722" s="7">
        <f t="shared" si="480"/>
        <v>0</v>
      </c>
      <c r="AD1722" s="7" t="str">
        <f t="shared" si="481"/>
        <v/>
      </c>
      <c r="AE1722" s="6">
        <f t="shared" si="482"/>
        <v>0</v>
      </c>
      <c r="AF1722" s="69">
        <f t="shared" si="483"/>
        <v>3.0344740945848852</v>
      </c>
      <c r="AG1722" s="6">
        <f t="shared" si="484"/>
        <v>206.3442384317722</v>
      </c>
      <c r="AH1722" s="6">
        <f t="shared" si="485"/>
        <v>162</v>
      </c>
    </row>
    <row r="1723" spans="8:34" x14ac:dyDescent="0.25">
      <c r="H1723" s="7">
        <v>1730</v>
      </c>
      <c r="I1723" s="7" t="s">
        <v>13</v>
      </c>
      <c r="J1723" s="8">
        <v>38287</v>
      </c>
      <c r="K1723" s="12" t="s">
        <v>16</v>
      </c>
      <c r="L1723" s="9">
        <v>86</v>
      </c>
      <c r="M1723" s="10">
        <v>260.29001268034375</v>
      </c>
      <c r="N1723" s="7" t="s">
        <v>22</v>
      </c>
      <c r="P1723" s="29" t="str">
        <f t="shared" si="468"/>
        <v/>
      </c>
      <c r="Q1723" s="29" t="str">
        <f t="shared" si="469"/>
        <v/>
      </c>
      <c r="R1723" s="29" t="str">
        <f t="shared" si="470"/>
        <v/>
      </c>
      <c r="S1723" s="29">
        <f t="shared" si="471"/>
        <v>1</v>
      </c>
      <c r="T1723" s="32" t="str">
        <f t="shared" si="472"/>
        <v/>
      </c>
      <c r="U1723" s="32" t="str">
        <f t="shared" si="475"/>
        <v/>
      </c>
      <c r="V1723" s="32" t="str">
        <f t="shared" si="476"/>
        <v/>
      </c>
      <c r="W1723" s="41">
        <f t="shared" si="473"/>
        <v>3.0266280544226016</v>
      </c>
      <c r="X1723" s="6">
        <f t="shared" si="474"/>
        <v>0</v>
      </c>
      <c r="Y1723" s="7">
        <f t="shared" si="477"/>
        <v>567</v>
      </c>
      <c r="AA1723" s="7">
        <f t="shared" si="478"/>
        <v>0</v>
      </c>
      <c r="AB1723" s="7" t="str">
        <f t="shared" si="479"/>
        <v/>
      </c>
      <c r="AC1723" s="7">
        <f t="shared" si="480"/>
        <v>0</v>
      </c>
      <c r="AD1723" s="7" t="str">
        <f t="shared" si="481"/>
        <v/>
      </c>
      <c r="AE1723" s="6">
        <f t="shared" si="482"/>
        <v>0</v>
      </c>
      <c r="AF1723" s="69">
        <f t="shared" si="483"/>
        <v>3.0266280544226016</v>
      </c>
      <c r="AG1723" s="6">
        <f t="shared" si="484"/>
        <v>260.29001268034375</v>
      </c>
      <c r="AH1723" s="6">
        <f t="shared" si="485"/>
        <v>52</v>
      </c>
    </row>
    <row r="1724" spans="8:34" x14ac:dyDescent="0.25">
      <c r="H1724" s="7">
        <v>1731</v>
      </c>
      <c r="I1724" s="7" t="s">
        <v>7</v>
      </c>
      <c r="J1724" s="8">
        <v>38595</v>
      </c>
      <c r="K1724" s="12" t="s">
        <v>19</v>
      </c>
      <c r="L1724" s="9">
        <v>84</v>
      </c>
      <c r="M1724" s="10">
        <v>254.77631099529688</v>
      </c>
      <c r="N1724" s="7" t="s">
        <v>24</v>
      </c>
      <c r="P1724" s="29" t="str">
        <f t="shared" si="468"/>
        <v/>
      </c>
      <c r="Q1724" s="29" t="str">
        <f t="shared" si="469"/>
        <v/>
      </c>
      <c r="R1724" s="29" t="str">
        <f t="shared" si="470"/>
        <v/>
      </c>
      <c r="S1724" s="29" t="str">
        <f t="shared" si="471"/>
        <v/>
      </c>
      <c r="T1724" s="32" t="str">
        <f t="shared" si="472"/>
        <v/>
      </c>
      <c r="U1724" s="32">
        <f t="shared" si="475"/>
        <v>1</v>
      </c>
      <c r="V1724" s="32" t="str">
        <f t="shared" si="476"/>
        <v/>
      </c>
      <c r="W1724" s="41">
        <f t="shared" si="473"/>
        <v>3.0330513213725818</v>
      </c>
      <c r="X1724" s="6">
        <f t="shared" si="474"/>
        <v>254.77631099529688</v>
      </c>
      <c r="Y1724" s="7">
        <f t="shared" si="477"/>
        <v>71</v>
      </c>
      <c r="AA1724" s="7">
        <f t="shared" si="478"/>
        <v>1</v>
      </c>
      <c r="AB1724" s="7">
        <f t="shared" si="479"/>
        <v>84</v>
      </c>
      <c r="AC1724" s="7">
        <f t="shared" si="480"/>
        <v>0</v>
      </c>
      <c r="AD1724" s="7" t="str">
        <f t="shared" si="481"/>
        <v/>
      </c>
      <c r="AE1724" s="6">
        <f t="shared" si="482"/>
        <v>0</v>
      </c>
      <c r="AF1724" s="69">
        <f t="shared" si="483"/>
        <v>3.0330513213725818</v>
      </c>
      <c r="AG1724" s="6">
        <f t="shared" si="484"/>
        <v>0</v>
      </c>
      <c r="AH1724" s="6">
        <f t="shared" si="485"/>
        <v>604</v>
      </c>
    </row>
    <row r="1725" spans="8:34" x14ac:dyDescent="0.25">
      <c r="H1725" s="7">
        <v>1732</v>
      </c>
      <c r="I1725" s="7" t="s">
        <v>12</v>
      </c>
      <c r="J1725" s="8">
        <v>39046</v>
      </c>
      <c r="K1725" s="12" t="s">
        <v>20</v>
      </c>
      <c r="L1725" s="9">
        <v>6</v>
      </c>
      <c r="M1725" s="10">
        <v>19.965040351983745</v>
      </c>
      <c r="N1725" s="7" t="s">
        <v>23</v>
      </c>
      <c r="P1725" s="29" t="str">
        <f t="shared" si="468"/>
        <v/>
      </c>
      <c r="Q1725" s="29" t="str">
        <f t="shared" si="469"/>
        <v/>
      </c>
      <c r="R1725" s="29" t="str">
        <f t="shared" si="470"/>
        <v/>
      </c>
      <c r="S1725" s="29" t="str">
        <f t="shared" si="471"/>
        <v/>
      </c>
      <c r="T1725" s="32" t="str">
        <f t="shared" si="472"/>
        <v/>
      </c>
      <c r="U1725" s="32" t="str">
        <f t="shared" si="475"/>
        <v/>
      </c>
      <c r="V1725" s="32">
        <f t="shared" si="476"/>
        <v>1</v>
      </c>
      <c r="W1725" s="41">
        <f t="shared" si="473"/>
        <v>3.3275067253306241</v>
      </c>
      <c r="X1725" s="6">
        <f t="shared" si="474"/>
        <v>0</v>
      </c>
      <c r="Y1725" s="7">
        <f t="shared" si="477"/>
        <v>567</v>
      </c>
      <c r="AA1725" s="7">
        <f t="shared" si="478"/>
        <v>0</v>
      </c>
      <c r="AB1725" s="7" t="str">
        <f t="shared" si="479"/>
        <v/>
      </c>
      <c r="AC1725" s="7">
        <f t="shared" si="480"/>
        <v>0</v>
      </c>
      <c r="AD1725" s="7" t="str">
        <f t="shared" si="481"/>
        <v/>
      </c>
      <c r="AE1725" s="6">
        <f t="shared" si="482"/>
        <v>0</v>
      </c>
      <c r="AF1725" s="69">
        <f t="shared" si="483"/>
        <v>3.3275067253306241</v>
      </c>
      <c r="AG1725" s="6">
        <f t="shared" si="484"/>
        <v>0</v>
      </c>
      <c r="AH1725" s="6">
        <f t="shared" si="485"/>
        <v>604</v>
      </c>
    </row>
    <row r="1726" spans="8:34" x14ac:dyDescent="0.25">
      <c r="H1726" s="7">
        <v>1733</v>
      </c>
      <c r="I1726" s="7" t="s">
        <v>7</v>
      </c>
      <c r="J1726" s="8">
        <v>38727</v>
      </c>
      <c r="K1726" s="12" t="s">
        <v>19</v>
      </c>
      <c r="L1726" s="9">
        <v>-5</v>
      </c>
      <c r="M1726" s="10">
        <v>-12.772394146444128</v>
      </c>
      <c r="N1726" s="7" t="s">
        <v>21</v>
      </c>
      <c r="P1726" s="29" t="str">
        <f t="shared" si="468"/>
        <v/>
      </c>
      <c r="Q1726" s="29" t="str">
        <f t="shared" si="469"/>
        <v/>
      </c>
      <c r="R1726" s="29" t="str">
        <f t="shared" si="470"/>
        <v/>
      </c>
      <c r="S1726" s="29" t="str">
        <f t="shared" si="471"/>
        <v/>
      </c>
      <c r="T1726" s="32" t="str">
        <f t="shared" si="472"/>
        <v/>
      </c>
      <c r="U1726" s="32" t="str">
        <f t="shared" si="475"/>
        <v/>
      </c>
      <c r="V1726" s="32">
        <f t="shared" si="476"/>
        <v>1</v>
      </c>
      <c r="W1726" s="41" t="str">
        <f t="shared" si="473"/>
        <v/>
      </c>
      <c r="X1726" s="6">
        <f t="shared" si="474"/>
        <v>0</v>
      </c>
      <c r="Y1726" s="7">
        <f t="shared" si="477"/>
        <v>567</v>
      </c>
      <c r="AA1726" s="7">
        <f t="shared" si="478"/>
        <v>0</v>
      </c>
      <c r="AB1726" s="7" t="str">
        <f t="shared" si="479"/>
        <v/>
      </c>
      <c r="AC1726" s="7">
        <f t="shared" si="480"/>
        <v>0</v>
      </c>
      <c r="AD1726" s="7" t="str">
        <f t="shared" si="481"/>
        <v/>
      </c>
      <c r="AE1726" s="6">
        <f t="shared" si="482"/>
        <v>-5</v>
      </c>
      <c r="AF1726" s="69" t="str">
        <f t="shared" si="483"/>
        <v/>
      </c>
      <c r="AG1726" s="6">
        <f t="shared" si="484"/>
        <v>0</v>
      </c>
      <c r="AH1726" s="6">
        <f t="shared" si="485"/>
        <v>604</v>
      </c>
    </row>
    <row r="1727" spans="8:34" x14ac:dyDescent="0.25">
      <c r="H1727" s="7">
        <v>1734</v>
      </c>
      <c r="I1727" s="7" t="s">
        <v>12</v>
      </c>
      <c r="J1727" s="8">
        <v>38815</v>
      </c>
      <c r="K1727" s="12" t="s">
        <v>17</v>
      </c>
      <c r="L1727" s="9">
        <v>22</v>
      </c>
      <c r="M1727" s="10">
        <v>67.936736058497871</v>
      </c>
      <c r="N1727" s="7" t="s">
        <v>22</v>
      </c>
      <c r="P1727" s="29" t="str">
        <f t="shared" si="468"/>
        <v/>
      </c>
      <c r="Q1727" s="29" t="str">
        <f t="shared" si="469"/>
        <v/>
      </c>
      <c r="R1727" s="29" t="str">
        <f t="shared" si="470"/>
        <v/>
      </c>
      <c r="S1727" s="29" t="str">
        <f t="shared" si="471"/>
        <v/>
      </c>
      <c r="T1727" s="32" t="str">
        <f t="shared" si="472"/>
        <v/>
      </c>
      <c r="U1727" s="32" t="str">
        <f t="shared" si="475"/>
        <v/>
      </c>
      <c r="V1727" s="32">
        <f t="shared" si="476"/>
        <v>1</v>
      </c>
      <c r="W1727" s="41">
        <f t="shared" si="473"/>
        <v>3.0880334572044488</v>
      </c>
      <c r="X1727" s="6">
        <f t="shared" si="474"/>
        <v>0</v>
      </c>
      <c r="Y1727" s="7">
        <f t="shared" si="477"/>
        <v>567</v>
      </c>
      <c r="AA1727" s="7">
        <f t="shared" si="478"/>
        <v>0</v>
      </c>
      <c r="AB1727" s="7" t="str">
        <f t="shared" si="479"/>
        <v/>
      </c>
      <c r="AC1727" s="7">
        <f t="shared" si="480"/>
        <v>0</v>
      </c>
      <c r="AD1727" s="7" t="str">
        <f t="shared" si="481"/>
        <v/>
      </c>
      <c r="AE1727" s="6">
        <f t="shared" si="482"/>
        <v>0</v>
      </c>
      <c r="AF1727" s="69">
        <f t="shared" si="483"/>
        <v>3.0880334572044488</v>
      </c>
      <c r="AG1727" s="6">
        <f t="shared" si="484"/>
        <v>0</v>
      </c>
      <c r="AH1727" s="6">
        <f t="shared" si="485"/>
        <v>604</v>
      </c>
    </row>
    <row r="1728" spans="8:34" x14ac:dyDescent="0.25">
      <c r="H1728" s="7">
        <v>1735</v>
      </c>
      <c r="I1728" s="7" t="s">
        <v>7</v>
      </c>
      <c r="J1728" s="8">
        <v>38694</v>
      </c>
      <c r="K1728" s="12" t="s">
        <v>16</v>
      </c>
      <c r="L1728" s="9">
        <v>29</v>
      </c>
      <c r="M1728" s="10">
        <v>89.114636106343568</v>
      </c>
      <c r="N1728" s="7" t="s">
        <v>24</v>
      </c>
      <c r="P1728" s="29" t="str">
        <f t="shared" si="468"/>
        <v/>
      </c>
      <c r="Q1728" s="29" t="str">
        <f t="shared" si="469"/>
        <v/>
      </c>
      <c r="R1728" s="29" t="str">
        <f t="shared" si="470"/>
        <v/>
      </c>
      <c r="S1728" s="29" t="str">
        <f t="shared" si="471"/>
        <v/>
      </c>
      <c r="T1728" s="32">
        <f t="shared" si="472"/>
        <v>1</v>
      </c>
      <c r="U1728" s="32">
        <f t="shared" si="475"/>
        <v>1</v>
      </c>
      <c r="V1728" s="32" t="str">
        <f t="shared" si="476"/>
        <v/>
      </c>
      <c r="W1728" s="41">
        <f t="shared" si="473"/>
        <v>3.0729184864256402</v>
      </c>
      <c r="X1728" s="6">
        <f t="shared" si="474"/>
        <v>89.114636106343568</v>
      </c>
      <c r="Y1728" s="7">
        <f t="shared" si="477"/>
        <v>379</v>
      </c>
      <c r="AA1728" s="7">
        <f t="shared" si="478"/>
        <v>0</v>
      </c>
      <c r="AB1728" s="7" t="str">
        <f t="shared" si="479"/>
        <v/>
      </c>
      <c r="AC1728" s="7">
        <f t="shared" si="480"/>
        <v>1</v>
      </c>
      <c r="AD1728" s="7">
        <f t="shared" si="481"/>
        <v>29</v>
      </c>
      <c r="AE1728" s="6">
        <f t="shared" si="482"/>
        <v>0</v>
      </c>
      <c r="AF1728" s="69">
        <f t="shared" si="483"/>
        <v>3.0729184864256402</v>
      </c>
      <c r="AG1728" s="6">
        <f t="shared" si="484"/>
        <v>0</v>
      </c>
      <c r="AH1728" s="6">
        <f t="shared" si="485"/>
        <v>604</v>
      </c>
    </row>
    <row r="1729" spans="8:34" x14ac:dyDescent="0.25">
      <c r="H1729" s="7">
        <v>1736</v>
      </c>
      <c r="I1729" s="7" t="s">
        <v>15</v>
      </c>
      <c r="J1729" s="8">
        <v>38298</v>
      </c>
      <c r="K1729" s="12" t="s">
        <v>17</v>
      </c>
      <c r="L1729" s="9">
        <v>3</v>
      </c>
      <c r="M1729" s="10">
        <v>10.889833668586128</v>
      </c>
      <c r="N1729" s="7" t="s">
        <v>21</v>
      </c>
      <c r="P1729" s="29" t="str">
        <f t="shared" si="468"/>
        <v/>
      </c>
      <c r="Q1729" s="29" t="str">
        <f t="shared" si="469"/>
        <v/>
      </c>
      <c r="R1729" s="29" t="str">
        <f t="shared" si="470"/>
        <v/>
      </c>
      <c r="S1729" s="29">
        <f t="shared" si="471"/>
        <v>1</v>
      </c>
      <c r="T1729" s="32" t="str">
        <f t="shared" si="472"/>
        <v/>
      </c>
      <c r="U1729" s="32" t="str">
        <f t="shared" si="475"/>
        <v/>
      </c>
      <c r="V1729" s="32" t="str">
        <f t="shared" si="476"/>
        <v/>
      </c>
      <c r="W1729" s="41">
        <f t="shared" si="473"/>
        <v>3.629944556195376</v>
      </c>
      <c r="X1729" s="6">
        <f t="shared" si="474"/>
        <v>0</v>
      </c>
      <c r="Y1729" s="7">
        <f t="shared" si="477"/>
        <v>567</v>
      </c>
      <c r="AA1729" s="7">
        <f t="shared" si="478"/>
        <v>0</v>
      </c>
      <c r="AB1729" s="7" t="str">
        <f t="shared" si="479"/>
        <v/>
      </c>
      <c r="AC1729" s="7">
        <f t="shared" si="480"/>
        <v>0</v>
      </c>
      <c r="AD1729" s="7" t="str">
        <f t="shared" si="481"/>
        <v/>
      </c>
      <c r="AE1729" s="6">
        <f t="shared" si="482"/>
        <v>0</v>
      </c>
      <c r="AF1729" s="69">
        <f t="shared" si="483"/>
        <v>3.629944556195376</v>
      </c>
      <c r="AG1729" s="6">
        <f t="shared" si="484"/>
        <v>10.889833668586128</v>
      </c>
      <c r="AH1729" s="6">
        <f t="shared" si="485"/>
        <v>584</v>
      </c>
    </row>
    <row r="1730" spans="8:34" x14ac:dyDescent="0.25">
      <c r="H1730" s="7">
        <v>1737</v>
      </c>
      <c r="I1730" s="7" t="s">
        <v>9</v>
      </c>
      <c r="J1730" s="8">
        <v>38804</v>
      </c>
      <c r="K1730" s="12" t="s">
        <v>16</v>
      </c>
      <c r="L1730" s="9">
        <v>88</v>
      </c>
      <c r="M1730" s="10">
        <v>265.52523967441095</v>
      </c>
      <c r="N1730" s="7" t="s">
        <v>24</v>
      </c>
      <c r="P1730" s="29" t="str">
        <f t="shared" si="468"/>
        <v/>
      </c>
      <c r="Q1730" s="29" t="str">
        <f t="shared" si="469"/>
        <v/>
      </c>
      <c r="R1730" s="29" t="str">
        <f t="shared" si="470"/>
        <v/>
      </c>
      <c r="S1730" s="29" t="str">
        <f t="shared" si="471"/>
        <v/>
      </c>
      <c r="T1730" s="32" t="str">
        <f t="shared" si="472"/>
        <v/>
      </c>
      <c r="U1730" s="32" t="str">
        <f t="shared" si="475"/>
        <v/>
      </c>
      <c r="V1730" s="32">
        <f t="shared" si="476"/>
        <v>1</v>
      </c>
      <c r="W1730" s="41">
        <f t="shared" si="473"/>
        <v>3.0173322690273974</v>
      </c>
      <c r="X1730" s="6">
        <f t="shared" si="474"/>
        <v>0</v>
      </c>
      <c r="Y1730" s="7">
        <f t="shared" si="477"/>
        <v>567</v>
      </c>
      <c r="AA1730" s="7">
        <f t="shared" si="478"/>
        <v>0</v>
      </c>
      <c r="AB1730" s="7" t="str">
        <f t="shared" si="479"/>
        <v/>
      </c>
      <c r="AC1730" s="7">
        <f t="shared" si="480"/>
        <v>0</v>
      </c>
      <c r="AD1730" s="7" t="str">
        <f t="shared" si="481"/>
        <v/>
      </c>
      <c r="AE1730" s="6">
        <f t="shared" si="482"/>
        <v>0</v>
      </c>
      <c r="AF1730" s="69">
        <f t="shared" si="483"/>
        <v>3.0173322690273974</v>
      </c>
      <c r="AG1730" s="6">
        <f t="shared" si="484"/>
        <v>0</v>
      </c>
      <c r="AH1730" s="6">
        <f t="shared" si="485"/>
        <v>604</v>
      </c>
    </row>
    <row r="1731" spans="8:34" x14ac:dyDescent="0.25">
      <c r="H1731" s="7">
        <v>1738</v>
      </c>
      <c r="I1731" s="7" t="s">
        <v>13</v>
      </c>
      <c r="J1731" s="8">
        <v>38408</v>
      </c>
      <c r="K1731" s="12" t="s">
        <v>16</v>
      </c>
      <c r="L1731" s="9">
        <v>41</v>
      </c>
      <c r="M1731" s="10">
        <v>124.98924123949018</v>
      </c>
      <c r="N1731" s="7" t="s">
        <v>22</v>
      </c>
      <c r="P1731" s="29" t="str">
        <f t="shared" ref="P1731:P1794" si="486">IF(AND((MONTH(J1731))&lt;4,YEAR(J1731)=2004),1,"")</f>
        <v/>
      </c>
      <c r="Q1731" s="29" t="str">
        <f t="shared" ref="Q1731:Q1794" si="487">IF(AND(3&lt;(MONTH(J1731)),(MONTH(J1731)&lt;7),YEAR(J1731)=2004),1,"")</f>
        <v/>
      </c>
      <c r="R1731" s="29" t="str">
        <f t="shared" ref="R1731:R1794" si="488">IF(AND(6&lt;(MONTH(J1731)),(MONTH(J1731)&lt;10),YEAR(J1731)=2004),1,"")</f>
        <v/>
      </c>
      <c r="S1731" s="29" t="str">
        <f t="shared" ref="S1731:S1794" si="489">IF(AND(9&lt;(MONTH(J1731)),(MONTH(J1731)&lt;13),YEAR(J1731)=2004),1,"")</f>
        <v/>
      </c>
      <c r="T1731" s="32" t="str">
        <f t="shared" ref="T1731:T1794" si="490">IF(AND((9&lt;MONTH(J1731)),YEAR(J1731)=2005),1,"")</f>
        <v/>
      </c>
      <c r="U1731" s="32">
        <f t="shared" si="475"/>
        <v>1</v>
      </c>
      <c r="V1731" s="32" t="str">
        <f t="shared" si="476"/>
        <v/>
      </c>
      <c r="W1731" s="41">
        <f t="shared" ref="W1731:W1794" si="491">IF(L1731&gt;0,M1731/L1731,"")</f>
        <v>3.0485180790119557</v>
      </c>
      <c r="X1731" s="6">
        <f t="shared" ref="X1731:X1794" si="492">IF(U1731=1,M1731,0)</f>
        <v>124.98924123949018</v>
      </c>
      <c r="Y1731" s="7">
        <f t="shared" si="477"/>
        <v>310</v>
      </c>
      <c r="AA1731" s="7">
        <f t="shared" si="478"/>
        <v>1</v>
      </c>
      <c r="AB1731" s="7">
        <f t="shared" si="479"/>
        <v>41</v>
      </c>
      <c r="AC1731" s="7">
        <f t="shared" si="480"/>
        <v>0</v>
      </c>
      <c r="AD1731" s="7" t="str">
        <f t="shared" si="481"/>
        <v/>
      </c>
      <c r="AE1731" s="6">
        <f t="shared" si="482"/>
        <v>0</v>
      </c>
      <c r="AF1731" s="69">
        <f t="shared" si="483"/>
        <v>3.0485180790119557</v>
      </c>
      <c r="AG1731" s="6">
        <f t="shared" si="484"/>
        <v>0</v>
      </c>
      <c r="AH1731" s="6">
        <f t="shared" si="485"/>
        <v>604</v>
      </c>
    </row>
    <row r="1732" spans="8:34" x14ac:dyDescent="0.25">
      <c r="H1732" s="7">
        <v>1739</v>
      </c>
      <c r="I1732" s="7" t="s">
        <v>14</v>
      </c>
      <c r="J1732" s="8">
        <v>38397</v>
      </c>
      <c r="K1732" s="12" t="s">
        <v>18</v>
      </c>
      <c r="L1732" s="9">
        <v>59</v>
      </c>
      <c r="M1732" s="10">
        <v>178.83628019769552</v>
      </c>
      <c r="N1732" s="7" t="s">
        <v>24</v>
      </c>
      <c r="P1732" s="29" t="str">
        <f t="shared" si="486"/>
        <v/>
      </c>
      <c r="Q1732" s="29" t="str">
        <f t="shared" si="487"/>
        <v/>
      </c>
      <c r="R1732" s="29" t="str">
        <f t="shared" si="488"/>
        <v/>
      </c>
      <c r="S1732" s="29" t="str">
        <f t="shared" si="489"/>
        <v/>
      </c>
      <c r="T1732" s="32" t="str">
        <f t="shared" si="490"/>
        <v/>
      </c>
      <c r="U1732" s="32">
        <f t="shared" ref="U1732:U1795" si="493">IF(YEAR(J1732)=2005,1,"")</f>
        <v>1</v>
      </c>
      <c r="V1732" s="32" t="str">
        <f t="shared" ref="V1732:V1795" si="494">IF(YEAR(J1732)=2006,1,"")</f>
        <v/>
      </c>
      <c r="W1732" s="41">
        <f t="shared" si="491"/>
        <v>3.03112339318128</v>
      </c>
      <c r="X1732" s="6">
        <f t="shared" si="492"/>
        <v>178.83628019769552</v>
      </c>
      <c r="Y1732" s="7">
        <f t="shared" ref="Y1732:Y1795" si="495">RANK(X1732,$X$3:$X$1893)</f>
        <v>208</v>
      </c>
      <c r="AA1732" s="7">
        <f t="shared" ref="AA1732:AA1795" si="496">IF(AND(OR((MONTH(J1732))=1,(MONTH(J1732))=2,(MONTH(J1732))=3,(MONTH(J1732))=7,(MONTH(J1732))=8,(MONTH(J1732))=9),YEAR(J1732)=2005),1,0)</f>
        <v>1</v>
      </c>
      <c r="AB1732" s="7">
        <f t="shared" ref="AB1732:AB1795" si="497">IF(AA1732=1,L1732,"")</f>
        <v>59</v>
      </c>
      <c r="AC1732" s="7">
        <f t="shared" ref="AC1732:AC1795" si="498">IF(AND(OR((MONTH(J1732))=4,(MONTH(J1732))=5,(MONTH(J1732))=6,(MONTH(J1732))=10,(MONTH(J1732))=11,(MONTH(J1732))=12),YEAR(J1732)=2005),1,0)</f>
        <v>0</v>
      </c>
      <c r="AD1732" s="7" t="str">
        <f t="shared" ref="AD1732:AD1795" si="499">IF(AC1732=1,L1732,"")</f>
        <v/>
      </c>
      <c r="AE1732" s="6">
        <f t="shared" ref="AE1732:AE1795" si="500">IF(L1732&lt;0,L1732,0)</f>
        <v>0</v>
      </c>
      <c r="AF1732" s="69">
        <f t="shared" ref="AF1732:AF1795" si="501">IF(L1732&gt;0,W1732,"")</f>
        <v>3.03112339318128</v>
      </c>
      <c r="AG1732" s="6">
        <f t="shared" ref="AG1732:AG1795" si="502">IF(AND((M1732&gt;0),(YEAR(J1732)=2004)),M1732,0)</f>
        <v>0</v>
      </c>
      <c r="AH1732" s="6">
        <f t="shared" ref="AH1732:AH1795" si="503">RANK(AG1732,$AG$3:$AG$1893)</f>
        <v>604</v>
      </c>
    </row>
    <row r="1733" spans="8:34" x14ac:dyDescent="0.25">
      <c r="H1733" s="7">
        <v>1740</v>
      </c>
      <c r="I1733" s="7" t="s">
        <v>14</v>
      </c>
      <c r="J1733" s="8">
        <v>38265</v>
      </c>
      <c r="K1733" s="12" t="s">
        <v>20</v>
      </c>
      <c r="L1733" s="9">
        <v>29</v>
      </c>
      <c r="M1733" s="10">
        <v>89.261658607480399</v>
      </c>
      <c r="N1733" s="7" t="s">
        <v>21</v>
      </c>
      <c r="P1733" s="29" t="str">
        <f t="shared" si="486"/>
        <v/>
      </c>
      <c r="Q1733" s="29" t="str">
        <f t="shared" si="487"/>
        <v/>
      </c>
      <c r="R1733" s="29" t="str">
        <f t="shared" si="488"/>
        <v/>
      </c>
      <c r="S1733" s="29">
        <f t="shared" si="489"/>
        <v>1</v>
      </c>
      <c r="T1733" s="32" t="str">
        <f t="shared" si="490"/>
        <v/>
      </c>
      <c r="U1733" s="32" t="str">
        <f t="shared" si="493"/>
        <v/>
      </c>
      <c r="V1733" s="32" t="str">
        <f t="shared" si="494"/>
        <v/>
      </c>
      <c r="W1733" s="41">
        <f t="shared" si="491"/>
        <v>3.0779882278441515</v>
      </c>
      <c r="X1733" s="6">
        <f t="shared" si="492"/>
        <v>0</v>
      </c>
      <c r="Y1733" s="7">
        <f t="shared" si="495"/>
        <v>567</v>
      </c>
      <c r="AA1733" s="7">
        <f t="shared" si="496"/>
        <v>0</v>
      </c>
      <c r="AB1733" s="7" t="str">
        <f t="shared" si="497"/>
        <v/>
      </c>
      <c r="AC1733" s="7">
        <f t="shared" si="498"/>
        <v>0</v>
      </c>
      <c r="AD1733" s="7" t="str">
        <f t="shared" si="499"/>
        <v/>
      </c>
      <c r="AE1733" s="6">
        <f t="shared" si="500"/>
        <v>0</v>
      </c>
      <c r="AF1733" s="69">
        <f t="shared" si="501"/>
        <v>3.0779882278441515</v>
      </c>
      <c r="AG1733" s="6">
        <f t="shared" si="502"/>
        <v>89.261658607480399</v>
      </c>
      <c r="AH1733" s="6">
        <f t="shared" si="503"/>
        <v>403</v>
      </c>
    </row>
    <row r="1734" spans="8:34" x14ac:dyDescent="0.25">
      <c r="H1734" s="7">
        <v>1741</v>
      </c>
      <c r="I1734" s="7" t="s">
        <v>9</v>
      </c>
      <c r="J1734" s="8">
        <v>38034</v>
      </c>
      <c r="K1734" s="12" t="s">
        <v>20</v>
      </c>
      <c r="L1734" s="9">
        <v>43</v>
      </c>
      <c r="M1734" s="10">
        <v>130.29965520792396</v>
      </c>
      <c r="N1734" s="7" t="s">
        <v>23</v>
      </c>
      <c r="P1734" s="29">
        <f t="shared" si="486"/>
        <v>1</v>
      </c>
      <c r="Q1734" s="29" t="str">
        <f t="shared" si="487"/>
        <v/>
      </c>
      <c r="R1734" s="29" t="str">
        <f t="shared" si="488"/>
        <v/>
      </c>
      <c r="S1734" s="29" t="str">
        <f t="shared" si="489"/>
        <v/>
      </c>
      <c r="T1734" s="32" t="str">
        <f t="shared" si="490"/>
        <v/>
      </c>
      <c r="U1734" s="32" t="str">
        <f t="shared" si="493"/>
        <v/>
      </c>
      <c r="V1734" s="32" t="str">
        <f t="shared" si="494"/>
        <v/>
      </c>
      <c r="W1734" s="41">
        <f t="shared" si="491"/>
        <v>3.0302245397191618</v>
      </c>
      <c r="X1734" s="6">
        <f t="shared" si="492"/>
        <v>0</v>
      </c>
      <c r="Y1734" s="7">
        <f t="shared" si="495"/>
        <v>567</v>
      </c>
      <c r="AA1734" s="7">
        <f t="shared" si="496"/>
        <v>0</v>
      </c>
      <c r="AB1734" s="7" t="str">
        <f t="shared" si="497"/>
        <v/>
      </c>
      <c r="AC1734" s="7">
        <f t="shared" si="498"/>
        <v>0</v>
      </c>
      <c r="AD1734" s="7" t="str">
        <f t="shared" si="499"/>
        <v/>
      </c>
      <c r="AE1734" s="6">
        <f t="shared" si="500"/>
        <v>0</v>
      </c>
      <c r="AF1734" s="69">
        <f t="shared" si="501"/>
        <v>3.0302245397191618</v>
      </c>
      <c r="AG1734" s="6">
        <f t="shared" si="502"/>
        <v>130.29965520792396</v>
      </c>
      <c r="AH1734" s="6">
        <f t="shared" si="503"/>
        <v>318</v>
      </c>
    </row>
    <row r="1735" spans="8:34" x14ac:dyDescent="0.25">
      <c r="H1735" s="7">
        <v>1742</v>
      </c>
      <c r="I1735" s="7" t="s">
        <v>15</v>
      </c>
      <c r="J1735" s="8">
        <v>38826</v>
      </c>
      <c r="K1735" s="12" t="s">
        <v>17</v>
      </c>
      <c r="L1735" s="9">
        <v>75</v>
      </c>
      <c r="M1735" s="10">
        <v>227.51732588951381</v>
      </c>
      <c r="N1735" s="7" t="s">
        <v>24</v>
      </c>
      <c r="P1735" s="29" t="str">
        <f t="shared" si="486"/>
        <v/>
      </c>
      <c r="Q1735" s="29" t="str">
        <f t="shared" si="487"/>
        <v/>
      </c>
      <c r="R1735" s="29" t="str">
        <f t="shared" si="488"/>
        <v/>
      </c>
      <c r="S1735" s="29" t="str">
        <f t="shared" si="489"/>
        <v/>
      </c>
      <c r="T1735" s="32" t="str">
        <f t="shared" si="490"/>
        <v/>
      </c>
      <c r="U1735" s="32" t="str">
        <f t="shared" si="493"/>
        <v/>
      </c>
      <c r="V1735" s="32">
        <f t="shared" si="494"/>
        <v>1</v>
      </c>
      <c r="W1735" s="41">
        <f t="shared" si="491"/>
        <v>3.0335643451935175</v>
      </c>
      <c r="X1735" s="6">
        <f t="shared" si="492"/>
        <v>0</v>
      </c>
      <c r="Y1735" s="7">
        <f t="shared" si="495"/>
        <v>567</v>
      </c>
      <c r="AA1735" s="7">
        <f t="shared" si="496"/>
        <v>0</v>
      </c>
      <c r="AB1735" s="7" t="str">
        <f t="shared" si="497"/>
        <v/>
      </c>
      <c r="AC1735" s="7">
        <f t="shared" si="498"/>
        <v>0</v>
      </c>
      <c r="AD1735" s="7" t="str">
        <f t="shared" si="499"/>
        <v/>
      </c>
      <c r="AE1735" s="6">
        <f t="shared" si="500"/>
        <v>0</v>
      </c>
      <c r="AF1735" s="69">
        <f t="shared" si="501"/>
        <v>3.0335643451935175</v>
      </c>
      <c r="AG1735" s="6">
        <f t="shared" si="502"/>
        <v>0</v>
      </c>
      <c r="AH1735" s="6">
        <f t="shared" si="503"/>
        <v>604</v>
      </c>
    </row>
    <row r="1736" spans="8:34" x14ac:dyDescent="0.25">
      <c r="H1736" s="7">
        <v>1743</v>
      </c>
      <c r="I1736" s="7" t="s">
        <v>7</v>
      </c>
      <c r="J1736" s="8">
        <v>38221</v>
      </c>
      <c r="K1736" s="12" t="s">
        <v>20</v>
      </c>
      <c r="L1736" s="9">
        <v>40</v>
      </c>
      <c r="M1736" s="10">
        <v>121.70811716084982</v>
      </c>
      <c r="N1736" s="7" t="s">
        <v>24</v>
      </c>
      <c r="P1736" s="29" t="str">
        <f t="shared" si="486"/>
        <v/>
      </c>
      <c r="Q1736" s="29" t="str">
        <f t="shared" si="487"/>
        <v/>
      </c>
      <c r="R1736" s="29">
        <f t="shared" si="488"/>
        <v>1</v>
      </c>
      <c r="S1736" s="29" t="str">
        <f t="shared" si="489"/>
        <v/>
      </c>
      <c r="T1736" s="32" t="str">
        <f t="shared" si="490"/>
        <v/>
      </c>
      <c r="U1736" s="32" t="str">
        <f t="shared" si="493"/>
        <v/>
      </c>
      <c r="V1736" s="32" t="str">
        <f t="shared" si="494"/>
        <v/>
      </c>
      <c r="W1736" s="41">
        <f t="shared" si="491"/>
        <v>3.0427029290212455</v>
      </c>
      <c r="X1736" s="6">
        <f t="shared" si="492"/>
        <v>0</v>
      </c>
      <c r="Y1736" s="7">
        <f t="shared" si="495"/>
        <v>567</v>
      </c>
      <c r="AA1736" s="7">
        <f t="shared" si="496"/>
        <v>0</v>
      </c>
      <c r="AB1736" s="7" t="str">
        <f t="shared" si="497"/>
        <v/>
      </c>
      <c r="AC1736" s="7">
        <f t="shared" si="498"/>
        <v>0</v>
      </c>
      <c r="AD1736" s="7" t="str">
        <f t="shared" si="499"/>
        <v/>
      </c>
      <c r="AE1736" s="6">
        <f t="shared" si="500"/>
        <v>0</v>
      </c>
      <c r="AF1736" s="69">
        <f t="shared" si="501"/>
        <v>3.0427029290212455</v>
      </c>
      <c r="AG1736" s="6">
        <f t="shared" si="502"/>
        <v>121.70811716084982</v>
      </c>
      <c r="AH1736" s="6">
        <f t="shared" si="503"/>
        <v>331</v>
      </c>
    </row>
    <row r="1737" spans="8:34" x14ac:dyDescent="0.25">
      <c r="H1737" s="7">
        <v>1744</v>
      </c>
      <c r="I1737" s="7" t="s">
        <v>15</v>
      </c>
      <c r="J1737" s="8">
        <v>38309</v>
      </c>
      <c r="K1737" s="12" t="s">
        <v>20</v>
      </c>
      <c r="L1737" s="9">
        <v>78</v>
      </c>
      <c r="M1737" s="10">
        <v>235.886562763272</v>
      </c>
      <c r="N1737" s="7" t="s">
        <v>21</v>
      </c>
      <c r="P1737" s="29" t="str">
        <f t="shared" si="486"/>
        <v/>
      </c>
      <c r="Q1737" s="29" t="str">
        <f t="shared" si="487"/>
        <v/>
      </c>
      <c r="R1737" s="29" t="str">
        <f t="shared" si="488"/>
        <v/>
      </c>
      <c r="S1737" s="29">
        <f t="shared" si="489"/>
        <v>1</v>
      </c>
      <c r="T1737" s="32" t="str">
        <f t="shared" si="490"/>
        <v/>
      </c>
      <c r="U1737" s="32" t="str">
        <f t="shared" si="493"/>
        <v/>
      </c>
      <c r="V1737" s="32" t="str">
        <f t="shared" si="494"/>
        <v/>
      </c>
      <c r="W1737" s="41">
        <f t="shared" si="491"/>
        <v>3.0241867020932309</v>
      </c>
      <c r="X1737" s="6">
        <f t="shared" si="492"/>
        <v>0</v>
      </c>
      <c r="Y1737" s="7">
        <f t="shared" si="495"/>
        <v>567</v>
      </c>
      <c r="AA1737" s="7">
        <f t="shared" si="496"/>
        <v>0</v>
      </c>
      <c r="AB1737" s="7" t="str">
        <f t="shared" si="497"/>
        <v/>
      </c>
      <c r="AC1737" s="7">
        <f t="shared" si="498"/>
        <v>0</v>
      </c>
      <c r="AD1737" s="7" t="str">
        <f t="shared" si="499"/>
        <v/>
      </c>
      <c r="AE1737" s="6">
        <f t="shared" si="500"/>
        <v>0</v>
      </c>
      <c r="AF1737" s="69">
        <f t="shared" si="501"/>
        <v>3.0241867020932309</v>
      </c>
      <c r="AG1737" s="6">
        <f t="shared" si="502"/>
        <v>235.886562763272</v>
      </c>
      <c r="AH1737" s="6">
        <f t="shared" si="503"/>
        <v>106</v>
      </c>
    </row>
    <row r="1738" spans="8:34" x14ac:dyDescent="0.25">
      <c r="H1738" s="7">
        <v>1745</v>
      </c>
      <c r="I1738" s="7" t="s">
        <v>10</v>
      </c>
      <c r="J1738" s="8">
        <v>38430</v>
      </c>
      <c r="K1738" s="12" t="s">
        <v>16</v>
      </c>
      <c r="L1738" s="9">
        <v>38</v>
      </c>
      <c r="M1738" s="10">
        <v>115.79763515244602</v>
      </c>
      <c r="N1738" s="7" t="s">
        <v>22</v>
      </c>
      <c r="P1738" s="29" t="str">
        <f t="shared" si="486"/>
        <v/>
      </c>
      <c r="Q1738" s="29" t="str">
        <f t="shared" si="487"/>
        <v/>
      </c>
      <c r="R1738" s="29" t="str">
        <f t="shared" si="488"/>
        <v/>
      </c>
      <c r="S1738" s="29" t="str">
        <f t="shared" si="489"/>
        <v/>
      </c>
      <c r="T1738" s="32" t="str">
        <f t="shared" si="490"/>
        <v/>
      </c>
      <c r="U1738" s="32">
        <f t="shared" si="493"/>
        <v>1</v>
      </c>
      <c r="V1738" s="32" t="str">
        <f t="shared" si="494"/>
        <v/>
      </c>
      <c r="W1738" s="41">
        <f t="shared" si="491"/>
        <v>3.0473061882222638</v>
      </c>
      <c r="X1738" s="6">
        <f t="shared" si="492"/>
        <v>115.79763515244602</v>
      </c>
      <c r="Y1738" s="7">
        <f t="shared" si="495"/>
        <v>328</v>
      </c>
      <c r="AA1738" s="7">
        <f t="shared" si="496"/>
        <v>1</v>
      </c>
      <c r="AB1738" s="7">
        <f t="shared" si="497"/>
        <v>38</v>
      </c>
      <c r="AC1738" s="7">
        <f t="shared" si="498"/>
        <v>0</v>
      </c>
      <c r="AD1738" s="7" t="str">
        <f t="shared" si="499"/>
        <v/>
      </c>
      <c r="AE1738" s="6">
        <f t="shared" si="500"/>
        <v>0</v>
      </c>
      <c r="AF1738" s="69">
        <f t="shared" si="501"/>
        <v>3.0473061882222638</v>
      </c>
      <c r="AG1738" s="6">
        <f t="shared" si="502"/>
        <v>0</v>
      </c>
      <c r="AH1738" s="6">
        <f t="shared" si="503"/>
        <v>604</v>
      </c>
    </row>
    <row r="1739" spans="8:34" x14ac:dyDescent="0.25">
      <c r="H1739" s="7">
        <v>1746</v>
      </c>
      <c r="I1739" s="7" t="s">
        <v>13</v>
      </c>
      <c r="J1739" s="8">
        <v>38507</v>
      </c>
      <c r="K1739" s="12" t="s">
        <v>20</v>
      </c>
      <c r="L1739" s="9">
        <v>-3</v>
      </c>
      <c r="M1739" s="10">
        <v>-6.3542907791353951</v>
      </c>
      <c r="N1739" s="7" t="s">
        <v>23</v>
      </c>
      <c r="P1739" s="29" t="str">
        <f t="shared" si="486"/>
        <v/>
      </c>
      <c r="Q1739" s="29" t="str">
        <f t="shared" si="487"/>
        <v/>
      </c>
      <c r="R1739" s="29" t="str">
        <f t="shared" si="488"/>
        <v/>
      </c>
      <c r="S1739" s="29" t="str">
        <f t="shared" si="489"/>
        <v/>
      </c>
      <c r="T1739" s="32" t="str">
        <f t="shared" si="490"/>
        <v/>
      </c>
      <c r="U1739" s="32">
        <f t="shared" si="493"/>
        <v>1</v>
      </c>
      <c r="V1739" s="32" t="str">
        <f t="shared" si="494"/>
        <v/>
      </c>
      <c r="W1739" s="41" t="str">
        <f t="shared" si="491"/>
        <v/>
      </c>
      <c r="X1739" s="6">
        <f t="shared" si="492"/>
        <v>-6.3542907791353951</v>
      </c>
      <c r="Y1739" s="7">
        <f t="shared" si="495"/>
        <v>1851</v>
      </c>
      <c r="AA1739" s="7">
        <f t="shared" si="496"/>
        <v>0</v>
      </c>
      <c r="AB1739" s="7" t="str">
        <f t="shared" si="497"/>
        <v/>
      </c>
      <c r="AC1739" s="7">
        <f t="shared" si="498"/>
        <v>1</v>
      </c>
      <c r="AD1739" s="7">
        <f t="shared" si="499"/>
        <v>-3</v>
      </c>
      <c r="AE1739" s="6">
        <f t="shared" si="500"/>
        <v>-3</v>
      </c>
      <c r="AF1739" s="69" t="str">
        <f t="shared" si="501"/>
        <v/>
      </c>
      <c r="AG1739" s="6">
        <f t="shared" si="502"/>
        <v>0</v>
      </c>
      <c r="AH1739" s="6">
        <f t="shared" si="503"/>
        <v>604</v>
      </c>
    </row>
    <row r="1740" spans="8:34" x14ac:dyDescent="0.25">
      <c r="H1740" s="7">
        <v>1747</v>
      </c>
      <c r="I1740" s="7" t="s">
        <v>8</v>
      </c>
      <c r="J1740" s="8">
        <v>38100</v>
      </c>
      <c r="K1740" s="12" t="s">
        <v>18</v>
      </c>
      <c r="L1740" s="9">
        <v>34</v>
      </c>
      <c r="M1740" s="10">
        <v>103.8978672415664</v>
      </c>
      <c r="N1740" s="7" t="s">
        <v>23</v>
      </c>
      <c r="P1740" s="29" t="str">
        <f t="shared" si="486"/>
        <v/>
      </c>
      <c r="Q1740" s="29">
        <f t="shared" si="487"/>
        <v>1</v>
      </c>
      <c r="R1740" s="29" t="str">
        <f t="shared" si="488"/>
        <v/>
      </c>
      <c r="S1740" s="29" t="str">
        <f t="shared" si="489"/>
        <v/>
      </c>
      <c r="T1740" s="32" t="str">
        <f t="shared" si="490"/>
        <v/>
      </c>
      <c r="U1740" s="32" t="str">
        <f t="shared" si="493"/>
        <v/>
      </c>
      <c r="V1740" s="32" t="str">
        <f t="shared" si="494"/>
        <v/>
      </c>
      <c r="W1740" s="41">
        <f t="shared" si="491"/>
        <v>3.0558196247519529</v>
      </c>
      <c r="X1740" s="6">
        <f t="shared" si="492"/>
        <v>0</v>
      </c>
      <c r="Y1740" s="7">
        <f t="shared" si="495"/>
        <v>567</v>
      </c>
      <c r="AA1740" s="7">
        <f t="shared" si="496"/>
        <v>0</v>
      </c>
      <c r="AB1740" s="7" t="str">
        <f t="shared" si="497"/>
        <v/>
      </c>
      <c r="AC1740" s="7">
        <f t="shared" si="498"/>
        <v>0</v>
      </c>
      <c r="AD1740" s="7" t="str">
        <f t="shared" si="499"/>
        <v/>
      </c>
      <c r="AE1740" s="6">
        <f t="shared" si="500"/>
        <v>0</v>
      </c>
      <c r="AF1740" s="69">
        <f t="shared" si="501"/>
        <v>3.0558196247519529</v>
      </c>
      <c r="AG1740" s="6">
        <f t="shared" si="502"/>
        <v>103.8978672415664</v>
      </c>
      <c r="AH1740" s="6">
        <f t="shared" si="503"/>
        <v>365</v>
      </c>
    </row>
    <row r="1741" spans="8:34" x14ac:dyDescent="0.25">
      <c r="H1741" s="7">
        <v>1748</v>
      </c>
      <c r="I1741" s="7" t="s">
        <v>9</v>
      </c>
      <c r="J1741" s="8">
        <v>38111</v>
      </c>
      <c r="K1741" s="12" t="s">
        <v>16</v>
      </c>
      <c r="L1741" s="9">
        <v>85</v>
      </c>
      <c r="M1741" s="10">
        <v>256.4457111777549</v>
      </c>
      <c r="N1741" s="7" t="s">
        <v>24</v>
      </c>
      <c r="P1741" s="29" t="str">
        <f t="shared" si="486"/>
        <v/>
      </c>
      <c r="Q1741" s="29">
        <f t="shared" si="487"/>
        <v>1</v>
      </c>
      <c r="R1741" s="29" t="str">
        <f t="shared" si="488"/>
        <v/>
      </c>
      <c r="S1741" s="29" t="str">
        <f t="shared" si="489"/>
        <v/>
      </c>
      <c r="T1741" s="32" t="str">
        <f t="shared" si="490"/>
        <v/>
      </c>
      <c r="U1741" s="32" t="str">
        <f t="shared" si="493"/>
        <v/>
      </c>
      <c r="V1741" s="32" t="str">
        <f t="shared" si="494"/>
        <v/>
      </c>
      <c r="W1741" s="41">
        <f t="shared" si="491"/>
        <v>3.0170083667971164</v>
      </c>
      <c r="X1741" s="6">
        <f t="shared" si="492"/>
        <v>0</v>
      </c>
      <c r="Y1741" s="7">
        <f t="shared" si="495"/>
        <v>567</v>
      </c>
      <c r="AA1741" s="7">
        <f t="shared" si="496"/>
        <v>0</v>
      </c>
      <c r="AB1741" s="7" t="str">
        <f t="shared" si="497"/>
        <v/>
      </c>
      <c r="AC1741" s="7">
        <f t="shared" si="498"/>
        <v>0</v>
      </c>
      <c r="AD1741" s="7" t="str">
        <f t="shared" si="499"/>
        <v/>
      </c>
      <c r="AE1741" s="6">
        <f t="shared" si="500"/>
        <v>0</v>
      </c>
      <c r="AF1741" s="69">
        <f t="shared" si="501"/>
        <v>3.0170083667971164</v>
      </c>
      <c r="AG1741" s="6">
        <f t="shared" si="502"/>
        <v>256.4457111777549</v>
      </c>
      <c r="AH1741" s="6">
        <f t="shared" si="503"/>
        <v>59</v>
      </c>
    </row>
    <row r="1742" spans="8:34" x14ac:dyDescent="0.25">
      <c r="H1742" s="7">
        <v>1749</v>
      </c>
      <c r="I1742" s="7" t="s">
        <v>12</v>
      </c>
      <c r="J1742" s="8">
        <v>38672</v>
      </c>
      <c r="K1742" s="12" t="s">
        <v>18</v>
      </c>
      <c r="L1742" s="9">
        <v>70</v>
      </c>
      <c r="M1742" s="10">
        <v>212.02897469121848</v>
      </c>
      <c r="N1742" s="7" t="s">
        <v>23</v>
      </c>
      <c r="P1742" s="29" t="str">
        <f t="shared" si="486"/>
        <v/>
      </c>
      <c r="Q1742" s="29" t="str">
        <f t="shared" si="487"/>
        <v/>
      </c>
      <c r="R1742" s="29" t="str">
        <f t="shared" si="488"/>
        <v/>
      </c>
      <c r="S1742" s="29" t="str">
        <f t="shared" si="489"/>
        <v/>
      </c>
      <c r="T1742" s="32">
        <f t="shared" si="490"/>
        <v>1</v>
      </c>
      <c r="U1742" s="32">
        <f t="shared" si="493"/>
        <v>1</v>
      </c>
      <c r="V1742" s="32" t="str">
        <f t="shared" si="494"/>
        <v/>
      </c>
      <c r="W1742" s="41">
        <f t="shared" si="491"/>
        <v>3.0289853527316928</v>
      </c>
      <c r="X1742" s="6">
        <f t="shared" si="492"/>
        <v>212.02897469121848</v>
      </c>
      <c r="Y1742" s="7">
        <f t="shared" si="495"/>
        <v>158</v>
      </c>
      <c r="AA1742" s="7">
        <f t="shared" si="496"/>
        <v>0</v>
      </c>
      <c r="AB1742" s="7" t="str">
        <f t="shared" si="497"/>
        <v/>
      </c>
      <c r="AC1742" s="7">
        <f t="shared" si="498"/>
        <v>1</v>
      </c>
      <c r="AD1742" s="7">
        <f t="shared" si="499"/>
        <v>70</v>
      </c>
      <c r="AE1742" s="6">
        <f t="shared" si="500"/>
        <v>0</v>
      </c>
      <c r="AF1742" s="69">
        <f t="shared" si="501"/>
        <v>3.0289853527316928</v>
      </c>
      <c r="AG1742" s="6">
        <f t="shared" si="502"/>
        <v>0</v>
      </c>
      <c r="AH1742" s="6">
        <f t="shared" si="503"/>
        <v>604</v>
      </c>
    </row>
    <row r="1743" spans="8:34" x14ac:dyDescent="0.25">
      <c r="H1743" s="7">
        <v>1750</v>
      </c>
      <c r="I1743" s="7" t="s">
        <v>13</v>
      </c>
      <c r="J1743" s="8">
        <v>39024</v>
      </c>
      <c r="K1743" s="12" t="s">
        <v>16</v>
      </c>
      <c r="L1743" s="9">
        <v>86</v>
      </c>
      <c r="M1743" s="10">
        <v>259.75727876328739</v>
      </c>
      <c r="N1743" s="7" t="s">
        <v>22</v>
      </c>
      <c r="P1743" s="29" t="str">
        <f t="shared" si="486"/>
        <v/>
      </c>
      <c r="Q1743" s="29" t="str">
        <f t="shared" si="487"/>
        <v/>
      </c>
      <c r="R1743" s="29" t="str">
        <f t="shared" si="488"/>
        <v/>
      </c>
      <c r="S1743" s="29" t="str">
        <f t="shared" si="489"/>
        <v/>
      </c>
      <c r="T1743" s="32" t="str">
        <f t="shared" si="490"/>
        <v/>
      </c>
      <c r="U1743" s="32" t="str">
        <f t="shared" si="493"/>
        <v/>
      </c>
      <c r="V1743" s="32">
        <f t="shared" si="494"/>
        <v>1</v>
      </c>
      <c r="W1743" s="41">
        <f t="shared" si="491"/>
        <v>3.020433473991714</v>
      </c>
      <c r="X1743" s="6">
        <f t="shared" si="492"/>
        <v>0</v>
      </c>
      <c r="Y1743" s="7">
        <f t="shared" si="495"/>
        <v>567</v>
      </c>
      <c r="AA1743" s="7">
        <f t="shared" si="496"/>
        <v>0</v>
      </c>
      <c r="AB1743" s="7" t="str">
        <f t="shared" si="497"/>
        <v/>
      </c>
      <c r="AC1743" s="7">
        <f t="shared" si="498"/>
        <v>0</v>
      </c>
      <c r="AD1743" s="7" t="str">
        <f t="shared" si="499"/>
        <v/>
      </c>
      <c r="AE1743" s="6">
        <f t="shared" si="500"/>
        <v>0</v>
      </c>
      <c r="AF1743" s="69">
        <f t="shared" si="501"/>
        <v>3.020433473991714</v>
      </c>
      <c r="AG1743" s="6">
        <f t="shared" si="502"/>
        <v>0</v>
      </c>
      <c r="AH1743" s="6">
        <f t="shared" si="503"/>
        <v>604</v>
      </c>
    </row>
    <row r="1744" spans="8:34" x14ac:dyDescent="0.25">
      <c r="H1744" s="7">
        <v>1751</v>
      </c>
      <c r="I1744" s="7" t="s">
        <v>15</v>
      </c>
      <c r="J1744" s="8">
        <v>39068</v>
      </c>
      <c r="K1744" s="12" t="s">
        <v>18</v>
      </c>
      <c r="L1744" s="9">
        <v>47</v>
      </c>
      <c r="M1744" s="10">
        <v>142.93190581421757</v>
      </c>
      <c r="N1744" s="7" t="s">
        <v>24</v>
      </c>
      <c r="P1744" s="29" t="str">
        <f t="shared" si="486"/>
        <v/>
      </c>
      <c r="Q1744" s="29" t="str">
        <f t="shared" si="487"/>
        <v/>
      </c>
      <c r="R1744" s="29" t="str">
        <f t="shared" si="488"/>
        <v/>
      </c>
      <c r="S1744" s="29" t="str">
        <f t="shared" si="489"/>
        <v/>
      </c>
      <c r="T1744" s="32" t="str">
        <f t="shared" si="490"/>
        <v/>
      </c>
      <c r="U1744" s="32" t="str">
        <f t="shared" si="493"/>
        <v/>
      </c>
      <c r="V1744" s="32">
        <f t="shared" si="494"/>
        <v>1</v>
      </c>
      <c r="W1744" s="41">
        <f t="shared" si="491"/>
        <v>3.0411043790259056</v>
      </c>
      <c r="X1744" s="6">
        <f t="shared" si="492"/>
        <v>0</v>
      </c>
      <c r="Y1744" s="7">
        <f t="shared" si="495"/>
        <v>567</v>
      </c>
      <c r="AA1744" s="7">
        <f t="shared" si="496"/>
        <v>0</v>
      </c>
      <c r="AB1744" s="7" t="str">
        <f t="shared" si="497"/>
        <v/>
      </c>
      <c r="AC1744" s="7">
        <f t="shared" si="498"/>
        <v>0</v>
      </c>
      <c r="AD1744" s="7" t="str">
        <f t="shared" si="499"/>
        <v/>
      </c>
      <c r="AE1744" s="6">
        <f t="shared" si="500"/>
        <v>0</v>
      </c>
      <c r="AF1744" s="69">
        <f t="shared" si="501"/>
        <v>3.0411043790259056</v>
      </c>
      <c r="AG1744" s="6">
        <f t="shared" si="502"/>
        <v>0</v>
      </c>
      <c r="AH1744" s="6">
        <f t="shared" si="503"/>
        <v>604</v>
      </c>
    </row>
    <row r="1745" spans="8:34" x14ac:dyDescent="0.25">
      <c r="H1745" s="7">
        <v>1752</v>
      </c>
      <c r="I1745" s="7" t="s">
        <v>11</v>
      </c>
      <c r="J1745" s="8">
        <v>38881</v>
      </c>
      <c r="K1745" s="12" t="s">
        <v>19</v>
      </c>
      <c r="L1745" s="9">
        <v>20</v>
      </c>
      <c r="M1745" s="10">
        <v>62.6034037824639</v>
      </c>
      <c r="N1745" s="7" t="s">
        <v>21</v>
      </c>
      <c r="P1745" s="29" t="str">
        <f t="shared" si="486"/>
        <v/>
      </c>
      <c r="Q1745" s="29" t="str">
        <f t="shared" si="487"/>
        <v/>
      </c>
      <c r="R1745" s="29" t="str">
        <f t="shared" si="488"/>
        <v/>
      </c>
      <c r="S1745" s="29" t="str">
        <f t="shared" si="489"/>
        <v/>
      </c>
      <c r="T1745" s="32" t="str">
        <f t="shared" si="490"/>
        <v/>
      </c>
      <c r="U1745" s="32" t="str">
        <f t="shared" si="493"/>
        <v/>
      </c>
      <c r="V1745" s="32">
        <f t="shared" si="494"/>
        <v>1</v>
      </c>
      <c r="W1745" s="41">
        <f t="shared" si="491"/>
        <v>3.130170189123195</v>
      </c>
      <c r="X1745" s="6">
        <f t="shared" si="492"/>
        <v>0</v>
      </c>
      <c r="Y1745" s="7">
        <f t="shared" si="495"/>
        <v>567</v>
      </c>
      <c r="AA1745" s="7">
        <f t="shared" si="496"/>
        <v>0</v>
      </c>
      <c r="AB1745" s="7" t="str">
        <f t="shared" si="497"/>
        <v/>
      </c>
      <c r="AC1745" s="7">
        <f t="shared" si="498"/>
        <v>0</v>
      </c>
      <c r="AD1745" s="7" t="str">
        <f t="shared" si="499"/>
        <v/>
      </c>
      <c r="AE1745" s="6">
        <f t="shared" si="500"/>
        <v>0</v>
      </c>
      <c r="AF1745" s="69">
        <f t="shared" si="501"/>
        <v>3.130170189123195</v>
      </c>
      <c r="AG1745" s="6">
        <f t="shared" si="502"/>
        <v>0</v>
      </c>
      <c r="AH1745" s="6">
        <f t="shared" si="503"/>
        <v>604</v>
      </c>
    </row>
    <row r="1746" spans="8:34" x14ac:dyDescent="0.25">
      <c r="H1746" s="7">
        <v>1753</v>
      </c>
      <c r="I1746" s="7" t="s">
        <v>14</v>
      </c>
      <c r="J1746" s="8">
        <v>38122</v>
      </c>
      <c r="K1746" s="12" t="s">
        <v>20</v>
      </c>
      <c r="L1746" s="9">
        <v>33</v>
      </c>
      <c r="M1746" s="10">
        <v>101.41906626440009</v>
      </c>
      <c r="N1746" s="7" t="s">
        <v>23</v>
      </c>
      <c r="P1746" s="29" t="str">
        <f t="shared" si="486"/>
        <v/>
      </c>
      <c r="Q1746" s="29">
        <f t="shared" si="487"/>
        <v>1</v>
      </c>
      <c r="R1746" s="29" t="str">
        <f t="shared" si="488"/>
        <v/>
      </c>
      <c r="S1746" s="29" t="str">
        <f t="shared" si="489"/>
        <v/>
      </c>
      <c r="T1746" s="32" t="str">
        <f t="shared" si="490"/>
        <v/>
      </c>
      <c r="U1746" s="32" t="str">
        <f t="shared" si="493"/>
        <v/>
      </c>
      <c r="V1746" s="32" t="str">
        <f t="shared" si="494"/>
        <v/>
      </c>
      <c r="W1746" s="41">
        <f t="shared" si="491"/>
        <v>3.0733050383151541</v>
      </c>
      <c r="X1746" s="6">
        <f t="shared" si="492"/>
        <v>0</v>
      </c>
      <c r="Y1746" s="7">
        <f t="shared" si="495"/>
        <v>567</v>
      </c>
      <c r="AA1746" s="7">
        <f t="shared" si="496"/>
        <v>0</v>
      </c>
      <c r="AB1746" s="7" t="str">
        <f t="shared" si="497"/>
        <v/>
      </c>
      <c r="AC1746" s="7">
        <f t="shared" si="498"/>
        <v>0</v>
      </c>
      <c r="AD1746" s="7" t="str">
        <f t="shared" si="499"/>
        <v/>
      </c>
      <c r="AE1746" s="6">
        <f t="shared" si="500"/>
        <v>0</v>
      </c>
      <c r="AF1746" s="69">
        <f t="shared" si="501"/>
        <v>3.0733050383151541</v>
      </c>
      <c r="AG1746" s="6">
        <f t="shared" si="502"/>
        <v>101.41906626440009</v>
      </c>
      <c r="AH1746" s="6">
        <f t="shared" si="503"/>
        <v>370</v>
      </c>
    </row>
    <row r="1747" spans="8:34" x14ac:dyDescent="0.25">
      <c r="H1747" s="7">
        <v>1754</v>
      </c>
      <c r="I1747" s="7" t="s">
        <v>12</v>
      </c>
      <c r="J1747" s="8">
        <v>38298</v>
      </c>
      <c r="K1747" s="12" t="s">
        <v>20</v>
      </c>
      <c r="L1747" s="9">
        <v>-10</v>
      </c>
      <c r="M1747" s="10">
        <v>-27.865488210965292</v>
      </c>
      <c r="N1747" s="7" t="s">
        <v>22</v>
      </c>
      <c r="P1747" s="29" t="str">
        <f t="shared" si="486"/>
        <v/>
      </c>
      <c r="Q1747" s="29" t="str">
        <f t="shared" si="487"/>
        <v/>
      </c>
      <c r="R1747" s="29" t="str">
        <f t="shared" si="488"/>
        <v/>
      </c>
      <c r="S1747" s="29">
        <f t="shared" si="489"/>
        <v>1</v>
      </c>
      <c r="T1747" s="32" t="str">
        <f t="shared" si="490"/>
        <v/>
      </c>
      <c r="U1747" s="32" t="str">
        <f t="shared" si="493"/>
        <v/>
      </c>
      <c r="V1747" s="32" t="str">
        <f t="shared" si="494"/>
        <v/>
      </c>
      <c r="W1747" s="41" t="str">
        <f t="shared" si="491"/>
        <v/>
      </c>
      <c r="X1747" s="6">
        <f t="shared" si="492"/>
        <v>0</v>
      </c>
      <c r="Y1747" s="7">
        <f t="shared" si="495"/>
        <v>567</v>
      </c>
      <c r="AA1747" s="7">
        <f t="shared" si="496"/>
        <v>0</v>
      </c>
      <c r="AB1747" s="7" t="str">
        <f t="shared" si="497"/>
        <v/>
      </c>
      <c r="AC1747" s="7">
        <f t="shared" si="498"/>
        <v>0</v>
      </c>
      <c r="AD1747" s="7" t="str">
        <f t="shared" si="499"/>
        <v/>
      </c>
      <c r="AE1747" s="6">
        <f t="shared" si="500"/>
        <v>-10</v>
      </c>
      <c r="AF1747" s="69" t="str">
        <f t="shared" si="501"/>
        <v/>
      </c>
      <c r="AG1747" s="6">
        <f t="shared" si="502"/>
        <v>0</v>
      </c>
      <c r="AH1747" s="6">
        <f t="shared" si="503"/>
        <v>604</v>
      </c>
    </row>
    <row r="1748" spans="8:34" x14ac:dyDescent="0.25">
      <c r="H1748" s="7">
        <v>1755</v>
      </c>
      <c r="I1748" s="7" t="s">
        <v>15</v>
      </c>
      <c r="J1748" s="8">
        <v>39057</v>
      </c>
      <c r="K1748" s="12" t="s">
        <v>17</v>
      </c>
      <c r="L1748" s="9">
        <v>40</v>
      </c>
      <c r="M1748" s="10">
        <v>122.39966734312085</v>
      </c>
      <c r="N1748" s="7" t="s">
        <v>21</v>
      </c>
      <c r="P1748" s="29" t="str">
        <f t="shared" si="486"/>
        <v/>
      </c>
      <c r="Q1748" s="29" t="str">
        <f t="shared" si="487"/>
        <v/>
      </c>
      <c r="R1748" s="29" t="str">
        <f t="shared" si="488"/>
        <v/>
      </c>
      <c r="S1748" s="29" t="str">
        <f t="shared" si="489"/>
        <v/>
      </c>
      <c r="T1748" s="32" t="str">
        <f t="shared" si="490"/>
        <v/>
      </c>
      <c r="U1748" s="32" t="str">
        <f t="shared" si="493"/>
        <v/>
      </c>
      <c r="V1748" s="32">
        <f t="shared" si="494"/>
        <v>1</v>
      </c>
      <c r="W1748" s="41">
        <f t="shared" si="491"/>
        <v>3.0599916835780214</v>
      </c>
      <c r="X1748" s="6">
        <f t="shared" si="492"/>
        <v>0</v>
      </c>
      <c r="Y1748" s="7">
        <f t="shared" si="495"/>
        <v>567</v>
      </c>
      <c r="AA1748" s="7">
        <f t="shared" si="496"/>
        <v>0</v>
      </c>
      <c r="AB1748" s="7" t="str">
        <f t="shared" si="497"/>
        <v/>
      </c>
      <c r="AC1748" s="7">
        <f t="shared" si="498"/>
        <v>0</v>
      </c>
      <c r="AD1748" s="7" t="str">
        <f t="shared" si="499"/>
        <v/>
      </c>
      <c r="AE1748" s="6">
        <f t="shared" si="500"/>
        <v>0</v>
      </c>
      <c r="AF1748" s="69">
        <f t="shared" si="501"/>
        <v>3.0599916835780214</v>
      </c>
      <c r="AG1748" s="6">
        <f t="shared" si="502"/>
        <v>0</v>
      </c>
      <c r="AH1748" s="6">
        <f t="shared" si="503"/>
        <v>604</v>
      </c>
    </row>
    <row r="1749" spans="8:34" x14ac:dyDescent="0.25">
      <c r="H1749" s="7">
        <v>1756</v>
      </c>
      <c r="I1749" s="7" t="s">
        <v>13</v>
      </c>
      <c r="J1749" s="8">
        <v>38188</v>
      </c>
      <c r="K1749" s="12" t="s">
        <v>18</v>
      </c>
      <c r="L1749" s="9">
        <v>13</v>
      </c>
      <c r="M1749" s="10">
        <v>40.440362188704526</v>
      </c>
      <c r="N1749" s="7" t="s">
        <v>21</v>
      </c>
      <c r="P1749" s="29" t="str">
        <f t="shared" si="486"/>
        <v/>
      </c>
      <c r="Q1749" s="29" t="str">
        <f t="shared" si="487"/>
        <v/>
      </c>
      <c r="R1749" s="29">
        <f t="shared" si="488"/>
        <v>1</v>
      </c>
      <c r="S1749" s="29" t="str">
        <f t="shared" si="489"/>
        <v/>
      </c>
      <c r="T1749" s="32" t="str">
        <f t="shared" si="490"/>
        <v/>
      </c>
      <c r="U1749" s="32" t="str">
        <f t="shared" si="493"/>
        <v/>
      </c>
      <c r="V1749" s="32" t="str">
        <f t="shared" si="494"/>
        <v/>
      </c>
      <c r="W1749" s="41">
        <f t="shared" si="491"/>
        <v>3.1107970914388097</v>
      </c>
      <c r="X1749" s="6">
        <f t="shared" si="492"/>
        <v>0</v>
      </c>
      <c r="Y1749" s="7">
        <f t="shared" si="495"/>
        <v>567</v>
      </c>
      <c r="AA1749" s="7">
        <f t="shared" si="496"/>
        <v>0</v>
      </c>
      <c r="AB1749" s="7" t="str">
        <f t="shared" si="497"/>
        <v/>
      </c>
      <c r="AC1749" s="7">
        <f t="shared" si="498"/>
        <v>0</v>
      </c>
      <c r="AD1749" s="7" t="str">
        <f t="shared" si="499"/>
        <v/>
      </c>
      <c r="AE1749" s="6">
        <f t="shared" si="500"/>
        <v>0</v>
      </c>
      <c r="AF1749" s="69">
        <f t="shared" si="501"/>
        <v>3.1107970914388097</v>
      </c>
      <c r="AG1749" s="6">
        <f t="shared" si="502"/>
        <v>40.440362188704526</v>
      </c>
      <c r="AH1749" s="6">
        <f t="shared" si="503"/>
        <v>507</v>
      </c>
    </row>
    <row r="1750" spans="8:34" x14ac:dyDescent="0.25">
      <c r="H1750" s="7">
        <v>1757</v>
      </c>
      <c r="I1750" s="7" t="s">
        <v>9</v>
      </c>
      <c r="J1750" s="8">
        <v>38958</v>
      </c>
      <c r="K1750" s="12" t="s">
        <v>17</v>
      </c>
      <c r="L1750" s="9">
        <v>20</v>
      </c>
      <c r="M1750" s="10">
        <v>62.159874636859705</v>
      </c>
      <c r="N1750" s="7" t="s">
        <v>21</v>
      </c>
      <c r="P1750" s="29" t="str">
        <f t="shared" si="486"/>
        <v/>
      </c>
      <c r="Q1750" s="29" t="str">
        <f t="shared" si="487"/>
        <v/>
      </c>
      <c r="R1750" s="29" t="str">
        <f t="shared" si="488"/>
        <v/>
      </c>
      <c r="S1750" s="29" t="str">
        <f t="shared" si="489"/>
        <v/>
      </c>
      <c r="T1750" s="32" t="str">
        <f t="shared" si="490"/>
        <v/>
      </c>
      <c r="U1750" s="32" t="str">
        <f t="shared" si="493"/>
        <v/>
      </c>
      <c r="V1750" s="32">
        <f t="shared" si="494"/>
        <v>1</v>
      </c>
      <c r="W1750" s="41">
        <f t="shared" si="491"/>
        <v>3.1079937318429853</v>
      </c>
      <c r="X1750" s="6">
        <f t="shared" si="492"/>
        <v>0</v>
      </c>
      <c r="Y1750" s="7">
        <f t="shared" si="495"/>
        <v>567</v>
      </c>
      <c r="AA1750" s="7">
        <f t="shared" si="496"/>
        <v>0</v>
      </c>
      <c r="AB1750" s="7" t="str">
        <f t="shared" si="497"/>
        <v/>
      </c>
      <c r="AC1750" s="7">
        <f t="shared" si="498"/>
        <v>0</v>
      </c>
      <c r="AD1750" s="7" t="str">
        <f t="shared" si="499"/>
        <v/>
      </c>
      <c r="AE1750" s="6">
        <f t="shared" si="500"/>
        <v>0</v>
      </c>
      <c r="AF1750" s="69">
        <f t="shared" si="501"/>
        <v>3.1079937318429853</v>
      </c>
      <c r="AG1750" s="6">
        <f t="shared" si="502"/>
        <v>0</v>
      </c>
      <c r="AH1750" s="6">
        <f t="shared" si="503"/>
        <v>604</v>
      </c>
    </row>
    <row r="1751" spans="8:34" x14ac:dyDescent="0.25">
      <c r="H1751" s="7">
        <v>1758</v>
      </c>
      <c r="I1751" s="7" t="s">
        <v>13</v>
      </c>
      <c r="J1751" s="8">
        <v>38045</v>
      </c>
      <c r="K1751" s="12" t="s">
        <v>16</v>
      </c>
      <c r="L1751" s="9">
        <v>22</v>
      </c>
      <c r="M1751" s="10">
        <v>68.778643754081543</v>
      </c>
      <c r="N1751" s="7" t="s">
        <v>23</v>
      </c>
      <c r="P1751" s="29">
        <f t="shared" si="486"/>
        <v>1</v>
      </c>
      <c r="Q1751" s="29" t="str">
        <f t="shared" si="487"/>
        <v/>
      </c>
      <c r="R1751" s="29" t="str">
        <f t="shared" si="488"/>
        <v/>
      </c>
      <c r="S1751" s="29" t="str">
        <f t="shared" si="489"/>
        <v/>
      </c>
      <c r="T1751" s="32" t="str">
        <f t="shared" si="490"/>
        <v/>
      </c>
      <c r="U1751" s="32" t="str">
        <f t="shared" si="493"/>
        <v/>
      </c>
      <c r="V1751" s="32" t="str">
        <f t="shared" si="494"/>
        <v/>
      </c>
      <c r="W1751" s="41">
        <f t="shared" si="491"/>
        <v>3.1263019888218881</v>
      </c>
      <c r="X1751" s="6">
        <f t="shared" si="492"/>
        <v>0</v>
      </c>
      <c r="Y1751" s="7">
        <f t="shared" si="495"/>
        <v>567</v>
      </c>
      <c r="AA1751" s="7">
        <f t="shared" si="496"/>
        <v>0</v>
      </c>
      <c r="AB1751" s="7" t="str">
        <f t="shared" si="497"/>
        <v/>
      </c>
      <c r="AC1751" s="7">
        <f t="shared" si="498"/>
        <v>0</v>
      </c>
      <c r="AD1751" s="7" t="str">
        <f t="shared" si="499"/>
        <v/>
      </c>
      <c r="AE1751" s="6">
        <f t="shared" si="500"/>
        <v>0</v>
      </c>
      <c r="AF1751" s="69">
        <f t="shared" si="501"/>
        <v>3.1263019888218881</v>
      </c>
      <c r="AG1751" s="6">
        <f t="shared" si="502"/>
        <v>68.778643754081543</v>
      </c>
      <c r="AH1751" s="6">
        <f t="shared" si="503"/>
        <v>443</v>
      </c>
    </row>
    <row r="1752" spans="8:34" x14ac:dyDescent="0.25">
      <c r="H1752" s="7">
        <v>1759</v>
      </c>
      <c r="I1752" s="7" t="s">
        <v>10</v>
      </c>
      <c r="J1752" s="8">
        <v>38606</v>
      </c>
      <c r="K1752" s="12" t="s">
        <v>18</v>
      </c>
      <c r="L1752" s="9">
        <v>91</v>
      </c>
      <c r="M1752" s="10">
        <v>275.56378169889956</v>
      </c>
      <c r="N1752" s="7" t="s">
        <v>22</v>
      </c>
      <c r="P1752" s="29" t="str">
        <f t="shared" si="486"/>
        <v/>
      </c>
      <c r="Q1752" s="29" t="str">
        <f t="shared" si="487"/>
        <v/>
      </c>
      <c r="R1752" s="29" t="str">
        <f t="shared" si="488"/>
        <v/>
      </c>
      <c r="S1752" s="29" t="str">
        <f t="shared" si="489"/>
        <v/>
      </c>
      <c r="T1752" s="32" t="str">
        <f t="shared" si="490"/>
        <v/>
      </c>
      <c r="U1752" s="32">
        <f t="shared" si="493"/>
        <v>1</v>
      </c>
      <c r="V1752" s="32" t="str">
        <f t="shared" si="494"/>
        <v/>
      </c>
      <c r="W1752" s="41">
        <f t="shared" si="491"/>
        <v>3.0281734252626324</v>
      </c>
      <c r="X1752" s="6">
        <f t="shared" si="492"/>
        <v>275.56378169889956</v>
      </c>
      <c r="Y1752" s="7">
        <f t="shared" si="495"/>
        <v>34</v>
      </c>
      <c r="AA1752" s="7">
        <f t="shared" si="496"/>
        <v>1</v>
      </c>
      <c r="AB1752" s="7">
        <f t="shared" si="497"/>
        <v>91</v>
      </c>
      <c r="AC1752" s="7">
        <f t="shared" si="498"/>
        <v>0</v>
      </c>
      <c r="AD1752" s="7" t="str">
        <f t="shared" si="499"/>
        <v/>
      </c>
      <c r="AE1752" s="6">
        <f t="shared" si="500"/>
        <v>0</v>
      </c>
      <c r="AF1752" s="69">
        <f t="shared" si="501"/>
        <v>3.0281734252626324</v>
      </c>
      <c r="AG1752" s="6">
        <f t="shared" si="502"/>
        <v>0</v>
      </c>
      <c r="AH1752" s="6">
        <f t="shared" si="503"/>
        <v>604</v>
      </c>
    </row>
    <row r="1753" spans="8:34" x14ac:dyDescent="0.25">
      <c r="H1753" s="7">
        <v>1760</v>
      </c>
      <c r="I1753" s="7" t="s">
        <v>7</v>
      </c>
      <c r="J1753" s="8">
        <v>38848</v>
      </c>
      <c r="K1753" s="12" t="s">
        <v>17</v>
      </c>
      <c r="L1753" s="9">
        <v>17</v>
      </c>
      <c r="M1753" s="10">
        <v>53.536546154185139</v>
      </c>
      <c r="N1753" s="7" t="s">
        <v>22</v>
      </c>
      <c r="P1753" s="29" t="str">
        <f t="shared" si="486"/>
        <v/>
      </c>
      <c r="Q1753" s="29" t="str">
        <f t="shared" si="487"/>
        <v/>
      </c>
      <c r="R1753" s="29" t="str">
        <f t="shared" si="488"/>
        <v/>
      </c>
      <c r="S1753" s="29" t="str">
        <f t="shared" si="489"/>
        <v/>
      </c>
      <c r="T1753" s="32" t="str">
        <f t="shared" si="490"/>
        <v/>
      </c>
      <c r="U1753" s="32" t="str">
        <f t="shared" si="493"/>
        <v/>
      </c>
      <c r="V1753" s="32">
        <f t="shared" si="494"/>
        <v>1</v>
      </c>
      <c r="W1753" s="41">
        <f t="shared" si="491"/>
        <v>3.1492085973050084</v>
      </c>
      <c r="X1753" s="6">
        <f t="shared" si="492"/>
        <v>0</v>
      </c>
      <c r="Y1753" s="7">
        <f t="shared" si="495"/>
        <v>567</v>
      </c>
      <c r="AA1753" s="7">
        <f t="shared" si="496"/>
        <v>0</v>
      </c>
      <c r="AB1753" s="7" t="str">
        <f t="shared" si="497"/>
        <v/>
      </c>
      <c r="AC1753" s="7">
        <f t="shared" si="498"/>
        <v>0</v>
      </c>
      <c r="AD1753" s="7" t="str">
        <f t="shared" si="499"/>
        <v/>
      </c>
      <c r="AE1753" s="6">
        <f t="shared" si="500"/>
        <v>0</v>
      </c>
      <c r="AF1753" s="69">
        <f t="shared" si="501"/>
        <v>3.1492085973050084</v>
      </c>
      <c r="AG1753" s="6">
        <f t="shared" si="502"/>
        <v>0</v>
      </c>
      <c r="AH1753" s="6">
        <f t="shared" si="503"/>
        <v>604</v>
      </c>
    </row>
    <row r="1754" spans="8:34" x14ac:dyDescent="0.25">
      <c r="H1754" s="7">
        <v>1761</v>
      </c>
      <c r="I1754" s="7" t="s">
        <v>10</v>
      </c>
      <c r="J1754" s="8">
        <v>38298</v>
      </c>
      <c r="K1754" s="12" t="s">
        <v>17</v>
      </c>
      <c r="L1754" s="9">
        <v>77</v>
      </c>
      <c r="M1754" s="10">
        <v>232.78300193286029</v>
      </c>
      <c r="N1754" s="7" t="s">
        <v>21</v>
      </c>
      <c r="P1754" s="29" t="str">
        <f t="shared" si="486"/>
        <v/>
      </c>
      <c r="Q1754" s="29" t="str">
        <f t="shared" si="487"/>
        <v/>
      </c>
      <c r="R1754" s="29" t="str">
        <f t="shared" si="488"/>
        <v/>
      </c>
      <c r="S1754" s="29">
        <f t="shared" si="489"/>
        <v>1</v>
      </c>
      <c r="T1754" s="32" t="str">
        <f t="shared" si="490"/>
        <v/>
      </c>
      <c r="U1754" s="32" t="str">
        <f t="shared" si="493"/>
        <v/>
      </c>
      <c r="V1754" s="32" t="str">
        <f t="shared" si="494"/>
        <v/>
      </c>
      <c r="W1754" s="41">
        <f t="shared" si="491"/>
        <v>3.0231558692579257</v>
      </c>
      <c r="X1754" s="6">
        <f t="shared" si="492"/>
        <v>0</v>
      </c>
      <c r="Y1754" s="7">
        <f t="shared" si="495"/>
        <v>567</v>
      </c>
      <c r="AA1754" s="7">
        <f t="shared" si="496"/>
        <v>0</v>
      </c>
      <c r="AB1754" s="7" t="str">
        <f t="shared" si="497"/>
        <v/>
      </c>
      <c r="AC1754" s="7">
        <f t="shared" si="498"/>
        <v>0</v>
      </c>
      <c r="AD1754" s="7" t="str">
        <f t="shared" si="499"/>
        <v/>
      </c>
      <c r="AE1754" s="6">
        <f t="shared" si="500"/>
        <v>0</v>
      </c>
      <c r="AF1754" s="69">
        <f t="shared" si="501"/>
        <v>3.0231558692579257</v>
      </c>
      <c r="AG1754" s="6">
        <f t="shared" si="502"/>
        <v>232.78300193286029</v>
      </c>
      <c r="AH1754" s="6">
        <f t="shared" si="503"/>
        <v>112</v>
      </c>
    </row>
    <row r="1755" spans="8:34" x14ac:dyDescent="0.25">
      <c r="H1755" s="7">
        <v>1762</v>
      </c>
      <c r="I1755" s="7" t="s">
        <v>12</v>
      </c>
      <c r="J1755" s="8">
        <v>39057</v>
      </c>
      <c r="K1755" s="12" t="s">
        <v>20</v>
      </c>
      <c r="L1755" s="9">
        <v>8</v>
      </c>
      <c r="M1755" s="10">
        <v>25.170033543748811</v>
      </c>
      <c r="N1755" s="7" t="s">
        <v>22</v>
      </c>
      <c r="P1755" s="29" t="str">
        <f t="shared" si="486"/>
        <v/>
      </c>
      <c r="Q1755" s="29" t="str">
        <f t="shared" si="487"/>
        <v/>
      </c>
      <c r="R1755" s="29" t="str">
        <f t="shared" si="488"/>
        <v/>
      </c>
      <c r="S1755" s="29" t="str">
        <f t="shared" si="489"/>
        <v/>
      </c>
      <c r="T1755" s="32" t="str">
        <f t="shared" si="490"/>
        <v/>
      </c>
      <c r="U1755" s="32" t="str">
        <f t="shared" si="493"/>
        <v/>
      </c>
      <c r="V1755" s="32">
        <f t="shared" si="494"/>
        <v>1</v>
      </c>
      <c r="W1755" s="41">
        <f t="shared" si="491"/>
        <v>3.1462541929686014</v>
      </c>
      <c r="X1755" s="6">
        <f t="shared" si="492"/>
        <v>0</v>
      </c>
      <c r="Y1755" s="7">
        <f t="shared" si="495"/>
        <v>567</v>
      </c>
      <c r="AA1755" s="7">
        <f t="shared" si="496"/>
        <v>0</v>
      </c>
      <c r="AB1755" s="7" t="str">
        <f t="shared" si="497"/>
        <v/>
      </c>
      <c r="AC1755" s="7">
        <f t="shared" si="498"/>
        <v>0</v>
      </c>
      <c r="AD1755" s="7" t="str">
        <f t="shared" si="499"/>
        <v/>
      </c>
      <c r="AE1755" s="6">
        <f t="shared" si="500"/>
        <v>0</v>
      </c>
      <c r="AF1755" s="69">
        <f t="shared" si="501"/>
        <v>3.1462541929686014</v>
      </c>
      <c r="AG1755" s="6">
        <f t="shared" si="502"/>
        <v>0</v>
      </c>
      <c r="AH1755" s="6">
        <f t="shared" si="503"/>
        <v>604</v>
      </c>
    </row>
    <row r="1756" spans="8:34" x14ac:dyDescent="0.25">
      <c r="H1756" s="7">
        <v>1763</v>
      </c>
      <c r="I1756" s="7" t="s">
        <v>9</v>
      </c>
      <c r="J1756" s="8">
        <v>38584</v>
      </c>
      <c r="K1756" s="12" t="s">
        <v>16</v>
      </c>
      <c r="L1756" s="9">
        <v>-1</v>
      </c>
      <c r="M1756" s="10">
        <v>-0.68878150112298231</v>
      </c>
      <c r="N1756" s="7" t="s">
        <v>21</v>
      </c>
      <c r="P1756" s="29" t="str">
        <f t="shared" si="486"/>
        <v/>
      </c>
      <c r="Q1756" s="29" t="str">
        <f t="shared" si="487"/>
        <v/>
      </c>
      <c r="R1756" s="29" t="str">
        <f t="shared" si="488"/>
        <v/>
      </c>
      <c r="S1756" s="29" t="str">
        <f t="shared" si="489"/>
        <v/>
      </c>
      <c r="T1756" s="32" t="str">
        <f t="shared" si="490"/>
        <v/>
      </c>
      <c r="U1756" s="32">
        <f t="shared" si="493"/>
        <v>1</v>
      </c>
      <c r="V1756" s="32" t="str">
        <f t="shared" si="494"/>
        <v/>
      </c>
      <c r="W1756" s="41" t="str">
        <f t="shared" si="491"/>
        <v/>
      </c>
      <c r="X1756" s="6">
        <f t="shared" si="492"/>
        <v>-0.68878150112298231</v>
      </c>
      <c r="Y1756" s="7">
        <f t="shared" si="495"/>
        <v>1841</v>
      </c>
      <c r="AA1756" s="7">
        <f t="shared" si="496"/>
        <v>1</v>
      </c>
      <c r="AB1756" s="7">
        <f t="shared" si="497"/>
        <v>-1</v>
      </c>
      <c r="AC1756" s="7">
        <f t="shared" si="498"/>
        <v>0</v>
      </c>
      <c r="AD1756" s="7" t="str">
        <f t="shared" si="499"/>
        <v/>
      </c>
      <c r="AE1756" s="6">
        <f t="shared" si="500"/>
        <v>-1</v>
      </c>
      <c r="AF1756" s="69" t="str">
        <f t="shared" si="501"/>
        <v/>
      </c>
      <c r="AG1756" s="6">
        <f t="shared" si="502"/>
        <v>0</v>
      </c>
      <c r="AH1756" s="6">
        <f t="shared" si="503"/>
        <v>604</v>
      </c>
    </row>
    <row r="1757" spans="8:34" x14ac:dyDescent="0.25">
      <c r="H1757" s="7">
        <v>1764</v>
      </c>
      <c r="I1757" s="7" t="s">
        <v>8</v>
      </c>
      <c r="J1757" s="8">
        <v>38507</v>
      </c>
      <c r="K1757" s="12" t="s">
        <v>17</v>
      </c>
      <c r="L1757" s="9">
        <v>52</v>
      </c>
      <c r="M1757" s="10">
        <v>158.074363782803</v>
      </c>
      <c r="N1757" s="7" t="s">
        <v>22</v>
      </c>
      <c r="P1757" s="29" t="str">
        <f t="shared" si="486"/>
        <v/>
      </c>
      <c r="Q1757" s="29" t="str">
        <f t="shared" si="487"/>
        <v/>
      </c>
      <c r="R1757" s="29" t="str">
        <f t="shared" si="488"/>
        <v/>
      </c>
      <c r="S1757" s="29" t="str">
        <f t="shared" si="489"/>
        <v/>
      </c>
      <c r="T1757" s="32" t="str">
        <f t="shared" si="490"/>
        <v/>
      </c>
      <c r="U1757" s="32">
        <f t="shared" si="493"/>
        <v>1</v>
      </c>
      <c r="V1757" s="32" t="str">
        <f t="shared" si="494"/>
        <v/>
      </c>
      <c r="W1757" s="41">
        <f t="shared" si="491"/>
        <v>3.0398916112077501</v>
      </c>
      <c r="X1757" s="6">
        <f t="shared" si="492"/>
        <v>158.074363782803</v>
      </c>
      <c r="Y1757" s="7">
        <f t="shared" si="495"/>
        <v>246</v>
      </c>
      <c r="AA1757" s="7">
        <f t="shared" si="496"/>
        <v>0</v>
      </c>
      <c r="AB1757" s="7" t="str">
        <f t="shared" si="497"/>
        <v/>
      </c>
      <c r="AC1757" s="7">
        <f t="shared" si="498"/>
        <v>1</v>
      </c>
      <c r="AD1757" s="7">
        <f t="shared" si="499"/>
        <v>52</v>
      </c>
      <c r="AE1757" s="6">
        <f t="shared" si="500"/>
        <v>0</v>
      </c>
      <c r="AF1757" s="69">
        <f t="shared" si="501"/>
        <v>3.0398916112077501</v>
      </c>
      <c r="AG1757" s="6">
        <f t="shared" si="502"/>
        <v>0</v>
      </c>
      <c r="AH1757" s="6">
        <f t="shared" si="503"/>
        <v>604</v>
      </c>
    </row>
    <row r="1758" spans="8:34" x14ac:dyDescent="0.25">
      <c r="H1758" s="7">
        <v>1765</v>
      </c>
      <c r="I1758" s="7" t="s">
        <v>15</v>
      </c>
      <c r="J1758" s="8">
        <v>38595</v>
      </c>
      <c r="K1758" s="12" t="s">
        <v>20</v>
      </c>
      <c r="L1758" s="9">
        <v>50</v>
      </c>
      <c r="M1758" s="10">
        <v>152.59801251978521</v>
      </c>
      <c r="N1758" s="7" t="s">
        <v>22</v>
      </c>
      <c r="P1758" s="29" t="str">
        <f t="shared" si="486"/>
        <v/>
      </c>
      <c r="Q1758" s="29" t="str">
        <f t="shared" si="487"/>
        <v/>
      </c>
      <c r="R1758" s="29" t="str">
        <f t="shared" si="488"/>
        <v/>
      </c>
      <c r="S1758" s="29" t="str">
        <f t="shared" si="489"/>
        <v/>
      </c>
      <c r="T1758" s="32" t="str">
        <f t="shared" si="490"/>
        <v/>
      </c>
      <c r="U1758" s="32">
        <f t="shared" si="493"/>
        <v>1</v>
      </c>
      <c r="V1758" s="32" t="str">
        <f t="shared" si="494"/>
        <v/>
      </c>
      <c r="W1758" s="41">
        <f t="shared" si="491"/>
        <v>3.0519602503957044</v>
      </c>
      <c r="X1758" s="6">
        <f t="shared" si="492"/>
        <v>152.59801251978521</v>
      </c>
      <c r="Y1758" s="7">
        <f t="shared" si="495"/>
        <v>264</v>
      </c>
      <c r="AA1758" s="7">
        <f t="shared" si="496"/>
        <v>1</v>
      </c>
      <c r="AB1758" s="7">
        <f t="shared" si="497"/>
        <v>50</v>
      </c>
      <c r="AC1758" s="7">
        <f t="shared" si="498"/>
        <v>0</v>
      </c>
      <c r="AD1758" s="7" t="str">
        <f t="shared" si="499"/>
        <v/>
      </c>
      <c r="AE1758" s="6">
        <f t="shared" si="500"/>
        <v>0</v>
      </c>
      <c r="AF1758" s="69">
        <f t="shared" si="501"/>
        <v>3.0519602503957044</v>
      </c>
      <c r="AG1758" s="6">
        <f t="shared" si="502"/>
        <v>0</v>
      </c>
      <c r="AH1758" s="6">
        <f t="shared" si="503"/>
        <v>604</v>
      </c>
    </row>
    <row r="1759" spans="8:34" x14ac:dyDescent="0.25">
      <c r="H1759" s="7">
        <v>1766</v>
      </c>
      <c r="I1759" s="7" t="s">
        <v>15</v>
      </c>
      <c r="J1759" s="8">
        <v>38892</v>
      </c>
      <c r="K1759" s="12" t="s">
        <v>18</v>
      </c>
      <c r="L1759" s="9">
        <v>69</v>
      </c>
      <c r="M1759" s="10">
        <v>209.27458050780132</v>
      </c>
      <c r="N1759" s="7" t="s">
        <v>21</v>
      </c>
      <c r="P1759" s="29" t="str">
        <f t="shared" si="486"/>
        <v/>
      </c>
      <c r="Q1759" s="29" t="str">
        <f t="shared" si="487"/>
        <v/>
      </c>
      <c r="R1759" s="29" t="str">
        <f t="shared" si="488"/>
        <v/>
      </c>
      <c r="S1759" s="29" t="str">
        <f t="shared" si="489"/>
        <v/>
      </c>
      <c r="T1759" s="32" t="str">
        <f t="shared" si="490"/>
        <v/>
      </c>
      <c r="U1759" s="32" t="str">
        <f t="shared" si="493"/>
        <v/>
      </c>
      <c r="V1759" s="32">
        <f t="shared" si="494"/>
        <v>1</v>
      </c>
      <c r="W1759" s="41">
        <f t="shared" si="491"/>
        <v>3.0329649348956713</v>
      </c>
      <c r="X1759" s="6">
        <f t="shared" si="492"/>
        <v>0</v>
      </c>
      <c r="Y1759" s="7">
        <f t="shared" si="495"/>
        <v>567</v>
      </c>
      <c r="AA1759" s="7">
        <f t="shared" si="496"/>
        <v>0</v>
      </c>
      <c r="AB1759" s="7" t="str">
        <f t="shared" si="497"/>
        <v/>
      </c>
      <c r="AC1759" s="7">
        <f t="shared" si="498"/>
        <v>0</v>
      </c>
      <c r="AD1759" s="7" t="str">
        <f t="shared" si="499"/>
        <v/>
      </c>
      <c r="AE1759" s="6">
        <f t="shared" si="500"/>
        <v>0</v>
      </c>
      <c r="AF1759" s="69">
        <f t="shared" si="501"/>
        <v>3.0329649348956713</v>
      </c>
      <c r="AG1759" s="6">
        <f t="shared" si="502"/>
        <v>0</v>
      </c>
      <c r="AH1759" s="6">
        <f t="shared" si="503"/>
        <v>604</v>
      </c>
    </row>
    <row r="1760" spans="8:34" x14ac:dyDescent="0.25">
      <c r="H1760" s="7">
        <v>1767</v>
      </c>
      <c r="I1760" s="7" t="s">
        <v>13</v>
      </c>
      <c r="J1760" s="8">
        <v>38870</v>
      </c>
      <c r="K1760" s="12" t="s">
        <v>20</v>
      </c>
      <c r="L1760" s="9">
        <v>-10</v>
      </c>
      <c r="M1760" s="10">
        <v>-28.429474612283389</v>
      </c>
      <c r="N1760" s="7" t="s">
        <v>22</v>
      </c>
      <c r="P1760" s="29" t="str">
        <f t="shared" si="486"/>
        <v/>
      </c>
      <c r="Q1760" s="29" t="str">
        <f t="shared" si="487"/>
        <v/>
      </c>
      <c r="R1760" s="29" t="str">
        <f t="shared" si="488"/>
        <v/>
      </c>
      <c r="S1760" s="29" t="str">
        <f t="shared" si="489"/>
        <v/>
      </c>
      <c r="T1760" s="32" t="str">
        <f t="shared" si="490"/>
        <v/>
      </c>
      <c r="U1760" s="32" t="str">
        <f t="shared" si="493"/>
        <v/>
      </c>
      <c r="V1760" s="32">
        <f t="shared" si="494"/>
        <v>1</v>
      </c>
      <c r="W1760" s="41" t="str">
        <f t="shared" si="491"/>
        <v/>
      </c>
      <c r="X1760" s="6">
        <f t="shared" si="492"/>
        <v>0</v>
      </c>
      <c r="Y1760" s="7">
        <f t="shared" si="495"/>
        <v>567</v>
      </c>
      <c r="AA1760" s="7">
        <f t="shared" si="496"/>
        <v>0</v>
      </c>
      <c r="AB1760" s="7" t="str">
        <f t="shared" si="497"/>
        <v/>
      </c>
      <c r="AC1760" s="7">
        <f t="shared" si="498"/>
        <v>0</v>
      </c>
      <c r="AD1760" s="7" t="str">
        <f t="shared" si="499"/>
        <v/>
      </c>
      <c r="AE1760" s="6">
        <f t="shared" si="500"/>
        <v>-10</v>
      </c>
      <c r="AF1760" s="69" t="str">
        <f t="shared" si="501"/>
        <v/>
      </c>
      <c r="AG1760" s="6">
        <f t="shared" si="502"/>
        <v>0</v>
      </c>
      <c r="AH1760" s="6">
        <f t="shared" si="503"/>
        <v>604</v>
      </c>
    </row>
    <row r="1761" spans="8:34" x14ac:dyDescent="0.25">
      <c r="H1761" s="7">
        <v>1768</v>
      </c>
      <c r="I1761" s="7" t="s">
        <v>10</v>
      </c>
      <c r="J1761" s="8">
        <v>38243</v>
      </c>
      <c r="K1761" s="12" t="s">
        <v>18</v>
      </c>
      <c r="L1761" s="9">
        <v>-10</v>
      </c>
      <c r="M1761" s="10">
        <v>-27.787426760377638</v>
      </c>
      <c r="N1761" s="7" t="s">
        <v>24</v>
      </c>
      <c r="P1761" s="29" t="str">
        <f t="shared" si="486"/>
        <v/>
      </c>
      <c r="Q1761" s="29" t="str">
        <f t="shared" si="487"/>
        <v/>
      </c>
      <c r="R1761" s="29">
        <f t="shared" si="488"/>
        <v>1</v>
      </c>
      <c r="S1761" s="29" t="str">
        <f t="shared" si="489"/>
        <v/>
      </c>
      <c r="T1761" s="32" t="str">
        <f t="shared" si="490"/>
        <v/>
      </c>
      <c r="U1761" s="32" t="str">
        <f t="shared" si="493"/>
        <v/>
      </c>
      <c r="V1761" s="32" t="str">
        <f t="shared" si="494"/>
        <v/>
      </c>
      <c r="W1761" s="41" t="str">
        <f t="shared" si="491"/>
        <v/>
      </c>
      <c r="X1761" s="6">
        <f t="shared" si="492"/>
        <v>0</v>
      </c>
      <c r="Y1761" s="7">
        <f t="shared" si="495"/>
        <v>567</v>
      </c>
      <c r="AA1761" s="7">
        <f t="shared" si="496"/>
        <v>0</v>
      </c>
      <c r="AB1761" s="7" t="str">
        <f t="shared" si="497"/>
        <v/>
      </c>
      <c r="AC1761" s="7">
        <f t="shared" si="498"/>
        <v>0</v>
      </c>
      <c r="AD1761" s="7" t="str">
        <f t="shared" si="499"/>
        <v/>
      </c>
      <c r="AE1761" s="6">
        <f t="shared" si="500"/>
        <v>-10</v>
      </c>
      <c r="AF1761" s="69" t="str">
        <f t="shared" si="501"/>
        <v/>
      </c>
      <c r="AG1761" s="6">
        <f t="shared" si="502"/>
        <v>0</v>
      </c>
      <c r="AH1761" s="6">
        <f t="shared" si="503"/>
        <v>604</v>
      </c>
    </row>
    <row r="1762" spans="8:34" x14ac:dyDescent="0.25">
      <c r="H1762" s="7">
        <v>1769</v>
      </c>
      <c r="I1762" s="7" t="s">
        <v>14</v>
      </c>
      <c r="J1762" s="8">
        <v>38650</v>
      </c>
      <c r="K1762" s="12" t="s">
        <v>20</v>
      </c>
      <c r="L1762" s="9">
        <v>90</v>
      </c>
      <c r="M1762" s="10">
        <v>272.47244684275518</v>
      </c>
      <c r="N1762" s="7" t="s">
        <v>22</v>
      </c>
      <c r="P1762" s="29" t="str">
        <f t="shared" si="486"/>
        <v/>
      </c>
      <c r="Q1762" s="29" t="str">
        <f t="shared" si="487"/>
        <v/>
      </c>
      <c r="R1762" s="29" t="str">
        <f t="shared" si="488"/>
        <v/>
      </c>
      <c r="S1762" s="29" t="str">
        <f t="shared" si="489"/>
        <v/>
      </c>
      <c r="T1762" s="32">
        <f t="shared" si="490"/>
        <v>1</v>
      </c>
      <c r="U1762" s="32">
        <f t="shared" si="493"/>
        <v>1</v>
      </c>
      <c r="V1762" s="32" t="str">
        <f t="shared" si="494"/>
        <v/>
      </c>
      <c r="W1762" s="41">
        <f t="shared" si="491"/>
        <v>3.0274716315861685</v>
      </c>
      <c r="X1762" s="6">
        <f t="shared" si="492"/>
        <v>272.47244684275518</v>
      </c>
      <c r="Y1762" s="7">
        <f t="shared" si="495"/>
        <v>37</v>
      </c>
      <c r="AA1762" s="7">
        <f t="shared" si="496"/>
        <v>0</v>
      </c>
      <c r="AB1762" s="7" t="str">
        <f t="shared" si="497"/>
        <v/>
      </c>
      <c r="AC1762" s="7">
        <f t="shared" si="498"/>
        <v>1</v>
      </c>
      <c r="AD1762" s="7">
        <f t="shared" si="499"/>
        <v>90</v>
      </c>
      <c r="AE1762" s="6">
        <f t="shared" si="500"/>
        <v>0</v>
      </c>
      <c r="AF1762" s="69">
        <f t="shared" si="501"/>
        <v>3.0274716315861685</v>
      </c>
      <c r="AG1762" s="6">
        <f t="shared" si="502"/>
        <v>0</v>
      </c>
      <c r="AH1762" s="6">
        <f t="shared" si="503"/>
        <v>604</v>
      </c>
    </row>
    <row r="1763" spans="8:34" x14ac:dyDescent="0.25">
      <c r="H1763" s="7">
        <v>1770</v>
      </c>
      <c r="I1763" s="7" t="s">
        <v>9</v>
      </c>
      <c r="J1763" s="8">
        <v>39035</v>
      </c>
      <c r="K1763" s="12" t="s">
        <v>18</v>
      </c>
      <c r="L1763" s="9">
        <v>-4</v>
      </c>
      <c r="M1763" s="10">
        <v>-9.8005201872550316</v>
      </c>
      <c r="N1763" s="7" t="s">
        <v>21</v>
      </c>
      <c r="P1763" s="29" t="str">
        <f t="shared" si="486"/>
        <v/>
      </c>
      <c r="Q1763" s="29" t="str">
        <f t="shared" si="487"/>
        <v/>
      </c>
      <c r="R1763" s="29" t="str">
        <f t="shared" si="488"/>
        <v/>
      </c>
      <c r="S1763" s="29" t="str">
        <f t="shared" si="489"/>
        <v/>
      </c>
      <c r="T1763" s="32" t="str">
        <f t="shared" si="490"/>
        <v/>
      </c>
      <c r="U1763" s="32" t="str">
        <f t="shared" si="493"/>
        <v/>
      </c>
      <c r="V1763" s="32">
        <f t="shared" si="494"/>
        <v>1</v>
      </c>
      <c r="W1763" s="41" t="str">
        <f t="shared" si="491"/>
        <v/>
      </c>
      <c r="X1763" s="6">
        <f t="shared" si="492"/>
        <v>0</v>
      </c>
      <c r="Y1763" s="7">
        <f t="shared" si="495"/>
        <v>567</v>
      </c>
      <c r="AA1763" s="7">
        <f t="shared" si="496"/>
        <v>0</v>
      </c>
      <c r="AB1763" s="7" t="str">
        <f t="shared" si="497"/>
        <v/>
      </c>
      <c r="AC1763" s="7">
        <f t="shared" si="498"/>
        <v>0</v>
      </c>
      <c r="AD1763" s="7" t="str">
        <f t="shared" si="499"/>
        <v/>
      </c>
      <c r="AE1763" s="6">
        <f t="shared" si="500"/>
        <v>-4</v>
      </c>
      <c r="AF1763" s="69" t="str">
        <f t="shared" si="501"/>
        <v/>
      </c>
      <c r="AG1763" s="6">
        <f t="shared" si="502"/>
        <v>0</v>
      </c>
      <c r="AH1763" s="6">
        <f t="shared" si="503"/>
        <v>604</v>
      </c>
    </row>
    <row r="1764" spans="8:34" x14ac:dyDescent="0.25">
      <c r="H1764" s="7">
        <v>1771</v>
      </c>
      <c r="I1764" s="7" t="s">
        <v>7</v>
      </c>
      <c r="J1764" s="8">
        <v>38947</v>
      </c>
      <c r="K1764" s="12" t="s">
        <v>17</v>
      </c>
      <c r="L1764" s="9">
        <v>14</v>
      </c>
      <c r="M1764" s="10">
        <v>44.066692086610537</v>
      </c>
      <c r="N1764" s="7" t="s">
        <v>23</v>
      </c>
      <c r="P1764" s="29" t="str">
        <f t="shared" si="486"/>
        <v/>
      </c>
      <c r="Q1764" s="29" t="str">
        <f t="shared" si="487"/>
        <v/>
      </c>
      <c r="R1764" s="29" t="str">
        <f t="shared" si="488"/>
        <v/>
      </c>
      <c r="S1764" s="29" t="str">
        <f t="shared" si="489"/>
        <v/>
      </c>
      <c r="T1764" s="32" t="str">
        <f t="shared" si="490"/>
        <v/>
      </c>
      <c r="U1764" s="32" t="str">
        <f t="shared" si="493"/>
        <v/>
      </c>
      <c r="V1764" s="32">
        <f t="shared" si="494"/>
        <v>1</v>
      </c>
      <c r="W1764" s="41">
        <f t="shared" si="491"/>
        <v>3.1476208633293239</v>
      </c>
      <c r="X1764" s="6">
        <f t="shared" si="492"/>
        <v>0</v>
      </c>
      <c r="Y1764" s="7">
        <f t="shared" si="495"/>
        <v>567</v>
      </c>
      <c r="AA1764" s="7">
        <f t="shared" si="496"/>
        <v>0</v>
      </c>
      <c r="AB1764" s="7" t="str">
        <f t="shared" si="497"/>
        <v/>
      </c>
      <c r="AC1764" s="7">
        <f t="shared" si="498"/>
        <v>0</v>
      </c>
      <c r="AD1764" s="7" t="str">
        <f t="shared" si="499"/>
        <v/>
      </c>
      <c r="AE1764" s="6">
        <f t="shared" si="500"/>
        <v>0</v>
      </c>
      <c r="AF1764" s="69">
        <f t="shared" si="501"/>
        <v>3.1476208633293239</v>
      </c>
      <c r="AG1764" s="6">
        <f t="shared" si="502"/>
        <v>0</v>
      </c>
      <c r="AH1764" s="6">
        <f t="shared" si="503"/>
        <v>604</v>
      </c>
    </row>
    <row r="1765" spans="8:34" x14ac:dyDescent="0.25">
      <c r="H1765" s="7">
        <v>1772</v>
      </c>
      <c r="I1765" s="7" t="s">
        <v>13</v>
      </c>
      <c r="J1765" s="8">
        <v>38705</v>
      </c>
      <c r="K1765" s="12" t="s">
        <v>17</v>
      </c>
      <c r="L1765" s="9">
        <v>13</v>
      </c>
      <c r="M1765" s="10">
        <v>41.651608836226835</v>
      </c>
      <c r="N1765" s="7" t="s">
        <v>24</v>
      </c>
      <c r="P1765" s="29" t="str">
        <f t="shared" si="486"/>
        <v/>
      </c>
      <c r="Q1765" s="29" t="str">
        <f t="shared" si="487"/>
        <v/>
      </c>
      <c r="R1765" s="29" t="str">
        <f t="shared" si="488"/>
        <v/>
      </c>
      <c r="S1765" s="29" t="str">
        <f t="shared" si="489"/>
        <v/>
      </c>
      <c r="T1765" s="32">
        <f t="shared" si="490"/>
        <v>1</v>
      </c>
      <c r="U1765" s="32">
        <f t="shared" si="493"/>
        <v>1</v>
      </c>
      <c r="V1765" s="32" t="str">
        <f t="shared" si="494"/>
        <v/>
      </c>
      <c r="W1765" s="41">
        <f t="shared" si="491"/>
        <v>3.2039699104789872</v>
      </c>
      <c r="X1765" s="6">
        <f t="shared" si="492"/>
        <v>41.651608836226835</v>
      </c>
      <c r="Y1765" s="7">
        <f t="shared" si="495"/>
        <v>475</v>
      </c>
      <c r="AA1765" s="7">
        <f t="shared" si="496"/>
        <v>0</v>
      </c>
      <c r="AB1765" s="7" t="str">
        <f t="shared" si="497"/>
        <v/>
      </c>
      <c r="AC1765" s="7">
        <f t="shared" si="498"/>
        <v>1</v>
      </c>
      <c r="AD1765" s="7">
        <f t="shared" si="499"/>
        <v>13</v>
      </c>
      <c r="AE1765" s="6">
        <f t="shared" si="500"/>
        <v>0</v>
      </c>
      <c r="AF1765" s="69">
        <f t="shared" si="501"/>
        <v>3.2039699104789872</v>
      </c>
      <c r="AG1765" s="6">
        <f t="shared" si="502"/>
        <v>0</v>
      </c>
      <c r="AH1765" s="6">
        <f t="shared" si="503"/>
        <v>604</v>
      </c>
    </row>
    <row r="1766" spans="8:34" x14ac:dyDescent="0.25">
      <c r="H1766" s="7">
        <v>1773</v>
      </c>
      <c r="I1766" s="7" t="s">
        <v>11</v>
      </c>
      <c r="J1766" s="8">
        <v>38188</v>
      </c>
      <c r="K1766" s="12" t="s">
        <v>18</v>
      </c>
      <c r="L1766" s="9">
        <v>-10</v>
      </c>
      <c r="M1766" s="10">
        <v>-27.449007372488328</v>
      </c>
      <c r="N1766" s="7" t="s">
        <v>22</v>
      </c>
      <c r="P1766" s="29" t="str">
        <f t="shared" si="486"/>
        <v/>
      </c>
      <c r="Q1766" s="29" t="str">
        <f t="shared" si="487"/>
        <v/>
      </c>
      <c r="R1766" s="29">
        <f t="shared" si="488"/>
        <v>1</v>
      </c>
      <c r="S1766" s="29" t="str">
        <f t="shared" si="489"/>
        <v/>
      </c>
      <c r="T1766" s="32" t="str">
        <f t="shared" si="490"/>
        <v/>
      </c>
      <c r="U1766" s="32" t="str">
        <f t="shared" si="493"/>
        <v/>
      </c>
      <c r="V1766" s="32" t="str">
        <f t="shared" si="494"/>
        <v/>
      </c>
      <c r="W1766" s="41" t="str">
        <f t="shared" si="491"/>
        <v/>
      </c>
      <c r="X1766" s="6">
        <f t="shared" si="492"/>
        <v>0</v>
      </c>
      <c r="Y1766" s="7">
        <f t="shared" si="495"/>
        <v>567</v>
      </c>
      <c r="AA1766" s="7">
        <f t="shared" si="496"/>
        <v>0</v>
      </c>
      <c r="AB1766" s="7" t="str">
        <f t="shared" si="497"/>
        <v/>
      </c>
      <c r="AC1766" s="7">
        <f t="shared" si="498"/>
        <v>0</v>
      </c>
      <c r="AD1766" s="7" t="str">
        <f t="shared" si="499"/>
        <v/>
      </c>
      <c r="AE1766" s="6">
        <f t="shared" si="500"/>
        <v>-10</v>
      </c>
      <c r="AF1766" s="69" t="str">
        <f t="shared" si="501"/>
        <v/>
      </c>
      <c r="AG1766" s="6">
        <f t="shared" si="502"/>
        <v>0</v>
      </c>
      <c r="AH1766" s="6">
        <f t="shared" si="503"/>
        <v>604</v>
      </c>
    </row>
    <row r="1767" spans="8:34" x14ac:dyDescent="0.25">
      <c r="H1767" s="7">
        <v>1774</v>
      </c>
      <c r="I1767" s="7" t="s">
        <v>15</v>
      </c>
      <c r="J1767" s="8">
        <v>38397</v>
      </c>
      <c r="K1767" s="12" t="s">
        <v>18</v>
      </c>
      <c r="L1767" s="9">
        <v>81</v>
      </c>
      <c r="M1767" s="10">
        <v>244.96209724909312</v>
      </c>
      <c r="N1767" s="7" t="s">
        <v>24</v>
      </c>
      <c r="P1767" s="29" t="str">
        <f t="shared" si="486"/>
        <v/>
      </c>
      <c r="Q1767" s="29" t="str">
        <f t="shared" si="487"/>
        <v/>
      </c>
      <c r="R1767" s="29" t="str">
        <f t="shared" si="488"/>
        <v/>
      </c>
      <c r="S1767" s="29" t="str">
        <f t="shared" si="489"/>
        <v/>
      </c>
      <c r="T1767" s="32" t="str">
        <f t="shared" si="490"/>
        <v/>
      </c>
      <c r="U1767" s="32">
        <f t="shared" si="493"/>
        <v>1</v>
      </c>
      <c r="V1767" s="32" t="str">
        <f t="shared" si="494"/>
        <v/>
      </c>
      <c r="W1767" s="41">
        <f t="shared" si="491"/>
        <v>3.0242234228283102</v>
      </c>
      <c r="X1767" s="6">
        <f t="shared" si="492"/>
        <v>244.96209724909312</v>
      </c>
      <c r="Y1767" s="7">
        <f t="shared" si="495"/>
        <v>96</v>
      </c>
      <c r="AA1767" s="7">
        <f t="shared" si="496"/>
        <v>1</v>
      </c>
      <c r="AB1767" s="7">
        <f t="shared" si="497"/>
        <v>81</v>
      </c>
      <c r="AC1767" s="7">
        <f t="shared" si="498"/>
        <v>0</v>
      </c>
      <c r="AD1767" s="7" t="str">
        <f t="shared" si="499"/>
        <v/>
      </c>
      <c r="AE1767" s="6">
        <f t="shared" si="500"/>
        <v>0</v>
      </c>
      <c r="AF1767" s="69">
        <f t="shared" si="501"/>
        <v>3.0242234228283102</v>
      </c>
      <c r="AG1767" s="6">
        <f t="shared" si="502"/>
        <v>0</v>
      </c>
      <c r="AH1767" s="6">
        <f t="shared" si="503"/>
        <v>604</v>
      </c>
    </row>
    <row r="1768" spans="8:34" x14ac:dyDescent="0.25">
      <c r="H1768" s="7">
        <v>1775</v>
      </c>
      <c r="I1768" s="7" t="s">
        <v>7</v>
      </c>
      <c r="J1768" s="8">
        <v>38353</v>
      </c>
      <c r="K1768" s="12" t="s">
        <v>18</v>
      </c>
      <c r="L1768" s="9">
        <v>91</v>
      </c>
      <c r="M1768" s="10">
        <v>274.01633323079733</v>
      </c>
      <c r="N1768" s="7" t="s">
        <v>23</v>
      </c>
      <c r="P1768" s="29" t="str">
        <f t="shared" si="486"/>
        <v/>
      </c>
      <c r="Q1768" s="29" t="str">
        <f t="shared" si="487"/>
        <v/>
      </c>
      <c r="R1768" s="29" t="str">
        <f t="shared" si="488"/>
        <v/>
      </c>
      <c r="S1768" s="29" t="str">
        <f t="shared" si="489"/>
        <v/>
      </c>
      <c r="T1768" s="32" t="str">
        <f t="shared" si="490"/>
        <v/>
      </c>
      <c r="U1768" s="32">
        <f t="shared" si="493"/>
        <v>1</v>
      </c>
      <c r="V1768" s="32" t="str">
        <f t="shared" si="494"/>
        <v/>
      </c>
      <c r="W1768" s="41">
        <f t="shared" si="491"/>
        <v>3.0111684970417287</v>
      </c>
      <c r="X1768" s="6">
        <f t="shared" si="492"/>
        <v>274.01633323079733</v>
      </c>
      <c r="Y1768" s="7">
        <f t="shared" si="495"/>
        <v>36</v>
      </c>
      <c r="AA1768" s="7">
        <f t="shared" si="496"/>
        <v>1</v>
      </c>
      <c r="AB1768" s="7">
        <f t="shared" si="497"/>
        <v>91</v>
      </c>
      <c r="AC1768" s="7">
        <f t="shared" si="498"/>
        <v>0</v>
      </c>
      <c r="AD1768" s="7" t="str">
        <f t="shared" si="499"/>
        <v/>
      </c>
      <c r="AE1768" s="6">
        <f t="shared" si="500"/>
        <v>0</v>
      </c>
      <c r="AF1768" s="69">
        <f t="shared" si="501"/>
        <v>3.0111684970417287</v>
      </c>
      <c r="AG1768" s="6">
        <f t="shared" si="502"/>
        <v>0</v>
      </c>
      <c r="AH1768" s="6">
        <f t="shared" si="503"/>
        <v>604</v>
      </c>
    </row>
    <row r="1769" spans="8:34" x14ac:dyDescent="0.25">
      <c r="H1769" s="7">
        <v>1776</v>
      </c>
      <c r="I1769" s="7" t="s">
        <v>12</v>
      </c>
      <c r="J1769" s="8">
        <v>38342</v>
      </c>
      <c r="K1769" s="12" t="s">
        <v>17</v>
      </c>
      <c r="L1769" s="9">
        <v>7</v>
      </c>
      <c r="M1769" s="10">
        <v>23.096103574094034</v>
      </c>
      <c r="N1769" s="7" t="s">
        <v>21</v>
      </c>
      <c r="P1769" s="29" t="str">
        <f t="shared" si="486"/>
        <v/>
      </c>
      <c r="Q1769" s="29" t="str">
        <f t="shared" si="487"/>
        <v/>
      </c>
      <c r="R1769" s="29" t="str">
        <f t="shared" si="488"/>
        <v/>
      </c>
      <c r="S1769" s="29">
        <f t="shared" si="489"/>
        <v>1</v>
      </c>
      <c r="T1769" s="32" t="str">
        <f t="shared" si="490"/>
        <v/>
      </c>
      <c r="U1769" s="32" t="str">
        <f t="shared" si="493"/>
        <v/>
      </c>
      <c r="V1769" s="32" t="str">
        <f t="shared" si="494"/>
        <v/>
      </c>
      <c r="W1769" s="41">
        <f t="shared" si="491"/>
        <v>3.2994433677277191</v>
      </c>
      <c r="X1769" s="6">
        <f t="shared" si="492"/>
        <v>0</v>
      </c>
      <c r="Y1769" s="7">
        <f t="shared" si="495"/>
        <v>567</v>
      </c>
      <c r="AA1769" s="7">
        <f t="shared" si="496"/>
        <v>0</v>
      </c>
      <c r="AB1769" s="7" t="str">
        <f t="shared" si="497"/>
        <v/>
      </c>
      <c r="AC1769" s="7">
        <f t="shared" si="498"/>
        <v>0</v>
      </c>
      <c r="AD1769" s="7" t="str">
        <f t="shared" si="499"/>
        <v/>
      </c>
      <c r="AE1769" s="6">
        <f t="shared" si="500"/>
        <v>0</v>
      </c>
      <c r="AF1769" s="69">
        <f t="shared" si="501"/>
        <v>3.2994433677277191</v>
      </c>
      <c r="AG1769" s="6">
        <f t="shared" si="502"/>
        <v>23.096103574094034</v>
      </c>
      <c r="AH1769" s="6">
        <f t="shared" si="503"/>
        <v>550</v>
      </c>
    </row>
    <row r="1770" spans="8:34" x14ac:dyDescent="0.25">
      <c r="H1770" s="7">
        <v>1777</v>
      </c>
      <c r="I1770" s="7" t="s">
        <v>7</v>
      </c>
      <c r="J1770" s="8">
        <v>38705</v>
      </c>
      <c r="K1770" s="12" t="s">
        <v>16</v>
      </c>
      <c r="L1770" s="9">
        <v>95</v>
      </c>
      <c r="M1770" s="10">
        <v>286.4091350392265</v>
      </c>
      <c r="N1770" s="7" t="s">
        <v>22</v>
      </c>
      <c r="P1770" s="29" t="str">
        <f t="shared" si="486"/>
        <v/>
      </c>
      <c r="Q1770" s="29" t="str">
        <f t="shared" si="487"/>
        <v/>
      </c>
      <c r="R1770" s="29" t="str">
        <f t="shared" si="488"/>
        <v/>
      </c>
      <c r="S1770" s="29" t="str">
        <f t="shared" si="489"/>
        <v/>
      </c>
      <c r="T1770" s="32">
        <f t="shared" si="490"/>
        <v>1</v>
      </c>
      <c r="U1770" s="32">
        <f t="shared" si="493"/>
        <v>1</v>
      </c>
      <c r="V1770" s="32" t="str">
        <f t="shared" si="494"/>
        <v/>
      </c>
      <c r="W1770" s="41">
        <f t="shared" si="491"/>
        <v>3.0148330004129105</v>
      </c>
      <c r="X1770" s="6">
        <f t="shared" si="492"/>
        <v>286.4091350392265</v>
      </c>
      <c r="Y1770" s="7">
        <f t="shared" si="495"/>
        <v>7</v>
      </c>
      <c r="AA1770" s="7">
        <f t="shared" si="496"/>
        <v>0</v>
      </c>
      <c r="AB1770" s="7" t="str">
        <f t="shared" si="497"/>
        <v/>
      </c>
      <c r="AC1770" s="7">
        <f t="shared" si="498"/>
        <v>1</v>
      </c>
      <c r="AD1770" s="7">
        <f t="shared" si="499"/>
        <v>95</v>
      </c>
      <c r="AE1770" s="6">
        <f t="shared" si="500"/>
        <v>0</v>
      </c>
      <c r="AF1770" s="69">
        <f t="shared" si="501"/>
        <v>3.0148330004129105</v>
      </c>
      <c r="AG1770" s="6">
        <f t="shared" si="502"/>
        <v>0</v>
      </c>
      <c r="AH1770" s="6">
        <f t="shared" si="503"/>
        <v>604</v>
      </c>
    </row>
    <row r="1771" spans="8:34" x14ac:dyDescent="0.25">
      <c r="H1771" s="7">
        <v>1778</v>
      </c>
      <c r="I1771" s="7" t="s">
        <v>11</v>
      </c>
      <c r="J1771" s="8">
        <v>38793</v>
      </c>
      <c r="K1771" s="12" t="s">
        <v>20</v>
      </c>
      <c r="L1771" s="9">
        <v>7</v>
      </c>
      <c r="M1771" s="10">
        <v>23.460398451433193</v>
      </c>
      <c r="N1771" s="7" t="s">
        <v>24</v>
      </c>
      <c r="P1771" s="29" t="str">
        <f t="shared" si="486"/>
        <v/>
      </c>
      <c r="Q1771" s="29" t="str">
        <f t="shared" si="487"/>
        <v/>
      </c>
      <c r="R1771" s="29" t="str">
        <f t="shared" si="488"/>
        <v/>
      </c>
      <c r="S1771" s="29" t="str">
        <f t="shared" si="489"/>
        <v/>
      </c>
      <c r="T1771" s="32" t="str">
        <f t="shared" si="490"/>
        <v/>
      </c>
      <c r="U1771" s="32" t="str">
        <f t="shared" si="493"/>
        <v/>
      </c>
      <c r="V1771" s="32">
        <f t="shared" si="494"/>
        <v>1</v>
      </c>
      <c r="W1771" s="41">
        <f t="shared" si="491"/>
        <v>3.3514854930618845</v>
      </c>
      <c r="X1771" s="6">
        <f t="shared" si="492"/>
        <v>0</v>
      </c>
      <c r="Y1771" s="7">
        <f t="shared" si="495"/>
        <v>567</v>
      </c>
      <c r="AA1771" s="7">
        <f t="shared" si="496"/>
        <v>0</v>
      </c>
      <c r="AB1771" s="7" t="str">
        <f t="shared" si="497"/>
        <v/>
      </c>
      <c r="AC1771" s="7">
        <f t="shared" si="498"/>
        <v>0</v>
      </c>
      <c r="AD1771" s="7" t="str">
        <f t="shared" si="499"/>
        <v/>
      </c>
      <c r="AE1771" s="6">
        <f t="shared" si="500"/>
        <v>0</v>
      </c>
      <c r="AF1771" s="69">
        <f t="shared" si="501"/>
        <v>3.3514854930618845</v>
      </c>
      <c r="AG1771" s="6">
        <f t="shared" si="502"/>
        <v>0</v>
      </c>
      <c r="AH1771" s="6">
        <f t="shared" si="503"/>
        <v>604</v>
      </c>
    </row>
    <row r="1772" spans="8:34" x14ac:dyDescent="0.25">
      <c r="H1772" s="7">
        <v>1779</v>
      </c>
      <c r="I1772" s="7" t="s">
        <v>13</v>
      </c>
      <c r="J1772" s="8">
        <v>38452</v>
      </c>
      <c r="K1772" s="12" t="s">
        <v>20</v>
      </c>
      <c r="L1772" s="9">
        <v>9</v>
      </c>
      <c r="M1772" s="10">
        <v>29.496709116948491</v>
      </c>
      <c r="N1772" s="7" t="s">
        <v>24</v>
      </c>
      <c r="P1772" s="29" t="str">
        <f t="shared" si="486"/>
        <v/>
      </c>
      <c r="Q1772" s="29" t="str">
        <f t="shared" si="487"/>
        <v/>
      </c>
      <c r="R1772" s="29" t="str">
        <f t="shared" si="488"/>
        <v/>
      </c>
      <c r="S1772" s="29" t="str">
        <f t="shared" si="489"/>
        <v/>
      </c>
      <c r="T1772" s="32" t="str">
        <f t="shared" si="490"/>
        <v/>
      </c>
      <c r="U1772" s="32">
        <f t="shared" si="493"/>
        <v>1</v>
      </c>
      <c r="V1772" s="32" t="str">
        <f t="shared" si="494"/>
        <v/>
      </c>
      <c r="W1772" s="41">
        <f t="shared" si="491"/>
        <v>3.2774121241053877</v>
      </c>
      <c r="X1772" s="6">
        <f t="shared" si="492"/>
        <v>29.496709116948491</v>
      </c>
      <c r="Y1772" s="7">
        <f t="shared" si="495"/>
        <v>502</v>
      </c>
      <c r="AA1772" s="7">
        <f t="shared" si="496"/>
        <v>0</v>
      </c>
      <c r="AB1772" s="7" t="str">
        <f t="shared" si="497"/>
        <v/>
      </c>
      <c r="AC1772" s="7">
        <f t="shared" si="498"/>
        <v>1</v>
      </c>
      <c r="AD1772" s="7">
        <f t="shared" si="499"/>
        <v>9</v>
      </c>
      <c r="AE1772" s="6">
        <f t="shared" si="500"/>
        <v>0</v>
      </c>
      <c r="AF1772" s="69">
        <f t="shared" si="501"/>
        <v>3.2774121241053877</v>
      </c>
      <c r="AG1772" s="6">
        <f t="shared" si="502"/>
        <v>0</v>
      </c>
      <c r="AH1772" s="6">
        <f t="shared" si="503"/>
        <v>604</v>
      </c>
    </row>
    <row r="1773" spans="8:34" x14ac:dyDescent="0.25">
      <c r="H1773" s="7">
        <v>1780</v>
      </c>
      <c r="I1773" s="7" t="s">
        <v>13</v>
      </c>
      <c r="J1773" s="8">
        <v>38111</v>
      </c>
      <c r="K1773" s="12" t="s">
        <v>18</v>
      </c>
      <c r="L1773" s="9">
        <v>16</v>
      </c>
      <c r="M1773" s="10">
        <v>50.32304691843445</v>
      </c>
      <c r="N1773" s="7" t="s">
        <v>21</v>
      </c>
      <c r="P1773" s="29" t="str">
        <f t="shared" si="486"/>
        <v/>
      </c>
      <c r="Q1773" s="29">
        <f t="shared" si="487"/>
        <v>1</v>
      </c>
      <c r="R1773" s="29" t="str">
        <f t="shared" si="488"/>
        <v/>
      </c>
      <c r="S1773" s="29" t="str">
        <f t="shared" si="489"/>
        <v/>
      </c>
      <c r="T1773" s="32" t="str">
        <f t="shared" si="490"/>
        <v/>
      </c>
      <c r="U1773" s="32" t="str">
        <f t="shared" si="493"/>
        <v/>
      </c>
      <c r="V1773" s="32" t="str">
        <f t="shared" si="494"/>
        <v/>
      </c>
      <c r="W1773" s="41">
        <f t="shared" si="491"/>
        <v>3.1451904324021531</v>
      </c>
      <c r="X1773" s="6">
        <f t="shared" si="492"/>
        <v>0</v>
      </c>
      <c r="Y1773" s="7">
        <f t="shared" si="495"/>
        <v>567</v>
      </c>
      <c r="AA1773" s="7">
        <f t="shared" si="496"/>
        <v>0</v>
      </c>
      <c r="AB1773" s="7" t="str">
        <f t="shared" si="497"/>
        <v/>
      </c>
      <c r="AC1773" s="7">
        <f t="shared" si="498"/>
        <v>0</v>
      </c>
      <c r="AD1773" s="7" t="str">
        <f t="shared" si="499"/>
        <v/>
      </c>
      <c r="AE1773" s="6">
        <f t="shared" si="500"/>
        <v>0</v>
      </c>
      <c r="AF1773" s="69">
        <f t="shared" si="501"/>
        <v>3.1451904324021531</v>
      </c>
      <c r="AG1773" s="6">
        <f t="shared" si="502"/>
        <v>50.32304691843445</v>
      </c>
      <c r="AH1773" s="6">
        <f t="shared" si="503"/>
        <v>479</v>
      </c>
    </row>
    <row r="1774" spans="8:34" x14ac:dyDescent="0.25">
      <c r="H1774" s="7">
        <v>1781</v>
      </c>
      <c r="I1774" s="7" t="s">
        <v>9</v>
      </c>
      <c r="J1774" s="8">
        <v>38408</v>
      </c>
      <c r="K1774" s="12" t="s">
        <v>17</v>
      </c>
      <c r="L1774" s="9">
        <v>37</v>
      </c>
      <c r="M1774" s="10">
        <v>112.6423668975758</v>
      </c>
      <c r="N1774" s="7" t="s">
        <v>24</v>
      </c>
      <c r="P1774" s="29" t="str">
        <f t="shared" si="486"/>
        <v/>
      </c>
      <c r="Q1774" s="29" t="str">
        <f t="shared" si="487"/>
        <v/>
      </c>
      <c r="R1774" s="29" t="str">
        <f t="shared" si="488"/>
        <v/>
      </c>
      <c r="S1774" s="29" t="str">
        <f t="shared" si="489"/>
        <v/>
      </c>
      <c r="T1774" s="32" t="str">
        <f t="shared" si="490"/>
        <v/>
      </c>
      <c r="U1774" s="32">
        <f t="shared" si="493"/>
        <v>1</v>
      </c>
      <c r="V1774" s="32" t="str">
        <f t="shared" si="494"/>
        <v/>
      </c>
      <c r="W1774" s="41">
        <f t="shared" si="491"/>
        <v>3.0443882945290754</v>
      </c>
      <c r="X1774" s="6">
        <f t="shared" si="492"/>
        <v>112.6423668975758</v>
      </c>
      <c r="Y1774" s="7">
        <f t="shared" si="495"/>
        <v>336</v>
      </c>
      <c r="AA1774" s="7">
        <f t="shared" si="496"/>
        <v>1</v>
      </c>
      <c r="AB1774" s="7">
        <f t="shared" si="497"/>
        <v>37</v>
      </c>
      <c r="AC1774" s="7">
        <f t="shared" si="498"/>
        <v>0</v>
      </c>
      <c r="AD1774" s="7" t="str">
        <f t="shared" si="499"/>
        <v/>
      </c>
      <c r="AE1774" s="6">
        <f t="shared" si="500"/>
        <v>0</v>
      </c>
      <c r="AF1774" s="69">
        <f t="shared" si="501"/>
        <v>3.0443882945290754</v>
      </c>
      <c r="AG1774" s="6">
        <f t="shared" si="502"/>
        <v>0</v>
      </c>
      <c r="AH1774" s="6">
        <f t="shared" si="503"/>
        <v>604</v>
      </c>
    </row>
    <row r="1775" spans="8:34" x14ac:dyDescent="0.25">
      <c r="H1775" s="7">
        <v>1782</v>
      </c>
      <c r="I1775" s="7" t="s">
        <v>15</v>
      </c>
      <c r="J1775" s="8">
        <v>38991</v>
      </c>
      <c r="K1775" s="12" t="s">
        <v>17</v>
      </c>
      <c r="L1775" s="9">
        <v>38</v>
      </c>
      <c r="M1775" s="10">
        <v>115.86694350408794</v>
      </c>
      <c r="N1775" s="7" t="s">
        <v>23</v>
      </c>
      <c r="P1775" s="29" t="str">
        <f t="shared" si="486"/>
        <v/>
      </c>
      <c r="Q1775" s="29" t="str">
        <f t="shared" si="487"/>
        <v/>
      </c>
      <c r="R1775" s="29" t="str">
        <f t="shared" si="488"/>
        <v/>
      </c>
      <c r="S1775" s="29" t="str">
        <f t="shared" si="489"/>
        <v/>
      </c>
      <c r="T1775" s="32" t="str">
        <f t="shared" si="490"/>
        <v/>
      </c>
      <c r="U1775" s="32" t="str">
        <f t="shared" si="493"/>
        <v/>
      </c>
      <c r="V1775" s="32">
        <f t="shared" si="494"/>
        <v>1</v>
      </c>
      <c r="W1775" s="41">
        <f t="shared" si="491"/>
        <v>3.0491300922128404</v>
      </c>
      <c r="X1775" s="6">
        <f t="shared" si="492"/>
        <v>0</v>
      </c>
      <c r="Y1775" s="7">
        <f t="shared" si="495"/>
        <v>567</v>
      </c>
      <c r="AA1775" s="7">
        <f t="shared" si="496"/>
        <v>0</v>
      </c>
      <c r="AB1775" s="7" t="str">
        <f t="shared" si="497"/>
        <v/>
      </c>
      <c r="AC1775" s="7">
        <f t="shared" si="498"/>
        <v>0</v>
      </c>
      <c r="AD1775" s="7" t="str">
        <f t="shared" si="499"/>
        <v/>
      </c>
      <c r="AE1775" s="6">
        <f t="shared" si="500"/>
        <v>0</v>
      </c>
      <c r="AF1775" s="69">
        <f t="shared" si="501"/>
        <v>3.0491300922128404</v>
      </c>
      <c r="AG1775" s="6">
        <f t="shared" si="502"/>
        <v>0</v>
      </c>
      <c r="AH1775" s="6">
        <f t="shared" si="503"/>
        <v>604</v>
      </c>
    </row>
    <row r="1776" spans="8:34" x14ac:dyDescent="0.25">
      <c r="H1776" s="7">
        <v>1783</v>
      </c>
      <c r="I1776" s="7" t="s">
        <v>7</v>
      </c>
      <c r="J1776" s="8">
        <v>38980</v>
      </c>
      <c r="K1776" s="12" t="s">
        <v>19</v>
      </c>
      <c r="L1776" s="9">
        <v>43</v>
      </c>
      <c r="M1776" s="10">
        <v>130.38058732657913</v>
      </c>
      <c r="N1776" s="7" t="s">
        <v>24</v>
      </c>
      <c r="P1776" s="29" t="str">
        <f t="shared" si="486"/>
        <v/>
      </c>
      <c r="Q1776" s="29" t="str">
        <f t="shared" si="487"/>
        <v/>
      </c>
      <c r="R1776" s="29" t="str">
        <f t="shared" si="488"/>
        <v/>
      </c>
      <c r="S1776" s="29" t="str">
        <f t="shared" si="489"/>
        <v/>
      </c>
      <c r="T1776" s="32" t="str">
        <f t="shared" si="490"/>
        <v/>
      </c>
      <c r="U1776" s="32" t="str">
        <f t="shared" si="493"/>
        <v/>
      </c>
      <c r="V1776" s="32">
        <f t="shared" si="494"/>
        <v>1</v>
      </c>
      <c r="W1776" s="41">
        <f t="shared" si="491"/>
        <v>3.0321066820134681</v>
      </c>
      <c r="X1776" s="6">
        <f t="shared" si="492"/>
        <v>0</v>
      </c>
      <c r="Y1776" s="7">
        <f t="shared" si="495"/>
        <v>567</v>
      </c>
      <c r="AA1776" s="7">
        <f t="shared" si="496"/>
        <v>0</v>
      </c>
      <c r="AB1776" s="7" t="str">
        <f t="shared" si="497"/>
        <v/>
      </c>
      <c r="AC1776" s="7">
        <f t="shared" si="498"/>
        <v>0</v>
      </c>
      <c r="AD1776" s="7" t="str">
        <f t="shared" si="499"/>
        <v/>
      </c>
      <c r="AE1776" s="6">
        <f t="shared" si="500"/>
        <v>0</v>
      </c>
      <c r="AF1776" s="69">
        <f t="shared" si="501"/>
        <v>3.0321066820134681</v>
      </c>
      <c r="AG1776" s="6">
        <f t="shared" si="502"/>
        <v>0</v>
      </c>
      <c r="AH1776" s="6">
        <f t="shared" si="503"/>
        <v>604</v>
      </c>
    </row>
    <row r="1777" spans="8:34" x14ac:dyDescent="0.25">
      <c r="H1777" s="7">
        <v>1784</v>
      </c>
      <c r="I1777" s="7" t="s">
        <v>15</v>
      </c>
      <c r="J1777" s="8">
        <v>38903</v>
      </c>
      <c r="K1777" s="12" t="s">
        <v>20</v>
      </c>
      <c r="L1777" s="9">
        <v>-5</v>
      </c>
      <c r="M1777" s="10">
        <v>-12.649706737241745</v>
      </c>
      <c r="N1777" s="7" t="s">
        <v>22</v>
      </c>
      <c r="P1777" s="29" t="str">
        <f t="shared" si="486"/>
        <v/>
      </c>
      <c r="Q1777" s="29" t="str">
        <f t="shared" si="487"/>
        <v/>
      </c>
      <c r="R1777" s="29" t="str">
        <f t="shared" si="488"/>
        <v/>
      </c>
      <c r="S1777" s="29" t="str">
        <f t="shared" si="489"/>
        <v/>
      </c>
      <c r="T1777" s="32" t="str">
        <f t="shared" si="490"/>
        <v/>
      </c>
      <c r="U1777" s="32" t="str">
        <f t="shared" si="493"/>
        <v/>
      </c>
      <c r="V1777" s="32">
        <f t="shared" si="494"/>
        <v>1</v>
      </c>
      <c r="W1777" s="41" t="str">
        <f t="shared" si="491"/>
        <v/>
      </c>
      <c r="X1777" s="6">
        <f t="shared" si="492"/>
        <v>0</v>
      </c>
      <c r="Y1777" s="7">
        <f t="shared" si="495"/>
        <v>567</v>
      </c>
      <c r="AA1777" s="7">
        <f t="shared" si="496"/>
        <v>0</v>
      </c>
      <c r="AB1777" s="7" t="str">
        <f t="shared" si="497"/>
        <v/>
      </c>
      <c r="AC1777" s="7">
        <f t="shared" si="498"/>
        <v>0</v>
      </c>
      <c r="AD1777" s="7" t="str">
        <f t="shared" si="499"/>
        <v/>
      </c>
      <c r="AE1777" s="6">
        <f t="shared" si="500"/>
        <v>-5</v>
      </c>
      <c r="AF1777" s="69" t="str">
        <f t="shared" si="501"/>
        <v/>
      </c>
      <c r="AG1777" s="6">
        <f t="shared" si="502"/>
        <v>0</v>
      </c>
      <c r="AH1777" s="6">
        <f t="shared" si="503"/>
        <v>604</v>
      </c>
    </row>
    <row r="1778" spans="8:34" x14ac:dyDescent="0.25">
      <c r="H1778" s="7">
        <v>1785</v>
      </c>
      <c r="I1778" s="7" t="s">
        <v>13</v>
      </c>
      <c r="J1778" s="8">
        <v>39035</v>
      </c>
      <c r="K1778" s="12" t="s">
        <v>16</v>
      </c>
      <c r="L1778" s="9">
        <v>9</v>
      </c>
      <c r="M1778" s="10">
        <v>28.951087924744211</v>
      </c>
      <c r="N1778" s="7" t="s">
        <v>23</v>
      </c>
      <c r="P1778" s="29" t="str">
        <f t="shared" si="486"/>
        <v/>
      </c>
      <c r="Q1778" s="29" t="str">
        <f t="shared" si="487"/>
        <v/>
      </c>
      <c r="R1778" s="29" t="str">
        <f t="shared" si="488"/>
        <v/>
      </c>
      <c r="S1778" s="29" t="str">
        <f t="shared" si="489"/>
        <v/>
      </c>
      <c r="T1778" s="32" t="str">
        <f t="shared" si="490"/>
        <v/>
      </c>
      <c r="U1778" s="32" t="str">
        <f t="shared" si="493"/>
        <v/>
      </c>
      <c r="V1778" s="32">
        <f t="shared" si="494"/>
        <v>1</v>
      </c>
      <c r="W1778" s="41">
        <f t="shared" si="491"/>
        <v>3.2167875471938014</v>
      </c>
      <c r="X1778" s="6">
        <f t="shared" si="492"/>
        <v>0</v>
      </c>
      <c r="Y1778" s="7">
        <f t="shared" si="495"/>
        <v>567</v>
      </c>
      <c r="AA1778" s="7">
        <f t="shared" si="496"/>
        <v>0</v>
      </c>
      <c r="AB1778" s="7" t="str">
        <f t="shared" si="497"/>
        <v/>
      </c>
      <c r="AC1778" s="7">
        <f t="shared" si="498"/>
        <v>0</v>
      </c>
      <c r="AD1778" s="7" t="str">
        <f t="shared" si="499"/>
        <v/>
      </c>
      <c r="AE1778" s="6">
        <f t="shared" si="500"/>
        <v>0</v>
      </c>
      <c r="AF1778" s="69">
        <f t="shared" si="501"/>
        <v>3.2167875471938014</v>
      </c>
      <c r="AG1778" s="6">
        <f t="shared" si="502"/>
        <v>0</v>
      </c>
      <c r="AH1778" s="6">
        <f t="shared" si="503"/>
        <v>604</v>
      </c>
    </row>
    <row r="1779" spans="8:34" x14ac:dyDescent="0.25">
      <c r="H1779" s="7">
        <v>1786</v>
      </c>
      <c r="I1779" s="7" t="s">
        <v>7</v>
      </c>
      <c r="J1779" s="8">
        <v>38727</v>
      </c>
      <c r="K1779" s="12" t="s">
        <v>17</v>
      </c>
      <c r="L1779" s="9">
        <v>-9</v>
      </c>
      <c r="M1779" s="10">
        <v>-24.653364515512152</v>
      </c>
      <c r="N1779" s="7" t="s">
        <v>24</v>
      </c>
      <c r="P1779" s="29" t="str">
        <f t="shared" si="486"/>
        <v/>
      </c>
      <c r="Q1779" s="29" t="str">
        <f t="shared" si="487"/>
        <v/>
      </c>
      <c r="R1779" s="29" t="str">
        <f t="shared" si="488"/>
        <v/>
      </c>
      <c r="S1779" s="29" t="str">
        <f t="shared" si="489"/>
        <v/>
      </c>
      <c r="T1779" s="32" t="str">
        <f t="shared" si="490"/>
        <v/>
      </c>
      <c r="U1779" s="32" t="str">
        <f t="shared" si="493"/>
        <v/>
      </c>
      <c r="V1779" s="32">
        <f t="shared" si="494"/>
        <v>1</v>
      </c>
      <c r="W1779" s="41" t="str">
        <f t="shared" si="491"/>
        <v/>
      </c>
      <c r="X1779" s="6">
        <f t="shared" si="492"/>
        <v>0</v>
      </c>
      <c r="Y1779" s="7">
        <f t="shared" si="495"/>
        <v>567</v>
      </c>
      <c r="AA1779" s="7">
        <f t="shared" si="496"/>
        <v>0</v>
      </c>
      <c r="AB1779" s="7" t="str">
        <f t="shared" si="497"/>
        <v/>
      </c>
      <c r="AC1779" s="7">
        <f t="shared" si="498"/>
        <v>0</v>
      </c>
      <c r="AD1779" s="7" t="str">
        <f t="shared" si="499"/>
        <v/>
      </c>
      <c r="AE1779" s="6">
        <f t="shared" si="500"/>
        <v>-9</v>
      </c>
      <c r="AF1779" s="69" t="str">
        <f t="shared" si="501"/>
        <v/>
      </c>
      <c r="AG1779" s="6">
        <f t="shared" si="502"/>
        <v>0</v>
      </c>
      <c r="AH1779" s="6">
        <f t="shared" si="503"/>
        <v>604</v>
      </c>
    </row>
    <row r="1780" spans="8:34" x14ac:dyDescent="0.25">
      <c r="H1780" s="7">
        <v>1787</v>
      </c>
      <c r="I1780" s="7" t="s">
        <v>14</v>
      </c>
      <c r="J1780" s="8">
        <v>38595</v>
      </c>
      <c r="K1780" s="12" t="s">
        <v>19</v>
      </c>
      <c r="L1780" s="9">
        <v>24</v>
      </c>
      <c r="M1780" s="10">
        <v>74.611228324097638</v>
      </c>
      <c r="N1780" s="7" t="s">
        <v>24</v>
      </c>
      <c r="P1780" s="29" t="str">
        <f t="shared" si="486"/>
        <v/>
      </c>
      <c r="Q1780" s="29" t="str">
        <f t="shared" si="487"/>
        <v/>
      </c>
      <c r="R1780" s="29" t="str">
        <f t="shared" si="488"/>
        <v/>
      </c>
      <c r="S1780" s="29" t="str">
        <f t="shared" si="489"/>
        <v/>
      </c>
      <c r="T1780" s="32" t="str">
        <f t="shared" si="490"/>
        <v/>
      </c>
      <c r="U1780" s="32">
        <f t="shared" si="493"/>
        <v>1</v>
      </c>
      <c r="V1780" s="32" t="str">
        <f t="shared" si="494"/>
        <v/>
      </c>
      <c r="W1780" s="41">
        <f t="shared" si="491"/>
        <v>3.1088011801707349</v>
      </c>
      <c r="X1780" s="6">
        <f t="shared" si="492"/>
        <v>74.611228324097638</v>
      </c>
      <c r="Y1780" s="7">
        <f t="shared" si="495"/>
        <v>416</v>
      </c>
      <c r="AA1780" s="7">
        <f t="shared" si="496"/>
        <v>1</v>
      </c>
      <c r="AB1780" s="7">
        <f t="shared" si="497"/>
        <v>24</v>
      </c>
      <c r="AC1780" s="7">
        <f t="shared" si="498"/>
        <v>0</v>
      </c>
      <c r="AD1780" s="7" t="str">
        <f t="shared" si="499"/>
        <v/>
      </c>
      <c r="AE1780" s="6">
        <f t="shared" si="500"/>
        <v>0</v>
      </c>
      <c r="AF1780" s="69">
        <f t="shared" si="501"/>
        <v>3.1088011801707349</v>
      </c>
      <c r="AG1780" s="6">
        <f t="shared" si="502"/>
        <v>0</v>
      </c>
      <c r="AH1780" s="6">
        <f t="shared" si="503"/>
        <v>604</v>
      </c>
    </row>
    <row r="1781" spans="8:34" x14ac:dyDescent="0.25">
      <c r="H1781" s="7">
        <v>1788</v>
      </c>
      <c r="I1781" s="7" t="s">
        <v>15</v>
      </c>
      <c r="J1781" s="8">
        <v>38111</v>
      </c>
      <c r="K1781" s="12" t="s">
        <v>17</v>
      </c>
      <c r="L1781" s="9">
        <v>30</v>
      </c>
      <c r="M1781" s="10">
        <v>91.370060380593657</v>
      </c>
      <c r="N1781" s="7" t="s">
        <v>22</v>
      </c>
      <c r="P1781" s="29" t="str">
        <f t="shared" si="486"/>
        <v/>
      </c>
      <c r="Q1781" s="29">
        <f t="shared" si="487"/>
        <v>1</v>
      </c>
      <c r="R1781" s="29" t="str">
        <f t="shared" si="488"/>
        <v/>
      </c>
      <c r="S1781" s="29" t="str">
        <f t="shared" si="489"/>
        <v/>
      </c>
      <c r="T1781" s="32" t="str">
        <f t="shared" si="490"/>
        <v/>
      </c>
      <c r="U1781" s="32" t="str">
        <f t="shared" si="493"/>
        <v/>
      </c>
      <c r="V1781" s="32" t="str">
        <f t="shared" si="494"/>
        <v/>
      </c>
      <c r="W1781" s="41">
        <f t="shared" si="491"/>
        <v>3.0456686793531218</v>
      </c>
      <c r="X1781" s="6">
        <f t="shared" si="492"/>
        <v>0</v>
      </c>
      <c r="Y1781" s="7">
        <f t="shared" si="495"/>
        <v>567</v>
      </c>
      <c r="AA1781" s="7">
        <f t="shared" si="496"/>
        <v>0</v>
      </c>
      <c r="AB1781" s="7" t="str">
        <f t="shared" si="497"/>
        <v/>
      </c>
      <c r="AC1781" s="7">
        <f t="shared" si="498"/>
        <v>0</v>
      </c>
      <c r="AD1781" s="7" t="str">
        <f t="shared" si="499"/>
        <v/>
      </c>
      <c r="AE1781" s="6">
        <f t="shared" si="500"/>
        <v>0</v>
      </c>
      <c r="AF1781" s="69">
        <f t="shared" si="501"/>
        <v>3.0456686793531218</v>
      </c>
      <c r="AG1781" s="6">
        <f t="shared" si="502"/>
        <v>91.370060380593657</v>
      </c>
      <c r="AH1781" s="6">
        <f t="shared" si="503"/>
        <v>399</v>
      </c>
    </row>
    <row r="1782" spans="8:34" x14ac:dyDescent="0.25">
      <c r="H1782" s="7">
        <v>1789</v>
      </c>
      <c r="I1782" s="7" t="s">
        <v>12</v>
      </c>
      <c r="J1782" s="8">
        <v>38694</v>
      </c>
      <c r="K1782" s="12" t="s">
        <v>17</v>
      </c>
      <c r="L1782" s="9">
        <v>83</v>
      </c>
      <c r="M1782" s="10">
        <v>250.84508105520038</v>
      </c>
      <c r="N1782" s="7" t="s">
        <v>23</v>
      </c>
      <c r="P1782" s="29" t="str">
        <f t="shared" si="486"/>
        <v/>
      </c>
      <c r="Q1782" s="29" t="str">
        <f t="shared" si="487"/>
        <v/>
      </c>
      <c r="R1782" s="29" t="str">
        <f t="shared" si="488"/>
        <v/>
      </c>
      <c r="S1782" s="29" t="str">
        <f t="shared" si="489"/>
        <v/>
      </c>
      <c r="T1782" s="32">
        <f t="shared" si="490"/>
        <v>1</v>
      </c>
      <c r="U1782" s="32">
        <f t="shared" si="493"/>
        <v>1</v>
      </c>
      <c r="V1782" s="32" t="str">
        <f t="shared" si="494"/>
        <v/>
      </c>
      <c r="W1782" s="41">
        <f t="shared" si="491"/>
        <v>3.02222989223133</v>
      </c>
      <c r="X1782" s="6">
        <f t="shared" si="492"/>
        <v>250.84508105520038</v>
      </c>
      <c r="Y1782" s="7">
        <f t="shared" si="495"/>
        <v>80</v>
      </c>
      <c r="AA1782" s="7">
        <f t="shared" si="496"/>
        <v>0</v>
      </c>
      <c r="AB1782" s="7" t="str">
        <f t="shared" si="497"/>
        <v/>
      </c>
      <c r="AC1782" s="7">
        <f t="shared" si="498"/>
        <v>1</v>
      </c>
      <c r="AD1782" s="7">
        <f t="shared" si="499"/>
        <v>83</v>
      </c>
      <c r="AE1782" s="6">
        <f t="shared" si="500"/>
        <v>0</v>
      </c>
      <c r="AF1782" s="69">
        <f t="shared" si="501"/>
        <v>3.02222989223133</v>
      </c>
      <c r="AG1782" s="6">
        <f t="shared" si="502"/>
        <v>0</v>
      </c>
      <c r="AH1782" s="6">
        <f t="shared" si="503"/>
        <v>604</v>
      </c>
    </row>
    <row r="1783" spans="8:34" x14ac:dyDescent="0.25">
      <c r="H1783" s="7">
        <v>1790</v>
      </c>
      <c r="I1783" s="7" t="s">
        <v>13</v>
      </c>
      <c r="J1783" s="8">
        <v>38067</v>
      </c>
      <c r="K1783" s="12" t="s">
        <v>17</v>
      </c>
      <c r="L1783" s="9">
        <v>90</v>
      </c>
      <c r="M1783" s="10">
        <v>271.87067701120321</v>
      </c>
      <c r="N1783" s="7" t="s">
        <v>24</v>
      </c>
      <c r="P1783" s="29">
        <f t="shared" si="486"/>
        <v>1</v>
      </c>
      <c r="Q1783" s="29" t="str">
        <f t="shared" si="487"/>
        <v/>
      </c>
      <c r="R1783" s="29" t="str">
        <f t="shared" si="488"/>
        <v/>
      </c>
      <c r="S1783" s="29" t="str">
        <f t="shared" si="489"/>
        <v/>
      </c>
      <c r="T1783" s="32" t="str">
        <f t="shared" si="490"/>
        <v/>
      </c>
      <c r="U1783" s="32" t="str">
        <f t="shared" si="493"/>
        <v/>
      </c>
      <c r="V1783" s="32" t="str">
        <f t="shared" si="494"/>
        <v/>
      </c>
      <c r="W1783" s="41">
        <f t="shared" si="491"/>
        <v>3.02078530012448</v>
      </c>
      <c r="X1783" s="6">
        <f t="shared" si="492"/>
        <v>0</v>
      </c>
      <c r="Y1783" s="7">
        <f t="shared" si="495"/>
        <v>567</v>
      </c>
      <c r="AA1783" s="7">
        <f t="shared" si="496"/>
        <v>0</v>
      </c>
      <c r="AB1783" s="7" t="str">
        <f t="shared" si="497"/>
        <v/>
      </c>
      <c r="AC1783" s="7">
        <f t="shared" si="498"/>
        <v>0</v>
      </c>
      <c r="AD1783" s="7" t="str">
        <f t="shared" si="499"/>
        <v/>
      </c>
      <c r="AE1783" s="6">
        <f t="shared" si="500"/>
        <v>0</v>
      </c>
      <c r="AF1783" s="69">
        <f t="shared" si="501"/>
        <v>3.02078530012448</v>
      </c>
      <c r="AG1783" s="6">
        <f t="shared" si="502"/>
        <v>271.87067701120321</v>
      </c>
      <c r="AH1783" s="6">
        <f t="shared" si="503"/>
        <v>31</v>
      </c>
    </row>
    <row r="1784" spans="8:34" x14ac:dyDescent="0.25">
      <c r="H1784" s="7">
        <v>1791</v>
      </c>
      <c r="I1784" s="7" t="s">
        <v>11</v>
      </c>
      <c r="J1784" s="8">
        <v>38441</v>
      </c>
      <c r="K1784" s="12" t="s">
        <v>16</v>
      </c>
      <c r="L1784" s="9">
        <v>82</v>
      </c>
      <c r="M1784" s="10">
        <v>248.22787993853669</v>
      </c>
      <c r="N1784" s="7" t="s">
        <v>21</v>
      </c>
      <c r="P1784" s="29" t="str">
        <f t="shared" si="486"/>
        <v/>
      </c>
      <c r="Q1784" s="29" t="str">
        <f t="shared" si="487"/>
        <v/>
      </c>
      <c r="R1784" s="29" t="str">
        <f t="shared" si="488"/>
        <v/>
      </c>
      <c r="S1784" s="29" t="str">
        <f t="shared" si="489"/>
        <v/>
      </c>
      <c r="T1784" s="32" t="str">
        <f t="shared" si="490"/>
        <v/>
      </c>
      <c r="U1784" s="32">
        <f t="shared" si="493"/>
        <v>1</v>
      </c>
      <c r="V1784" s="32" t="str">
        <f t="shared" si="494"/>
        <v/>
      </c>
      <c r="W1784" s="41">
        <f t="shared" si="491"/>
        <v>3.0271692675431305</v>
      </c>
      <c r="X1784" s="6">
        <f t="shared" si="492"/>
        <v>248.22787993853669</v>
      </c>
      <c r="Y1784" s="7">
        <f t="shared" si="495"/>
        <v>84</v>
      </c>
      <c r="AA1784" s="7">
        <f t="shared" si="496"/>
        <v>1</v>
      </c>
      <c r="AB1784" s="7">
        <f t="shared" si="497"/>
        <v>82</v>
      </c>
      <c r="AC1784" s="7">
        <f t="shared" si="498"/>
        <v>0</v>
      </c>
      <c r="AD1784" s="7" t="str">
        <f t="shared" si="499"/>
        <v/>
      </c>
      <c r="AE1784" s="6">
        <f t="shared" si="500"/>
        <v>0</v>
      </c>
      <c r="AF1784" s="69">
        <f t="shared" si="501"/>
        <v>3.0271692675431305</v>
      </c>
      <c r="AG1784" s="6">
        <f t="shared" si="502"/>
        <v>0</v>
      </c>
      <c r="AH1784" s="6">
        <f t="shared" si="503"/>
        <v>604</v>
      </c>
    </row>
    <row r="1785" spans="8:34" x14ac:dyDescent="0.25">
      <c r="H1785" s="7">
        <v>1792</v>
      </c>
      <c r="I1785" s="7" t="s">
        <v>8</v>
      </c>
      <c r="J1785" s="8">
        <v>38650</v>
      </c>
      <c r="K1785" s="12" t="s">
        <v>16</v>
      </c>
      <c r="L1785" s="9">
        <v>51</v>
      </c>
      <c r="M1785" s="10">
        <v>155.23329282201692</v>
      </c>
      <c r="N1785" s="7" t="s">
        <v>22</v>
      </c>
      <c r="P1785" s="29" t="str">
        <f t="shared" si="486"/>
        <v/>
      </c>
      <c r="Q1785" s="29" t="str">
        <f t="shared" si="487"/>
        <v/>
      </c>
      <c r="R1785" s="29" t="str">
        <f t="shared" si="488"/>
        <v/>
      </c>
      <c r="S1785" s="29" t="str">
        <f t="shared" si="489"/>
        <v/>
      </c>
      <c r="T1785" s="32">
        <f t="shared" si="490"/>
        <v>1</v>
      </c>
      <c r="U1785" s="32">
        <f t="shared" si="493"/>
        <v>1</v>
      </c>
      <c r="V1785" s="32" t="str">
        <f t="shared" si="494"/>
        <v/>
      </c>
      <c r="W1785" s="41">
        <f t="shared" si="491"/>
        <v>3.0437900553336652</v>
      </c>
      <c r="X1785" s="6">
        <f t="shared" si="492"/>
        <v>155.23329282201692</v>
      </c>
      <c r="Y1785" s="7">
        <f t="shared" si="495"/>
        <v>253</v>
      </c>
      <c r="AA1785" s="7">
        <f t="shared" si="496"/>
        <v>0</v>
      </c>
      <c r="AB1785" s="7" t="str">
        <f t="shared" si="497"/>
        <v/>
      </c>
      <c r="AC1785" s="7">
        <f t="shared" si="498"/>
        <v>1</v>
      </c>
      <c r="AD1785" s="7">
        <f t="shared" si="499"/>
        <v>51</v>
      </c>
      <c r="AE1785" s="6">
        <f t="shared" si="500"/>
        <v>0</v>
      </c>
      <c r="AF1785" s="69">
        <f t="shared" si="501"/>
        <v>3.0437900553336652</v>
      </c>
      <c r="AG1785" s="6">
        <f t="shared" si="502"/>
        <v>0</v>
      </c>
      <c r="AH1785" s="6">
        <f t="shared" si="503"/>
        <v>604</v>
      </c>
    </row>
    <row r="1786" spans="8:34" x14ac:dyDescent="0.25">
      <c r="H1786" s="7">
        <v>1793</v>
      </c>
      <c r="I1786" s="7" t="s">
        <v>15</v>
      </c>
      <c r="J1786" s="8">
        <v>37990</v>
      </c>
      <c r="K1786" s="12" t="s">
        <v>17</v>
      </c>
      <c r="L1786" s="9">
        <v>66</v>
      </c>
      <c r="M1786" s="10">
        <v>200.12511432116293</v>
      </c>
      <c r="N1786" s="7" t="s">
        <v>23</v>
      </c>
      <c r="P1786" s="29">
        <f t="shared" si="486"/>
        <v>1</v>
      </c>
      <c r="Q1786" s="29" t="str">
        <f t="shared" si="487"/>
        <v/>
      </c>
      <c r="R1786" s="29" t="str">
        <f t="shared" si="488"/>
        <v/>
      </c>
      <c r="S1786" s="29" t="str">
        <f t="shared" si="489"/>
        <v/>
      </c>
      <c r="T1786" s="32" t="str">
        <f t="shared" si="490"/>
        <v/>
      </c>
      <c r="U1786" s="32" t="str">
        <f t="shared" si="493"/>
        <v/>
      </c>
      <c r="V1786" s="32" t="str">
        <f t="shared" si="494"/>
        <v/>
      </c>
      <c r="W1786" s="41">
        <f t="shared" si="491"/>
        <v>3.0321987018358021</v>
      </c>
      <c r="X1786" s="6">
        <f t="shared" si="492"/>
        <v>0</v>
      </c>
      <c r="Y1786" s="7">
        <f t="shared" si="495"/>
        <v>567</v>
      </c>
      <c r="AA1786" s="7">
        <f t="shared" si="496"/>
        <v>0</v>
      </c>
      <c r="AB1786" s="7" t="str">
        <f t="shared" si="497"/>
        <v/>
      </c>
      <c r="AC1786" s="7">
        <f t="shared" si="498"/>
        <v>0</v>
      </c>
      <c r="AD1786" s="7" t="str">
        <f t="shared" si="499"/>
        <v/>
      </c>
      <c r="AE1786" s="6">
        <f t="shared" si="500"/>
        <v>0</v>
      </c>
      <c r="AF1786" s="69">
        <f t="shared" si="501"/>
        <v>3.0321987018358021</v>
      </c>
      <c r="AG1786" s="6">
        <f t="shared" si="502"/>
        <v>200.12511432116293</v>
      </c>
      <c r="AH1786" s="6">
        <f t="shared" si="503"/>
        <v>173</v>
      </c>
    </row>
    <row r="1787" spans="8:34" x14ac:dyDescent="0.25">
      <c r="H1787" s="7">
        <v>1794</v>
      </c>
      <c r="I1787" s="7" t="s">
        <v>13</v>
      </c>
      <c r="J1787" s="8">
        <v>38716</v>
      </c>
      <c r="K1787" s="12" t="s">
        <v>20</v>
      </c>
      <c r="L1787" s="9">
        <v>29</v>
      </c>
      <c r="M1787" s="10">
        <v>89.016407302334798</v>
      </c>
      <c r="N1787" s="7" t="s">
        <v>21</v>
      </c>
      <c r="P1787" s="29" t="str">
        <f t="shared" si="486"/>
        <v/>
      </c>
      <c r="Q1787" s="29" t="str">
        <f t="shared" si="487"/>
        <v/>
      </c>
      <c r="R1787" s="29" t="str">
        <f t="shared" si="488"/>
        <v/>
      </c>
      <c r="S1787" s="29" t="str">
        <f t="shared" si="489"/>
        <v/>
      </c>
      <c r="T1787" s="32">
        <f t="shared" si="490"/>
        <v>1</v>
      </c>
      <c r="U1787" s="32">
        <f t="shared" si="493"/>
        <v>1</v>
      </c>
      <c r="V1787" s="32" t="str">
        <f t="shared" si="494"/>
        <v/>
      </c>
      <c r="W1787" s="41">
        <f t="shared" si="491"/>
        <v>3.0695312862874067</v>
      </c>
      <c r="X1787" s="6">
        <f t="shared" si="492"/>
        <v>89.016407302334798</v>
      </c>
      <c r="Y1787" s="7">
        <f t="shared" si="495"/>
        <v>381</v>
      </c>
      <c r="AA1787" s="7">
        <f t="shared" si="496"/>
        <v>0</v>
      </c>
      <c r="AB1787" s="7" t="str">
        <f t="shared" si="497"/>
        <v/>
      </c>
      <c r="AC1787" s="7">
        <f t="shared" si="498"/>
        <v>1</v>
      </c>
      <c r="AD1787" s="7">
        <f t="shared" si="499"/>
        <v>29</v>
      </c>
      <c r="AE1787" s="6">
        <f t="shared" si="500"/>
        <v>0</v>
      </c>
      <c r="AF1787" s="69">
        <f t="shared" si="501"/>
        <v>3.0695312862874067</v>
      </c>
      <c r="AG1787" s="6">
        <f t="shared" si="502"/>
        <v>0</v>
      </c>
      <c r="AH1787" s="6">
        <f t="shared" si="503"/>
        <v>604</v>
      </c>
    </row>
    <row r="1788" spans="8:34" x14ac:dyDescent="0.25">
      <c r="H1788" s="7">
        <v>1795</v>
      </c>
      <c r="I1788" s="7" t="s">
        <v>9</v>
      </c>
      <c r="J1788" s="8">
        <v>38628</v>
      </c>
      <c r="K1788" s="12" t="s">
        <v>17</v>
      </c>
      <c r="L1788" s="9">
        <v>93</v>
      </c>
      <c r="M1788" s="10">
        <v>280.87456053220649</v>
      </c>
      <c r="N1788" s="7" t="s">
        <v>24</v>
      </c>
      <c r="P1788" s="29" t="str">
        <f t="shared" si="486"/>
        <v/>
      </c>
      <c r="Q1788" s="29" t="str">
        <f t="shared" si="487"/>
        <v/>
      </c>
      <c r="R1788" s="29" t="str">
        <f t="shared" si="488"/>
        <v/>
      </c>
      <c r="S1788" s="29" t="str">
        <f t="shared" si="489"/>
        <v/>
      </c>
      <c r="T1788" s="32">
        <f t="shared" si="490"/>
        <v>1</v>
      </c>
      <c r="U1788" s="32">
        <f t="shared" si="493"/>
        <v>1</v>
      </c>
      <c r="V1788" s="32" t="str">
        <f t="shared" si="494"/>
        <v/>
      </c>
      <c r="W1788" s="41">
        <f t="shared" si="491"/>
        <v>3.0201565648624356</v>
      </c>
      <c r="X1788" s="6">
        <f t="shared" si="492"/>
        <v>280.87456053220649</v>
      </c>
      <c r="Y1788" s="7">
        <f t="shared" si="495"/>
        <v>21</v>
      </c>
      <c r="AA1788" s="7">
        <f t="shared" si="496"/>
        <v>0</v>
      </c>
      <c r="AB1788" s="7" t="str">
        <f t="shared" si="497"/>
        <v/>
      </c>
      <c r="AC1788" s="7">
        <f t="shared" si="498"/>
        <v>1</v>
      </c>
      <c r="AD1788" s="7">
        <f t="shared" si="499"/>
        <v>93</v>
      </c>
      <c r="AE1788" s="6">
        <f t="shared" si="500"/>
        <v>0</v>
      </c>
      <c r="AF1788" s="69">
        <f t="shared" si="501"/>
        <v>3.0201565648624356</v>
      </c>
      <c r="AG1788" s="6">
        <f t="shared" si="502"/>
        <v>0</v>
      </c>
      <c r="AH1788" s="6">
        <f t="shared" si="503"/>
        <v>604</v>
      </c>
    </row>
    <row r="1789" spans="8:34" x14ac:dyDescent="0.25">
      <c r="H1789" s="7">
        <v>1796</v>
      </c>
      <c r="I1789" s="7" t="s">
        <v>14</v>
      </c>
      <c r="J1789" s="8">
        <v>39002</v>
      </c>
      <c r="K1789" s="12" t="s">
        <v>16</v>
      </c>
      <c r="L1789" s="9">
        <v>-3</v>
      </c>
      <c r="M1789" s="10">
        <v>-6.5419840395963593</v>
      </c>
      <c r="N1789" s="7" t="s">
        <v>22</v>
      </c>
      <c r="P1789" s="29" t="str">
        <f t="shared" si="486"/>
        <v/>
      </c>
      <c r="Q1789" s="29" t="str">
        <f t="shared" si="487"/>
        <v/>
      </c>
      <c r="R1789" s="29" t="str">
        <f t="shared" si="488"/>
        <v/>
      </c>
      <c r="S1789" s="29" t="str">
        <f t="shared" si="489"/>
        <v/>
      </c>
      <c r="T1789" s="32" t="str">
        <f t="shared" si="490"/>
        <v/>
      </c>
      <c r="U1789" s="32" t="str">
        <f t="shared" si="493"/>
        <v/>
      </c>
      <c r="V1789" s="32">
        <f t="shared" si="494"/>
        <v>1</v>
      </c>
      <c r="W1789" s="41" t="str">
        <f t="shared" si="491"/>
        <v/>
      </c>
      <c r="X1789" s="6">
        <f t="shared" si="492"/>
        <v>0</v>
      </c>
      <c r="Y1789" s="7">
        <f t="shared" si="495"/>
        <v>567</v>
      </c>
      <c r="AA1789" s="7">
        <f t="shared" si="496"/>
        <v>0</v>
      </c>
      <c r="AB1789" s="7" t="str">
        <f t="shared" si="497"/>
        <v/>
      </c>
      <c r="AC1789" s="7">
        <f t="shared" si="498"/>
        <v>0</v>
      </c>
      <c r="AD1789" s="7" t="str">
        <f t="shared" si="499"/>
        <v/>
      </c>
      <c r="AE1789" s="6">
        <f t="shared" si="500"/>
        <v>-3</v>
      </c>
      <c r="AF1789" s="69" t="str">
        <f t="shared" si="501"/>
        <v/>
      </c>
      <c r="AG1789" s="6">
        <f t="shared" si="502"/>
        <v>0</v>
      </c>
      <c r="AH1789" s="6">
        <f t="shared" si="503"/>
        <v>604</v>
      </c>
    </row>
    <row r="1790" spans="8:34" x14ac:dyDescent="0.25">
      <c r="H1790" s="7">
        <v>1797</v>
      </c>
      <c r="I1790" s="7" t="s">
        <v>9</v>
      </c>
      <c r="J1790" s="8">
        <v>38969</v>
      </c>
      <c r="K1790" s="12" t="s">
        <v>17</v>
      </c>
      <c r="L1790" s="9">
        <v>-2</v>
      </c>
      <c r="M1790" s="10">
        <v>-3.6355111778913436</v>
      </c>
      <c r="N1790" s="7" t="s">
        <v>21</v>
      </c>
      <c r="P1790" s="29" t="str">
        <f t="shared" si="486"/>
        <v/>
      </c>
      <c r="Q1790" s="29" t="str">
        <f t="shared" si="487"/>
        <v/>
      </c>
      <c r="R1790" s="29" t="str">
        <f t="shared" si="488"/>
        <v/>
      </c>
      <c r="S1790" s="29" t="str">
        <f t="shared" si="489"/>
        <v/>
      </c>
      <c r="T1790" s="32" t="str">
        <f t="shared" si="490"/>
        <v/>
      </c>
      <c r="U1790" s="32" t="str">
        <f t="shared" si="493"/>
        <v/>
      </c>
      <c r="V1790" s="32">
        <f t="shared" si="494"/>
        <v>1</v>
      </c>
      <c r="W1790" s="41" t="str">
        <f t="shared" si="491"/>
        <v/>
      </c>
      <c r="X1790" s="6">
        <f t="shared" si="492"/>
        <v>0</v>
      </c>
      <c r="Y1790" s="7">
        <f t="shared" si="495"/>
        <v>567</v>
      </c>
      <c r="AA1790" s="7">
        <f t="shared" si="496"/>
        <v>0</v>
      </c>
      <c r="AB1790" s="7" t="str">
        <f t="shared" si="497"/>
        <v/>
      </c>
      <c r="AC1790" s="7">
        <f t="shared" si="498"/>
        <v>0</v>
      </c>
      <c r="AD1790" s="7" t="str">
        <f t="shared" si="499"/>
        <v/>
      </c>
      <c r="AE1790" s="6">
        <f t="shared" si="500"/>
        <v>-2</v>
      </c>
      <c r="AF1790" s="69" t="str">
        <f t="shared" si="501"/>
        <v/>
      </c>
      <c r="AG1790" s="6">
        <f t="shared" si="502"/>
        <v>0</v>
      </c>
      <c r="AH1790" s="6">
        <f t="shared" si="503"/>
        <v>604</v>
      </c>
    </row>
    <row r="1791" spans="8:34" x14ac:dyDescent="0.25">
      <c r="H1791" s="7">
        <v>1798</v>
      </c>
      <c r="I1791" s="7" t="s">
        <v>12</v>
      </c>
      <c r="J1791" s="8">
        <v>38265</v>
      </c>
      <c r="K1791" s="12" t="s">
        <v>19</v>
      </c>
      <c r="L1791" s="9">
        <v>79</v>
      </c>
      <c r="M1791" s="10">
        <v>239.25077929031391</v>
      </c>
      <c r="N1791" s="7" t="s">
        <v>22</v>
      </c>
      <c r="P1791" s="29" t="str">
        <f t="shared" si="486"/>
        <v/>
      </c>
      <c r="Q1791" s="29" t="str">
        <f t="shared" si="487"/>
        <v/>
      </c>
      <c r="R1791" s="29" t="str">
        <f t="shared" si="488"/>
        <v/>
      </c>
      <c r="S1791" s="29">
        <f t="shared" si="489"/>
        <v>1</v>
      </c>
      <c r="T1791" s="32" t="str">
        <f t="shared" si="490"/>
        <v/>
      </c>
      <c r="U1791" s="32" t="str">
        <f t="shared" si="493"/>
        <v/>
      </c>
      <c r="V1791" s="32" t="str">
        <f t="shared" si="494"/>
        <v/>
      </c>
      <c r="W1791" s="41">
        <f t="shared" si="491"/>
        <v>3.0284908770925814</v>
      </c>
      <c r="X1791" s="6">
        <f t="shared" si="492"/>
        <v>0</v>
      </c>
      <c r="Y1791" s="7">
        <f t="shared" si="495"/>
        <v>567</v>
      </c>
      <c r="AA1791" s="7">
        <f t="shared" si="496"/>
        <v>0</v>
      </c>
      <c r="AB1791" s="7" t="str">
        <f t="shared" si="497"/>
        <v/>
      </c>
      <c r="AC1791" s="7">
        <f t="shared" si="498"/>
        <v>0</v>
      </c>
      <c r="AD1791" s="7" t="str">
        <f t="shared" si="499"/>
        <v/>
      </c>
      <c r="AE1791" s="6">
        <f t="shared" si="500"/>
        <v>0</v>
      </c>
      <c r="AF1791" s="69">
        <f t="shared" si="501"/>
        <v>3.0284908770925814</v>
      </c>
      <c r="AG1791" s="6">
        <f t="shared" si="502"/>
        <v>239.25077929031391</v>
      </c>
      <c r="AH1791" s="6">
        <f t="shared" si="503"/>
        <v>94</v>
      </c>
    </row>
    <row r="1792" spans="8:34" x14ac:dyDescent="0.25">
      <c r="H1792" s="7">
        <v>1799</v>
      </c>
      <c r="I1792" s="7" t="s">
        <v>7</v>
      </c>
      <c r="J1792" s="8">
        <v>39079</v>
      </c>
      <c r="K1792" s="12" t="s">
        <v>17</v>
      </c>
      <c r="L1792" s="9">
        <v>31</v>
      </c>
      <c r="M1792" s="10">
        <v>94.72145499265082</v>
      </c>
      <c r="N1792" s="7" t="s">
        <v>24</v>
      </c>
      <c r="P1792" s="29" t="str">
        <f t="shared" si="486"/>
        <v/>
      </c>
      <c r="Q1792" s="29" t="str">
        <f t="shared" si="487"/>
        <v/>
      </c>
      <c r="R1792" s="29" t="str">
        <f t="shared" si="488"/>
        <v/>
      </c>
      <c r="S1792" s="29" t="str">
        <f t="shared" si="489"/>
        <v/>
      </c>
      <c r="T1792" s="32" t="str">
        <f t="shared" si="490"/>
        <v/>
      </c>
      <c r="U1792" s="32" t="str">
        <f t="shared" si="493"/>
        <v/>
      </c>
      <c r="V1792" s="32">
        <f t="shared" si="494"/>
        <v>1</v>
      </c>
      <c r="W1792" s="41">
        <f t="shared" si="491"/>
        <v>3.0555308062145428</v>
      </c>
      <c r="X1792" s="6">
        <f t="shared" si="492"/>
        <v>0</v>
      </c>
      <c r="Y1792" s="7">
        <f t="shared" si="495"/>
        <v>567</v>
      </c>
      <c r="AA1792" s="7">
        <f t="shared" si="496"/>
        <v>0</v>
      </c>
      <c r="AB1792" s="7" t="str">
        <f t="shared" si="497"/>
        <v/>
      </c>
      <c r="AC1792" s="7">
        <f t="shared" si="498"/>
        <v>0</v>
      </c>
      <c r="AD1792" s="7" t="str">
        <f t="shared" si="499"/>
        <v/>
      </c>
      <c r="AE1792" s="6">
        <f t="shared" si="500"/>
        <v>0</v>
      </c>
      <c r="AF1792" s="69">
        <f t="shared" si="501"/>
        <v>3.0555308062145428</v>
      </c>
      <c r="AG1792" s="6">
        <f t="shared" si="502"/>
        <v>0</v>
      </c>
      <c r="AH1792" s="6">
        <f t="shared" si="503"/>
        <v>604</v>
      </c>
    </row>
    <row r="1793" spans="8:34" x14ac:dyDescent="0.25">
      <c r="H1793" s="7">
        <v>1800</v>
      </c>
      <c r="I1793" s="7" t="s">
        <v>8</v>
      </c>
      <c r="J1793" s="8">
        <v>38485</v>
      </c>
      <c r="K1793" s="12" t="s">
        <v>18</v>
      </c>
      <c r="L1793" s="9">
        <v>46</v>
      </c>
      <c r="M1793" s="10">
        <v>140.21517548818187</v>
      </c>
      <c r="N1793" s="7" t="s">
        <v>21</v>
      </c>
      <c r="P1793" s="29" t="str">
        <f t="shared" si="486"/>
        <v/>
      </c>
      <c r="Q1793" s="29" t="str">
        <f t="shared" si="487"/>
        <v/>
      </c>
      <c r="R1793" s="29" t="str">
        <f t="shared" si="488"/>
        <v/>
      </c>
      <c r="S1793" s="29" t="str">
        <f t="shared" si="489"/>
        <v/>
      </c>
      <c r="T1793" s="32" t="str">
        <f t="shared" si="490"/>
        <v/>
      </c>
      <c r="U1793" s="32">
        <f t="shared" si="493"/>
        <v>1</v>
      </c>
      <c r="V1793" s="32" t="str">
        <f t="shared" si="494"/>
        <v/>
      </c>
      <c r="W1793" s="41">
        <f t="shared" si="491"/>
        <v>3.048155988873519</v>
      </c>
      <c r="X1793" s="6">
        <f t="shared" si="492"/>
        <v>140.21517548818187</v>
      </c>
      <c r="Y1793" s="7">
        <f t="shared" si="495"/>
        <v>288</v>
      </c>
      <c r="AA1793" s="7">
        <f t="shared" si="496"/>
        <v>0</v>
      </c>
      <c r="AB1793" s="7" t="str">
        <f t="shared" si="497"/>
        <v/>
      </c>
      <c r="AC1793" s="7">
        <f t="shared" si="498"/>
        <v>1</v>
      </c>
      <c r="AD1793" s="7">
        <f t="shared" si="499"/>
        <v>46</v>
      </c>
      <c r="AE1793" s="6">
        <f t="shared" si="500"/>
        <v>0</v>
      </c>
      <c r="AF1793" s="69">
        <f t="shared" si="501"/>
        <v>3.048155988873519</v>
      </c>
      <c r="AG1793" s="6">
        <f t="shared" si="502"/>
        <v>0</v>
      </c>
      <c r="AH1793" s="6">
        <f t="shared" si="503"/>
        <v>604</v>
      </c>
    </row>
    <row r="1794" spans="8:34" x14ac:dyDescent="0.25">
      <c r="H1794" s="7">
        <v>1801</v>
      </c>
      <c r="I1794" s="7" t="s">
        <v>13</v>
      </c>
      <c r="J1794" s="8">
        <v>39079</v>
      </c>
      <c r="K1794" s="12" t="s">
        <v>18</v>
      </c>
      <c r="L1794" s="9">
        <v>93</v>
      </c>
      <c r="M1794" s="10">
        <v>281.78560885336435</v>
      </c>
      <c r="N1794" s="7" t="s">
        <v>23</v>
      </c>
      <c r="P1794" s="29" t="str">
        <f t="shared" si="486"/>
        <v/>
      </c>
      <c r="Q1794" s="29" t="str">
        <f t="shared" si="487"/>
        <v/>
      </c>
      <c r="R1794" s="29" t="str">
        <f t="shared" si="488"/>
        <v/>
      </c>
      <c r="S1794" s="29" t="str">
        <f t="shared" si="489"/>
        <v/>
      </c>
      <c r="T1794" s="32" t="str">
        <f t="shared" si="490"/>
        <v/>
      </c>
      <c r="U1794" s="32" t="str">
        <f t="shared" si="493"/>
        <v/>
      </c>
      <c r="V1794" s="32">
        <f t="shared" si="494"/>
        <v>1</v>
      </c>
      <c r="W1794" s="41">
        <f t="shared" si="491"/>
        <v>3.029952783369509</v>
      </c>
      <c r="X1794" s="6">
        <f t="shared" si="492"/>
        <v>0</v>
      </c>
      <c r="Y1794" s="7">
        <f t="shared" si="495"/>
        <v>567</v>
      </c>
      <c r="AA1794" s="7">
        <f t="shared" si="496"/>
        <v>0</v>
      </c>
      <c r="AB1794" s="7" t="str">
        <f t="shared" si="497"/>
        <v/>
      </c>
      <c r="AC1794" s="7">
        <f t="shared" si="498"/>
        <v>0</v>
      </c>
      <c r="AD1794" s="7" t="str">
        <f t="shared" si="499"/>
        <v/>
      </c>
      <c r="AE1794" s="6">
        <f t="shared" si="500"/>
        <v>0</v>
      </c>
      <c r="AF1794" s="69">
        <f t="shared" si="501"/>
        <v>3.029952783369509</v>
      </c>
      <c r="AG1794" s="6">
        <f t="shared" si="502"/>
        <v>0</v>
      </c>
      <c r="AH1794" s="6">
        <f t="shared" si="503"/>
        <v>604</v>
      </c>
    </row>
    <row r="1795" spans="8:34" x14ac:dyDescent="0.25">
      <c r="H1795" s="7">
        <v>1802</v>
      </c>
      <c r="I1795" s="7" t="s">
        <v>13</v>
      </c>
      <c r="J1795" s="8">
        <v>38056</v>
      </c>
      <c r="K1795" s="12" t="s">
        <v>17</v>
      </c>
      <c r="L1795" s="9">
        <v>82</v>
      </c>
      <c r="M1795" s="10">
        <v>247.0191820862224</v>
      </c>
      <c r="N1795" s="7" t="s">
        <v>22</v>
      </c>
      <c r="P1795" s="29">
        <f t="shared" ref="P1795:P1858" si="504">IF(AND((MONTH(J1795))&lt;4,YEAR(J1795)=2004),1,"")</f>
        <v>1</v>
      </c>
      <c r="Q1795" s="29" t="str">
        <f t="shared" ref="Q1795:Q1858" si="505">IF(AND(3&lt;(MONTH(J1795)),(MONTH(J1795)&lt;7),YEAR(J1795)=2004),1,"")</f>
        <v/>
      </c>
      <c r="R1795" s="29" t="str">
        <f t="shared" ref="R1795:R1858" si="506">IF(AND(6&lt;(MONTH(J1795)),(MONTH(J1795)&lt;10),YEAR(J1795)=2004),1,"")</f>
        <v/>
      </c>
      <c r="S1795" s="29" t="str">
        <f t="shared" ref="S1795:S1858" si="507">IF(AND(9&lt;(MONTH(J1795)),(MONTH(J1795)&lt;13),YEAR(J1795)=2004),1,"")</f>
        <v/>
      </c>
      <c r="T1795" s="32" t="str">
        <f t="shared" ref="T1795:T1858" si="508">IF(AND((9&lt;MONTH(J1795)),YEAR(J1795)=2005),1,"")</f>
        <v/>
      </c>
      <c r="U1795" s="32" t="str">
        <f t="shared" si="493"/>
        <v/>
      </c>
      <c r="V1795" s="32" t="str">
        <f t="shared" si="494"/>
        <v/>
      </c>
      <c r="W1795" s="41">
        <f t="shared" ref="W1795:W1858" si="509">IF(L1795&gt;0,M1795/L1795,"")</f>
        <v>3.0124290498319803</v>
      </c>
      <c r="X1795" s="6">
        <f t="shared" ref="X1795:X1858" si="510">IF(U1795=1,M1795,0)</f>
        <v>0</v>
      </c>
      <c r="Y1795" s="7">
        <f t="shared" si="495"/>
        <v>567</v>
      </c>
      <c r="AA1795" s="7">
        <f t="shared" si="496"/>
        <v>0</v>
      </c>
      <c r="AB1795" s="7" t="str">
        <f t="shared" si="497"/>
        <v/>
      </c>
      <c r="AC1795" s="7">
        <f t="shared" si="498"/>
        <v>0</v>
      </c>
      <c r="AD1795" s="7" t="str">
        <f t="shared" si="499"/>
        <v/>
      </c>
      <c r="AE1795" s="6">
        <f t="shared" si="500"/>
        <v>0</v>
      </c>
      <c r="AF1795" s="69">
        <f t="shared" si="501"/>
        <v>3.0124290498319803</v>
      </c>
      <c r="AG1795" s="6">
        <f t="shared" si="502"/>
        <v>247.0191820862224</v>
      </c>
      <c r="AH1795" s="6">
        <f t="shared" si="503"/>
        <v>73</v>
      </c>
    </row>
    <row r="1796" spans="8:34" x14ac:dyDescent="0.25">
      <c r="H1796" s="7">
        <v>1803</v>
      </c>
      <c r="I1796" s="7" t="s">
        <v>15</v>
      </c>
      <c r="J1796" s="8">
        <v>39057</v>
      </c>
      <c r="K1796" s="12" t="s">
        <v>19</v>
      </c>
      <c r="L1796" s="9">
        <v>87</v>
      </c>
      <c r="M1796" s="10">
        <v>263.71733330819893</v>
      </c>
      <c r="N1796" s="7" t="s">
        <v>21</v>
      </c>
      <c r="P1796" s="29" t="str">
        <f t="shared" si="504"/>
        <v/>
      </c>
      <c r="Q1796" s="29" t="str">
        <f t="shared" si="505"/>
        <v/>
      </c>
      <c r="R1796" s="29" t="str">
        <f t="shared" si="506"/>
        <v/>
      </c>
      <c r="S1796" s="29" t="str">
        <f t="shared" si="507"/>
        <v/>
      </c>
      <c r="T1796" s="32" t="str">
        <f t="shared" si="508"/>
        <v/>
      </c>
      <c r="U1796" s="32" t="str">
        <f t="shared" ref="U1796:U1859" si="511">IF(YEAR(J1796)=2005,1,"")</f>
        <v/>
      </c>
      <c r="V1796" s="32">
        <f t="shared" ref="V1796:V1859" si="512">IF(YEAR(J1796)=2006,1,"")</f>
        <v>1</v>
      </c>
      <c r="W1796" s="41">
        <f t="shared" si="509"/>
        <v>3.0312337161861946</v>
      </c>
      <c r="X1796" s="6">
        <f t="shared" si="510"/>
        <v>0</v>
      </c>
      <c r="Y1796" s="7">
        <f t="shared" ref="Y1796:Y1859" si="513">RANK(X1796,$X$3:$X$1893)</f>
        <v>567</v>
      </c>
      <c r="AA1796" s="7">
        <f t="shared" ref="AA1796:AA1859" si="514">IF(AND(OR((MONTH(J1796))=1,(MONTH(J1796))=2,(MONTH(J1796))=3,(MONTH(J1796))=7,(MONTH(J1796))=8,(MONTH(J1796))=9),YEAR(J1796)=2005),1,0)</f>
        <v>0</v>
      </c>
      <c r="AB1796" s="7" t="str">
        <f t="shared" ref="AB1796:AB1859" si="515">IF(AA1796=1,L1796,"")</f>
        <v/>
      </c>
      <c r="AC1796" s="7">
        <f t="shared" ref="AC1796:AC1859" si="516">IF(AND(OR((MONTH(J1796))=4,(MONTH(J1796))=5,(MONTH(J1796))=6,(MONTH(J1796))=10,(MONTH(J1796))=11,(MONTH(J1796))=12),YEAR(J1796)=2005),1,0)</f>
        <v>0</v>
      </c>
      <c r="AD1796" s="7" t="str">
        <f t="shared" ref="AD1796:AD1859" si="517">IF(AC1796=1,L1796,"")</f>
        <v/>
      </c>
      <c r="AE1796" s="6">
        <f t="shared" ref="AE1796:AE1859" si="518">IF(L1796&lt;0,L1796,0)</f>
        <v>0</v>
      </c>
      <c r="AF1796" s="69">
        <f t="shared" ref="AF1796:AF1859" si="519">IF(L1796&gt;0,W1796,"")</f>
        <v>3.0312337161861946</v>
      </c>
      <c r="AG1796" s="6">
        <f t="shared" ref="AG1796:AG1859" si="520">IF(AND((M1796&gt;0),(YEAR(J1796)=2004)),M1796,0)</f>
        <v>0</v>
      </c>
      <c r="AH1796" s="6">
        <f t="shared" ref="AH1796:AH1859" si="521">RANK(AG1796,$AG$3:$AG$1893)</f>
        <v>604</v>
      </c>
    </row>
    <row r="1797" spans="8:34" x14ac:dyDescent="0.25">
      <c r="H1797" s="7">
        <v>1804</v>
      </c>
      <c r="I1797" s="7" t="s">
        <v>9</v>
      </c>
      <c r="J1797" s="8">
        <v>38331</v>
      </c>
      <c r="K1797" s="12" t="s">
        <v>18</v>
      </c>
      <c r="L1797" s="9">
        <v>62</v>
      </c>
      <c r="M1797" s="10">
        <v>187.56768751552113</v>
      </c>
      <c r="N1797" s="7" t="s">
        <v>24</v>
      </c>
      <c r="P1797" s="29" t="str">
        <f t="shared" si="504"/>
        <v/>
      </c>
      <c r="Q1797" s="29" t="str">
        <f t="shared" si="505"/>
        <v/>
      </c>
      <c r="R1797" s="29" t="str">
        <f t="shared" si="506"/>
        <v/>
      </c>
      <c r="S1797" s="29">
        <f t="shared" si="507"/>
        <v>1</v>
      </c>
      <c r="T1797" s="32" t="str">
        <f t="shared" si="508"/>
        <v/>
      </c>
      <c r="U1797" s="32" t="str">
        <f t="shared" si="511"/>
        <v/>
      </c>
      <c r="V1797" s="32" t="str">
        <f t="shared" si="512"/>
        <v/>
      </c>
      <c r="W1797" s="41">
        <f t="shared" si="509"/>
        <v>3.0252852825084053</v>
      </c>
      <c r="X1797" s="6">
        <f t="shared" si="510"/>
        <v>0</v>
      </c>
      <c r="Y1797" s="7">
        <f t="shared" si="513"/>
        <v>567</v>
      </c>
      <c r="AA1797" s="7">
        <f t="shared" si="514"/>
        <v>0</v>
      </c>
      <c r="AB1797" s="7" t="str">
        <f t="shared" si="515"/>
        <v/>
      </c>
      <c r="AC1797" s="7">
        <f t="shared" si="516"/>
        <v>0</v>
      </c>
      <c r="AD1797" s="7" t="str">
        <f t="shared" si="517"/>
        <v/>
      </c>
      <c r="AE1797" s="6">
        <f t="shared" si="518"/>
        <v>0</v>
      </c>
      <c r="AF1797" s="69">
        <f t="shared" si="519"/>
        <v>3.0252852825084053</v>
      </c>
      <c r="AG1797" s="6">
        <f t="shared" si="520"/>
        <v>187.56768751552113</v>
      </c>
      <c r="AH1797" s="6">
        <f t="shared" si="521"/>
        <v>207</v>
      </c>
    </row>
    <row r="1798" spans="8:34" x14ac:dyDescent="0.25">
      <c r="H1798" s="7">
        <v>1805</v>
      </c>
      <c r="I1798" s="7" t="s">
        <v>12</v>
      </c>
      <c r="J1798" s="8">
        <v>38342</v>
      </c>
      <c r="K1798" s="12" t="s">
        <v>18</v>
      </c>
      <c r="L1798" s="9">
        <v>31</v>
      </c>
      <c r="M1798" s="10">
        <v>94.571992971518611</v>
      </c>
      <c r="N1798" s="7" t="s">
        <v>21</v>
      </c>
      <c r="P1798" s="29" t="str">
        <f t="shared" si="504"/>
        <v/>
      </c>
      <c r="Q1798" s="29" t="str">
        <f t="shared" si="505"/>
        <v/>
      </c>
      <c r="R1798" s="29" t="str">
        <f t="shared" si="506"/>
        <v/>
      </c>
      <c r="S1798" s="29">
        <f t="shared" si="507"/>
        <v>1</v>
      </c>
      <c r="T1798" s="32" t="str">
        <f t="shared" si="508"/>
        <v/>
      </c>
      <c r="U1798" s="32" t="str">
        <f t="shared" si="511"/>
        <v/>
      </c>
      <c r="V1798" s="32" t="str">
        <f t="shared" si="512"/>
        <v/>
      </c>
      <c r="W1798" s="41">
        <f t="shared" si="509"/>
        <v>3.0507094506941486</v>
      </c>
      <c r="X1798" s="6">
        <f t="shared" si="510"/>
        <v>0</v>
      </c>
      <c r="Y1798" s="7">
        <f t="shared" si="513"/>
        <v>567</v>
      </c>
      <c r="AA1798" s="7">
        <f t="shared" si="514"/>
        <v>0</v>
      </c>
      <c r="AB1798" s="7" t="str">
        <f t="shared" si="515"/>
        <v/>
      </c>
      <c r="AC1798" s="7">
        <f t="shared" si="516"/>
        <v>0</v>
      </c>
      <c r="AD1798" s="7" t="str">
        <f t="shared" si="517"/>
        <v/>
      </c>
      <c r="AE1798" s="6">
        <f t="shared" si="518"/>
        <v>0</v>
      </c>
      <c r="AF1798" s="69">
        <f t="shared" si="519"/>
        <v>3.0507094506941486</v>
      </c>
      <c r="AG1798" s="6">
        <f t="shared" si="520"/>
        <v>94.571992971518611</v>
      </c>
      <c r="AH1798" s="6">
        <f t="shared" si="521"/>
        <v>388</v>
      </c>
    </row>
    <row r="1799" spans="8:34" x14ac:dyDescent="0.25">
      <c r="H1799" s="7">
        <v>1806</v>
      </c>
      <c r="I1799" s="7" t="s">
        <v>9</v>
      </c>
      <c r="J1799" s="8">
        <v>38210</v>
      </c>
      <c r="K1799" s="12" t="s">
        <v>20</v>
      </c>
      <c r="L1799" s="9">
        <v>43</v>
      </c>
      <c r="M1799" s="10">
        <v>131.33084322347369</v>
      </c>
      <c r="N1799" s="7" t="s">
        <v>24</v>
      </c>
      <c r="P1799" s="29" t="str">
        <f t="shared" si="504"/>
        <v/>
      </c>
      <c r="Q1799" s="29" t="str">
        <f t="shared" si="505"/>
        <v/>
      </c>
      <c r="R1799" s="29">
        <f t="shared" si="506"/>
        <v>1</v>
      </c>
      <c r="S1799" s="29" t="str">
        <f t="shared" si="507"/>
        <v/>
      </c>
      <c r="T1799" s="32" t="str">
        <f t="shared" si="508"/>
        <v/>
      </c>
      <c r="U1799" s="32" t="str">
        <f t="shared" si="511"/>
        <v/>
      </c>
      <c r="V1799" s="32" t="str">
        <f t="shared" si="512"/>
        <v/>
      </c>
      <c r="W1799" s="41">
        <f t="shared" si="509"/>
        <v>3.0542056563598532</v>
      </c>
      <c r="X1799" s="6">
        <f t="shared" si="510"/>
        <v>0</v>
      </c>
      <c r="Y1799" s="7">
        <f t="shared" si="513"/>
        <v>567</v>
      </c>
      <c r="AA1799" s="7">
        <f t="shared" si="514"/>
        <v>0</v>
      </c>
      <c r="AB1799" s="7" t="str">
        <f t="shared" si="515"/>
        <v/>
      </c>
      <c r="AC1799" s="7">
        <f t="shared" si="516"/>
        <v>0</v>
      </c>
      <c r="AD1799" s="7" t="str">
        <f t="shared" si="517"/>
        <v/>
      </c>
      <c r="AE1799" s="6">
        <f t="shared" si="518"/>
        <v>0</v>
      </c>
      <c r="AF1799" s="69">
        <f t="shared" si="519"/>
        <v>3.0542056563598532</v>
      </c>
      <c r="AG1799" s="6">
        <f t="shared" si="520"/>
        <v>131.33084322347369</v>
      </c>
      <c r="AH1799" s="6">
        <f t="shared" si="521"/>
        <v>312</v>
      </c>
    </row>
    <row r="1800" spans="8:34" x14ac:dyDescent="0.25">
      <c r="H1800" s="7">
        <v>1807</v>
      </c>
      <c r="I1800" s="7" t="s">
        <v>12</v>
      </c>
      <c r="J1800" s="8">
        <v>38298</v>
      </c>
      <c r="K1800" s="12" t="s">
        <v>17</v>
      </c>
      <c r="L1800" s="9">
        <v>78</v>
      </c>
      <c r="M1800" s="10">
        <v>236.44038982169729</v>
      </c>
      <c r="N1800" s="7" t="s">
        <v>22</v>
      </c>
      <c r="P1800" s="29" t="str">
        <f t="shared" si="504"/>
        <v/>
      </c>
      <c r="Q1800" s="29" t="str">
        <f t="shared" si="505"/>
        <v/>
      </c>
      <c r="R1800" s="29" t="str">
        <f t="shared" si="506"/>
        <v/>
      </c>
      <c r="S1800" s="29">
        <f t="shared" si="507"/>
        <v>1</v>
      </c>
      <c r="T1800" s="32" t="str">
        <f t="shared" si="508"/>
        <v/>
      </c>
      <c r="U1800" s="32" t="str">
        <f t="shared" si="511"/>
        <v/>
      </c>
      <c r="V1800" s="32" t="str">
        <f t="shared" si="512"/>
        <v/>
      </c>
      <c r="W1800" s="41">
        <f t="shared" si="509"/>
        <v>3.031287048996119</v>
      </c>
      <c r="X1800" s="6">
        <f t="shared" si="510"/>
        <v>0</v>
      </c>
      <c r="Y1800" s="7">
        <f t="shared" si="513"/>
        <v>567</v>
      </c>
      <c r="AA1800" s="7">
        <f t="shared" si="514"/>
        <v>0</v>
      </c>
      <c r="AB1800" s="7" t="str">
        <f t="shared" si="515"/>
        <v/>
      </c>
      <c r="AC1800" s="7">
        <f t="shared" si="516"/>
        <v>0</v>
      </c>
      <c r="AD1800" s="7" t="str">
        <f t="shared" si="517"/>
        <v/>
      </c>
      <c r="AE1800" s="6">
        <f t="shared" si="518"/>
        <v>0</v>
      </c>
      <c r="AF1800" s="69">
        <f t="shared" si="519"/>
        <v>3.031287048996119</v>
      </c>
      <c r="AG1800" s="6">
        <f t="shared" si="520"/>
        <v>236.44038982169729</v>
      </c>
      <c r="AH1800" s="6">
        <f t="shared" si="521"/>
        <v>101</v>
      </c>
    </row>
    <row r="1801" spans="8:34" x14ac:dyDescent="0.25">
      <c r="H1801" s="7">
        <v>1808</v>
      </c>
      <c r="I1801" s="7" t="s">
        <v>12</v>
      </c>
      <c r="J1801" s="8">
        <v>38199</v>
      </c>
      <c r="K1801" s="12" t="s">
        <v>17</v>
      </c>
      <c r="L1801" s="9">
        <v>-1</v>
      </c>
      <c r="M1801" s="10">
        <v>-0.44195721388362097</v>
      </c>
      <c r="N1801" s="7" t="s">
        <v>21</v>
      </c>
      <c r="P1801" s="29" t="str">
        <f t="shared" si="504"/>
        <v/>
      </c>
      <c r="Q1801" s="29" t="str">
        <f t="shared" si="505"/>
        <v/>
      </c>
      <c r="R1801" s="29">
        <f t="shared" si="506"/>
        <v>1</v>
      </c>
      <c r="S1801" s="29" t="str">
        <f t="shared" si="507"/>
        <v/>
      </c>
      <c r="T1801" s="32" t="str">
        <f t="shared" si="508"/>
        <v/>
      </c>
      <c r="U1801" s="32" t="str">
        <f t="shared" si="511"/>
        <v/>
      </c>
      <c r="V1801" s="32" t="str">
        <f t="shared" si="512"/>
        <v/>
      </c>
      <c r="W1801" s="41" t="str">
        <f t="shared" si="509"/>
        <v/>
      </c>
      <c r="X1801" s="6">
        <f t="shared" si="510"/>
        <v>0</v>
      </c>
      <c r="Y1801" s="7">
        <f t="shared" si="513"/>
        <v>567</v>
      </c>
      <c r="AA1801" s="7">
        <f t="shared" si="514"/>
        <v>0</v>
      </c>
      <c r="AB1801" s="7" t="str">
        <f t="shared" si="515"/>
        <v/>
      </c>
      <c r="AC1801" s="7">
        <f t="shared" si="516"/>
        <v>0</v>
      </c>
      <c r="AD1801" s="7" t="str">
        <f t="shared" si="517"/>
        <v/>
      </c>
      <c r="AE1801" s="6">
        <f t="shared" si="518"/>
        <v>-1</v>
      </c>
      <c r="AF1801" s="69" t="str">
        <f t="shared" si="519"/>
        <v/>
      </c>
      <c r="AG1801" s="6">
        <f t="shared" si="520"/>
        <v>0</v>
      </c>
      <c r="AH1801" s="6">
        <f t="shared" si="521"/>
        <v>604</v>
      </c>
    </row>
    <row r="1802" spans="8:34" x14ac:dyDescent="0.25">
      <c r="H1802" s="7">
        <v>1809</v>
      </c>
      <c r="I1802" s="7" t="s">
        <v>10</v>
      </c>
      <c r="J1802" s="8">
        <v>38056</v>
      </c>
      <c r="K1802" s="12" t="s">
        <v>19</v>
      </c>
      <c r="L1802" s="9">
        <v>5</v>
      </c>
      <c r="M1802" s="10">
        <v>17.469809541800071</v>
      </c>
      <c r="N1802" s="7" t="s">
        <v>21</v>
      </c>
      <c r="P1802" s="29">
        <f t="shared" si="504"/>
        <v>1</v>
      </c>
      <c r="Q1802" s="29" t="str">
        <f t="shared" si="505"/>
        <v/>
      </c>
      <c r="R1802" s="29" t="str">
        <f t="shared" si="506"/>
        <v/>
      </c>
      <c r="S1802" s="29" t="str">
        <f t="shared" si="507"/>
        <v/>
      </c>
      <c r="T1802" s="32" t="str">
        <f t="shared" si="508"/>
        <v/>
      </c>
      <c r="U1802" s="32" t="str">
        <f t="shared" si="511"/>
        <v/>
      </c>
      <c r="V1802" s="32" t="str">
        <f t="shared" si="512"/>
        <v/>
      </c>
      <c r="W1802" s="41">
        <f t="shared" si="509"/>
        <v>3.4939619083600144</v>
      </c>
      <c r="X1802" s="6">
        <f t="shared" si="510"/>
        <v>0</v>
      </c>
      <c r="Y1802" s="7">
        <f t="shared" si="513"/>
        <v>567</v>
      </c>
      <c r="AA1802" s="7">
        <f t="shared" si="514"/>
        <v>0</v>
      </c>
      <c r="AB1802" s="7" t="str">
        <f t="shared" si="515"/>
        <v/>
      </c>
      <c r="AC1802" s="7">
        <f t="shared" si="516"/>
        <v>0</v>
      </c>
      <c r="AD1802" s="7" t="str">
        <f t="shared" si="517"/>
        <v/>
      </c>
      <c r="AE1802" s="6">
        <f t="shared" si="518"/>
        <v>0</v>
      </c>
      <c r="AF1802" s="69">
        <f t="shared" si="519"/>
        <v>3.4939619083600144</v>
      </c>
      <c r="AG1802" s="6">
        <f t="shared" si="520"/>
        <v>17.469809541800071</v>
      </c>
      <c r="AH1802" s="6">
        <f t="shared" si="521"/>
        <v>567</v>
      </c>
    </row>
    <row r="1803" spans="8:34" x14ac:dyDescent="0.25">
      <c r="H1803" s="7">
        <v>1810</v>
      </c>
      <c r="I1803" s="7" t="s">
        <v>12</v>
      </c>
      <c r="J1803" s="8">
        <v>38859</v>
      </c>
      <c r="K1803" s="12" t="s">
        <v>19</v>
      </c>
      <c r="L1803" s="9">
        <v>30</v>
      </c>
      <c r="M1803" s="10">
        <v>92.310265407731023</v>
      </c>
      <c r="N1803" s="7" t="s">
        <v>21</v>
      </c>
      <c r="P1803" s="29" t="str">
        <f t="shared" si="504"/>
        <v/>
      </c>
      <c r="Q1803" s="29" t="str">
        <f t="shared" si="505"/>
        <v/>
      </c>
      <c r="R1803" s="29" t="str">
        <f t="shared" si="506"/>
        <v/>
      </c>
      <c r="S1803" s="29" t="str">
        <f t="shared" si="507"/>
        <v/>
      </c>
      <c r="T1803" s="32" t="str">
        <f t="shared" si="508"/>
        <v/>
      </c>
      <c r="U1803" s="32" t="str">
        <f t="shared" si="511"/>
        <v/>
      </c>
      <c r="V1803" s="32">
        <f t="shared" si="512"/>
        <v>1</v>
      </c>
      <c r="W1803" s="41">
        <f t="shared" si="509"/>
        <v>3.0770088469243673</v>
      </c>
      <c r="X1803" s="6">
        <f t="shared" si="510"/>
        <v>0</v>
      </c>
      <c r="Y1803" s="7">
        <f t="shared" si="513"/>
        <v>567</v>
      </c>
      <c r="AA1803" s="7">
        <f t="shared" si="514"/>
        <v>0</v>
      </c>
      <c r="AB1803" s="7" t="str">
        <f t="shared" si="515"/>
        <v/>
      </c>
      <c r="AC1803" s="7">
        <f t="shared" si="516"/>
        <v>0</v>
      </c>
      <c r="AD1803" s="7" t="str">
        <f t="shared" si="517"/>
        <v/>
      </c>
      <c r="AE1803" s="6">
        <f t="shared" si="518"/>
        <v>0</v>
      </c>
      <c r="AF1803" s="69">
        <f t="shared" si="519"/>
        <v>3.0770088469243673</v>
      </c>
      <c r="AG1803" s="6">
        <f t="shared" si="520"/>
        <v>0</v>
      </c>
      <c r="AH1803" s="6">
        <f t="shared" si="521"/>
        <v>604</v>
      </c>
    </row>
    <row r="1804" spans="8:34" x14ac:dyDescent="0.25">
      <c r="H1804" s="7">
        <v>1811</v>
      </c>
      <c r="I1804" s="7" t="s">
        <v>8</v>
      </c>
      <c r="J1804" s="8">
        <v>38826</v>
      </c>
      <c r="K1804" s="12" t="s">
        <v>16</v>
      </c>
      <c r="L1804" s="9">
        <v>65</v>
      </c>
      <c r="M1804" s="10">
        <v>197.17585549268185</v>
      </c>
      <c r="N1804" s="7" t="s">
        <v>23</v>
      </c>
      <c r="P1804" s="29" t="str">
        <f t="shared" si="504"/>
        <v/>
      </c>
      <c r="Q1804" s="29" t="str">
        <f t="shared" si="505"/>
        <v/>
      </c>
      <c r="R1804" s="29" t="str">
        <f t="shared" si="506"/>
        <v/>
      </c>
      <c r="S1804" s="29" t="str">
        <f t="shared" si="507"/>
        <v/>
      </c>
      <c r="T1804" s="32" t="str">
        <f t="shared" si="508"/>
        <v/>
      </c>
      <c r="U1804" s="32" t="str">
        <f t="shared" si="511"/>
        <v/>
      </c>
      <c r="V1804" s="32">
        <f t="shared" si="512"/>
        <v>1</v>
      </c>
      <c r="W1804" s="41">
        <f t="shared" si="509"/>
        <v>3.0334746998874129</v>
      </c>
      <c r="X1804" s="6">
        <f t="shared" si="510"/>
        <v>0</v>
      </c>
      <c r="Y1804" s="7">
        <f t="shared" si="513"/>
        <v>567</v>
      </c>
      <c r="AA1804" s="7">
        <f t="shared" si="514"/>
        <v>0</v>
      </c>
      <c r="AB1804" s="7" t="str">
        <f t="shared" si="515"/>
        <v/>
      </c>
      <c r="AC1804" s="7">
        <f t="shared" si="516"/>
        <v>0</v>
      </c>
      <c r="AD1804" s="7" t="str">
        <f t="shared" si="517"/>
        <v/>
      </c>
      <c r="AE1804" s="6">
        <f t="shared" si="518"/>
        <v>0</v>
      </c>
      <c r="AF1804" s="69">
        <f t="shared" si="519"/>
        <v>3.0334746998874129</v>
      </c>
      <c r="AG1804" s="6">
        <f t="shared" si="520"/>
        <v>0</v>
      </c>
      <c r="AH1804" s="6">
        <f t="shared" si="521"/>
        <v>604</v>
      </c>
    </row>
    <row r="1805" spans="8:34" x14ac:dyDescent="0.25">
      <c r="H1805" s="7">
        <v>1812</v>
      </c>
      <c r="I1805" s="7" t="s">
        <v>15</v>
      </c>
      <c r="J1805" s="8">
        <v>38848</v>
      </c>
      <c r="K1805" s="12" t="s">
        <v>20</v>
      </c>
      <c r="L1805" s="9">
        <v>14</v>
      </c>
      <c r="M1805" s="10">
        <v>43.795902693300988</v>
      </c>
      <c r="N1805" s="7" t="s">
        <v>21</v>
      </c>
      <c r="P1805" s="29" t="str">
        <f t="shared" si="504"/>
        <v/>
      </c>
      <c r="Q1805" s="29" t="str">
        <f t="shared" si="505"/>
        <v/>
      </c>
      <c r="R1805" s="29" t="str">
        <f t="shared" si="506"/>
        <v/>
      </c>
      <c r="S1805" s="29" t="str">
        <f t="shared" si="507"/>
        <v/>
      </c>
      <c r="T1805" s="32" t="str">
        <f t="shared" si="508"/>
        <v/>
      </c>
      <c r="U1805" s="32" t="str">
        <f t="shared" si="511"/>
        <v/>
      </c>
      <c r="V1805" s="32">
        <f t="shared" si="512"/>
        <v>1</v>
      </c>
      <c r="W1805" s="41">
        <f t="shared" si="509"/>
        <v>3.1282787638072134</v>
      </c>
      <c r="X1805" s="6">
        <f t="shared" si="510"/>
        <v>0</v>
      </c>
      <c r="Y1805" s="7">
        <f t="shared" si="513"/>
        <v>567</v>
      </c>
      <c r="AA1805" s="7">
        <f t="shared" si="514"/>
        <v>0</v>
      </c>
      <c r="AB1805" s="7" t="str">
        <f t="shared" si="515"/>
        <v/>
      </c>
      <c r="AC1805" s="7">
        <f t="shared" si="516"/>
        <v>0</v>
      </c>
      <c r="AD1805" s="7" t="str">
        <f t="shared" si="517"/>
        <v/>
      </c>
      <c r="AE1805" s="6">
        <f t="shared" si="518"/>
        <v>0</v>
      </c>
      <c r="AF1805" s="69">
        <f t="shared" si="519"/>
        <v>3.1282787638072134</v>
      </c>
      <c r="AG1805" s="6">
        <f t="shared" si="520"/>
        <v>0</v>
      </c>
      <c r="AH1805" s="6">
        <f t="shared" si="521"/>
        <v>604</v>
      </c>
    </row>
    <row r="1806" spans="8:34" x14ac:dyDescent="0.25">
      <c r="H1806" s="7">
        <v>1813</v>
      </c>
      <c r="I1806" s="7" t="s">
        <v>15</v>
      </c>
      <c r="J1806" s="8">
        <v>38683</v>
      </c>
      <c r="K1806" s="12" t="s">
        <v>18</v>
      </c>
      <c r="L1806" s="9">
        <v>10</v>
      </c>
      <c r="M1806" s="10">
        <v>31.259562735955448</v>
      </c>
      <c r="N1806" s="7" t="s">
        <v>23</v>
      </c>
      <c r="P1806" s="29" t="str">
        <f t="shared" si="504"/>
        <v/>
      </c>
      <c r="Q1806" s="29" t="str">
        <f t="shared" si="505"/>
        <v/>
      </c>
      <c r="R1806" s="29" t="str">
        <f t="shared" si="506"/>
        <v/>
      </c>
      <c r="S1806" s="29" t="str">
        <f t="shared" si="507"/>
        <v/>
      </c>
      <c r="T1806" s="32">
        <f t="shared" si="508"/>
        <v>1</v>
      </c>
      <c r="U1806" s="32">
        <f t="shared" si="511"/>
        <v>1</v>
      </c>
      <c r="V1806" s="32" t="str">
        <f t="shared" si="512"/>
        <v/>
      </c>
      <c r="W1806" s="41">
        <f t="shared" si="509"/>
        <v>3.1259562735955448</v>
      </c>
      <c r="X1806" s="6">
        <f t="shared" si="510"/>
        <v>31.259562735955448</v>
      </c>
      <c r="Y1806" s="7">
        <f t="shared" si="513"/>
        <v>500</v>
      </c>
      <c r="AA1806" s="7">
        <f t="shared" si="514"/>
        <v>0</v>
      </c>
      <c r="AB1806" s="7" t="str">
        <f t="shared" si="515"/>
        <v/>
      </c>
      <c r="AC1806" s="7">
        <f t="shared" si="516"/>
        <v>1</v>
      </c>
      <c r="AD1806" s="7">
        <f t="shared" si="517"/>
        <v>10</v>
      </c>
      <c r="AE1806" s="6">
        <f t="shared" si="518"/>
        <v>0</v>
      </c>
      <c r="AF1806" s="69">
        <f t="shared" si="519"/>
        <v>3.1259562735955448</v>
      </c>
      <c r="AG1806" s="6">
        <f t="shared" si="520"/>
        <v>0</v>
      </c>
      <c r="AH1806" s="6">
        <f t="shared" si="521"/>
        <v>604</v>
      </c>
    </row>
    <row r="1807" spans="8:34" x14ac:dyDescent="0.25">
      <c r="H1807" s="7">
        <v>1814</v>
      </c>
      <c r="I1807" s="7" t="s">
        <v>7</v>
      </c>
      <c r="J1807" s="8">
        <v>38056</v>
      </c>
      <c r="K1807" s="12" t="s">
        <v>19</v>
      </c>
      <c r="L1807" s="9">
        <v>31</v>
      </c>
      <c r="M1807" s="10">
        <v>94.729581013275251</v>
      </c>
      <c r="N1807" s="7" t="s">
        <v>22</v>
      </c>
      <c r="P1807" s="29">
        <f t="shared" si="504"/>
        <v>1</v>
      </c>
      <c r="Q1807" s="29" t="str">
        <f t="shared" si="505"/>
        <v/>
      </c>
      <c r="R1807" s="29" t="str">
        <f t="shared" si="506"/>
        <v/>
      </c>
      <c r="S1807" s="29" t="str">
        <f t="shared" si="507"/>
        <v/>
      </c>
      <c r="T1807" s="32" t="str">
        <f t="shared" si="508"/>
        <v/>
      </c>
      <c r="U1807" s="32" t="str">
        <f t="shared" si="511"/>
        <v/>
      </c>
      <c r="V1807" s="32" t="str">
        <f t="shared" si="512"/>
        <v/>
      </c>
      <c r="W1807" s="41">
        <f t="shared" si="509"/>
        <v>3.055792935912105</v>
      </c>
      <c r="X1807" s="6">
        <f t="shared" si="510"/>
        <v>0</v>
      </c>
      <c r="Y1807" s="7">
        <f t="shared" si="513"/>
        <v>567</v>
      </c>
      <c r="AA1807" s="7">
        <f t="shared" si="514"/>
        <v>0</v>
      </c>
      <c r="AB1807" s="7" t="str">
        <f t="shared" si="515"/>
        <v/>
      </c>
      <c r="AC1807" s="7">
        <f t="shared" si="516"/>
        <v>0</v>
      </c>
      <c r="AD1807" s="7" t="str">
        <f t="shared" si="517"/>
        <v/>
      </c>
      <c r="AE1807" s="6">
        <f t="shared" si="518"/>
        <v>0</v>
      </c>
      <c r="AF1807" s="69">
        <f t="shared" si="519"/>
        <v>3.055792935912105</v>
      </c>
      <c r="AG1807" s="6">
        <f t="shared" si="520"/>
        <v>94.729581013275251</v>
      </c>
      <c r="AH1807" s="6">
        <f t="shared" si="521"/>
        <v>386</v>
      </c>
    </row>
    <row r="1808" spans="8:34" x14ac:dyDescent="0.25">
      <c r="H1808" s="7">
        <v>1815</v>
      </c>
      <c r="I1808" s="7" t="s">
        <v>7</v>
      </c>
      <c r="J1808" s="8">
        <v>38826</v>
      </c>
      <c r="K1808" s="12" t="s">
        <v>20</v>
      </c>
      <c r="L1808" s="9">
        <v>25</v>
      </c>
      <c r="M1808" s="10">
        <v>77.103127744417094</v>
      </c>
      <c r="N1808" s="7" t="s">
        <v>21</v>
      </c>
      <c r="P1808" s="29" t="str">
        <f t="shared" si="504"/>
        <v/>
      </c>
      <c r="Q1808" s="29" t="str">
        <f t="shared" si="505"/>
        <v/>
      </c>
      <c r="R1808" s="29" t="str">
        <f t="shared" si="506"/>
        <v/>
      </c>
      <c r="S1808" s="29" t="str">
        <f t="shared" si="507"/>
        <v/>
      </c>
      <c r="T1808" s="32" t="str">
        <f t="shared" si="508"/>
        <v/>
      </c>
      <c r="U1808" s="32" t="str">
        <f t="shared" si="511"/>
        <v/>
      </c>
      <c r="V1808" s="32">
        <f t="shared" si="512"/>
        <v>1</v>
      </c>
      <c r="W1808" s="41">
        <f t="shared" si="509"/>
        <v>3.084125109776684</v>
      </c>
      <c r="X1808" s="6">
        <f t="shared" si="510"/>
        <v>0</v>
      </c>
      <c r="Y1808" s="7">
        <f t="shared" si="513"/>
        <v>567</v>
      </c>
      <c r="AA1808" s="7">
        <f t="shared" si="514"/>
        <v>0</v>
      </c>
      <c r="AB1808" s="7" t="str">
        <f t="shared" si="515"/>
        <v/>
      </c>
      <c r="AC1808" s="7">
        <f t="shared" si="516"/>
        <v>0</v>
      </c>
      <c r="AD1808" s="7" t="str">
        <f t="shared" si="517"/>
        <v/>
      </c>
      <c r="AE1808" s="6">
        <f t="shared" si="518"/>
        <v>0</v>
      </c>
      <c r="AF1808" s="69">
        <f t="shared" si="519"/>
        <v>3.084125109776684</v>
      </c>
      <c r="AG1808" s="6">
        <f t="shared" si="520"/>
        <v>0</v>
      </c>
      <c r="AH1808" s="6">
        <f t="shared" si="521"/>
        <v>604</v>
      </c>
    </row>
    <row r="1809" spans="8:34" x14ac:dyDescent="0.25">
      <c r="H1809" s="7">
        <v>1816</v>
      </c>
      <c r="I1809" s="7" t="s">
        <v>7</v>
      </c>
      <c r="J1809" s="8">
        <v>38430</v>
      </c>
      <c r="K1809" s="12" t="s">
        <v>19</v>
      </c>
      <c r="L1809" s="9">
        <v>11</v>
      </c>
      <c r="M1809" s="10">
        <v>35.295636570052608</v>
      </c>
      <c r="N1809" s="7" t="s">
        <v>21</v>
      </c>
      <c r="P1809" s="29" t="str">
        <f t="shared" si="504"/>
        <v/>
      </c>
      <c r="Q1809" s="29" t="str">
        <f t="shared" si="505"/>
        <v/>
      </c>
      <c r="R1809" s="29" t="str">
        <f t="shared" si="506"/>
        <v/>
      </c>
      <c r="S1809" s="29" t="str">
        <f t="shared" si="507"/>
        <v/>
      </c>
      <c r="T1809" s="32" t="str">
        <f t="shared" si="508"/>
        <v/>
      </c>
      <c r="U1809" s="32">
        <f t="shared" si="511"/>
        <v>1</v>
      </c>
      <c r="V1809" s="32" t="str">
        <f t="shared" si="512"/>
        <v/>
      </c>
      <c r="W1809" s="41">
        <f t="shared" si="509"/>
        <v>3.2086942336411464</v>
      </c>
      <c r="X1809" s="6">
        <f t="shared" si="510"/>
        <v>35.295636570052608</v>
      </c>
      <c r="Y1809" s="7">
        <f t="shared" si="513"/>
        <v>487</v>
      </c>
      <c r="AA1809" s="7">
        <f t="shared" si="514"/>
        <v>1</v>
      </c>
      <c r="AB1809" s="7">
        <f t="shared" si="515"/>
        <v>11</v>
      </c>
      <c r="AC1809" s="7">
        <f t="shared" si="516"/>
        <v>0</v>
      </c>
      <c r="AD1809" s="7" t="str">
        <f t="shared" si="517"/>
        <v/>
      </c>
      <c r="AE1809" s="6">
        <f t="shared" si="518"/>
        <v>0</v>
      </c>
      <c r="AF1809" s="69">
        <f t="shared" si="519"/>
        <v>3.2086942336411464</v>
      </c>
      <c r="AG1809" s="6">
        <f t="shared" si="520"/>
        <v>0</v>
      </c>
      <c r="AH1809" s="6">
        <f t="shared" si="521"/>
        <v>604</v>
      </c>
    </row>
    <row r="1810" spans="8:34" x14ac:dyDescent="0.25">
      <c r="H1810" s="7">
        <v>1817</v>
      </c>
      <c r="I1810" s="7" t="s">
        <v>7</v>
      </c>
      <c r="J1810" s="8">
        <v>38001</v>
      </c>
      <c r="K1810" s="12" t="s">
        <v>18</v>
      </c>
      <c r="L1810" s="9">
        <v>62</v>
      </c>
      <c r="M1810" s="10">
        <v>187.51222635081746</v>
      </c>
      <c r="N1810" s="7" t="s">
        <v>23</v>
      </c>
      <c r="P1810" s="29">
        <f t="shared" si="504"/>
        <v>1</v>
      </c>
      <c r="Q1810" s="29" t="str">
        <f t="shared" si="505"/>
        <v/>
      </c>
      <c r="R1810" s="29" t="str">
        <f t="shared" si="506"/>
        <v/>
      </c>
      <c r="S1810" s="29" t="str">
        <f t="shared" si="507"/>
        <v/>
      </c>
      <c r="T1810" s="32" t="str">
        <f t="shared" si="508"/>
        <v/>
      </c>
      <c r="U1810" s="32" t="str">
        <f t="shared" si="511"/>
        <v/>
      </c>
      <c r="V1810" s="32" t="str">
        <f t="shared" si="512"/>
        <v/>
      </c>
      <c r="W1810" s="41">
        <f t="shared" si="509"/>
        <v>3.0243907475938299</v>
      </c>
      <c r="X1810" s="6">
        <f t="shared" si="510"/>
        <v>0</v>
      </c>
      <c r="Y1810" s="7">
        <f t="shared" si="513"/>
        <v>567</v>
      </c>
      <c r="AA1810" s="7">
        <f t="shared" si="514"/>
        <v>0</v>
      </c>
      <c r="AB1810" s="7" t="str">
        <f t="shared" si="515"/>
        <v/>
      </c>
      <c r="AC1810" s="7">
        <f t="shared" si="516"/>
        <v>0</v>
      </c>
      <c r="AD1810" s="7" t="str">
        <f t="shared" si="517"/>
        <v/>
      </c>
      <c r="AE1810" s="6">
        <f t="shared" si="518"/>
        <v>0</v>
      </c>
      <c r="AF1810" s="69">
        <f t="shared" si="519"/>
        <v>3.0243907475938299</v>
      </c>
      <c r="AG1810" s="6">
        <f t="shared" si="520"/>
        <v>187.51222635081746</v>
      </c>
      <c r="AH1810" s="6">
        <f t="shared" si="521"/>
        <v>208</v>
      </c>
    </row>
    <row r="1811" spans="8:34" x14ac:dyDescent="0.25">
      <c r="H1811" s="7">
        <v>1818</v>
      </c>
      <c r="I1811" s="7" t="s">
        <v>9</v>
      </c>
      <c r="J1811" s="8">
        <v>38012</v>
      </c>
      <c r="K1811" s="12" t="s">
        <v>18</v>
      </c>
      <c r="L1811" s="9">
        <v>4</v>
      </c>
      <c r="M1811" s="10">
        <v>14.186481337467258</v>
      </c>
      <c r="N1811" s="7" t="s">
        <v>23</v>
      </c>
      <c r="P1811" s="29">
        <f t="shared" si="504"/>
        <v>1</v>
      </c>
      <c r="Q1811" s="29" t="str">
        <f t="shared" si="505"/>
        <v/>
      </c>
      <c r="R1811" s="29" t="str">
        <f t="shared" si="506"/>
        <v/>
      </c>
      <c r="S1811" s="29" t="str">
        <f t="shared" si="507"/>
        <v/>
      </c>
      <c r="T1811" s="32" t="str">
        <f t="shared" si="508"/>
        <v/>
      </c>
      <c r="U1811" s="32" t="str">
        <f t="shared" si="511"/>
        <v/>
      </c>
      <c r="V1811" s="32" t="str">
        <f t="shared" si="512"/>
        <v/>
      </c>
      <c r="W1811" s="41">
        <f t="shared" si="509"/>
        <v>3.5466203343668146</v>
      </c>
      <c r="X1811" s="6">
        <f t="shared" si="510"/>
        <v>0</v>
      </c>
      <c r="Y1811" s="7">
        <f t="shared" si="513"/>
        <v>567</v>
      </c>
      <c r="AA1811" s="7">
        <f t="shared" si="514"/>
        <v>0</v>
      </c>
      <c r="AB1811" s="7" t="str">
        <f t="shared" si="515"/>
        <v/>
      </c>
      <c r="AC1811" s="7">
        <f t="shared" si="516"/>
        <v>0</v>
      </c>
      <c r="AD1811" s="7" t="str">
        <f t="shared" si="517"/>
        <v/>
      </c>
      <c r="AE1811" s="6">
        <f t="shared" si="518"/>
        <v>0</v>
      </c>
      <c r="AF1811" s="69">
        <f t="shared" si="519"/>
        <v>3.5466203343668146</v>
      </c>
      <c r="AG1811" s="6">
        <f t="shared" si="520"/>
        <v>14.186481337467258</v>
      </c>
      <c r="AH1811" s="6">
        <f t="shared" si="521"/>
        <v>576</v>
      </c>
    </row>
    <row r="1812" spans="8:34" x14ac:dyDescent="0.25">
      <c r="H1812" s="7">
        <v>1819</v>
      </c>
      <c r="I1812" s="7" t="s">
        <v>10</v>
      </c>
      <c r="J1812" s="8">
        <v>38969</v>
      </c>
      <c r="K1812" s="12" t="s">
        <v>16</v>
      </c>
      <c r="L1812" s="9">
        <v>4</v>
      </c>
      <c r="M1812" s="10">
        <v>13.713847194878378</v>
      </c>
      <c r="N1812" s="7" t="s">
        <v>22</v>
      </c>
      <c r="P1812" s="29" t="str">
        <f t="shared" si="504"/>
        <v/>
      </c>
      <c r="Q1812" s="29" t="str">
        <f t="shared" si="505"/>
        <v/>
      </c>
      <c r="R1812" s="29" t="str">
        <f t="shared" si="506"/>
        <v/>
      </c>
      <c r="S1812" s="29" t="str">
        <f t="shared" si="507"/>
        <v/>
      </c>
      <c r="T1812" s="32" t="str">
        <f t="shared" si="508"/>
        <v/>
      </c>
      <c r="U1812" s="32" t="str">
        <f t="shared" si="511"/>
        <v/>
      </c>
      <c r="V1812" s="32">
        <f t="shared" si="512"/>
        <v>1</v>
      </c>
      <c r="W1812" s="41">
        <f t="shared" si="509"/>
        <v>3.4284617987195944</v>
      </c>
      <c r="X1812" s="6">
        <f t="shared" si="510"/>
        <v>0</v>
      </c>
      <c r="Y1812" s="7">
        <f t="shared" si="513"/>
        <v>567</v>
      </c>
      <c r="AA1812" s="7">
        <f t="shared" si="514"/>
        <v>0</v>
      </c>
      <c r="AB1812" s="7" t="str">
        <f t="shared" si="515"/>
        <v/>
      </c>
      <c r="AC1812" s="7">
        <f t="shared" si="516"/>
        <v>0</v>
      </c>
      <c r="AD1812" s="7" t="str">
        <f t="shared" si="517"/>
        <v/>
      </c>
      <c r="AE1812" s="6">
        <f t="shared" si="518"/>
        <v>0</v>
      </c>
      <c r="AF1812" s="69">
        <f t="shared" si="519"/>
        <v>3.4284617987195944</v>
      </c>
      <c r="AG1812" s="6">
        <f t="shared" si="520"/>
        <v>0</v>
      </c>
      <c r="AH1812" s="6">
        <f t="shared" si="521"/>
        <v>604</v>
      </c>
    </row>
    <row r="1813" spans="8:34" x14ac:dyDescent="0.25">
      <c r="H1813" s="7">
        <v>1820</v>
      </c>
      <c r="I1813" s="7" t="s">
        <v>12</v>
      </c>
      <c r="J1813" s="8">
        <v>38683</v>
      </c>
      <c r="K1813" s="12" t="s">
        <v>17</v>
      </c>
      <c r="L1813" s="9">
        <v>71</v>
      </c>
      <c r="M1813" s="10">
        <v>215.12149125217519</v>
      </c>
      <c r="N1813" s="7" t="s">
        <v>24</v>
      </c>
      <c r="P1813" s="29" t="str">
        <f t="shared" si="504"/>
        <v/>
      </c>
      <c r="Q1813" s="29" t="str">
        <f t="shared" si="505"/>
        <v/>
      </c>
      <c r="R1813" s="29" t="str">
        <f t="shared" si="506"/>
        <v/>
      </c>
      <c r="S1813" s="29" t="str">
        <f t="shared" si="507"/>
        <v/>
      </c>
      <c r="T1813" s="32">
        <f t="shared" si="508"/>
        <v>1</v>
      </c>
      <c r="U1813" s="32">
        <f t="shared" si="511"/>
        <v>1</v>
      </c>
      <c r="V1813" s="32" t="str">
        <f t="shared" si="512"/>
        <v/>
      </c>
      <c r="W1813" s="41">
        <f t="shared" si="509"/>
        <v>3.0298801584813408</v>
      </c>
      <c r="X1813" s="6">
        <f t="shared" si="510"/>
        <v>215.12149125217519</v>
      </c>
      <c r="Y1813" s="7">
        <f t="shared" si="513"/>
        <v>151</v>
      </c>
      <c r="AA1813" s="7">
        <f t="shared" si="514"/>
        <v>0</v>
      </c>
      <c r="AB1813" s="7" t="str">
        <f t="shared" si="515"/>
        <v/>
      </c>
      <c r="AC1813" s="7">
        <f t="shared" si="516"/>
        <v>1</v>
      </c>
      <c r="AD1813" s="7">
        <f t="shared" si="517"/>
        <v>71</v>
      </c>
      <c r="AE1813" s="6">
        <f t="shared" si="518"/>
        <v>0</v>
      </c>
      <c r="AF1813" s="69">
        <f t="shared" si="519"/>
        <v>3.0298801584813408</v>
      </c>
      <c r="AG1813" s="6">
        <f t="shared" si="520"/>
        <v>0</v>
      </c>
      <c r="AH1813" s="6">
        <f t="shared" si="521"/>
        <v>604</v>
      </c>
    </row>
    <row r="1814" spans="8:34" x14ac:dyDescent="0.25">
      <c r="H1814" s="7">
        <v>1821</v>
      </c>
      <c r="I1814" s="7" t="s">
        <v>14</v>
      </c>
      <c r="J1814" s="8">
        <v>38859</v>
      </c>
      <c r="K1814" s="12" t="s">
        <v>19</v>
      </c>
      <c r="L1814" s="9">
        <v>67</v>
      </c>
      <c r="M1814" s="10">
        <v>203.18155970987976</v>
      </c>
      <c r="N1814" s="7" t="s">
        <v>24</v>
      </c>
      <c r="P1814" s="29" t="str">
        <f t="shared" si="504"/>
        <v/>
      </c>
      <c r="Q1814" s="29" t="str">
        <f t="shared" si="505"/>
        <v/>
      </c>
      <c r="R1814" s="29" t="str">
        <f t="shared" si="506"/>
        <v/>
      </c>
      <c r="S1814" s="29" t="str">
        <f t="shared" si="507"/>
        <v/>
      </c>
      <c r="T1814" s="32" t="str">
        <f t="shared" si="508"/>
        <v/>
      </c>
      <c r="U1814" s="32" t="str">
        <f t="shared" si="511"/>
        <v/>
      </c>
      <c r="V1814" s="32">
        <f t="shared" si="512"/>
        <v>1</v>
      </c>
      <c r="W1814" s="41">
        <f t="shared" si="509"/>
        <v>3.0325605926847725</v>
      </c>
      <c r="X1814" s="6">
        <f t="shared" si="510"/>
        <v>0</v>
      </c>
      <c r="Y1814" s="7">
        <f t="shared" si="513"/>
        <v>567</v>
      </c>
      <c r="AA1814" s="7">
        <f t="shared" si="514"/>
        <v>0</v>
      </c>
      <c r="AB1814" s="7" t="str">
        <f t="shared" si="515"/>
        <v/>
      </c>
      <c r="AC1814" s="7">
        <f t="shared" si="516"/>
        <v>0</v>
      </c>
      <c r="AD1814" s="7" t="str">
        <f t="shared" si="517"/>
        <v/>
      </c>
      <c r="AE1814" s="6">
        <f t="shared" si="518"/>
        <v>0</v>
      </c>
      <c r="AF1814" s="69">
        <f t="shared" si="519"/>
        <v>3.0325605926847725</v>
      </c>
      <c r="AG1814" s="6">
        <f t="shared" si="520"/>
        <v>0</v>
      </c>
      <c r="AH1814" s="6">
        <f t="shared" si="521"/>
        <v>604</v>
      </c>
    </row>
    <row r="1815" spans="8:34" x14ac:dyDescent="0.25">
      <c r="H1815" s="7">
        <v>1822</v>
      </c>
      <c r="I1815" s="7" t="s">
        <v>13</v>
      </c>
      <c r="J1815" s="8">
        <v>38463</v>
      </c>
      <c r="K1815" s="12" t="s">
        <v>17</v>
      </c>
      <c r="L1815" s="9">
        <v>19</v>
      </c>
      <c r="M1815" s="10">
        <v>59.451848680441209</v>
      </c>
      <c r="N1815" s="7" t="s">
        <v>23</v>
      </c>
      <c r="P1815" s="29" t="str">
        <f t="shared" si="504"/>
        <v/>
      </c>
      <c r="Q1815" s="29" t="str">
        <f t="shared" si="505"/>
        <v/>
      </c>
      <c r="R1815" s="29" t="str">
        <f t="shared" si="506"/>
        <v/>
      </c>
      <c r="S1815" s="29" t="str">
        <f t="shared" si="507"/>
        <v/>
      </c>
      <c r="T1815" s="32" t="str">
        <f t="shared" si="508"/>
        <v/>
      </c>
      <c r="U1815" s="32">
        <f t="shared" si="511"/>
        <v>1</v>
      </c>
      <c r="V1815" s="32" t="str">
        <f t="shared" si="512"/>
        <v/>
      </c>
      <c r="W1815" s="41">
        <f t="shared" si="509"/>
        <v>3.1290446673916428</v>
      </c>
      <c r="X1815" s="6">
        <f t="shared" si="510"/>
        <v>59.451848680441209</v>
      </c>
      <c r="Y1815" s="7">
        <f t="shared" si="513"/>
        <v>441</v>
      </c>
      <c r="AA1815" s="7">
        <f t="shared" si="514"/>
        <v>0</v>
      </c>
      <c r="AB1815" s="7" t="str">
        <f t="shared" si="515"/>
        <v/>
      </c>
      <c r="AC1815" s="7">
        <f t="shared" si="516"/>
        <v>1</v>
      </c>
      <c r="AD1815" s="7">
        <f t="shared" si="517"/>
        <v>19</v>
      </c>
      <c r="AE1815" s="6">
        <f t="shared" si="518"/>
        <v>0</v>
      </c>
      <c r="AF1815" s="69">
        <f t="shared" si="519"/>
        <v>3.1290446673916428</v>
      </c>
      <c r="AG1815" s="6">
        <f t="shared" si="520"/>
        <v>0</v>
      </c>
      <c r="AH1815" s="6">
        <f t="shared" si="521"/>
        <v>604</v>
      </c>
    </row>
    <row r="1816" spans="8:34" x14ac:dyDescent="0.25">
      <c r="H1816" s="7">
        <v>1823</v>
      </c>
      <c r="I1816" s="7" t="s">
        <v>15</v>
      </c>
      <c r="J1816" s="8">
        <v>38529</v>
      </c>
      <c r="K1816" s="12" t="s">
        <v>17</v>
      </c>
      <c r="L1816" s="9">
        <v>12</v>
      </c>
      <c r="M1816" s="10">
        <v>37.634507305486729</v>
      </c>
      <c r="N1816" s="7" t="s">
        <v>21</v>
      </c>
      <c r="P1816" s="29" t="str">
        <f t="shared" si="504"/>
        <v/>
      </c>
      <c r="Q1816" s="29" t="str">
        <f t="shared" si="505"/>
        <v/>
      </c>
      <c r="R1816" s="29" t="str">
        <f t="shared" si="506"/>
        <v/>
      </c>
      <c r="S1816" s="29" t="str">
        <f t="shared" si="507"/>
        <v/>
      </c>
      <c r="T1816" s="32" t="str">
        <f t="shared" si="508"/>
        <v/>
      </c>
      <c r="U1816" s="32">
        <f t="shared" si="511"/>
        <v>1</v>
      </c>
      <c r="V1816" s="32" t="str">
        <f t="shared" si="512"/>
        <v/>
      </c>
      <c r="W1816" s="41">
        <f t="shared" si="509"/>
        <v>3.1362089421238939</v>
      </c>
      <c r="X1816" s="6">
        <f t="shared" si="510"/>
        <v>37.634507305486729</v>
      </c>
      <c r="Y1816" s="7">
        <f t="shared" si="513"/>
        <v>485</v>
      </c>
      <c r="AA1816" s="7">
        <f t="shared" si="514"/>
        <v>0</v>
      </c>
      <c r="AB1816" s="7" t="str">
        <f t="shared" si="515"/>
        <v/>
      </c>
      <c r="AC1816" s="7">
        <f t="shared" si="516"/>
        <v>1</v>
      </c>
      <c r="AD1816" s="7">
        <f t="shared" si="517"/>
        <v>12</v>
      </c>
      <c r="AE1816" s="6">
        <f t="shared" si="518"/>
        <v>0</v>
      </c>
      <c r="AF1816" s="69">
        <f t="shared" si="519"/>
        <v>3.1362089421238939</v>
      </c>
      <c r="AG1816" s="6">
        <f t="shared" si="520"/>
        <v>0</v>
      </c>
      <c r="AH1816" s="6">
        <f t="shared" si="521"/>
        <v>604</v>
      </c>
    </row>
    <row r="1817" spans="8:34" x14ac:dyDescent="0.25">
      <c r="H1817" s="7">
        <v>1824</v>
      </c>
      <c r="I1817" s="7" t="s">
        <v>10</v>
      </c>
      <c r="J1817" s="8">
        <v>38892</v>
      </c>
      <c r="K1817" s="12" t="s">
        <v>17</v>
      </c>
      <c r="L1817" s="9">
        <v>50</v>
      </c>
      <c r="M1817" s="10">
        <v>151.66817286074655</v>
      </c>
      <c r="N1817" s="7" t="s">
        <v>22</v>
      </c>
      <c r="P1817" s="29" t="str">
        <f t="shared" si="504"/>
        <v/>
      </c>
      <c r="Q1817" s="29" t="str">
        <f t="shared" si="505"/>
        <v/>
      </c>
      <c r="R1817" s="29" t="str">
        <f t="shared" si="506"/>
        <v/>
      </c>
      <c r="S1817" s="29" t="str">
        <f t="shared" si="507"/>
        <v/>
      </c>
      <c r="T1817" s="32" t="str">
        <f t="shared" si="508"/>
        <v/>
      </c>
      <c r="U1817" s="32" t="str">
        <f t="shared" si="511"/>
        <v/>
      </c>
      <c r="V1817" s="32">
        <f t="shared" si="512"/>
        <v>1</v>
      </c>
      <c r="W1817" s="41">
        <f t="shared" si="509"/>
        <v>3.0333634572149308</v>
      </c>
      <c r="X1817" s="6">
        <f t="shared" si="510"/>
        <v>0</v>
      </c>
      <c r="Y1817" s="7">
        <f t="shared" si="513"/>
        <v>567</v>
      </c>
      <c r="AA1817" s="7">
        <f t="shared" si="514"/>
        <v>0</v>
      </c>
      <c r="AB1817" s="7" t="str">
        <f t="shared" si="515"/>
        <v/>
      </c>
      <c r="AC1817" s="7">
        <f t="shared" si="516"/>
        <v>0</v>
      </c>
      <c r="AD1817" s="7" t="str">
        <f t="shared" si="517"/>
        <v/>
      </c>
      <c r="AE1817" s="6">
        <f t="shared" si="518"/>
        <v>0</v>
      </c>
      <c r="AF1817" s="69">
        <f t="shared" si="519"/>
        <v>3.0333634572149308</v>
      </c>
      <c r="AG1817" s="6">
        <f t="shared" si="520"/>
        <v>0</v>
      </c>
      <c r="AH1817" s="6">
        <f t="shared" si="521"/>
        <v>604</v>
      </c>
    </row>
    <row r="1818" spans="8:34" x14ac:dyDescent="0.25">
      <c r="H1818" s="7">
        <v>1825</v>
      </c>
      <c r="I1818" s="7" t="s">
        <v>7</v>
      </c>
      <c r="J1818" s="8">
        <v>38760</v>
      </c>
      <c r="K1818" s="12" t="s">
        <v>19</v>
      </c>
      <c r="L1818" s="9">
        <v>73</v>
      </c>
      <c r="M1818" s="10">
        <v>221.23251800803121</v>
      </c>
      <c r="N1818" s="7" t="s">
        <v>24</v>
      </c>
      <c r="P1818" s="29" t="str">
        <f t="shared" si="504"/>
        <v/>
      </c>
      <c r="Q1818" s="29" t="str">
        <f t="shared" si="505"/>
        <v/>
      </c>
      <c r="R1818" s="29" t="str">
        <f t="shared" si="506"/>
        <v/>
      </c>
      <c r="S1818" s="29" t="str">
        <f t="shared" si="507"/>
        <v/>
      </c>
      <c r="T1818" s="32" t="str">
        <f t="shared" si="508"/>
        <v/>
      </c>
      <c r="U1818" s="32" t="str">
        <f t="shared" si="511"/>
        <v/>
      </c>
      <c r="V1818" s="32">
        <f t="shared" si="512"/>
        <v>1</v>
      </c>
      <c r="W1818" s="41">
        <f t="shared" si="509"/>
        <v>3.030582438466181</v>
      </c>
      <c r="X1818" s="6">
        <f t="shared" si="510"/>
        <v>0</v>
      </c>
      <c r="Y1818" s="7">
        <f t="shared" si="513"/>
        <v>567</v>
      </c>
      <c r="AA1818" s="7">
        <f t="shared" si="514"/>
        <v>0</v>
      </c>
      <c r="AB1818" s="7" t="str">
        <f t="shared" si="515"/>
        <v/>
      </c>
      <c r="AC1818" s="7">
        <f t="shared" si="516"/>
        <v>0</v>
      </c>
      <c r="AD1818" s="7" t="str">
        <f t="shared" si="517"/>
        <v/>
      </c>
      <c r="AE1818" s="6">
        <f t="shared" si="518"/>
        <v>0</v>
      </c>
      <c r="AF1818" s="69">
        <f t="shared" si="519"/>
        <v>3.030582438466181</v>
      </c>
      <c r="AG1818" s="6">
        <f t="shared" si="520"/>
        <v>0</v>
      </c>
      <c r="AH1818" s="6">
        <f t="shared" si="521"/>
        <v>604</v>
      </c>
    </row>
    <row r="1819" spans="8:34" x14ac:dyDescent="0.25">
      <c r="H1819" s="7">
        <v>1826</v>
      </c>
      <c r="I1819" s="7" t="s">
        <v>15</v>
      </c>
      <c r="J1819" s="8">
        <v>38947</v>
      </c>
      <c r="K1819" s="12" t="s">
        <v>19</v>
      </c>
      <c r="L1819" s="9">
        <v>30</v>
      </c>
      <c r="M1819" s="10">
        <v>91.686808812711931</v>
      </c>
      <c r="N1819" s="7" t="s">
        <v>24</v>
      </c>
      <c r="P1819" s="29" t="str">
        <f t="shared" si="504"/>
        <v/>
      </c>
      <c r="Q1819" s="29" t="str">
        <f t="shared" si="505"/>
        <v/>
      </c>
      <c r="R1819" s="29" t="str">
        <f t="shared" si="506"/>
        <v/>
      </c>
      <c r="S1819" s="29" t="str">
        <f t="shared" si="507"/>
        <v/>
      </c>
      <c r="T1819" s="32" t="str">
        <f t="shared" si="508"/>
        <v/>
      </c>
      <c r="U1819" s="32" t="str">
        <f t="shared" si="511"/>
        <v/>
      </c>
      <c r="V1819" s="32">
        <f t="shared" si="512"/>
        <v>1</v>
      </c>
      <c r="W1819" s="41">
        <f t="shared" si="509"/>
        <v>3.0562269604237309</v>
      </c>
      <c r="X1819" s="6">
        <f t="shared" si="510"/>
        <v>0</v>
      </c>
      <c r="Y1819" s="7">
        <f t="shared" si="513"/>
        <v>567</v>
      </c>
      <c r="AA1819" s="7">
        <f t="shared" si="514"/>
        <v>0</v>
      </c>
      <c r="AB1819" s="7" t="str">
        <f t="shared" si="515"/>
        <v/>
      </c>
      <c r="AC1819" s="7">
        <f t="shared" si="516"/>
        <v>0</v>
      </c>
      <c r="AD1819" s="7" t="str">
        <f t="shared" si="517"/>
        <v/>
      </c>
      <c r="AE1819" s="6">
        <f t="shared" si="518"/>
        <v>0</v>
      </c>
      <c r="AF1819" s="69">
        <f t="shared" si="519"/>
        <v>3.0562269604237309</v>
      </c>
      <c r="AG1819" s="6">
        <f t="shared" si="520"/>
        <v>0</v>
      </c>
      <c r="AH1819" s="6">
        <f t="shared" si="521"/>
        <v>604</v>
      </c>
    </row>
    <row r="1820" spans="8:34" x14ac:dyDescent="0.25">
      <c r="H1820" s="7">
        <v>1827</v>
      </c>
      <c r="I1820" s="7" t="s">
        <v>9</v>
      </c>
      <c r="J1820" s="8">
        <v>38243</v>
      </c>
      <c r="K1820" s="12" t="s">
        <v>20</v>
      </c>
      <c r="L1820" s="9">
        <v>19</v>
      </c>
      <c r="M1820" s="10">
        <v>59.101466872333368</v>
      </c>
      <c r="N1820" s="7" t="s">
        <v>21</v>
      </c>
      <c r="P1820" s="29" t="str">
        <f t="shared" si="504"/>
        <v/>
      </c>
      <c r="Q1820" s="29" t="str">
        <f t="shared" si="505"/>
        <v/>
      </c>
      <c r="R1820" s="29">
        <f t="shared" si="506"/>
        <v>1</v>
      </c>
      <c r="S1820" s="29" t="str">
        <f t="shared" si="507"/>
        <v/>
      </c>
      <c r="T1820" s="32" t="str">
        <f t="shared" si="508"/>
        <v/>
      </c>
      <c r="U1820" s="32" t="str">
        <f t="shared" si="511"/>
        <v/>
      </c>
      <c r="V1820" s="32" t="str">
        <f t="shared" si="512"/>
        <v/>
      </c>
      <c r="W1820" s="41">
        <f t="shared" si="509"/>
        <v>3.1106035195964932</v>
      </c>
      <c r="X1820" s="6">
        <f t="shared" si="510"/>
        <v>0</v>
      </c>
      <c r="Y1820" s="7">
        <f t="shared" si="513"/>
        <v>567</v>
      </c>
      <c r="AA1820" s="7">
        <f t="shared" si="514"/>
        <v>0</v>
      </c>
      <c r="AB1820" s="7" t="str">
        <f t="shared" si="515"/>
        <v/>
      </c>
      <c r="AC1820" s="7">
        <f t="shared" si="516"/>
        <v>0</v>
      </c>
      <c r="AD1820" s="7" t="str">
        <f t="shared" si="517"/>
        <v/>
      </c>
      <c r="AE1820" s="6">
        <f t="shared" si="518"/>
        <v>0</v>
      </c>
      <c r="AF1820" s="69">
        <f t="shared" si="519"/>
        <v>3.1106035195964932</v>
      </c>
      <c r="AG1820" s="6">
        <f t="shared" si="520"/>
        <v>59.101466872333368</v>
      </c>
      <c r="AH1820" s="6">
        <f t="shared" si="521"/>
        <v>468</v>
      </c>
    </row>
    <row r="1821" spans="8:34" x14ac:dyDescent="0.25">
      <c r="H1821" s="7">
        <v>1828</v>
      </c>
      <c r="I1821" s="7" t="s">
        <v>14</v>
      </c>
      <c r="J1821" s="8">
        <v>38507</v>
      </c>
      <c r="K1821" s="12" t="s">
        <v>16</v>
      </c>
      <c r="L1821" s="9">
        <v>48</v>
      </c>
      <c r="M1821" s="10">
        <v>145.21747547077908</v>
      </c>
      <c r="N1821" s="7" t="s">
        <v>24</v>
      </c>
      <c r="P1821" s="29" t="str">
        <f t="shared" si="504"/>
        <v/>
      </c>
      <c r="Q1821" s="29" t="str">
        <f t="shared" si="505"/>
        <v/>
      </c>
      <c r="R1821" s="29" t="str">
        <f t="shared" si="506"/>
        <v/>
      </c>
      <c r="S1821" s="29" t="str">
        <f t="shared" si="507"/>
        <v/>
      </c>
      <c r="T1821" s="32" t="str">
        <f t="shared" si="508"/>
        <v/>
      </c>
      <c r="U1821" s="32">
        <f t="shared" si="511"/>
        <v>1</v>
      </c>
      <c r="V1821" s="32" t="str">
        <f t="shared" si="512"/>
        <v/>
      </c>
      <c r="W1821" s="41">
        <f t="shared" si="509"/>
        <v>3.0253640723078976</v>
      </c>
      <c r="X1821" s="6">
        <f t="shared" si="510"/>
        <v>145.21747547077908</v>
      </c>
      <c r="Y1821" s="7">
        <f t="shared" si="513"/>
        <v>281</v>
      </c>
      <c r="AA1821" s="7">
        <f t="shared" si="514"/>
        <v>0</v>
      </c>
      <c r="AB1821" s="7" t="str">
        <f t="shared" si="515"/>
        <v/>
      </c>
      <c r="AC1821" s="7">
        <f t="shared" si="516"/>
        <v>1</v>
      </c>
      <c r="AD1821" s="7">
        <f t="shared" si="517"/>
        <v>48</v>
      </c>
      <c r="AE1821" s="6">
        <f t="shared" si="518"/>
        <v>0</v>
      </c>
      <c r="AF1821" s="69">
        <f t="shared" si="519"/>
        <v>3.0253640723078976</v>
      </c>
      <c r="AG1821" s="6">
        <f t="shared" si="520"/>
        <v>0</v>
      </c>
      <c r="AH1821" s="6">
        <f t="shared" si="521"/>
        <v>604</v>
      </c>
    </row>
    <row r="1822" spans="8:34" x14ac:dyDescent="0.25">
      <c r="H1822" s="7">
        <v>1829</v>
      </c>
      <c r="I1822" s="7" t="s">
        <v>8</v>
      </c>
      <c r="J1822" s="8">
        <v>38859</v>
      </c>
      <c r="K1822" s="12" t="s">
        <v>20</v>
      </c>
      <c r="L1822" s="9">
        <v>-8</v>
      </c>
      <c r="M1822" s="10">
        <v>-21.602633683096364</v>
      </c>
      <c r="N1822" s="7" t="s">
        <v>24</v>
      </c>
      <c r="P1822" s="29" t="str">
        <f t="shared" si="504"/>
        <v/>
      </c>
      <c r="Q1822" s="29" t="str">
        <f t="shared" si="505"/>
        <v/>
      </c>
      <c r="R1822" s="29" t="str">
        <f t="shared" si="506"/>
        <v/>
      </c>
      <c r="S1822" s="29" t="str">
        <f t="shared" si="507"/>
        <v/>
      </c>
      <c r="T1822" s="32" t="str">
        <f t="shared" si="508"/>
        <v/>
      </c>
      <c r="U1822" s="32" t="str">
        <f t="shared" si="511"/>
        <v/>
      </c>
      <c r="V1822" s="32">
        <f t="shared" si="512"/>
        <v>1</v>
      </c>
      <c r="W1822" s="41" t="str">
        <f t="shared" si="509"/>
        <v/>
      </c>
      <c r="X1822" s="6">
        <f t="shared" si="510"/>
        <v>0</v>
      </c>
      <c r="Y1822" s="7">
        <f t="shared" si="513"/>
        <v>567</v>
      </c>
      <c r="AA1822" s="7">
        <f t="shared" si="514"/>
        <v>0</v>
      </c>
      <c r="AB1822" s="7" t="str">
        <f t="shared" si="515"/>
        <v/>
      </c>
      <c r="AC1822" s="7">
        <f t="shared" si="516"/>
        <v>0</v>
      </c>
      <c r="AD1822" s="7" t="str">
        <f t="shared" si="517"/>
        <v/>
      </c>
      <c r="AE1822" s="6">
        <f t="shared" si="518"/>
        <v>-8</v>
      </c>
      <c r="AF1822" s="69" t="str">
        <f t="shared" si="519"/>
        <v/>
      </c>
      <c r="AG1822" s="6">
        <f t="shared" si="520"/>
        <v>0</v>
      </c>
      <c r="AH1822" s="6">
        <f t="shared" si="521"/>
        <v>604</v>
      </c>
    </row>
    <row r="1823" spans="8:34" x14ac:dyDescent="0.25">
      <c r="H1823" s="7">
        <v>1830</v>
      </c>
      <c r="I1823" s="7" t="s">
        <v>15</v>
      </c>
      <c r="J1823" s="8">
        <v>38947</v>
      </c>
      <c r="K1823" s="12" t="s">
        <v>17</v>
      </c>
      <c r="L1823" s="9">
        <v>-8</v>
      </c>
      <c r="M1823" s="10">
        <v>-22.143532028061156</v>
      </c>
      <c r="N1823" s="7" t="s">
        <v>21</v>
      </c>
      <c r="P1823" s="29" t="str">
        <f t="shared" si="504"/>
        <v/>
      </c>
      <c r="Q1823" s="29" t="str">
        <f t="shared" si="505"/>
        <v/>
      </c>
      <c r="R1823" s="29" t="str">
        <f t="shared" si="506"/>
        <v/>
      </c>
      <c r="S1823" s="29" t="str">
        <f t="shared" si="507"/>
        <v/>
      </c>
      <c r="T1823" s="32" t="str">
        <f t="shared" si="508"/>
        <v/>
      </c>
      <c r="U1823" s="32" t="str">
        <f t="shared" si="511"/>
        <v/>
      </c>
      <c r="V1823" s="32">
        <f t="shared" si="512"/>
        <v>1</v>
      </c>
      <c r="W1823" s="41" t="str">
        <f t="shared" si="509"/>
        <v/>
      </c>
      <c r="X1823" s="6">
        <f t="shared" si="510"/>
        <v>0</v>
      </c>
      <c r="Y1823" s="7">
        <f t="shared" si="513"/>
        <v>567</v>
      </c>
      <c r="AA1823" s="7">
        <f t="shared" si="514"/>
        <v>0</v>
      </c>
      <c r="AB1823" s="7" t="str">
        <f t="shared" si="515"/>
        <v/>
      </c>
      <c r="AC1823" s="7">
        <f t="shared" si="516"/>
        <v>0</v>
      </c>
      <c r="AD1823" s="7" t="str">
        <f t="shared" si="517"/>
        <v/>
      </c>
      <c r="AE1823" s="6">
        <f t="shared" si="518"/>
        <v>-8</v>
      </c>
      <c r="AF1823" s="69" t="str">
        <f t="shared" si="519"/>
        <v/>
      </c>
      <c r="AG1823" s="6">
        <f t="shared" si="520"/>
        <v>0</v>
      </c>
      <c r="AH1823" s="6">
        <f t="shared" si="521"/>
        <v>604</v>
      </c>
    </row>
    <row r="1824" spans="8:34" x14ac:dyDescent="0.25">
      <c r="H1824" s="7">
        <v>1831</v>
      </c>
      <c r="I1824" s="7" t="s">
        <v>15</v>
      </c>
      <c r="J1824" s="8">
        <v>38441</v>
      </c>
      <c r="K1824" s="12" t="s">
        <v>17</v>
      </c>
      <c r="L1824" s="9">
        <v>28</v>
      </c>
      <c r="M1824" s="10">
        <v>85.906767980675738</v>
      </c>
      <c r="N1824" s="7" t="s">
        <v>21</v>
      </c>
      <c r="P1824" s="29" t="str">
        <f t="shared" si="504"/>
        <v/>
      </c>
      <c r="Q1824" s="29" t="str">
        <f t="shared" si="505"/>
        <v/>
      </c>
      <c r="R1824" s="29" t="str">
        <f t="shared" si="506"/>
        <v/>
      </c>
      <c r="S1824" s="29" t="str">
        <f t="shared" si="507"/>
        <v/>
      </c>
      <c r="T1824" s="32" t="str">
        <f t="shared" si="508"/>
        <v/>
      </c>
      <c r="U1824" s="32">
        <f t="shared" si="511"/>
        <v>1</v>
      </c>
      <c r="V1824" s="32" t="str">
        <f t="shared" si="512"/>
        <v/>
      </c>
      <c r="W1824" s="41">
        <f t="shared" si="509"/>
        <v>3.0680988564527047</v>
      </c>
      <c r="X1824" s="6">
        <f t="shared" si="510"/>
        <v>85.906767980675738</v>
      </c>
      <c r="Y1824" s="7">
        <f t="shared" si="513"/>
        <v>389</v>
      </c>
      <c r="AA1824" s="7">
        <f t="shared" si="514"/>
        <v>1</v>
      </c>
      <c r="AB1824" s="7">
        <f t="shared" si="515"/>
        <v>28</v>
      </c>
      <c r="AC1824" s="7">
        <f t="shared" si="516"/>
        <v>0</v>
      </c>
      <c r="AD1824" s="7" t="str">
        <f t="shared" si="517"/>
        <v/>
      </c>
      <c r="AE1824" s="6">
        <f t="shared" si="518"/>
        <v>0</v>
      </c>
      <c r="AF1824" s="69">
        <f t="shared" si="519"/>
        <v>3.0680988564527047</v>
      </c>
      <c r="AG1824" s="6">
        <f t="shared" si="520"/>
        <v>0</v>
      </c>
      <c r="AH1824" s="6">
        <f t="shared" si="521"/>
        <v>604</v>
      </c>
    </row>
    <row r="1825" spans="8:34" x14ac:dyDescent="0.25">
      <c r="H1825" s="7">
        <v>1832</v>
      </c>
      <c r="I1825" s="7" t="s">
        <v>10</v>
      </c>
      <c r="J1825" s="8">
        <v>38617</v>
      </c>
      <c r="K1825" s="12" t="s">
        <v>20</v>
      </c>
      <c r="L1825" s="9">
        <v>81</v>
      </c>
      <c r="M1825" s="10">
        <v>245.21311554699477</v>
      </c>
      <c r="N1825" s="7" t="s">
        <v>23</v>
      </c>
      <c r="P1825" s="29" t="str">
        <f t="shared" si="504"/>
        <v/>
      </c>
      <c r="Q1825" s="29" t="str">
        <f t="shared" si="505"/>
        <v/>
      </c>
      <c r="R1825" s="29" t="str">
        <f t="shared" si="506"/>
        <v/>
      </c>
      <c r="S1825" s="29" t="str">
        <f t="shared" si="507"/>
        <v/>
      </c>
      <c r="T1825" s="32" t="str">
        <f t="shared" si="508"/>
        <v/>
      </c>
      <c r="U1825" s="32">
        <f t="shared" si="511"/>
        <v>1</v>
      </c>
      <c r="V1825" s="32" t="str">
        <f t="shared" si="512"/>
        <v/>
      </c>
      <c r="W1825" s="41">
        <f t="shared" si="509"/>
        <v>3.0273224141604294</v>
      </c>
      <c r="X1825" s="6">
        <f t="shared" si="510"/>
        <v>245.21311554699477</v>
      </c>
      <c r="Y1825" s="7">
        <f t="shared" si="513"/>
        <v>93</v>
      </c>
      <c r="AA1825" s="7">
        <f t="shared" si="514"/>
        <v>1</v>
      </c>
      <c r="AB1825" s="7">
        <f t="shared" si="515"/>
        <v>81</v>
      </c>
      <c r="AC1825" s="7">
        <f t="shared" si="516"/>
        <v>0</v>
      </c>
      <c r="AD1825" s="7" t="str">
        <f t="shared" si="517"/>
        <v/>
      </c>
      <c r="AE1825" s="6">
        <f t="shared" si="518"/>
        <v>0</v>
      </c>
      <c r="AF1825" s="69">
        <f t="shared" si="519"/>
        <v>3.0273224141604294</v>
      </c>
      <c r="AG1825" s="6">
        <f t="shared" si="520"/>
        <v>0</v>
      </c>
      <c r="AH1825" s="6">
        <f t="shared" si="521"/>
        <v>604</v>
      </c>
    </row>
    <row r="1826" spans="8:34" x14ac:dyDescent="0.25">
      <c r="H1826" s="7">
        <v>1833</v>
      </c>
      <c r="I1826" s="7" t="s">
        <v>10</v>
      </c>
      <c r="J1826" s="8">
        <v>38364</v>
      </c>
      <c r="K1826" s="12" t="s">
        <v>17</v>
      </c>
      <c r="L1826" s="9">
        <v>12</v>
      </c>
      <c r="M1826" s="10">
        <v>37.991916032039505</v>
      </c>
      <c r="N1826" s="7" t="s">
        <v>24</v>
      </c>
      <c r="P1826" s="29" t="str">
        <f t="shared" si="504"/>
        <v/>
      </c>
      <c r="Q1826" s="29" t="str">
        <f t="shared" si="505"/>
        <v/>
      </c>
      <c r="R1826" s="29" t="str">
        <f t="shared" si="506"/>
        <v/>
      </c>
      <c r="S1826" s="29" t="str">
        <f t="shared" si="507"/>
        <v/>
      </c>
      <c r="T1826" s="32" t="str">
        <f t="shared" si="508"/>
        <v/>
      </c>
      <c r="U1826" s="32">
        <f t="shared" si="511"/>
        <v>1</v>
      </c>
      <c r="V1826" s="32" t="str">
        <f t="shared" si="512"/>
        <v/>
      </c>
      <c r="W1826" s="41">
        <f t="shared" si="509"/>
        <v>3.1659930026699588</v>
      </c>
      <c r="X1826" s="6">
        <f t="shared" si="510"/>
        <v>37.991916032039505</v>
      </c>
      <c r="Y1826" s="7">
        <f t="shared" si="513"/>
        <v>482</v>
      </c>
      <c r="AA1826" s="7">
        <f t="shared" si="514"/>
        <v>1</v>
      </c>
      <c r="AB1826" s="7">
        <f t="shared" si="515"/>
        <v>12</v>
      </c>
      <c r="AC1826" s="7">
        <f t="shared" si="516"/>
        <v>0</v>
      </c>
      <c r="AD1826" s="7" t="str">
        <f t="shared" si="517"/>
        <v/>
      </c>
      <c r="AE1826" s="6">
        <f t="shared" si="518"/>
        <v>0</v>
      </c>
      <c r="AF1826" s="69">
        <f t="shared" si="519"/>
        <v>3.1659930026699588</v>
      </c>
      <c r="AG1826" s="6">
        <f t="shared" si="520"/>
        <v>0</v>
      </c>
      <c r="AH1826" s="6">
        <f t="shared" si="521"/>
        <v>604</v>
      </c>
    </row>
    <row r="1827" spans="8:34" x14ac:dyDescent="0.25">
      <c r="H1827" s="7">
        <v>1834</v>
      </c>
      <c r="I1827" s="7" t="s">
        <v>10</v>
      </c>
      <c r="J1827" s="8">
        <v>38782</v>
      </c>
      <c r="K1827" s="12" t="s">
        <v>16</v>
      </c>
      <c r="L1827" s="9">
        <v>54</v>
      </c>
      <c r="M1827" s="10">
        <v>164.03373721658585</v>
      </c>
      <c r="N1827" s="7" t="s">
        <v>24</v>
      </c>
      <c r="P1827" s="29" t="str">
        <f t="shared" si="504"/>
        <v/>
      </c>
      <c r="Q1827" s="29" t="str">
        <f t="shared" si="505"/>
        <v/>
      </c>
      <c r="R1827" s="29" t="str">
        <f t="shared" si="506"/>
        <v/>
      </c>
      <c r="S1827" s="29" t="str">
        <f t="shared" si="507"/>
        <v/>
      </c>
      <c r="T1827" s="32" t="str">
        <f t="shared" si="508"/>
        <v/>
      </c>
      <c r="U1827" s="32" t="str">
        <f t="shared" si="511"/>
        <v/>
      </c>
      <c r="V1827" s="32">
        <f t="shared" si="512"/>
        <v>1</v>
      </c>
      <c r="W1827" s="41">
        <f t="shared" si="509"/>
        <v>3.0376618003071454</v>
      </c>
      <c r="X1827" s="6">
        <f t="shared" si="510"/>
        <v>0</v>
      </c>
      <c r="Y1827" s="7">
        <f t="shared" si="513"/>
        <v>567</v>
      </c>
      <c r="AA1827" s="7">
        <f t="shared" si="514"/>
        <v>0</v>
      </c>
      <c r="AB1827" s="7" t="str">
        <f t="shared" si="515"/>
        <v/>
      </c>
      <c r="AC1827" s="7">
        <f t="shared" si="516"/>
        <v>0</v>
      </c>
      <c r="AD1827" s="7" t="str">
        <f t="shared" si="517"/>
        <v/>
      </c>
      <c r="AE1827" s="6">
        <f t="shared" si="518"/>
        <v>0</v>
      </c>
      <c r="AF1827" s="69">
        <f t="shared" si="519"/>
        <v>3.0376618003071454</v>
      </c>
      <c r="AG1827" s="6">
        <f t="shared" si="520"/>
        <v>0</v>
      </c>
      <c r="AH1827" s="6">
        <f t="shared" si="521"/>
        <v>604</v>
      </c>
    </row>
    <row r="1828" spans="8:34" x14ac:dyDescent="0.25">
      <c r="H1828" s="7">
        <v>1835</v>
      </c>
      <c r="I1828" s="7" t="s">
        <v>10</v>
      </c>
      <c r="J1828" s="8">
        <v>38496</v>
      </c>
      <c r="K1828" s="12" t="s">
        <v>18</v>
      </c>
      <c r="L1828" s="9">
        <v>70</v>
      </c>
      <c r="M1828" s="10">
        <v>212.30572042127932</v>
      </c>
      <c r="N1828" s="7" t="s">
        <v>21</v>
      </c>
      <c r="P1828" s="29" t="str">
        <f t="shared" si="504"/>
        <v/>
      </c>
      <c r="Q1828" s="29" t="str">
        <f t="shared" si="505"/>
        <v/>
      </c>
      <c r="R1828" s="29" t="str">
        <f t="shared" si="506"/>
        <v/>
      </c>
      <c r="S1828" s="29" t="str">
        <f t="shared" si="507"/>
        <v/>
      </c>
      <c r="T1828" s="32" t="str">
        <f t="shared" si="508"/>
        <v/>
      </c>
      <c r="U1828" s="32">
        <f t="shared" si="511"/>
        <v>1</v>
      </c>
      <c r="V1828" s="32" t="str">
        <f t="shared" si="512"/>
        <v/>
      </c>
      <c r="W1828" s="41">
        <f t="shared" si="509"/>
        <v>3.0329388631611329</v>
      </c>
      <c r="X1828" s="6">
        <f t="shared" si="510"/>
        <v>212.30572042127932</v>
      </c>
      <c r="Y1828" s="7">
        <f t="shared" si="513"/>
        <v>154</v>
      </c>
      <c r="AA1828" s="7">
        <f t="shared" si="514"/>
        <v>0</v>
      </c>
      <c r="AB1828" s="7" t="str">
        <f t="shared" si="515"/>
        <v/>
      </c>
      <c r="AC1828" s="7">
        <f t="shared" si="516"/>
        <v>1</v>
      </c>
      <c r="AD1828" s="7">
        <f t="shared" si="517"/>
        <v>70</v>
      </c>
      <c r="AE1828" s="6">
        <f t="shared" si="518"/>
        <v>0</v>
      </c>
      <c r="AF1828" s="69">
        <f t="shared" si="519"/>
        <v>3.0329388631611329</v>
      </c>
      <c r="AG1828" s="6">
        <f t="shared" si="520"/>
        <v>0</v>
      </c>
      <c r="AH1828" s="6">
        <f t="shared" si="521"/>
        <v>604</v>
      </c>
    </row>
    <row r="1829" spans="8:34" x14ac:dyDescent="0.25">
      <c r="H1829" s="7">
        <v>1836</v>
      </c>
      <c r="I1829" s="7" t="s">
        <v>10</v>
      </c>
      <c r="J1829" s="8">
        <v>38573</v>
      </c>
      <c r="K1829" s="12" t="s">
        <v>16</v>
      </c>
      <c r="L1829" s="9">
        <v>89</v>
      </c>
      <c r="M1829" s="10">
        <v>269.07289128480653</v>
      </c>
      <c r="N1829" s="7" t="s">
        <v>24</v>
      </c>
      <c r="P1829" s="29" t="str">
        <f t="shared" si="504"/>
        <v/>
      </c>
      <c r="Q1829" s="29" t="str">
        <f t="shared" si="505"/>
        <v/>
      </c>
      <c r="R1829" s="29" t="str">
        <f t="shared" si="506"/>
        <v/>
      </c>
      <c r="S1829" s="29" t="str">
        <f t="shared" si="507"/>
        <v/>
      </c>
      <c r="T1829" s="32" t="str">
        <f t="shared" si="508"/>
        <v/>
      </c>
      <c r="U1829" s="32">
        <f t="shared" si="511"/>
        <v>1</v>
      </c>
      <c r="V1829" s="32" t="str">
        <f t="shared" si="512"/>
        <v/>
      </c>
      <c r="W1829" s="41">
        <f t="shared" si="509"/>
        <v>3.023290913312433</v>
      </c>
      <c r="X1829" s="6">
        <f t="shared" si="510"/>
        <v>269.07289128480653</v>
      </c>
      <c r="Y1829" s="7">
        <f t="shared" si="513"/>
        <v>48</v>
      </c>
      <c r="AA1829" s="7">
        <f t="shared" si="514"/>
        <v>1</v>
      </c>
      <c r="AB1829" s="7">
        <f t="shared" si="515"/>
        <v>89</v>
      </c>
      <c r="AC1829" s="7">
        <f t="shared" si="516"/>
        <v>0</v>
      </c>
      <c r="AD1829" s="7" t="str">
        <f t="shared" si="517"/>
        <v/>
      </c>
      <c r="AE1829" s="6">
        <f t="shared" si="518"/>
        <v>0</v>
      </c>
      <c r="AF1829" s="69">
        <f t="shared" si="519"/>
        <v>3.023290913312433</v>
      </c>
      <c r="AG1829" s="6">
        <f t="shared" si="520"/>
        <v>0</v>
      </c>
      <c r="AH1829" s="6">
        <f t="shared" si="521"/>
        <v>604</v>
      </c>
    </row>
    <row r="1830" spans="8:34" x14ac:dyDescent="0.25">
      <c r="H1830" s="7">
        <v>1837</v>
      </c>
      <c r="I1830" s="7" t="s">
        <v>12</v>
      </c>
      <c r="J1830" s="8">
        <v>38606</v>
      </c>
      <c r="K1830" s="12" t="s">
        <v>18</v>
      </c>
      <c r="L1830" s="9">
        <v>10</v>
      </c>
      <c r="M1830" s="10">
        <v>32.271941209300522</v>
      </c>
      <c r="N1830" s="7" t="s">
        <v>24</v>
      </c>
      <c r="P1830" s="29" t="str">
        <f t="shared" si="504"/>
        <v/>
      </c>
      <c r="Q1830" s="29" t="str">
        <f t="shared" si="505"/>
        <v/>
      </c>
      <c r="R1830" s="29" t="str">
        <f t="shared" si="506"/>
        <v/>
      </c>
      <c r="S1830" s="29" t="str">
        <f t="shared" si="507"/>
        <v/>
      </c>
      <c r="T1830" s="32" t="str">
        <f t="shared" si="508"/>
        <v/>
      </c>
      <c r="U1830" s="32">
        <f t="shared" si="511"/>
        <v>1</v>
      </c>
      <c r="V1830" s="32" t="str">
        <f t="shared" si="512"/>
        <v/>
      </c>
      <c r="W1830" s="41">
        <f t="shared" si="509"/>
        <v>3.2271941209300521</v>
      </c>
      <c r="X1830" s="6">
        <f t="shared" si="510"/>
        <v>32.271941209300522</v>
      </c>
      <c r="Y1830" s="7">
        <f t="shared" si="513"/>
        <v>496</v>
      </c>
      <c r="AA1830" s="7">
        <f t="shared" si="514"/>
        <v>1</v>
      </c>
      <c r="AB1830" s="7">
        <f t="shared" si="515"/>
        <v>10</v>
      </c>
      <c r="AC1830" s="7">
        <f t="shared" si="516"/>
        <v>0</v>
      </c>
      <c r="AD1830" s="7" t="str">
        <f t="shared" si="517"/>
        <v/>
      </c>
      <c r="AE1830" s="6">
        <f t="shared" si="518"/>
        <v>0</v>
      </c>
      <c r="AF1830" s="69">
        <f t="shared" si="519"/>
        <v>3.2271941209300521</v>
      </c>
      <c r="AG1830" s="6">
        <f t="shared" si="520"/>
        <v>0</v>
      </c>
      <c r="AH1830" s="6">
        <f t="shared" si="521"/>
        <v>604</v>
      </c>
    </row>
    <row r="1831" spans="8:34" x14ac:dyDescent="0.25">
      <c r="H1831" s="7">
        <v>1838</v>
      </c>
      <c r="I1831" s="7" t="s">
        <v>7</v>
      </c>
      <c r="J1831" s="8">
        <v>37990</v>
      </c>
      <c r="K1831" s="12" t="s">
        <v>18</v>
      </c>
      <c r="L1831" s="9">
        <v>52</v>
      </c>
      <c r="M1831" s="10">
        <v>158.17581888720281</v>
      </c>
      <c r="N1831" s="7" t="s">
        <v>24</v>
      </c>
      <c r="P1831" s="29">
        <f t="shared" si="504"/>
        <v>1</v>
      </c>
      <c r="Q1831" s="29" t="str">
        <f t="shared" si="505"/>
        <v/>
      </c>
      <c r="R1831" s="29" t="str">
        <f t="shared" si="506"/>
        <v/>
      </c>
      <c r="S1831" s="29" t="str">
        <f t="shared" si="507"/>
        <v/>
      </c>
      <c r="T1831" s="32" t="str">
        <f t="shared" si="508"/>
        <v/>
      </c>
      <c r="U1831" s="32" t="str">
        <f t="shared" si="511"/>
        <v/>
      </c>
      <c r="V1831" s="32" t="str">
        <f t="shared" si="512"/>
        <v/>
      </c>
      <c r="W1831" s="41">
        <f t="shared" si="509"/>
        <v>3.0418426709077462</v>
      </c>
      <c r="X1831" s="6">
        <f t="shared" si="510"/>
        <v>0</v>
      </c>
      <c r="Y1831" s="7">
        <f t="shared" si="513"/>
        <v>567</v>
      </c>
      <c r="AA1831" s="7">
        <f t="shared" si="514"/>
        <v>0</v>
      </c>
      <c r="AB1831" s="7" t="str">
        <f t="shared" si="515"/>
        <v/>
      </c>
      <c r="AC1831" s="7">
        <f t="shared" si="516"/>
        <v>0</v>
      </c>
      <c r="AD1831" s="7" t="str">
        <f t="shared" si="517"/>
        <v/>
      </c>
      <c r="AE1831" s="6">
        <f t="shared" si="518"/>
        <v>0</v>
      </c>
      <c r="AF1831" s="69">
        <f t="shared" si="519"/>
        <v>3.0418426709077462</v>
      </c>
      <c r="AG1831" s="6">
        <f t="shared" si="520"/>
        <v>158.17581888720281</v>
      </c>
      <c r="AH1831" s="6">
        <f t="shared" si="521"/>
        <v>263</v>
      </c>
    </row>
    <row r="1832" spans="8:34" x14ac:dyDescent="0.25">
      <c r="H1832" s="7">
        <v>1839</v>
      </c>
      <c r="I1832" s="7" t="s">
        <v>12</v>
      </c>
      <c r="J1832" s="8">
        <v>38540</v>
      </c>
      <c r="K1832" s="12" t="s">
        <v>20</v>
      </c>
      <c r="L1832" s="9">
        <v>85</v>
      </c>
      <c r="M1832" s="10">
        <v>257.81669173781398</v>
      </c>
      <c r="N1832" s="7" t="s">
        <v>23</v>
      </c>
      <c r="P1832" s="29" t="str">
        <f t="shared" si="504"/>
        <v/>
      </c>
      <c r="Q1832" s="29" t="str">
        <f t="shared" si="505"/>
        <v/>
      </c>
      <c r="R1832" s="29" t="str">
        <f t="shared" si="506"/>
        <v/>
      </c>
      <c r="S1832" s="29" t="str">
        <f t="shared" si="507"/>
        <v/>
      </c>
      <c r="T1832" s="32" t="str">
        <f t="shared" si="508"/>
        <v/>
      </c>
      <c r="U1832" s="32">
        <f t="shared" si="511"/>
        <v>1</v>
      </c>
      <c r="V1832" s="32" t="str">
        <f t="shared" si="512"/>
        <v/>
      </c>
      <c r="W1832" s="41">
        <f t="shared" si="509"/>
        <v>3.0331375498566353</v>
      </c>
      <c r="X1832" s="6">
        <f t="shared" si="510"/>
        <v>257.81669173781398</v>
      </c>
      <c r="Y1832" s="7">
        <f t="shared" si="513"/>
        <v>62</v>
      </c>
      <c r="AA1832" s="7">
        <f t="shared" si="514"/>
        <v>1</v>
      </c>
      <c r="AB1832" s="7">
        <f t="shared" si="515"/>
        <v>85</v>
      </c>
      <c r="AC1832" s="7">
        <f t="shared" si="516"/>
        <v>0</v>
      </c>
      <c r="AD1832" s="7" t="str">
        <f t="shared" si="517"/>
        <v/>
      </c>
      <c r="AE1832" s="6">
        <f t="shared" si="518"/>
        <v>0</v>
      </c>
      <c r="AF1832" s="69">
        <f t="shared" si="519"/>
        <v>3.0331375498566353</v>
      </c>
      <c r="AG1832" s="6">
        <f t="shared" si="520"/>
        <v>0</v>
      </c>
      <c r="AH1832" s="6">
        <f t="shared" si="521"/>
        <v>604</v>
      </c>
    </row>
    <row r="1833" spans="8:34" x14ac:dyDescent="0.25">
      <c r="H1833" s="7">
        <v>1840</v>
      </c>
      <c r="I1833" s="7" t="s">
        <v>9</v>
      </c>
      <c r="J1833" s="8">
        <v>38529</v>
      </c>
      <c r="K1833" s="12" t="s">
        <v>18</v>
      </c>
      <c r="L1833" s="9">
        <v>31</v>
      </c>
      <c r="M1833" s="10">
        <v>93.983701954495999</v>
      </c>
      <c r="N1833" s="7" t="s">
        <v>21</v>
      </c>
      <c r="P1833" s="29" t="str">
        <f t="shared" si="504"/>
        <v/>
      </c>
      <c r="Q1833" s="29" t="str">
        <f t="shared" si="505"/>
        <v/>
      </c>
      <c r="R1833" s="29" t="str">
        <f t="shared" si="506"/>
        <v/>
      </c>
      <c r="S1833" s="29" t="str">
        <f t="shared" si="507"/>
        <v/>
      </c>
      <c r="T1833" s="32" t="str">
        <f t="shared" si="508"/>
        <v/>
      </c>
      <c r="U1833" s="32">
        <f t="shared" si="511"/>
        <v>1</v>
      </c>
      <c r="V1833" s="32" t="str">
        <f t="shared" si="512"/>
        <v/>
      </c>
      <c r="W1833" s="41">
        <f t="shared" si="509"/>
        <v>3.031732321112774</v>
      </c>
      <c r="X1833" s="6">
        <f t="shared" si="510"/>
        <v>93.983701954495999</v>
      </c>
      <c r="Y1833" s="7">
        <f t="shared" si="513"/>
        <v>370</v>
      </c>
      <c r="AA1833" s="7">
        <f t="shared" si="514"/>
        <v>0</v>
      </c>
      <c r="AB1833" s="7" t="str">
        <f t="shared" si="515"/>
        <v/>
      </c>
      <c r="AC1833" s="7">
        <f t="shared" si="516"/>
        <v>1</v>
      </c>
      <c r="AD1833" s="7">
        <f t="shared" si="517"/>
        <v>31</v>
      </c>
      <c r="AE1833" s="6">
        <f t="shared" si="518"/>
        <v>0</v>
      </c>
      <c r="AF1833" s="69">
        <f t="shared" si="519"/>
        <v>3.031732321112774</v>
      </c>
      <c r="AG1833" s="6">
        <f t="shared" si="520"/>
        <v>0</v>
      </c>
      <c r="AH1833" s="6">
        <f t="shared" si="521"/>
        <v>604</v>
      </c>
    </row>
    <row r="1834" spans="8:34" x14ac:dyDescent="0.25">
      <c r="H1834" s="7">
        <v>1841</v>
      </c>
      <c r="I1834" s="7" t="s">
        <v>13</v>
      </c>
      <c r="J1834" s="8">
        <v>38793</v>
      </c>
      <c r="K1834" s="12" t="s">
        <v>20</v>
      </c>
      <c r="L1834" s="9">
        <v>36</v>
      </c>
      <c r="M1834" s="10">
        <v>110.02990284078979</v>
      </c>
      <c r="N1834" s="7" t="s">
        <v>21</v>
      </c>
      <c r="P1834" s="29" t="str">
        <f t="shared" si="504"/>
        <v/>
      </c>
      <c r="Q1834" s="29" t="str">
        <f t="shared" si="505"/>
        <v/>
      </c>
      <c r="R1834" s="29" t="str">
        <f t="shared" si="506"/>
        <v/>
      </c>
      <c r="S1834" s="29" t="str">
        <f t="shared" si="507"/>
        <v/>
      </c>
      <c r="T1834" s="32" t="str">
        <f t="shared" si="508"/>
        <v/>
      </c>
      <c r="U1834" s="32" t="str">
        <f t="shared" si="511"/>
        <v/>
      </c>
      <c r="V1834" s="32">
        <f t="shared" si="512"/>
        <v>1</v>
      </c>
      <c r="W1834" s="41">
        <f t="shared" si="509"/>
        <v>3.0563861900219385</v>
      </c>
      <c r="X1834" s="6">
        <f t="shared" si="510"/>
        <v>0</v>
      </c>
      <c r="Y1834" s="7">
        <f t="shared" si="513"/>
        <v>567</v>
      </c>
      <c r="AA1834" s="7">
        <f t="shared" si="514"/>
        <v>0</v>
      </c>
      <c r="AB1834" s="7" t="str">
        <f t="shared" si="515"/>
        <v/>
      </c>
      <c r="AC1834" s="7">
        <f t="shared" si="516"/>
        <v>0</v>
      </c>
      <c r="AD1834" s="7" t="str">
        <f t="shared" si="517"/>
        <v/>
      </c>
      <c r="AE1834" s="6">
        <f t="shared" si="518"/>
        <v>0</v>
      </c>
      <c r="AF1834" s="69">
        <f t="shared" si="519"/>
        <v>3.0563861900219385</v>
      </c>
      <c r="AG1834" s="6">
        <f t="shared" si="520"/>
        <v>0</v>
      </c>
      <c r="AH1834" s="6">
        <f t="shared" si="521"/>
        <v>604</v>
      </c>
    </row>
    <row r="1835" spans="8:34" x14ac:dyDescent="0.25">
      <c r="H1835" s="7">
        <v>1842</v>
      </c>
      <c r="I1835" s="7" t="s">
        <v>11</v>
      </c>
      <c r="J1835" s="8">
        <v>38089</v>
      </c>
      <c r="K1835" s="12" t="s">
        <v>17</v>
      </c>
      <c r="L1835" s="9">
        <v>80</v>
      </c>
      <c r="M1835" s="10">
        <v>241.83353913915346</v>
      </c>
      <c r="N1835" s="7" t="s">
        <v>22</v>
      </c>
      <c r="P1835" s="29" t="str">
        <f t="shared" si="504"/>
        <v/>
      </c>
      <c r="Q1835" s="29">
        <f t="shared" si="505"/>
        <v>1</v>
      </c>
      <c r="R1835" s="29" t="str">
        <f t="shared" si="506"/>
        <v/>
      </c>
      <c r="S1835" s="29" t="str">
        <f t="shared" si="507"/>
        <v/>
      </c>
      <c r="T1835" s="32" t="str">
        <f t="shared" si="508"/>
        <v/>
      </c>
      <c r="U1835" s="32" t="str">
        <f t="shared" si="511"/>
        <v/>
      </c>
      <c r="V1835" s="32" t="str">
        <f t="shared" si="512"/>
        <v/>
      </c>
      <c r="W1835" s="41">
        <f t="shared" si="509"/>
        <v>3.0229192392394184</v>
      </c>
      <c r="X1835" s="6">
        <f t="shared" si="510"/>
        <v>0</v>
      </c>
      <c r="Y1835" s="7">
        <f t="shared" si="513"/>
        <v>567</v>
      </c>
      <c r="AA1835" s="7">
        <f t="shared" si="514"/>
        <v>0</v>
      </c>
      <c r="AB1835" s="7" t="str">
        <f t="shared" si="515"/>
        <v/>
      </c>
      <c r="AC1835" s="7">
        <f t="shared" si="516"/>
        <v>0</v>
      </c>
      <c r="AD1835" s="7" t="str">
        <f t="shared" si="517"/>
        <v/>
      </c>
      <c r="AE1835" s="6">
        <f t="shared" si="518"/>
        <v>0</v>
      </c>
      <c r="AF1835" s="69">
        <f t="shared" si="519"/>
        <v>3.0229192392394184</v>
      </c>
      <c r="AG1835" s="6">
        <f t="shared" si="520"/>
        <v>241.83353913915346</v>
      </c>
      <c r="AH1835" s="6">
        <f t="shared" si="521"/>
        <v>85</v>
      </c>
    </row>
    <row r="1836" spans="8:34" x14ac:dyDescent="0.25">
      <c r="H1836" s="7">
        <v>1843</v>
      </c>
      <c r="I1836" s="7" t="s">
        <v>11</v>
      </c>
      <c r="J1836" s="8">
        <v>38562</v>
      </c>
      <c r="K1836" s="12" t="s">
        <v>20</v>
      </c>
      <c r="L1836" s="9">
        <v>27</v>
      </c>
      <c r="M1836" s="10">
        <v>82.455751292325587</v>
      </c>
      <c r="N1836" s="7" t="s">
        <v>23</v>
      </c>
      <c r="P1836" s="29" t="str">
        <f t="shared" si="504"/>
        <v/>
      </c>
      <c r="Q1836" s="29" t="str">
        <f t="shared" si="505"/>
        <v/>
      </c>
      <c r="R1836" s="29" t="str">
        <f t="shared" si="506"/>
        <v/>
      </c>
      <c r="S1836" s="29" t="str">
        <f t="shared" si="507"/>
        <v/>
      </c>
      <c r="T1836" s="32" t="str">
        <f t="shared" si="508"/>
        <v/>
      </c>
      <c r="U1836" s="32">
        <f t="shared" si="511"/>
        <v>1</v>
      </c>
      <c r="V1836" s="32" t="str">
        <f t="shared" si="512"/>
        <v/>
      </c>
      <c r="W1836" s="41">
        <f t="shared" si="509"/>
        <v>3.0539167145305774</v>
      </c>
      <c r="X1836" s="6">
        <f t="shared" si="510"/>
        <v>82.455751292325587</v>
      </c>
      <c r="Y1836" s="7">
        <f t="shared" si="513"/>
        <v>401</v>
      </c>
      <c r="AA1836" s="7">
        <f t="shared" si="514"/>
        <v>1</v>
      </c>
      <c r="AB1836" s="7">
        <f t="shared" si="515"/>
        <v>27</v>
      </c>
      <c r="AC1836" s="7">
        <f t="shared" si="516"/>
        <v>0</v>
      </c>
      <c r="AD1836" s="7" t="str">
        <f t="shared" si="517"/>
        <v/>
      </c>
      <c r="AE1836" s="6">
        <f t="shared" si="518"/>
        <v>0</v>
      </c>
      <c r="AF1836" s="69">
        <f t="shared" si="519"/>
        <v>3.0539167145305774</v>
      </c>
      <c r="AG1836" s="6">
        <f t="shared" si="520"/>
        <v>0</v>
      </c>
      <c r="AH1836" s="6">
        <f t="shared" si="521"/>
        <v>604</v>
      </c>
    </row>
    <row r="1837" spans="8:34" x14ac:dyDescent="0.25">
      <c r="H1837" s="7">
        <v>1844</v>
      </c>
      <c r="I1837" s="7" t="s">
        <v>12</v>
      </c>
      <c r="J1837" s="8">
        <v>38111</v>
      </c>
      <c r="K1837" s="12" t="s">
        <v>18</v>
      </c>
      <c r="L1837" s="9">
        <v>46</v>
      </c>
      <c r="M1837" s="10">
        <v>140.39446141212673</v>
      </c>
      <c r="N1837" s="7" t="s">
        <v>21</v>
      </c>
      <c r="P1837" s="29" t="str">
        <f t="shared" si="504"/>
        <v/>
      </c>
      <c r="Q1837" s="29">
        <f t="shared" si="505"/>
        <v>1</v>
      </c>
      <c r="R1837" s="29" t="str">
        <f t="shared" si="506"/>
        <v/>
      </c>
      <c r="S1837" s="29" t="str">
        <f t="shared" si="507"/>
        <v/>
      </c>
      <c r="T1837" s="32" t="str">
        <f t="shared" si="508"/>
        <v/>
      </c>
      <c r="U1837" s="32" t="str">
        <f t="shared" si="511"/>
        <v/>
      </c>
      <c r="V1837" s="32" t="str">
        <f t="shared" si="512"/>
        <v/>
      </c>
      <c r="W1837" s="41">
        <f t="shared" si="509"/>
        <v>3.0520535089592769</v>
      </c>
      <c r="X1837" s="6">
        <f t="shared" si="510"/>
        <v>0</v>
      </c>
      <c r="Y1837" s="7">
        <f t="shared" si="513"/>
        <v>567</v>
      </c>
      <c r="AA1837" s="7">
        <f t="shared" si="514"/>
        <v>0</v>
      </c>
      <c r="AB1837" s="7" t="str">
        <f t="shared" si="515"/>
        <v/>
      </c>
      <c r="AC1837" s="7">
        <f t="shared" si="516"/>
        <v>0</v>
      </c>
      <c r="AD1837" s="7" t="str">
        <f t="shared" si="517"/>
        <v/>
      </c>
      <c r="AE1837" s="6">
        <f t="shared" si="518"/>
        <v>0</v>
      </c>
      <c r="AF1837" s="69">
        <f t="shared" si="519"/>
        <v>3.0520535089592769</v>
      </c>
      <c r="AG1837" s="6">
        <f t="shared" si="520"/>
        <v>140.39446141212673</v>
      </c>
      <c r="AH1837" s="6">
        <f t="shared" si="521"/>
        <v>296</v>
      </c>
    </row>
    <row r="1838" spans="8:34" x14ac:dyDescent="0.25">
      <c r="H1838" s="7">
        <v>1845</v>
      </c>
      <c r="I1838" s="7" t="s">
        <v>12</v>
      </c>
      <c r="J1838" s="8">
        <v>38188</v>
      </c>
      <c r="K1838" s="12" t="s">
        <v>18</v>
      </c>
      <c r="L1838" s="9">
        <v>29</v>
      </c>
      <c r="M1838" s="10">
        <v>89.577515368145924</v>
      </c>
      <c r="N1838" s="7" t="s">
        <v>21</v>
      </c>
      <c r="P1838" s="29" t="str">
        <f t="shared" si="504"/>
        <v/>
      </c>
      <c r="Q1838" s="29" t="str">
        <f t="shared" si="505"/>
        <v/>
      </c>
      <c r="R1838" s="29">
        <f t="shared" si="506"/>
        <v>1</v>
      </c>
      <c r="S1838" s="29" t="str">
        <f t="shared" si="507"/>
        <v/>
      </c>
      <c r="T1838" s="32" t="str">
        <f t="shared" si="508"/>
        <v/>
      </c>
      <c r="U1838" s="32" t="str">
        <f t="shared" si="511"/>
        <v/>
      </c>
      <c r="V1838" s="32" t="str">
        <f t="shared" si="512"/>
        <v/>
      </c>
      <c r="W1838" s="41">
        <f t="shared" si="509"/>
        <v>3.0888798402808941</v>
      </c>
      <c r="X1838" s="6">
        <f t="shared" si="510"/>
        <v>0</v>
      </c>
      <c r="Y1838" s="7">
        <f t="shared" si="513"/>
        <v>567</v>
      </c>
      <c r="AA1838" s="7">
        <f t="shared" si="514"/>
        <v>0</v>
      </c>
      <c r="AB1838" s="7" t="str">
        <f t="shared" si="515"/>
        <v/>
      </c>
      <c r="AC1838" s="7">
        <f t="shared" si="516"/>
        <v>0</v>
      </c>
      <c r="AD1838" s="7" t="str">
        <f t="shared" si="517"/>
        <v/>
      </c>
      <c r="AE1838" s="6">
        <f t="shared" si="518"/>
        <v>0</v>
      </c>
      <c r="AF1838" s="69">
        <f t="shared" si="519"/>
        <v>3.0888798402808941</v>
      </c>
      <c r="AG1838" s="6">
        <f t="shared" si="520"/>
        <v>89.577515368145924</v>
      </c>
      <c r="AH1838" s="6">
        <f t="shared" si="521"/>
        <v>401</v>
      </c>
    </row>
    <row r="1839" spans="8:34" x14ac:dyDescent="0.25">
      <c r="H1839" s="7">
        <v>1846</v>
      </c>
      <c r="I1839" s="7" t="s">
        <v>14</v>
      </c>
      <c r="J1839" s="8">
        <v>38760</v>
      </c>
      <c r="K1839" s="12" t="s">
        <v>17</v>
      </c>
      <c r="L1839" s="9">
        <v>55</v>
      </c>
      <c r="M1839" s="10">
        <v>167.03601910379061</v>
      </c>
      <c r="N1839" s="7" t="s">
        <v>22</v>
      </c>
      <c r="P1839" s="29" t="str">
        <f t="shared" si="504"/>
        <v/>
      </c>
      <c r="Q1839" s="29" t="str">
        <f t="shared" si="505"/>
        <v/>
      </c>
      <c r="R1839" s="29" t="str">
        <f t="shared" si="506"/>
        <v/>
      </c>
      <c r="S1839" s="29" t="str">
        <f t="shared" si="507"/>
        <v/>
      </c>
      <c r="T1839" s="32" t="str">
        <f t="shared" si="508"/>
        <v/>
      </c>
      <c r="U1839" s="32" t="str">
        <f t="shared" si="511"/>
        <v/>
      </c>
      <c r="V1839" s="32">
        <f t="shared" si="512"/>
        <v>1</v>
      </c>
      <c r="W1839" s="41">
        <f t="shared" si="509"/>
        <v>3.0370185291598291</v>
      </c>
      <c r="X1839" s="6">
        <f t="shared" si="510"/>
        <v>0</v>
      </c>
      <c r="Y1839" s="7">
        <f t="shared" si="513"/>
        <v>567</v>
      </c>
      <c r="AA1839" s="7">
        <f t="shared" si="514"/>
        <v>0</v>
      </c>
      <c r="AB1839" s="7" t="str">
        <f t="shared" si="515"/>
        <v/>
      </c>
      <c r="AC1839" s="7">
        <f t="shared" si="516"/>
        <v>0</v>
      </c>
      <c r="AD1839" s="7" t="str">
        <f t="shared" si="517"/>
        <v/>
      </c>
      <c r="AE1839" s="6">
        <f t="shared" si="518"/>
        <v>0</v>
      </c>
      <c r="AF1839" s="69">
        <f t="shared" si="519"/>
        <v>3.0370185291598291</v>
      </c>
      <c r="AG1839" s="6">
        <f t="shared" si="520"/>
        <v>0</v>
      </c>
      <c r="AH1839" s="6">
        <f t="shared" si="521"/>
        <v>604</v>
      </c>
    </row>
    <row r="1840" spans="8:34" x14ac:dyDescent="0.25">
      <c r="H1840" s="7">
        <v>1847</v>
      </c>
      <c r="I1840" s="7" t="s">
        <v>13</v>
      </c>
      <c r="J1840" s="8">
        <v>38243</v>
      </c>
      <c r="K1840" s="12" t="s">
        <v>20</v>
      </c>
      <c r="L1840" s="9">
        <v>2</v>
      </c>
      <c r="M1840" s="10">
        <v>7.3173645509019103</v>
      </c>
      <c r="N1840" s="7" t="s">
        <v>21</v>
      </c>
      <c r="P1840" s="29" t="str">
        <f t="shared" si="504"/>
        <v/>
      </c>
      <c r="Q1840" s="29" t="str">
        <f t="shared" si="505"/>
        <v/>
      </c>
      <c r="R1840" s="29">
        <f t="shared" si="506"/>
        <v>1</v>
      </c>
      <c r="S1840" s="29" t="str">
        <f t="shared" si="507"/>
        <v/>
      </c>
      <c r="T1840" s="32" t="str">
        <f t="shared" si="508"/>
        <v/>
      </c>
      <c r="U1840" s="32" t="str">
        <f t="shared" si="511"/>
        <v/>
      </c>
      <c r="V1840" s="32" t="str">
        <f t="shared" si="512"/>
        <v/>
      </c>
      <c r="W1840" s="41">
        <f t="shared" si="509"/>
        <v>3.6586822754509551</v>
      </c>
      <c r="X1840" s="6">
        <f t="shared" si="510"/>
        <v>0</v>
      </c>
      <c r="Y1840" s="7">
        <f t="shared" si="513"/>
        <v>567</v>
      </c>
      <c r="AA1840" s="7">
        <f t="shared" si="514"/>
        <v>0</v>
      </c>
      <c r="AB1840" s="7" t="str">
        <f t="shared" si="515"/>
        <v/>
      </c>
      <c r="AC1840" s="7">
        <f t="shared" si="516"/>
        <v>0</v>
      </c>
      <c r="AD1840" s="7" t="str">
        <f t="shared" si="517"/>
        <v/>
      </c>
      <c r="AE1840" s="6">
        <f t="shared" si="518"/>
        <v>0</v>
      </c>
      <c r="AF1840" s="69">
        <f t="shared" si="519"/>
        <v>3.6586822754509551</v>
      </c>
      <c r="AG1840" s="6">
        <f t="shared" si="520"/>
        <v>7.3173645509019103</v>
      </c>
      <c r="AH1840" s="6">
        <f t="shared" si="521"/>
        <v>590</v>
      </c>
    </row>
    <row r="1841" spans="8:34" x14ac:dyDescent="0.25">
      <c r="H1841" s="7">
        <v>1848</v>
      </c>
      <c r="I1841" s="7" t="s">
        <v>7</v>
      </c>
      <c r="J1841" s="8">
        <v>38892</v>
      </c>
      <c r="K1841" s="12" t="s">
        <v>18</v>
      </c>
      <c r="L1841" s="9">
        <v>60</v>
      </c>
      <c r="M1841" s="10">
        <v>182.39254500689876</v>
      </c>
      <c r="N1841" s="7" t="s">
        <v>23</v>
      </c>
      <c r="P1841" s="29" t="str">
        <f t="shared" si="504"/>
        <v/>
      </c>
      <c r="Q1841" s="29" t="str">
        <f t="shared" si="505"/>
        <v/>
      </c>
      <c r="R1841" s="29" t="str">
        <f t="shared" si="506"/>
        <v/>
      </c>
      <c r="S1841" s="29" t="str">
        <f t="shared" si="507"/>
        <v/>
      </c>
      <c r="T1841" s="32" t="str">
        <f t="shared" si="508"/>
        <v/>
      </c>
      <c r="U1841" s="32" t="str">
        <f t="shared" si="511"/>
        <v/>
      </c>
      <c r="V1841" s="32">
        <f t="shared" si="512"/>
        <v>1</v>
      </c>
      <c r="W1841" s="41">
        <f t="shared" si="509"/>
        <v>3.0398757501149793</v>
      </c>
      <c r="X1841" s="6">
        <f t="shared" si="510"/>
        <v>0</v>
      </c>
      <c r="Y1841" s="7">
        <f t="shared" si="513"/>
        <v>567</v>
      </c>
      <c r="AA1841" s="7">
        <f t="shared" si="514"/>
        <v>0</v>
      </c>
      <c r="AB1841" s="7" t="str">
        <f t="shared" si="515"/>
        <v/>
      </c>
      <c r="AC1841" s="7">
        <f t="shared" si="516"/>
        <v>0</v>
      </c>
      <c r="AD1841" s="7" t="str">
        <f t="shared" si="517"/>
        <v/>
      </c>
      <c r="AE1841" s="6">
        <f t="shared" si="518"/>
        <v>0</v>
      </c>
      <c r="AF1841" s="69">
        <f t="shared" si="519"/>
        <v>3.0398757501149793</v>
      </c>
      <c r="AG1841" s="6">
        <f t="shared" si="520"/>
        <v>0</v>
      </c>
      <c r="AH1841" s="6">
        <f t="shared" si="521"/>
        <v>604</v>
      </c>
    </row>
    <row r="1842" spans="8:34" x14ac:dyDescent="0.25">
      <c r="H1842" s="7">
        <v>1849</v>
      </c>
      <c r="I1842" s="7" t="s">
        <v>10</v>
      </c>
      <c r="J1842" s="8">
        <v>38562</v>
      </c>
      <c r="K1842" s="12" t="s">
        <v>17</v>
      </c>
      <c r="L1842" s="9">
        <v>12</v>
      </c>
      <c r="M1842" s="10">
        <v>37.851664258571823</v>
      </c>
      <c r="N1842" s="7" t="s">
        <v>24</v>
      </c>
      <c r="P1842" s="29" t="str">
        <f t="shared" si="504"/>
        <v/>
      </c>
      <c r="Q1842" s="29" t="str">
        <f t="shared" si="505"/>
        <v/>
      </c>
      <c r="R1842" s="29" t="str">
        <f t="shared" si="506"/>
        <v/>
      </c>
      <c r="S1842" s="29" t="str">
        <f t="shared" si="507"/>
        <v/>
      </c>
      <c r="T1842" s="32" t="str">
        <f t="shared" si="508"/>
        <v/>
      </c>
      <c r="U1842" s="32">
        <f t="shared" si="511"/>
        <v>1</v>
      </c>
      <c r="V1842" s="32" t="str">
        <f t="shared" si="512"/>
        <v/>
      </c>
      <c r="W1842" s="41">
        <f t="shared" si="509"/>
        <v>3.1543053548809854</v>
      </c>
      <c r="X1842" s="6">
        <f t="shared" si="510"/>
        <v>37.851664258571823</v>
      </c>
      <c r="Y1842" s="7">
        <f t="shared" si="513"/>
        <v>484</v>
      </c>
      <c r="AA1842" s="7">
        <f t="shared" si="514"/>
        <v>1</v>
      </c>
      <c r="AB1842" s="7">
        <f t="shared" si="515"/>
        <v>12</v>
      </c>
      <c r="AC1842" s="7">
        <f t="shared" si="516"/>
        <v>0</v>
      </c>
      <c r="AD1842" s="7" t="str">
        <f t="shared" si="517"/>
        <v/>
      </c>
      <c r="AE1842" s="6">
        <f t="shared" si="518"/>
        <v>0</v>
      </c>
      <c r="AF1842" s="69">
        <f t="shared" si="519"/>
        <v>3.1543053548809854</v>
      </c>
      <c r="AG1842" s="6">
        <f t="shared" si="520"/>
        <v>0</v>
      </c>
      <c r="AH1842" s="6">
        <f t="shared" si="521"/>
        <v>604</v>
      </c>
    </row>
    <row r="1843" spans="8:34" x14ac:dyDescent="0.25">
      <c r="H1843" s="7">
        <v>1850</v>
      </c>
      <c r="I1843" s="7" t="s">
        <v>14</v>
      </c>
      <c r="J1843" s="8">
        <v>38122</v>
      </c>
      <c r="K1843" s="12" t="s">
        <v>20</v>
      </c>
      <c r="L1843" s="9">
        <v>52</v>
      </c>
      <c r="M1843" s="10">
        <v>157.88309865957618</v>
      </c>
      <c r="N1843" s="7" t="s">
        <v>21</v>
      </c>
      <c r="P1843" s="29" t="str">
        <f t="shared" si="504"/>
        <v/>
      </c>
      <c r="Q1843" s="29">
        <f t="shared" si="505"/>
        <v>1</v>
      </c>
      <c r="R1843" s="29" t="str">
        <f t="shared" si="506"/>
        <v/>
      </c>
      <c r="S1843" s="29" t="str">
        <f t="shared" si="507"/>
        <v/>
      </c>
      <c r="T1843" s="32" t="str">
        <f t="shared" si="508"/>
        <v/>
      </c>
      <c r="U1843" s="32" t="str">
        <f t="shared" si="511"/>
        <v/>
      </c>
      <c r="V1843" s="32" t="str">
        <f t="shared" si="512"/>
        <v/>
      </c>
      <c r="W1843" s="41">
        <f t="shared" si="509"/>
        <v>3.0362134357610802</v>
      </c>
      <c r="X1843" s="6">
        <f t="shared" si="510"/>
        <v>0</v>
      </c>
      <c r="Y1843" s="7">
        <f t="shared" si="513"/>
        <v>567</v>
      </c>
      <c r="AA1843" s="7">
        <f t="shared" si="514"/>
        <v>0</v>
      </c>
      <c r="AB1843" s="7" t="str">
        <f t="shared" si="515"/>
        <v/>
      </c>
      <c r="AC1843" s="7">
        <f t="shared" si="516"/>
        <v>0</v>
      </c>
      <c r="AD1843" s="7" t="str">
        <f t="shared" si="517"/>
        <v/>
      </c>
      <c r="AE1843" s="6">
        <f t="shared" si="518"/>
        <v>0</v>
      </c>
      <c r="AF1843" s="69">
        <f t="shared" si="519"/>
        <v>3.0362134357610802</v>
      </c>
      <c r="AG1843" s="6">
        <f t="shared" si="520"/>
        <v>157.88309865957618</v>
      </c>
      <c r="AH1843" s="6">
        <f t="shared" si="521"/>
        <v>265</v>
      </c>
    </row>
    <row r="1844" spans="8:34" x14ac:dyDescent="0.25">
      <c r="H1844" s="7">
        <v>1851</v>
      </c>
      <c r="I1844" s="7" t="s">
        <v>9</v>
      </c>
      <c r="J1844" s="8">
        <v>38100</v>
      </c>
      <c r="K1844" s="12" t="s">
        <v>17</v>
      </c>
      <c r="L1844" s="9">
        <v>37</v>
      </c>
      <c r="M1844" s="10">
        <v>113.27390397366521</v>
      </c>
      <c r="N1844" s="7" t="s">
        <v>22</v>
      </c>
      <c r="P1844" s="29" t="str">
        <f t="shared" si="504"/>
        <v/>
      </c>
      <c r="Q1844" s="29">
        <f t="shared" si="505"/>
        <v>1</v>
      </c>
      <c r="R1844" s="29" t="str">
        <f t="shared" si="506"/>
        <v/>
      </c>
      <c r="S1844" s="29" t="str">
        <f t="shared" si="507"/>
        <v/>
      </c>
      <c r="T1844" s="32" t="str">
        <f t="shared" si="508"/>
        <v/>
      </c>
      <c r="U1844" s="32" t="str">
        <f t="shared" si="511"/>
        <v/>
      </c>
      <c r="V1844" s="32" t="str">
        <f t="shared" si="512"/>
        <v/>
      </c>
      <c r="W1844" s="41">
        <f t="shared" si="509"/>
        <v>3.0614568641531137</v>
      </c>
      <c r="X1844" s="6">
        <f t="shared" si="510"/>
        <v>0</v>
      </c>
      <c r="Y1844" s="7">
        <f t="shared" si="513"/>
        <v>567</v>
      </c>
      <c r="AA1844" s="7">
        <f t="shared" si="514"/>
        <v>0</v>
      </c>
      <c r="AB1844" s="7" t="str">
        <f t="shared" si="515"/>
        <v/>
      </c>
      <c r="AC1844" s="7">
        <f t="shared" si="516"/>
        <v>0</v>
      </c>
      <c r="AD1844" s="7" t="str">
        <f t="shared" si="517"/>
        <v/>
      </c>
      <c r="AE1844" s="6">
        <f t="shared" si="518"/>
        <v>0</v>
      </c>
      <c r="AF1844" s="69">
        <f t="shared" si="519"/>
        <v>3.0614568641531137</v>
      </c>
      <c r="AG1844" s="6">
        <f t="shared" si="520"/>
        <v>113.27390397366521</v>
      </c>
      <c r="AH1844" s="6">
        <f t="shared" si="521"/>
        <v>344</v>
      </c>
    </row>
    <row r="1845" spans="8:34" x14ac:dyDescent="0.25">
      <c r="H1845" s="7">
        <v>1852</v>
      </c>
      <c r="I1845" s="7" t="s">
        <v>9</v>
      </c>
      <c r="J1845" s="8">
        <v>38254</v>
      </c>
      <c r="K1845" s="12" t="s">
        <v>19</v>
      </c>
      <c r="L1845" s="9">
        <v>36</v>
      </c>
      <c r="M1845" s="10">
        <v>110.51900033744339</v>
      </c>
      <c r="N1845" s="7" t="s">
        <v>21</v>
      </c>
      <c r="P1845" s="29" t="str">
        <f t="shared" si="504"/>
        <v/>
      </c>
      <c r="Q1845" s="29" t="str">
        <f t="shared" si="505"/>
        <v/>
      </c>
      <c r="R1845" s="29">
        <f t="shared" si="506"/>
        <v>1</v>
      </c>
      <c r="S1845" s="29" t="str">
        <f t="shared" si="507"/>
        <v/>
      </c>
      <c r="T1845" s="32" t="str">
        <f t="shared" si="508"/>
        <v/>
      </c>
      <c r="U1845" s="32" t="str">
        <f t="shared" si="511"/>
        <v/>
      </c>
      <c r="V1845" s="32" t="str">
        <f t="shared" si="512"/>
        <v/>
      </c>
      <c r="W1845" s="41">
        <f t="shared" si="509"/>
        <v>3.0699722315956497</v>
      </c>
      <c r="X1845" s="6">
        <f t="shared" si="510"/>
        <v>0</v>
      </c>
      <c r="Y1845" s="7">
        <f t="shared" si="513"/>
        <v>567</v>
      </c>
      <c r="AA1845" s="7">
        <f t="shared" si="514"/>
        <v>0</v>
      </c>
      <c r="AB1845" s="7" t="str">
        <f t="shared" si="515"/>
        <v/>
      </c>
      <c r="AC1845" s="7">
        <f t="shared" si="516"/>
        <v>0</v>
      </c>
      <c r="AD1845" s="7" t="str">
        <f t="shared" si="517"/>
        <v/>
      </c>
      <c r="AE1845" s="6">
        <f t="shared" si="518"/>
        <v>0</v>
      </c>
      <c r="AF1845" s="69">
        <f t="shared" si="519"/>
        <v>3.0699722315956497</v>
      </c>
      <c r="AG1845" s="6">
        <f t="shared" si="520"/>
        <v>110.51900033744339</v>
      </c>
      <c r="AH1845" s="6">
        <f t="shared" si="521"/>
        <v>352</v>
      </c>
    </row>
    <row r="1846" spans="8:34" x14ac:dyDescent="0.25">
      <c r="H1846" s="7">
        <v>1853</v>
      </c>
      <c r="I1846" s="7" t="s">
        <v>15</v>
      </c>
      <c r="J1846" s="8">
        <v>38100</v>
      </c>
      <c r="K1846" s="12" t="s">
        <v>17</v>
      </c>
      <c r="L1846" s="9">
        <v>87</v>
      </c>
      <c r="M1846" s="10">
        <v>262.81312845180031</v>
      </c>
      <c r="N1846" s="7" t="s">
        <v>24</v>
      </c>
      <c r="P1846" s="29" t="str">
        <f t="shared" si="504"/>
        <v/>
      </c>
      <c r="Q1846" s="29">
        <f t="shared" si="505"/>
        <v>1</v>
      </c>
      <c r="R1846" s="29" t="str">
        <f t="shared" si="506"/>
        <v/>
      </c>
      <c r="S1846" s="29" t="str">
        <f t="shared" si="507"/>
        <v/>
      </c>
      <c r="T1846" s="32" t="str">
        <f t="shared" si="508"/>
        <v/>
      </c>
      <c r="U1846" s="32" t="str">
        <f t="shared" si="511"/>
        <v/>
      </c>
      <c r="V1846" s="32" t="str">
        <f t="shared" si="512"/>
        <v/>
      </c>
      <c r="W1846" s="41">
        <f t="shared" si="509"/>
        <v>3.020840556917245</v>
      </c>
      <c r="X1846" s="6">
        <f t="shared" si="510"/>
        <v>0</v>
      </c>
      <c r="Y1846" s="7">
        <f t="shared" si="513"/>
        <v>567</v>
      </c>
      <c r="AA1846" s="7">
        <f t="shared" si="514"/>
        <v>0</v>
      </c>
      <c r="AB1846" s="7" t="str">
        <f t="shared" si="515"/>
        <v/>
      </c>
      <c r="AC1846" s="7">
        <f t="shared" si="516"/>
        <v>0</v>
      </c>
      <c r="AD1846" s="7" t="str">
        <f t="shared" si="517"/>
        <v/>
      </c>
      <c r="AE1846" s="6">
        <f t="shared" si="518"/>
        <v>0</v>
      </c>
      <c r="AF1846" s="69">
        <f t="shared" si="519"/>
        <v>3.020840556917245</v>
      </c>
      <c r="AG1846" s="6">
        <f t="shared" si="520"/>
        <v>262.81312845180031</v>
      </c>
      <c r="AH1846" s="6">
        <f t="shared" si="521"/>
        <v>49</v>
      </c>
    </row>
    <row r="1847" spans="8:34" x14ac:dyDescent="0.25">
      <c r="H1847" s="7">
        <v>1854</v>
      </c>
      <c r="I1847" s="7" t="s">
        <v>12</v>
      </c>
      <c r="J1847" s="8">
        <v>38749</v>
      </c>
      <c r="K1847" s="12" t="s">
        <v>20</v>
      </c>
      <c r="L1847" s="9">
        <v>16</v>
      </c>
      <c r="M1847" s="10">
        <v>50.279574486289519</v>
      </c>
      <c r="N1847" s="7" t="s">
        <v>22</v>
      </c>
      <c r="P1847" s="29" t="str">
        <f t="shared" si="504"/>
        <v/>
      </c>
      <c r="Q1847" s="29" t="str">
        <f t="shared" si="505"/>
        <v/>
      </c>
      <c r="R1847" s="29" t="str">
        <f t="shared" si="506"/>
        <v/>
      </c>
      <c r="S1847" s="29" t="str">
        <f t="shared" si="507"/>
        <v/>
      </c>
      <c r="T1847" s="32" t="str">
        <f t="shared" si="508"/>
        <v/>
      </c>
      <c r="U1847" s="32" t="str">
        <f t="shared" si="511"/>
        <v/>
      </c>
      <c r="V1847" s="32">
        <f t="shared" si="512"/>
        <v>1</v>
      </c>
      <c r="W1847" s="41">
        <f t="shared" si="509"/>
        <v>3.1424734053930949</v>
      </c>
      <c r="X1847" s="6">
        <f t="shared" si="510"/>
        <v>0</v>
      </c>
      <c r="Y1847" s="7">
        <f t="shared" si="513"/>
        <v>567</v>
      </c>
      <c r="AA1847" s="7">
        <f t="shared" si="514"/>
        <v>0</v>
      </c>
      <c r="AB1847" s="7" t="str">
        <f t="shared" si="515"/>
        <v/>
      </c>
      <c r="AC1847" s="7">
        <f t="shared" si="516"/>
        <v>0</v>
      </c>
      <c r="AD1847" s="7" t="str">
        <f t="shared" si="517"/>
        <v/>
      </c>
      <c r="AE1847" s="6">
        <f t="shared" si="518"/>
        <v>0</v>
      </c>
      <c r="AF1847" s="69">
        <f t="shared" si="519"/>
        <v>3.1424734053930949</v>
      </c>
      <c r="AG1847" s="6">
        <f t="shared" si="520"/>
        <v>0</v>
      </c>
      <c r="AH1847" s="6">
        <f t="shared" si="521"/>
        <v>604</v>
      </c>
    </row>
    <row r="1848" spans="8:34" x14ac:dyDescent="0.25">
      <c r="H1848" s="7">
        <v>1855</v>
      </c>
      <c r="I1848" s="7" t="s">
        <v>13</v>
      </c>
      <c r="J1848" s="8">
        <v>38551</v>
      </c>
      <c r="K1848" s="12" t="s">
        <v>17</v>
      </c>
      <c r="L1848" s="9">
        <v>50</v>
      </c>
      <c r="M1848" s="10">
        <v>152.12593577749263</v>
      </c>
      <c r="N1848" s="7" t="s">
        <v>24</v>
      </c>
      <c r="P1848" s="29" t="str">
        <f t="shared" si="504"/>
        <v/>
      </c>
      <c r="Q1848" s="29" t="str">
        <f t="shared" si="505"/>
        <v/>
      </c>
      <c r="R1848" s="29" t="str">
        <f t="shared" si="506"/>
        <v/>
      </c>
      <c r="S1848" s="29" t="str">
        <f t="shared" si="507"/>
        <v/>
      </c>
      <c r="T1848" s="32" t="str">
        <f t="shared" si="508"/>
        <v/>
      </c>
      <c r="U1848" s="32">
        <f t="shared" si="511"/>
        <v>1</v>
      </c>
      <c r="V1848" s="32" t="str">
        <f t="shared" si="512"/>
        <v/>
      </c>
      <c r="W1848" s="41">
        <f t="shared" si="509"/>
        <v>3.0425187155498525</v>
      </c>
      <c r="X1848" s="6">
        <f t="shared" si="510"/>
        <v>152.12593577749263</v>
      </c>
      <c r="Y1848" s="7">
        <f t="shared" si="513"/>
        <v>267</v>
      </c>
      <c r="AA1848" s="7">
        <f t="shared" si="514"/>
        <v>1</v>
      </c>
      <c r="AB1848" s="7">
        <f t="shared" si="515"/>
        <v>50</v>
      </c>
      <c r="AC1848" s="7">
        <f t="shared" si="516"/>
        <v>0</v>
      </c>
      <c r="AD1848" s="7" t="str">
        <f t="shared" si="517"/>
        <v/>
      </c>
      <c r="AE1848" s="6">
        <f t="shared" si="518"/>
        <v>0</v>
      </c>
      <c r="AF1848" s="69">
        <f t="shared" si="519"/>
        <v>3.0425187155498525</v>
      </c>
      <c r="AG1848" s="6">
        <f t="shared" si="520"/>
        <v>0</v>
      </c>
      <c r="AH1848" s="6">
        <f t="shared" si="521"/>
        <v>604</v>
      </c>
    </row>
    <row r="1849" spans="8:34" x14ac:dyDescent="0.25">
      <c r="H1849" s="7">
        <v>1856</v>
      </c>
      <c r="I1849" s="7" t="s">
        <v>8</v>
      </c>
      <c r="J1849" s="8">
        <v>38749</v>
      </c>
      <c r="K1849" s="12" t="s">
        <v>20</v>
      </c>
      <c r="L1849" s="9">
        <v>53</v>
      </c>
      <c r="M1849" s="10">
        <v>160.62764519173885</v>
      </c>
      <c r="N1849" s="7" t="s">
        <v>21</v>
      </c>
      <c r="P1849" s="29" t="str">
        <f t="shared" si="504"/>
        <v/>
      </c>
      <c r="Q1849" s="29" t="str">
        <f t="shared" si="505"/>
        <v/>
      </c>
      <c r="R1849" s="29" t="str">
        <f t="shared" si="506"/>
        <v/>
      </c>
      <c r="S1849" s="29" t="str">
        <f t="shared" si="507"/>
        <v/>
      </c>
      <c r="T1849" s="32" t="str">
        <f t="shared" si="508"/>
        <v/>
      </c>
      <c r="U1849" s="32" t="str">
        <f t="shared" si="511"/>
        <v/>
      </c>
      <c r="V1849" s="32">
        <f t="shared" si="512"/>
        <v>1</v>
      </c>
      <c r="W1849" s="41">
        <f t="shared" si="509"/>
        <v>3.030710286636582</v>
      </c>
      <c r="X1849" s="6">
        <f t="shared" si="510"/>
        <v>0</v>
      </c>
      <c r="Y1849" s="7">
        <f t="shared" si="513"/>
        <v>567</v>
      </c>
      <c r="AA1849" s="7">
        <f t="shared" si="514"/>
        <v>0</v>
      </c>
      <c r="AB1849" s="7" t="str">
        <f t="shared" si="515"/>
        <v/>
      </c>
      <c r="AC1849" s="7">
        <f t="shared" si="516"/>
        <v>0</v>
      </c>
      <c r="AD1849" s="7" t="str">
        <f t="shared" si="517"/>
        <v/>
      </c>
      <c r="AE1849" s="6">
        <f t="shared" si="518"/>
        <v>0</v>
      </c>
      <c r="AF1849" s="69">
        <f t="shared" si="519"/>
        <v>3.030710286636582</v>
      </c>
      <c r="AG1849" s="6">
        <f t="shared" si="520"/>
        <v>0</v>
      </c>
      <c r="AH1849" s="6">
        <f t="shared" si="521"/>
        <v>604</v>
      </c>
    </row>
    <row r="1850" spans="8:34" x14ac:dyDescent="0.25">
      <c r="H1850" s="7">
        <v>1857</v>
      </c>
      <c r="I1850" s="7" t="s">
        <v>15</v>
      </c>
      <c r="J1850" s="8">
        <v>38133</v>
      </c>
      <c r="K1850" s="12" t="s">
        <v>18</v>
      </c>
      <c r="L1850" s="9">
        <v>61</v>
      </c>
      <c r="M1850" s="10">
        <v>184.76093809619837</v>
      </c>
      <c r="N1850" s="7" t="s">
        <v>22</v>
      </c>
      <c r="P1850" s="29" t="str">
        <f t="shared" si="504"/>
        <v/>
      </c>
      <c r="Q1850" s="29">
        <f t="shared" si="505"/>
        <v>1</v>
      </c>
      <c r="R1850" s="29" t="str">
        <f t="shared" si="506"/>
        <v/>
      </c>
      <c r="S1850" s="29" t="str">
        <f t="shared" si="507"/>
        <v/>
      </c>
      <c r="T1850" s="32" t="str">
        <f t="shared" si="508"/>
        <v/>
      </c>
      <c r="U1850" s="32" t="str">
        <f t="shared" si="511"/>
        <v/>
      </c>
      <c r="V1850" s="32" t="str">
        <f t="shared" si="512"/>
        <v/>
      </c>
      <c r="W1850" s="41">
        <f t="shared" si="509"/>
        <v>3.0288678376425962</v>
      </c>
      <c r="X1850" s="6">
        <f t="shared" si="510"/>
        <v>0</v>
      </c>
      <c r="Y1850" s="7">
        <f t="shared" si="513"/>
        <v>567</v>
      </c>
      <c r="AA1850" s="7">
        <f t="shared" si="514"/>
        <v>0</v>
      </c>
      <c r="AB1850" s="7" t="str">
        <f t="shared" si="515"/>
        <v/>
      </c>
      <c r="AC1850" s="7">
        <f t="shared" si="516"/>
        <v>0</v>
      </c>
      <c r="AD1850" s="7" t="str">
        <f t="shared" si="517"/>
        <v/>
      </c>
      <c r="AE1850" s="6">
        <f t="shared" si="518"/>
        <v>0</v>
      </c>
      <c r="AF1850" s="69">
        <f t="shared" si="519"/>
        <v>3.0288678376425962</v>
      </c>
      <c r="AG1850" s="6">
        <f t="shared" si="520"/>
        <v>184.76093809619837</v>
      </c>
      <c r="AH1850" s="6">
        <f t="shared" si="521"/>
        <v>214</v>
      </c>
    </row>
    <row r="1851" spans="8:34" x14ac:dyDescent="0.25">
      <c r="H1851" s="7">
        <v>1858</v>
      </c>
      <c r="I1851" s="7" t="s">
        <v>9</v>
      </c>
      <c r="J1851" s="8">
        <v>38540</v>
      </c>
      <c r="K1851" s="12" t="s">
        <v>18</v>
      </c>
      <c r="L1851" s="9">
        <v>95</v>
      </c>
      <c r="M1851" s="10">
        <v>286.82526300294711</v>
      </c>
      <c r="N1851" s="7" t="s">
        <v>21</v>
      </c>
      <c r="P1851" s="29" t="str">
        <f t="shared" si="504"/>
        <v/>
      </c>
      <c r="Q1851" s="29" t="str">
        <f t="shared" si="505"/>
        <v/>
      </c>
      <c r="R1851" s="29" t="str">
        <f t="shared" si="506"/>
        <v/>
      </c>
      <c r="S1851" s="29" t="str">
        <f t="shared" si="507"/>
        <v/>
      </c>
      <c r="T1851" s="32" t="str">
        <f t="shared" si="508"/>
        <v/>
      </c>
      <c r="U1851" s="32">
        <f t="shared" si="511"/>
        <v>1</v>
      </c>
      <c r="V1851" s="32" t="str">
        <f t="shared" si="512"/>
        <v/>
      </c>
      <c r="W1851" s="41">
        <f t="shared" si="509"/>
        <v>3.0192132947678645</v>
      </c>
      <c r="X1851" s="6">
        <f t="shared" si="510"/>
        <v>286.82526300294711</v>
      </c>
      <c r="Y1851" s="7">
        <f t="shared" si="513"/>
        <v>3</v>
      </c>
      <c r="AA1851" s="7">
        <f t="shared" si="514"/>
        <v>1</v>
      </c>
      <c r="AB1851" s="7">
        <f t="shared" si="515"/>
        <v>95</v>
      </c>
      <c r="AC1851" s="7">
        <f t="shared" si="516"/>
        <v>0</v>
      </c>
      <c r="AD1851" s="7" t="str">
        <f t="shared" si="517"/>
        <v/>
      </c>
      <c r="AE1851" s="6">
        <f t="shared" si="518"/>
        <v>0</v>
      </c>
      <c r="AF1851" s="69">
        <f t="shared" si="519"/>
        <v>3.0192132947678645</v>
      </c>
      <c r="AG1851" s="6">
        <f t="shared" si="520"/>
        <v>0</v>
      </c>
      <c r="AH1851" s="6">
        <f t="shared" si="521"/>
        <v>604</v>
      </c>
    </row>
    <row r="1852" spans="8:34" x14ac:dyDescent="0.25">
      <c r="H1852" s="7">
        <v>1859</v>
      </c>
      <c r="I1852" s="7" t="s">
        <v>11</v>
      </c>
      <c r="J1852" s="8">
        <v>38221</v>
      </c>
      <c r="K1852" s="12" t="s">
        <v>19</v>
      </c>
      <c r="L1852" s="9">
        <v>-6</v>
      </c>
      <c r="M1852" s="10">
        <v>-16.589394597675682</v>
      </c>
      <c r="N1852" s="7" t="s">
        <v>21</v>
      </c>
      <c r="P1852" s="29" t="str">
        <f t="shared" si="504"/>
        <v/>
      </c>
      <c r="Q1852" s="29" t="str">
        <f t="shared" si="505"/>
        <v/>
      </c>
      <c r="R1852" s="29">
        <f t="shared" si="506"/>
        <v>1</v>
      </c>
      <c r="S1852" s="29" t="str">
        <f t="shared" si="507"/>
        <v/>
      </c>
      <c r="T1852" s="32" t="str">
        <f t="shared" si="508"/>
        <v/>
      </c>
      <c r="U1852" s="32" t="str">
        <f t="shared" si="511"/>
        <v/>
      </c>
      <c r="V1852" s="32" t="str">
        <f t="shared" si="512"/>
        <v/>
      </c>
      <c r="W1852" s="41" t="str">
        <f t="shared" si="509"/>
        <v/>
      </c>
      <c r="X1852" s="6">
        <f t="shared" si="510"/>
        <v>0</v>
      </c>
      <c r="Y1852" s="7">
        <f t="shared" si="513"/>
        <v>567</v>
      </c>
      <c r="AA1852" s="7">
        <f t="shared" si="514"/>
        <v>0</v>
      </c>
      <c r="AB1852" s="7" t="str">
        <f t="shared" si="515"/>
        <v/>
      </c>
      <c r="AC1852" s="7">
        <f t="shared" si="516"/>
        <v>0</v>
      </c>
      <c r="AD1852" s="7" t="str">
        <f t="shared" si="517"/>
        <v/>
      </c>
      <c r="AE1852" s="6">
        <f t="shared" si="518"/>
        <v>-6</v>
      </c>
      <c r="AF1852" s="69" t="str">
        <f t="shared" si="519"/>
        <v/>
      </c>
      <c r="AG1852" s="6">
        <f t="shared" si="520"/>
        <v>0</v>
      </c>
      <c r="AH1852" s="6">
        <f t="shared" si="521"/>
        <v>604</v>
      </c>
    </row>
    <row r="1853" spans="8:34" x14ac:dyDescent="0.25">
      <c r="H1853" s="7">
        <v>1860</v>
      </c>
      <c r="I1853" s="7" t="s">
        <v>13</v>
      </c>
      <c r="J1853" s="8">
        <v>38210</v>
      </c>
      <c r="K1853" s="12" t="s">
        <v>17</v>
      </c>
      <c r="L1853" s="9">
        <v>-9</v>
      </c>
      <c r="M1853" s="10">
        <v>-24.760053633714985</v>
      </c>
      <c r="N1853" s="7" t="s">
        <v>24</v>
      </c>
      <c r="P1853" s="29" t="str">
        <f t="shared" si="504"/>
        <v/>
      </c>
      <c r="Q1853" s="29" t="str">
        <f t="shared" si="505"/>
        <v/>
      </c>
      <c r="R1853" s="29">
        <f t="shared" si="506"/>
        <v>1</v>
      </c>
      <c r="S1853" s="29" t="str">
        <f t="shared" si="507"/>
        <v/>
      </c>
      <c r="T1853" s="32" t="str">
        <f t="shared" si="508"/>
        <v/>
      </c>
      <c r="U1853" s="32" t="str">
        <f t="shared" si="511"/>
        <v/>
      </c>
      <c r="V1853" s="32" t="str">
        <f t="shared" si="512"/>
        <v/>
      </c>
      <c r="W1853" s="41" t="str">
        <f t="shared" si="509"/>
        <v/>
      </c>
      <c r="X1853" s="6">
        <f t="shared" si="510"/>
        <v>0</v>
      </c>
      <c r="Y1853" s="7">
        <f t="shared" si="513"/>
        <v>567</v>
      </c>
      <c r="AA1853" s="7">
        <f t="shared" si="514"/>
        <v>0</v>
      </c>
      <c r="AB1853" s="7" t="str">
        <f t="shared" si="515"/>
        <v/>
      </c>
      <c r="AC1853" s="7">
        <f t="shared" si="516"/>
        <v>0</v>
      </c>
      <c r="AD1853" s="7" t="str">
        <f t="shared" si="517"/>
        <v/>
      </c>
      <c r="AE1853" s="6">
        <f t="shared" si="518"/>
        <v>-9</v>
      </c>
      <c r="AF1853" s="69" t="str">
        <f t="shared" si="519"/>
        <v/>
      </c>
      <c r="AG1853" s="6">
        <f t="shared" si="520"/>
        <v>0</v>
      </c>
      <c r="AH1853" s="6">
        <f t="shared" si="521"/>
        <v>604</v>
      </c>
    </row>
    <row r="1854" spans="8:34" x14ac:dyDescent="0.25">
      <c r="H1854" s="7">
        <v>1861</v>
      </c>
      <c r="I1854" s="7" t="s">
        <v>12</v>
      </c>
      <c r="J1854" s="8">
        <v>38793</v>
      </c>
      <c r="K1854" s="12" t="s">
        <v>16</v>
      </c>
      <c r="L1854" s="9">
        <v>74</v>
      </c>
      <c r="M1854" s="10">
        <v>223.82751177660725</v>
      </c>
      <c r="N1854" s="7" t="s">
        <v>22</v>
      </c>
      <c r="P1854" s="29" t="str">
        <f t="shared" si="504"/>
        <v/>
      </c>
      <c r="Q1854" s="29" t="str">
        <f t="shared" si="505"/>
        <v/>
      </c>
      <c r="R1854" s="29" t="str">
        <f t="shared" si="506"/>
        <v/>
      </c>
      <c r="S1854" s="29" t="str">
        <f t="shared" si="507"/>
        <v/>
      </c>
      <c r="T1854" s="32" t="str">
        <f t="shared" si="508"/>
        <v/>
      </c>
      <c r="U1854" s="32" t="str">
        <f t="shared" si="511"/>
        <v/>
      </c>
      <c r="V1854" s="32">
        <f t="shared" si="512"/>
        <v>1</v>
      </c>
      <c r="W1854" s="41">
        <f t="shared" si="509"/>
        <v>3.0246961050892871</v>
      </c>
      <c r="X1854" s="6">
        <f t="shared" si="510"/>
        <v>0</v>
      </c>
      <c r="Y1854" s="7">
        <f t="shared" si="513"/>
        <v>567</v>
      </c>
      <c r="AA1854" s="7">
        <f t="shared" si="514"/>
        <v>0</v>
      </c>
      <c r="AB1854" s="7" t="str">
        <f t="shared" si="515"/>
        <v/>
      </c>
      <c r="AC1854" s="7">
        <f t="shared" si="516"/>
        <v>0</v>
      </c>
      <c r="AD1854" s="7" t="str">
        <f t="shared" si="517"/>
        <v/>
      </c>
      <c r="AE1854" s="6">
        <f t="shared" si="518"/>
        <v>0</v>
      </c>
      <c r="AF1854" s="69">
        <f t="shared" si="519"/>
        <v>3.0246961050892871</v>
      </c>
      <c r="AG1854" s="6">
        <f t="shared" si="520"/>
        <v>0</v>
      </c>
      <c r="AH1854" s="6">
        <f t="shared" si="521"/>
        <v>604</v>
      </c>
    </row>
    <row r="1855" spans="8:34" x14ac:dyDescent="0.25">
      <c r="H1855" s="7">
        <v>1862</v>
      </c>
      <c r="I1855" s="7" t="s">
        <v>8</v>
      </c>
      <c r="J1855" s="8">
        <v>38694</v>
      </c>
      <c r="K1855" s="12" t="s">
        <v>17</v>
      </c>
      <c r="L1855" s="9">
        <v>18</v>
      </c>
      <c r="M1855" s="10">
        <v>55.524146786750528</v>
      </c>
      <c r="N1855" s="7" t="s">
        <v>21</v>
      </c>
      <c r="P1855" s="29" t="str">
        <f t="shared" si="504"/>
        <v/>
      </c>
      <c r="Q1855" s="29" t="str">
        <f t="shared" si="505"/>
        <v/>
      </c>
      <c r="R1855" s="29" t="str">
        <f t="shared" si="506"/>
        <v/>
      </c>
      <c r="S1855" s="29" t="str">
        <f t="shared" si="507"/>
        <v/>
      </c>
      <c r="T1855" s="32">
        <f t="shared" si="508"/>
        <v>1</v>
      </c>
      <c r="U1855" s="32">
        <f t="shared" si="511"/>
        <v>1</v>
      </c>
      <c r="V1855" s="32" t="str">
        <f t="shared" si="512"/>
        <v/>
      </c>
      <c r="W1855" s="41">
        <f t="shared" si="509"/>
        <v>3.0846748214861406</v>
      </c>
      <c r="X1855" s="6">
        <f t="shared" si="510"/>
        <v>55.524146786750528</v>
      </c>
      <c r="Y1855" s="7">
        <f t="shared" si="513"/>
        <v>453</v>
      </c>
      <c r="AA1855" s="7">
        <f t="shared" si="514"/>
        <v>0</v>
      </c>
      <c r="AB1855" s="7" t="str">
        <f t="shared" si="515"/>
        <v/>
      </c>
      <c r="AC1855" s="7">
        <f t="shared" si="516"/>
        <v>1</v>
      </c>
      <c r="AD1855" s="7">
        <f t="shared" si="517"/>
        <v>18</v>
      </c>
      <c r="AE1855" s="6">
        <f t="shared" si="518"/>
        <v>0</v>
      </c>
      <c r="AF1855" s="69">
        <f t="shared" si="519"/>
        <v>3.0846748214861406</v>
      </c>
      <c r="AG1855" s="6">
        <f t="shared" si="520"/>
        <v>0</v>
      </c>
      <c r="AH1855" s="6">
        <f t="shared" si="521"/>
        <v>604</v>
      </c>
    </row>
    <row r="1856" spans="8:34" x14ac:dyDescent="0.25">
      <c r="H1856" s="7">
        <v>1863</v>
      </c>
      <c r="I1856" s="7" t="s">
        <v>10</v>
      </c>
      <c r="J1856" s="8">
        <v>38782</v>
      </c>
      <c r="K1856" s="12" t="s">
        <v>16</v>
      </c>
      <c r="L1856" s="9">
        <v>73</v>
      </c>
      <c r="M1856" s="10">
        <v>220.67063477706461</v>
      </c>
      <c r="N1856" s="7" t="s">
        <v>24</v>
      </c>
      <c r="P1856" s="29" t="str">
        <f t="shared" si="504"/>
        <v/>
      </c>
      <c r="Q1856" s="29" t="str">
        <f t="shared" si="505"/>
        <v/>
      </c>
      <c r="R1856" s="29" t="str">
        <f t="shared" si="506"/>
        <v/>
      </c>
      <c r="S1856" s="29" t="str">
        <f t="shared" si="507"/>
        <v/>
      </c>
      <c r="T1856" s="32" t="str">
        <f t="shared" si="508"/>
        <v/>
      </c>
      <c r="U1856" s="32" t="str">
        <f t="shared" si="511"/>
        <v/>
      </c>
      <c r="V1856" s="32">
        <f t="shared" si="512"/>
        <v>1</v>
      </c>
      <c r="W1856" s="41">
        <f t="shared" si="509"/>
        <v>3.0228854079049947</v>
      </c>
      <c r="X1856" s="6">
        <f t="shared" si="510"/>
        <v>0</v>
      </c>
      <c r="Y1856" s="7">
        <f t="shared" si="513"/>
        <v>567</v>
      </c>
      <c r="AA1856" s="7">
        <f t="shared" si="514"/>
        <v>0</v>
      </c>
      <c r="AB1856" s="7" t="str">
        <f t="shared" si="515"/>
        <v/>
      </c>
      <c r="AC1856" s="7">
        <f t="shared" si="516"/>
        <v>0</v>
      </c>
      <c r="AD1856" s="7" t="str">
        <f t="shared" si="517"/>
        <v/>
      </c>
      <c r="AE1856" s="6">
        <f t="shared" si="518"/>
        <v>0</v>
      </c>
      <c r="AF1856" s="69">
        <f t="shared" si="519"/>
        <v>3.0228854079049947</v>
      </c>
      <c r="AG1856" s="6">
        <f t="shared" si="520"/>
        <v>0</v>
      </c>
      <c r="AH1856" s="6">
        <f t="shared" si="521"/>
        <v>604</v>
      </c>
    </row>
    <row r="1857" spans="8:34" x14ac:dyDescent="0.25">
      <c r="H1857" s="7">
        <v>1864</v>
      </c>
      <c r="I1857" s="7" t="s">
        <v>13</v>
      </c>
      <c r="J1857" s="8">
        <v>38331</v>
      </c>
      <c r="K1857" s="12" t="s">
        <v>16</v>
      </c>
      <c r="L1857" s="9">
        <v>62</v>
      </c>
      <c r="M1857" s="10">
        <v>188.42678187961798</v>
      </c>
      <c r="N1857" s="7" t="s">
        <v>23</v>
      </c>
      <c r="P1857" s="29" t="str">
        <f t="shared" si="504"/>
        <v/>
      </c>
      <c r="Q1857" s="29" t="str">
        <f t="shared" si="505"/>
        <v/>
      </c>
      <c r="R1857" s="29" t="str">
        <f t="shared" si="506"/>
        <v/>
      </c>
      <c r="S1857" s="29">
        <f t="shared" si="507"/>
        <v>1</v>
      </c>
      <c r="T1857" s="32" t="str">
        <f t="shared" si="508"/>
        <v/>
      </c>
      <c r="U1857" s="32" t="str">
        <f t="shared" si="511"/>
        <v/>
      </c>
      <c r="V1857" s="32" t="str">
        <f t="shared" si="512"/>
        <v/>
      </c>
      <c r="W1857" s="41">
        <f t="shared" si="509"/>
        <v>3.039141643219645</v>
      </c>
      <c r="X1857" s="6">
        <f t="shared" si="510"/>
        <v>0</v>
      </c>
      <c r="Y1857" s="7">
        <f t="shared" si="513"/>
        <v>567</v>
      </c>
      <c r="AA1857" s="7">
        <f t="shared" si="514"/>
        <v>0</v>
      </c>
      <c r="AB1857" s="7" t="str">
        <f t="shared" si="515"/>
        <v/>
      </c>
      <c r="AC1857" s="7">
        <f t="shared" si="516"/>
        <v>0</v>
      </c>
      <c r="AD1857" s="7" t="str">
        <f t="shared" si="517"/>
        <v/>
      </c>
      <c r="AE1857" s="6">
        <f t="shared" si="518"/>
        <v>0</v>
      </c>
      <c r="AF1857" s="69">
        <f t="shared" si="519"/>
        <v>3.039141643219645</v>
      </c>
      <c r="AG1857" s="6">
        <f t="shared" si="520"/>
        <v>188.42678187961798</v>
      </c>
      <c r="AH1857" s="6">
        <f t="shared" si="521"/>
        <v>201</v>
      </c>
    </row>
    <row r="1858" spans="8:34" x14ac:dyDescent="0.25">
      <c r="H1858" s="7">
        <v>1865</v>
      </c>
      <c r="I1858" s="7" t="s">
        <v>11</v>
      </c>
      <c r="J1858" s="8">
        <v>38903</v>
      </c>
      <c r="K1858" s="12" t="s">
        <v>18</v>
      </c>
      <c r="L1858" s="9">
        <v>-2</v>
      </c>
      <c r="M1858" s="10">
        <v>-3.5924377444896751</v>
      </c>
      <c r="N1858" s="7" t="s">
        <v>21</v>
      </c>
      <c r="P1858" s="29" t="str">
        <f t="shared" si="504"/>
        <v/>
      </c>
      <c r="Q1858" s="29" t="str">
        <f t="shared" si="505"/>
        <v/>
      </c>
      <c r="R1858" s="29" t="str">
        <f t="shared" si="506"/>
        <v/>
      </c>
      <c r="S1858" s="29" t="str">
        <f t="shared" si="507"/>
        <v/>
      </c>
      <c r="T1858" s="32" t="str">
        <f t="shared" si="508"/>
        <v/>
      </c>
      <c r="U1858" s="32" t="str">
        <f t="shared" si="511"/>
        <v/>
      </c>
      <c r="V1858" s="32">
        <f t="shared" si="512"/>
        <v>1</v>
      </c>
      <c r="W1858" s="41" t="str">
        <f t="shared" si="509"/>
        <v/>
      </c>
      <c r="X1858" s="6">
        <f t="shared" si="510"/>
        <v>0</v>
      </c>
      <c r="Y1858" s="7">
        <f t="shared" si="513"/>
        <v>567</v>
      </c>
      <c r="AA1858" s="7">
        <f t="shared" si="514"/>
        <v>0</v>
      </c>
      <c r="AB1858" s="7" t="str">
        <f t="shared" si="515"/>
        <v/>
      </c>
      <c r="AC1858" s="7">
        <f t="shared" si="516"/>
        <v>0</v>
      </c>
      <c r="AD1858" s="7" t="str">
        <f t="shared" si="517"/>
        <v/>
      </c>
      <c r="AE1858" s="6">
        <f t="shared" si="518"/>
        <v>-2</v>
      </c>
      <c r="AF1858" s="69" t="str">
        <f t="shared" si="519"/>
        <v/>
      </c>
      <c r="AG1858" s="6">
        <f t="shared" si="520"/>
        <v>0</v>
      </c>
      <c r="AH1858" s="6">
        <f t="shared" si="521"/>
        <v>604</v>
      </c>
    </row>
    <row r="1859" spans="8:34" x14ac:dyDescent="0.25">
      <c r="H1859" s="7">
        <v>1866</v>
      </c>
      <c r="I1859" s="7" t="s">
        <v>12</v>
      </c>
      <c r="J1859" s="8">
        <v>38991</v>
      </c>
      <c r="K1859" s="12" t="s">
        <v>18</v>
      </c>
      <c r="L1859" s="9">
        <v>-7</v>
      </c>
      <c r="M1859" s="10">
        <v>-18.939063444337712</v>
      </c>
      <c r="N1859" s="7" t="s">
        <v>21</v>
      </c>
      <c r="P1859" s="29" t="str">
        <f t="shared" ref="P1859:P1893" si="522">IF(AND((MONTH(J1859))&lt;4,YEAR(J1859)=2004),1,"")</f>
        <v/>
      </c>
      <c r="Q1859" s="29" t="str">
        <f t="shared" ref="Q1859:Q1893" si="523">IF(AND(3&lt;(MONTH(J1859)),(MONTH(J1859)&lt;7),YEAR(J1859)=2004),1,"")</f>
        <v/>
      </c>
      <c r="R1859" s="29" t="str">
        <f t="shared" ref="R1859:R1893" si="524">IF(AND(6&lt;(MONTH(J1859)),(MONTH(J1859)&lt;10),YEAR(J1859)=2004),1,"")</f>
        <v/>
      </c>
      <c r="S1859" s="29" t="str">
        <f t="shared" ref="S1859:S1893" si="525">IF(AND(9&lt;(MONTH(J1859)),(MONTH(J1859)&lt;13),YEAR(J1859)=2004),1,"")</f>
        <v/>
      </c>
      <c r="T1859" s="32" t="str">
        <f t="shared" ref="T1859:T1893" si="526">IF(AND((9&lt;MONTH(J1859)),YEAR(J1859)=2005),1,"")</f>
        <v/>
      </c>
      <c r="U1859" s="32" t="str">
        <f t="shared" si="511"/>
        <v/>
      </c>
      <c r="V1859" s="32">
        <f t="shared" si="512"/>
        <v>1</v>
      </c>
      <c r="W1859" s="41" t="str">
        <f t="shared" ref="W1859:W1893" si="527">IF(L1859&gt;0,M1859/L1859,"")</f>
        <v/>
      </c>
      <c r="X1859" s="6">
        <f t="shared" ref="X1859:X1893" si="528">IF(U1859=1,M1859,0)</f>
        <v>0</v>
      </c>
      <c r="Y1859" s="7">
        <f t="shared" si="513"/>
        <v>567</v>
      </c>
      <c r="AA1859" s="7">
        <f t="shared" si="514"/>
        <v>0</v>
      </c>
      <c r="AB1859" s="7" t="str">
        <f t="shared" si="515"/>
        <v/>
      </c>
      <c r="AC1859" s="7">
        <f t="shared" si="516"/>
        <v>0</v>
      </c>
      <c r="AD1859" s="7" t="str">
        <f t="shared" si="517"/>
        <v/>
      </c>
      <c r="AE1859" s="6">
        <f t="shared" si="518"/>
        <v>-7</v>
      </c>
      <c r="AF1859" s="69" t="str">
        <f t="shared" si="519"/>
        <v/>
      </c>
      <c r="AG1859" s="6">
        <f t="shared" si="520"/>
        <v>0</v>
      </c>
      <c r="AH1859" s="6">
        <f t="shared" si="521"/>
        <v>604</v>
      </c>
    </row>
    <row r="1860" spans="8:34" x14ac:dyDescent="0.25">
      <c r="H1860" s="7">
        <v>1867</v>
      </c>
      <c r="I1860" s="7" t="s">
        <v>12</v>
      </c>
      <c r="J1860" s="8">
        <v>38947</v>
      </c>
      <c r="K1860" s="12" t="s">
        <v>20</v>
      </c>
      <c r="L1860" s="9">
        <v>73</v>
      </c>
      <c r="M1860" s="10">
        <v>220.77421208293487</v>
      </c>
      <c r="N1860" s="7" t="s">
        <v>24</v>
      </c>
      <c r="P1860" s="29" t="str">
        <f t="shared" si="522"/>
        <v/>
      </c>
      <c r="Q1860" s="29" t="str">
        <f t="shared" si="523"/>
        <v/>
      </c>
      <c r="R1860" s="29" t="str">
        <f t="shared" si="524"/>
        <v/>
      </c>
      <c r="S1860" s="29" t="str">
        <f t="shared" si="525"/>
        <v/>
      </c>
      <c r="T1860" s="32" t="str">
        <f t="shared" si="526"/>
        <v/>
      </c>
      <c r="U1860" s="32" t="str">
        <f t="shared" ref="U1860:U1893" si="529">IF(YEAR(J1860)=2005,1,"")</f>
        <v/>
      </c>
      <c r="V1860" s="32">
        <f t="shared" ref="V1860:V1893" si="530">IF(YEAR(J1860)=2006,1,"")</f>
        <v>1</v>
      </c>
      <c r="W1860" s="41">
        <f t="shared" si="527"/>
        <v>3.0243042751086966</v>
      </c>
      <c r="X1860" s="6">
        <f t="shared" si="528"/>
        <v>0</v>
      </c>
      <c r="Y1860" s="7">
        <f t="shared" ref="Y1860:Y1893" si="531">RANK(X1860,$X$3:$X$1893)</f>
        <v>567</v>
      </c>
      <c r="AA1860" s="7">
        <f t="shared" ref="AA1860:AA1893" si="532">IF(AND(OR((MONTH(J1860))=1,(MONTH(J1860))=2,(MONTH(J1860))=3,(MONTH(J1860))=7,(MONTH(J1860))=8,(MONTH(J1860))=9),YEAR(J1860)=2005),1,0)</f>
        <v>0</v>
      </c>
      <c r="AB1860" s="7" t="str">
        <f t="shared" ref="AB1860:AB1893" si="533">IF(AA1860=1,L1860,"")</f>
        <v/>
      </c>
      <c r="AC1860" s="7">
        <f t="shared" ref="AC1860:AC1893" si="534">IF(AND(OR((MONTH(J1860))=4,(MONTH(J1860))=5,(MONTH(J1860))=6,(MONTH(J1860))=10,(MONTH(J1860))=11,(MONTH(J1860))=12),YEAR(J1860)=2005),1,0)</f>
        <v>0</v>
      </c>
      <c r="AD1860" s="7" t="str">
        <f t="shared" ref="AD1860:AD1893" si="535">IF(AC1860=1,L1860,"")</f>
        <v/>
      </c>
      <c r="AE1860" s="6">
        <f t="shared" ref="AE1860:AE1893" si="536">IF(L1860&lt;0,L1860,0)</f>
        <v>0</v>
      </c>
      <c r="AF1860" s="69">
        <f t="shared" ref="AF1860:AF1893" si="537">IF(L1860&gt;0,W1860,"")</f>
        <v>3.0243042751086966</v>
      </c>
      <c r="AG1860" s="6">
        <f t="shared" ref="AG1860:AG1893" si="538">IF(AND((M1860&gt;0),(YEAR(J1860)=2004)),M1860,0)</f>
        <v>0</v>
      </c>
      <c r="AH1860" s="6">
        <f t="shared" ref="AH1860:AH1893" si="539">RANK(AG1860,$AG$3:$AG$1893)</f>
        <v>604</v>
      </c>
    </row>
    <row r="1861" spans="8:34" x14ac:dyDescent="0.25">
      <c r="H1861" s="7">
        <v>1868</v>
      </c>
      <c r="I1861" s="7" t="s">
        <v>8</v>
      </c>
      <c r="J1861" s="8">
        <v>38452</v>
      </c>
      <c r="K1861" s="12" t="s">
        <v>16</v>
      </c>
      <c r="L1861" s="9">
        <v>24</v>
      </c>
      <c r="M1861" s="10">
        <v>73.585989082063819</v>
      </c>
      <c r="N1861" s="7" t="s">
        <v>21</v>
      </c>
      <c r="P1861" s="29" t="str">
        <f t="shared" si="522"/>
        <v/>
      </c>
      <c r="Q1861" s="29" t="str">
        <f t="shared" si="523"/>
        <v/>
      </c>
      <c r="R1861" s="29" t="str">
        <f t="shared" si="524"/>
        <v/>
      </c>
      <c r="S1861" s="29" t="str">
        <f t="shared" si="525"/>
        <v/>
      </c>
      <c r="T1861" s="32" t="str">
        <f t="shared" si="526"/>
        <v/>
      </c>
      <c r="U1861" s="32">
        <f t="shared" si="529"/>
        <v>1</v>
      </c>
      <c r="V1861" s="32" t="str">
        <f t="shared" si="530"/>
        <v/>
      </c>
      <c r="W1861" s="41">
        <f t="shared" si="527"/>
        <v>3.0660828784193259</v>
      </c>
      <c r="X1861" s="6">
        <f t="shared" si="528"/>
        <v>73.585989082063819</v>
      </c>
      <c r="Y1861" s="7">
        <f t="shared" si="531"/>
        <v>421</v>
      </c>
      <c r="AA1861" s="7">
        <f t="shared" si="532"/>
        <v>0</v>
      </c>
      <c r="AB1861" s="7" t="str">
        <f t="shared" si="533"/>
        <v/>
      </c>
      <c r="AC1861" s="7">
        <f t="shared" si="534"/>
        <v>1</v>
      </c>
      <c r="AD1861" s="7">
        <f t="shared" si="535"/>
        <v>24</v>
      </c>
      <c r="AE1861" s="6">
        <f t="shared" si="536"/>
        <v>0</v>
      </c>
      <c r="AF1861" s="69">
        <f t="shared" si="537"/>
        <v>3.0660828784193259</v>
      </c>
      <c r="AG1861" s="6">
        <f t="shared" si="538"/>
        <v>0</v>
      </c>
      <c r="AH1861" s="6">
        <f t="shared" si="539"/>
        <v>604</v>
      </c>
    </row>
    <row r="1862" spans="8:34" x14ac:dyDescent="0.25">
      <c r="H1862" s="7">
        <v>1869</v>
      </c>
      <c r="I1862" s="7" t="s">
        <v>7</v>
      </c>
      <c r="J1862" s="8">
        <v>38628</v>
      </c>
      <c r="K1862" s="12" t="s">
        <v>19</v>
      </c>
      <c r="L1862" s="9">
        <v>18</v>
      </c>
      <c r="M1862" s="10">
        <v>56.084454934208836</v>
      </c>
      <c r="N1862" s="7" t="s">
        <v>24</v>
      </c>
      <c r="P1862" s="29" t="str">
        <f t="shared" si="522"/>
        <v/>
      </c>
      <c r="Q1862" s="29" t="str">
        <f t="shared" si="523"/>
        <v/>
      </c>
      <c r="R1862" s="29" t="str">
        <f t="shared" si="524"/>
        <v/>
      </c>
      <c r="S1862" s="29" t="str">
        <f t="shared" si="525"/>
        <v/>
      </c>
      <c r="T1862" s="32">
        <f t="shared" si="526"/>
        <v>1</v>
      </c>
      <c r="U1862" s="32">
        <f t="shared" si="529"/>
        <v>1</v>
      </c>
      <c r="V1862" s="32" t="str">
        <f t="shared" si="530"/>
        <v/>
      </c>
      <c r="W1862" s="41">
        <f t="shared" si="527"/>
        <v>3.1158030519004907</v>
      </c>
      <c r="X1862" s="6">
        <f t="shared" si="528"/>
        <v>56.084454934208836</v>
      </c>
      <c r="Y1862" s="7">
        <f t="shared" si="531"/>
        <v>451</v>
      </c>
      <c r="AA1862" s="7">
        <f t="shared" si="532"/>
        <v>0</v>
      </c>
      <c r="AB1862" s="7" t="str">
        <f t="shared" si="533"/>
        <v/>
      </c>
      <c r="AC1862" s="7">
        <f t="shared" si="534"/>
        <v>1</v>
      </c>
      <c r="AD1862" s="7">
        <f t="shared" si="535"/>
        <v>18</v>
      </c>
      <c r="AE1862" s="6">
        <f t="shared" si="536"/>
        <v>0</v>
      </c>
      <c r="AF1862" s="69">
        <f t="shared" si="537"/>
        <v>3.1158030519004907</v>
      </c>
      <c r="AG1862" s="6">
        <f t="shared" si="538"/>
        <v>0</v>
      </c>
      <c r="AH1862" s="6">
        <f t="shared" si="539"/>
        <v>604</v>
      </c>
    </row>
    <row r="1863" spans="8:34" x14ac:dyDescent="0.25">
      <c r="H1863" s="7">
        <v>1870</v>
      </c>
      <c r="I1863" s="7" t="s">
        <v>8</v>
      </c>
      <c r="J1863" s="8">
        <v>39046</v>
      </c>
      <c r="K1863" s="12" t="s">
        <v>20</v>
      </c>
      <c r="L1863" s="9">
        <v>49</v>
      </c>
      <c r="M1863" s="10">
        <v>149.40493820151829</v>
      </c>
      <c r="N1863" s="7" t="s">
        <v>23</v>
      </c>
      <c r="P1863" s="29" t="str">
        <f t="shared" si="522"/>
        <v/>
      </c>
      <c r="Q1863" s="29" t="str">
        <f t="shared" si="523"/>
        <v/>
      </c>
      <c r="R1863" s="29" t="str">
        <f t="shared" si="524"/>
        <v/>
      </c>
      <c r="S1863" s="29" t="str">
        <f t="shared" si="525"/>
        <v/>
      </c>
      <c r="T1863" s="32" t="str">
        <f t="shared" si="526"/>
        <v/>
      </c>
      <c r="U1863" s="32" t="str">
        <f t="shared" si="529"/>
        <v/>
      </c>
      <c r="V1863" s="32">
        <f t="shared" si="530"/>
        <v>1</v>
      </c>
      <c r="W1863" s="41">
        <f t="shared" si="527"/>
        <v>3.0490803714595569</v>
      </c>
      <c r="X1863" s="6">
        <f t="shared" si="528"/>
        <v>0</v>
      </c>
      <c r="Y1863" s="7">
        <f t="shared" si="531"/>
        <v>567</v>
      </c>
      <c r="AA1863" s="7">
        <f t="shared" si="532"/>
        <v>0</v>
      </c>
      <c r="AB1863" s="7" t="str">
        <f t="shared" si="533"/>
        <v/>
      </c>
      <c r="AC1863" s="7">
        <f t="shared" si="534"/>
        <v>0</v>
      </c>
      <c r="AD1863" s="7" t="str">
        <f t="shared" si="535"/>
        <v/>
      </c>
      <c r="AE1863" s="6">
        <f t="shared" si="536"/>
        <v>0</v>
      </c>
      <c r="AF1863" s="69">
        <f t="shared" si="537"/>
        <v>3.0490803714595569</v>
      </c>
      <c r="AG1863" s="6">
        <f t="shared" si="538"/>
        <v>0</v>
      </c>
      <c r="AH1863" s="6">
        <f t="shared" si="539"/>
        <v>604</v>
      </c>
    </row>
    <row r="1864" spans="8:34" x14ac:dyDescent="0.25">
      <c r="H1864" s="7">
        <v>1871</v>
      </c>
      <c r="I1864" s="7" t="s">
        <v>15</v>
      </c>
      <c r="J1864" s="8">
        <v>38353</v>
      </c>
      <c r="K1864" s="12" t="s">
        <v>20</v>
      </c>
      <c r="L1864" s="9">
        <v>21</v>
      </c>
      <c r="M1864" s="10">
        <v>64.683872648507389</v>
      </c>
      <c r="N1864" s="7" t="s">
        <v>22</v>
      </c>
      <c r="P1864" s="29" t="str">
        <f t="shared" si="522"/>
        <v/>
      </c>
      <c r="Q1864" s="29" t="str">
        <f t="shared" si="523"/>
        <v/>
      </c>
      <c r="R1864" s="29" t="str">
        <f t="shared" si="524"/>
        <v/>
      </c>
      <c r="S1864" s="29" t="str">
        <f t="shared" si="525"/>
        <v/>
      </c>
      <c r="T1864" s="32" t="str">
        <f t="shared" si="526"/>
        <v/>
      </c>
      <c r="U1864" s="32">
        <f t="shared" si="529"/>
        <v>1</v>
      </c>
      <c r="V1864" s="32" t="str">
        <f t="shared" si="530"/>
        <v/>
      </c>
      <c r="W1864" s="41">
        <f t="shared" si="527"/>
        <v>3.0801844118336854</v>
      </c>
      <c r="X1864" s="6">
        <f t="shared" si="528"/>
        <v>64.683872648507389</v>
      </c>
      <c r="Y1864" s="7">
        <f t="shared" si="531"/>
        <v>438</v>
      </c>
      <c r="AA1864" s="7">
        <f t="shared" si="532"/>
        <v>1</v>
      </c>
      <c r="AB1864" s="7">
        <f t="shared" si="533"/>
        <v>21</v>
      </c>
      <c r="AC1864" s="7">
        <f t="shared" si="534"/>
        <v>0</v>
      </c>
      <c r="AD1864" s="7" t="str">
        <f t="shared" si="535"/>
        <v/>
      </c>
      <c r="AE1864" s="6">
        <f t="shared" si="536"/>
        <v>0</v>
      </c>
      <c r="AF1864" s="69">
        <f t="shared" si="537"/>
        <v>3.0801844118336854</v>
      </c>
      <c r="AG1864" s="6">
        <f t="shared" si="538"/>
        <v>0</v>
      </c>
      <c r="AH1864" s="6">
        <f t="shared" si="539"/>
        <v>604</v>
      </c>
    </row>
    <row r="1865" spans="8:34" x14ac:dyDescent="0.25">
      <c r="H1865" s="7">
        <v>1872</v>
      </c>
      <c r="I1865" s="7" t="s">
        <v>11</v>
      </c>
      <c r="J1865" s="8">
        <v>38122</v>
      </c>
      <c r="K1865" s="12" t="s">
        <v>18</v>
      </c>
      <c r="L1865" s="9">
        <v>2</v>
      </c>
      <c r="M1865" s="10">
        <v>7.9938401735771141</v>
      </c>
      <c r="N1865" s="7" t="s">
        <v>21</v>
      </c>
      <c r="P1865" s="29" t="str">
        <f t="shared" si="522"/>
        <v/>
      </c>
      <c r="Q1865" s="29">
        <f t="shared" si="523"/>
        <v>1</v>
      </c>
      <c r="R1865" s="29" t="str">
        <f t="shared" si="524"/>
        <v/>
      </c>
      <c r="S1865" s="29" t="str">
        <f t="shared" si="525"/>
        <v/>
      </c>
      <c r="T1865" s="32" t="str">
        <f t="shared" si="526"/>
        <v/>
      </c>
      <c r="U1865" s="32" t="str">
        <f t="shared" si="529"/>
        <v/>
      </c>
      <c r="V1865" s="32" t="str">
        <f t="shared" si="530"/>
        <v/>
      </c>
      <c r="W1865" s="41">
        <f t="shared" si="527"/>
        <v>3.996920086788557</v>
      </c>
      <c r="X1865" s="6">
        <f t="shared" si="528"/>
        <v>0</v>
      </c>
      <c r="Y1865" s="7">
        <f t="shared" si="531"/>
        <v>567</v>
      </c>
      <c r="AA1865" s="7">
        <f t="shared" si="532"/>
        <v>0</v>
      </c>
      <c r="AB1865" s="7" t="str">
        <f t="shared" si="533"/>
        <v/>
      </c>
      <c r="AC1865" s="7">
        <f t="shared" si="534"/>
        <v>0</v>
      </c>
      <c r="AD1865" s="7" t="str">
        <f t="shared" si="535"/>
        <v/>
      </c>
      <c r="AE1865" s="6">
        <f t="shared" si="536"/>
        <v>0</v>
      </c>
      <c r="AF1865" s="69">
        <f t="shared" si="537"/>
        <v>3.996920086788557</v>
      </c>
      <c r="AG1865" s="6">
        <f t="shared" si="538"/>
        <v>7.9938401735771141</v>
      </c>
      <c r="AH1865" s="6">
        <f t="shared" si="539"/>
        <v>588</v>
      </c>
    </row>
    <row r="1866" spans="8:34" x14ac:dyDescent="0.25">
      <c r="H1866" s="7">
        <v>1873</v>
      </c>
      <c r="I1866" s="7" t="s">
        <v>15</v>
      </c>
      <c r="J1866" s="8">
        <v>38309</v>
      </c>
      <c r="K1866" s="12" t="s">
        <v>18</v>
      </c>
      <c r="L1866" s="9">
        <v>83</v>
      </c>
      <c r="M1866" s="10">
        <v>250.87539350545751</v>
      </c>
      <c r="N1866" s="7" t="s">
        <v>21</v>
      </c>
      <c r="P1866" s="29" t="str">
        <f t="shared" si="522"/>
        <v/>
      </c>
      <c r="Q1866" s="29" t="str">
        <f t="shared" si="523"/>
        <v/>
      </c>
      <c r="R1866" s="29" t="str">
        <f t="shared" si="524"/>
        <v/>
      </c>
      <c r="S1866" s="29">
        <f t="shared" si="525"/>
        <v>1</v>
      </c>
      <c r="T1866" s="32" t="str">
        <f t="shared" si="526"/>
        <v/>
      </c>
      <c r="U1866" s="32" t="str">
        <f t="shared" si="529"/>
        <v/>
      </c>
      <c r="V1866" s="32" t="str">
        <f t="shared" si="530"/>
        <v/>
      </c>
      <c r="W1866" s="41">
        <f t="shared" si="527"/>
        <v>3.0225951024753916</v>
      </c>
      <c r="X1866" s="6">
        <f t="shared" si="528"/>
        <v>0</v>
      </c>
      <c r="Y1866" s="7">
        <f t="shared" si="531"/>
        <v>567</v>
      </c>
      <c r="AA1866" s="7">
        <f t="shared" si="532"/>
        <v>0</v>
      </c>
      <c r="AB1866" s="7" t="str">
        <f t="shared" si="533"/>
        <v/>
      </c>
      <c r="AC1866" s="7">
        <f t="shared" si="534"/>
        <v>0</v>
      </c>
      <c r="AD1866" s="7" t="str">
        <f t="shared" si="535"/>
        <v/>
      </c>
      <c r="AE1866" s="6">
        <f t="shared" si="536"/>
        <v>0</v>
      </c>
      <c r="AF1866" s="69">
        <f t="shared" si="537"/>
        <v>3.0225951024753916</v>
      </c>
      <c r="AG1866" s="6">
        <f t="shared" si="538"/>
        <v>250.87539350545751</v>
      </c>
      <c r="AH1866" s="6">
        <f t="shared" si="539"/>
        <v>66</v>
      </c>
    </row>
    <row r="1867" spans="8:34" x14ac:dyDescent="0.25">
      <c r="H1867" s="7">
        <v>1874</v>
      </c>
      <c r="I1867" s="7" t="s">
        <v>11</v>
      </c>
      <c r="J1867" s="8">
        <v>38353</v>
      </c>
      <c r="K1867" s="12" t="s">
        <v>17</v>
      </c>
      <c r="L1867" s="9">
        <v>63</v>
      </c>
      <c r="M1867" s="10">
        <v>191.14760672109483</v>
      </c>
      <c r="N1867" s="7" t="s">
        <v>21</v>
      </c>
      <c r="P1867" s="29" t="str">
        <f t="shared" si="522"/>
        <v/>
      </c>
      <c r="Q1867" s="29" t="str">
        <f t="shared" si="523"/>
        <v/>
      </c>
      <c r="R1867" s="29" t="str">
        <f t="shared" si="524"/>
        <v/>
      </c>
      <c r="S1867" s="29" t="str">
        <f t="shared" si="525"/>
        <v/>
      </c>
      <c r="T1867" s="32" t="str">
        <f t="shared" si="526"/>
        <v/>
      </c>
      <c r="U1867" s="32">
        <f t="shared" si="529"/>
        <v>1</v>
      </c>
      <c r="V1867" s="32" t="str">
        <f t="shared" si="530"/>
        <v/>
      </c>
      <c r="W1867" s="41">
        <f t="shared" si="527"/>
        <v>3.034088995572934</v>
      </c>
      <c r="X1867" s="6">
        <f t="shared" si="528"/>
        <v>191.14760672109483</v>
      </c>
      <c r="Y1867" s="7">
        <f t="shared" si="531"/>
        <v>191</v>
      </c>
      <c r="AA1867" s="7">
        <f t="shared" si="532"/>
        <v>1</v>
      </c>
      <c r="AB1867" s="7">
        <f t="shared" si="533"/>
        <v>63</v>
      </c>
      <c r="AC1867" s="7">
        <f t="shared" si="534"/>
        <v>0</v>
      </c>
      <c r="AD1867" s="7" t="str">
        <f t="shared" si="535"/>
        <v/>
      </c>
      <c r="AE1867" s="6">
        <f t="shared" si="536"/>
        <v>0</v>
      </c>
      <c r="AF1867" s="69">
        <f t="shared" si="537"/>
        <v>3.034088995572934</v>
      </c>
      <c r="AG1867" s="6">
        <f t="shared" si="538"/>
        <v>0</v>
      </c>
      <c r="AH1867" s="6">
        <f t="shared" si="539"/>
        <v>604</v>
      </c>
    </row>
    <row r="1868" spans="8:34" x14ac:dyDescent="0.25">
      <c r="H1868" s="7">
        <v>1875</v>
      </c>
      <c r="I1868" s="7" t="s">
        <v>12</v>
      </c>
      <c r="J1868" s="8">
        <v>38045</v>
      </c>
      <c r="K1868" s="12" t="s">
        <v>19</v>
      </c>
      <c r="L1868" s="9">
        <v>54</v>
      </c>
      <c r="M1868" s="10">
        <v>163.86628539020685</v>
      </c>
      <c r="N1868" s="7" t="s">
        <v>22</v>
      </c>
      <c r="P1868" s="29">
        <f t="shared" si="522"/>
        <v>1</v>
      </c>
      <c r="Q1868" s="29" t="str">
        <f t="shared" si="523"/>
        <v/>
      </c>
      <c r="R1868" s="29" t="str">
        <f t="shared" si="524"/>
        <v/>
      </c>
      <c r="S1868" s="29" t="str">
        <f t="shared" si="525"/>
        <v/>
      </c>
      <c r="T1868" s="32" t="str">
        <f t="shared" si="526"/>
        <v/>
      </c>
      <c r="U1868" s="32" t="str">
        <f t="shared" si="529"/>
        <v/>
      </c>
      <c r="V1868" s="32" t="str">
        <f t="shared" si="530"/>
        <v/>
      </c>
      <c r="W1868" s="41">
        <f t="shared" si="527"/>
        <v>3.034560840559386</v>
      </c>
      <c r="X1868" s="6">
        <f t="shared" si="528"/>
        <v>0</v>
      </c>
      <c r="Y1868" s="7">
        <f t="shared" si="531"/>
        <v>567</v>
      </c>
      <c r="AA1868" s="7">
        <f t="shared" si="532"/>
        <v>0</v>
      </c>
      <c r="AB1868" s="7" t="str">
        <f t="shared" si="533"/>
        <v/>
      </c>
      <c r="AC1868" s="7">
        <f t="shared" si="534"/>
        <v>0</v>
      </c>
      <c r="AD1868" s="7" t="str">
        <f t="shared" si="535"/>
        <v/>
      </c>
      <c r="AE1868" s="6">
        <f t="shared" si="536"/>
        <v>0</v>
      </c>
      <c r="AF1868" s="69">
        <f t="shared" si="537"/>
        <v>3.034560840559386</v>
      </c>
      <c r="AG1868" s="6">
        <f t="shared" si="538"/>
        <v>163.86628539020685</v>
      </c>
      <c r="AH1868" s="6">
        <f t="shared" si="539"/>
        <v>254</v>
      </c>
    </row>
    <row r="1869" spans="8:34" x14ac:dyDescent="0.25">
      <c r="H1869" s="7">
        <v>1876</v>
      </c>
      <c r="I1869" s="7" t="s">
        <v>11</v>
      </c>
      <c r="J1869" s="8">
        <v>38243</v>
      </c>
      <c r="K1869" s="12" t="s">
        <v>17</v>
      </c>
      <c r="L1869" s="9">
        <v>19</v>
      </c>
      <c r="M1869" s="10">
        <v>59.715260847522721</v>
      </c>
      <c r="N1869" s="7" t="s">
        <v>23</v>
      </c>
      <c r="P1869" s="29" t="str">
        <f t="shared" si="522"/>
        <v/>
      </c>
      <c r="Q1869" s="29" t="str">
        <f t="shared" si="523"/>
        <v/>
      </c>
      <c r="R1869" s="29">
        <f t="shared" si="524"/>
        <v>1</v>
      </c>
      <c r="S1869" s="29" t="str">
        <f t="shared" si="525"/>
        <v/>
      </c>
      <c r="T1869" s="32" t="str">
        <f t="shared" si="526"/>
        <v/>
      </c>
      <c r="U1869" s="32" t="str">
        <f t="shared" si="529"/>
        <v/>
      </c>
      <c r="V1869" s="32" t="str">
        <f t="shared" si="530"/>
        <v/>
      </c>
      <c r="W1869" s="41">
        <f t="shared" si="527"/>
        <v>3.1429084656590907</v>
      </c>
      <c r="X1869" s="6">
        <f t="shared" si="528"/>
        <v>0</v>
      </c>
      <c r="Y1869" s="7">
        <f t="shared" si="531"/>
        <v>567</v>
      </c>
      <c r="AA1869" s="7">
        <f t="shared" si="532"/>
        <v>0</v>
      </c>
      <c r="AB1869" s="7" t="str">
        <f t="shared" si="533"/>
        <v/>
      </c>
      <c r="AC1869" s="7">
        <f t="shared" si="534"/>
        <v>0</v>
      </c>
      <c r="AD1869" s="7" t="str">
        <f t="shared" si="535"/>
        <v/>
      </c>
      <c r="AE1869" s="6">
        <f t="shared" si="536"/>
        <v>0</v>
      </c>
      <c r="AF1869" s="69">
        <f t="shared" si="537"/>
        <v>3.1429084656590907</v>
      </c>
      <c r="AG1869" s="6">
        <f t="shared" si="538"/>
        <v>59.715260847522721</v>
      </c>
      <c r="AH1869" s="6">
        <f t="shared" si="539"/>
        <v>464</v>
      </c>
    </row>
    <row r="1870" spans="8:34" x14ac:dyDescent="0.25">
      <c r="H1870" s="7">
        <v>1877</v>
      </c>
      <c r="I1870" s="7" t="s">
        <v>15</v>
      </c>
      <c r="J1870" s="8">
        <v>38243</v>
      </c>
      <c r="K1870" s="12" t="s">
        <v>16</v>
      </c>
      <c r="L1870" s="9">
        <v>66</v>
      </c>
      <c r="M1870" s="10">
        <v>199.3615971018873</v>
      </c>
      <c r="N1870" s="7" t="s">
        <v>24</v>
      </c>
      <c r="P1870" s="29" t="str">
        <f t="shared" si="522"/>
        <v/>
      </c>
      <c r="Q1870" s="29" t="str">
        <f t="shared" si="523"/>
        <v/>
      </c>
      <c r="R1870" s="29">
        <f t="shared" si="524"/>
        <v>1</v>
      </c>
      <c r="S1870" s="29" t="str">
        <f t="shared" si="525"/>
        <v/>
      </c>
      <c r="T1870" s="32" t="str">
        <f t="shared" si="526"/>
        <v/>
      </c>
      <c r="U1870" s="32" t="str">
        <f t="shared" si="529"/>
        <v/>
      </c>
      <c r="V1870" s="32" t="str">
        <f t="shared" si="530"/>
        <v/>
      </c>
      <c r="W1870" s="41">
        <f t="shared" si="527"/>
        <v>3.0206302591195047</v>
      </c>
      <c r="X1870" s="6">
        <f t="shared" si="528"/>
        <v>0</v>
      </c>
      <c r="Y1870" s="7">
        <f t="shared" si="531"/>
        <v>567</v>
      </c>
      <c r="AA1870" s="7">
        <f t="shared" si="532"/>
        <v>0</v>
      </c>
      <c r="AB1870" s="7" t="str">
        <f t="shared" si="533"/>
        <v/>
      </c>
      <c r="AC1870" s="7">
        <f t="shared" si="534"/>
        <v>0</v>
      </c>
      <c r="AD1870" s="7" t="str">
        <f t="shared" si="535"/>
        <v/>
      </c>
      <c r="AE1870" s="6">
        <f t="shared" si="536"/>
        <v>0</v>
      </c>
      <c r="AF1870" s="69">
        <f t="shared" si="537"/>
        <v>3.0206302591195047</v>
      </c>
      <c r="AG1870" s="6">
        <f t="shared" si="538"/>
        <v>199.3615971018873</v>
      </c>
      <c r="AH1870" s="6">
        <f t="shared" si="539"/>
        <v>178</v>
      </c>
    </row>
    <row r="1871" spans="8:34" x14ac:dyDescent="0.25">
      <c r="H1871" s="7">
        <v>1878</v>
      </c>
      <c r="I1871" s="7" t="s">
        <v>7</v>
      </c>
      <c r="J1871" s="8">
        <v>38133</v>
      </c>
      <c r="K1871" s="12" t="s">
        <v>17</v>
      </c>
      <c r="L1871" s="9">
        <v>60</v>
      </c>
      <c r="M1871" s="10">
        <v>182.28071376505659</v>
      </c>
      <c r="N1871" s="7" t="s">
        <v>21</v>
      </c>
      <c r="P1871" s="29" t="str">
        <f t="shared" si="522"/>
        <v/>
      </c>
      <c r="Q1871" s="29">
        <f t="shared" si="523"/>
        <v>1</v>
      </c>
      <c r="R1871" s="29" t="str">
        <f t="shared" si="524"/>
        <v/>
      </c>
      <c r="S1871" s="29" t="str">
        <f t="shared" si="525"/>
        <v/>
      </c>
      <c r="T1871" s="32" t="str">
        <f t="shared" si="526"/>
        <v/>
      </c>
      <c r="U1871" s="32" t="str">
        <f t="shared" si="529"/>
        <v/>
      </c>
      <c r="V1871" s="32" t="str">
        <f t="shared" si="530"/>
        <v/>
      </c>
      <c r="W1871" s="41">
        <f t="shared" si="527"/>
        <v>3.0380118960842766</v>
      </c>
      <c r="X1871" s="6">
        <f t="shared" si="528"/>
        <v>0</v>
      </c>
      <c r="Y1871" s="7">
        <f t="shared" si="531"/>
        <v>567</v>
      </c>
      <c r="AA1871" s="7">
        <f t="shared" si="532"/>
        <v>0</v>
      </c>
      <c r="AB1871" s="7" t="str">
        <f t="shared" si="533"/>
        <v/>
      </c>
      <c r="AC1871" s="7">
        <f t="shared" si="534"/>
        <v>0</v>
      </c>
      <c r="AD1871" s="7" t="str">
        <f t="shared" si="535"/>
        <v/>
      </c>
      <c r="AE1871" s="6">
        <f t="shared" si="536"/>
        <v>0</v>
      </c>
      <c r="AF1871" s="69">
        <f t="shared" si="537"/>
        <v>3.0380118960842766</v>
      </c>
      <c r="AG1871" s="6">
        <f t="shared" si="538"/>
        <v>182.28071376505659</v>
      </c>
      <c r="AH1871" s="6">
        <f t="shared" si="539"/>
        <v>218</v>
      </c>
    </row>
    <row r="1872" spans="8:34" x14ac:dyDescent="0.25">
      <c r="H1872" s="7">
        <v>1879</v>
      </c>
      <c r="I1872" s="7" t="s">
        <v>9</v>
      </c>
      <c r="J1872" s="8">
        <v>38947</v>
      </c>
      <c r="K1872" s="12" t="s">
        <v>16</v>
      </c>
      <c r="L1872" s="9">
        <v>90</v>
      </c>
      <c r="M1872" s="10">
        <v>271.85208039455387</v>
      </c>
      <c r="N1872" s="7" t="s">
        <v>22</v>
      </c>
      <c r="P1872" s="29" t="str">
        <f t="shared" si="522"/>
        <v/>
      </c>
      <c r="Q1872" s="29" t="str">
        <f t="shared" si="523"/>
        <v/>
      </c>
      <c r="R1872" s="29" t="str">
        <f t="shared" si="524"/>
        <v/>
      </c>
      <c r="S1872" s="29" t="str">
        <f t="shared" si="525"/>
        <v/>
      </c>
      <c r="T1872" s="32" t="str">
        <f t="shared" si="526"/>
        <v/>
      </c>
      <c r="U1872" s="32" t="str">
        <f t="shared" si="529"/>
        <v/>
      </c>
      <c r="V1872" s="32">
        <f t="shared" si="530"/>
        <v>1</v>
      </c>
      <c r="W1872" s="41">
        <f t="shared" si="527"/>
        <v>3.0205786710505986</v>
      </c>
      <c r="X1872" s="6">
        <f t="shared" si="528"/>
        <v>0</v>
      </c>
      <c r="Y1872" s="7">
        <f t="shared" si="531"/>
        <v>567</v>
      </c>
      <c r="AA1872" s="7">
        <f t="shared" si="532"/>
        <v>0</v>
      </c>
      <c r="AB1872" s="7" t="str">
        <f t="shared" si="533"/>
        <v/>
      </c>
      <c r="AC1872" s="7">
        <f t="shared" si="534"/>
        <v>0</v>
      </c>
      <c r="AD1872" s="7" t="str">
        <f t="shared" si="535"/>
        <v/>
      </c>
      <c r="AE1872" s="6">
        <f t="shared" si="536"/>
        <v>0</v>
      </c>
      <c r="AF1872" s="69">
        <f t="shared" si="537"/>
        <v>3.0205786710505986</v>
      </c>
      <c r="AG1872" s="6">
        <f t="shared" si="538"/>
        <v>0</v>
      </c>
      <c r="AH1872" s="6">
        <f t="shared" si="539"/>
        <v>604</v>
      </c>
    </row>
    <row r="1873" spans="8:34" x14ac:dyDescent="0.25">
      <c r="H1873" s="7">
        <v>1880</v>
      </c>
      <c r="I1873" s="7" t="s">
        <v>13</v>
      </c>
      <c r="J1873" s="8">
        <v>39068</v>
      </c>
      <c r="K1873" s="12" t="s">
        <v>17</v>
      </c>
      <c r="L1873" s="9">
        <v>59</v>
      </c>
      <c r="M1873" s="10">
        <v>178.65030230399057</v>
      </c>
      <c r="N1873" s="7" t="s">
        <v>21</v>
      </c>
      <c r="P1873" s="29" t="str">
        <f t="shared" si="522"/>
        <v/>
      </c>
      <c r="Q1873" s="29" t="str">
        <f t="shared" si="523"/>
        <v/>
      </c>
      <c r="R1873" s="29" t="str">
        <f t="shared" si="524"/>
        <v/>
      </c>
      <c r="S1873" s="29" t="str">
        <f t="shared" si="525"/>
        <v/>
      </c>
      <c r="T1873" s="32" t="str">
        <f t="shared" si="526"/>
        <v/>
      </c>
      <c r="U1873" s="32" t="str">
        <f t="shared" si="529"/>
        <v/>
      </c>
      <c r="V1873" s="32">
        <f t="shared" si="530"/>
        <v>1</v>
      </c>
      <c r="W1873" s="41">
        <f t="shared" si="527"/>
        <v>3.0279712254913655</v>
      </c>
      <c r="X1873" s="6">
        <f t="shared" si="528"/>
        <v>0</v>
      </c>
      <c r="Y1873" s="7">
        <f t="shared" si="531"/>
        <v>567</v>
      </c>
      <c r="AA1873" s="7">
        <f t="shared" si="532"/>
        <v>0</v>
      </c>
      <c r="AB1873" s="7" t="str">
        <f t="shared" si="533"/>
        <v/>
      </c>
      <c r="AC1873" s="7">
        <f t="shared" si="534"/>
        <v>0</v>
      </c>
      <c r="AD1873" s="7" t="str">
        <f t="shared" si="535"/>
        <v/>
      </c>
      <c r="AE1873" s="6">
        <f t="shared" si="536"/>
        <v>0</v>
      </c>
      <c r="AF1873" s="69">
        <f t="shared" si="537"/>
        <v>3.0279712254913655</v>
      </c>
      <c r="AG1873" s="6">
        <f t="shared" si="538"/>
        <v>0</v>
      </c>
      <c r="AH1873" s="6">
        <f t="shared" si="539"/>
        <v>604</v>
      </c>
    </row>
    <row r="1874" spans="8:34" x14ac:dyDescent="0.25">
      <c r="H1874" s="7">
        <v>1881</v>
      </c>
      <c r="I1874" s="7" t="s">
        <v>13</v>
      </c>
      <c r="J1874" s="8">
        <v>38628</v>
      </c>
      <c r="K1874" s="12" t="s">
        <v>18</v>
      </c>
      <c r="L1874" s="9">
        <v>0</v>
      </c>
      <c r="M1874" s="10">
        <v>2.6560689007562872</v>
      </c>
      <c r="N1874" s="7" t="s">
        <v>24</v>
      </c>
      <c r="P1874" s="29" t="str">
        <f t="shared" si="522"/>
        <v/>
      </c>
      <c r="Q1874" s="29" t="str">
        <f t="shared" si="523"/>
        <v/>
      </c>
      <c r="R1874" s="29" t="str">
        <f t="shared" si="524"/>
        <v/>
      </c>
      <c r="S1874" s="29" t="str">
        <f t="shared" si="525"/>
        <v/>
      </c>
      <c r="T1874" s="32">
        <f t="shared" si="526"/>
        <v>1</v>
      </c>
      <c r="U1874" s="32">
        <f t="shared" si="529"/>
        <v>1</v>
      </c>
      <c r="V1874" s="32" t="str">
        <f t="shared" si="530"/>
        <v/>
      </c>
      <c r="W1874" s="41" t="str">
        <f t="shared" si="527"/>
        <v/>
      </c>
      <c r="X1874" s="6">
        <f t="shared" si="528"/>
        <v>2.6560689007562872</v>
      </c>
      <c r="Y1874" s="7">
        <f t="shared" si="531"/>
        <v>560</v>
      </c>
      <c r="AA1874" s="7">
        <f t="shared" si="532"/>
        <v>0</v>
      </c>
      <c r="AB1874" s="7" t="str">
        <f t="shared" si="533"/>
        <v/>
      </c>
      <c r="AC1874" s="7">
        <f t="shared" si="534"/>
        <v>1</v>
      </c>
      <c r="AD1874" s="7">
        <f t="shared" si="535"/>
        <v>0</v>
      </c>
      <c r="AE1874" s="6">
        <f t="shared" si="536"/>
        <v>0</v>
      </c>
      <c r="AF1874" s="69" t="str">
        <f t="shared" si="537"/>
        <v/>
      </c>
      <c r="AG1874" s="6">
        <f t="shared" si="538"/>
        <v>0</v>
      </c>
      <c r="AH1874" s="6">
        <f t="shared" si="539"/>
        <v>604</v>
      </c>
    </row>
    <row r="1875" spans="8:34" x14ac:dyDescent="0.25">
      <c r="H1875" s="7">
        <v>1882</v>
      </c>
      <c r="I1875" s="7" t="s">
        <v>14</v>
      </c>
      <c r="J1875" s="8">
        <v>38067</v>
      </c>
      <c r="K1875" s="12" t="s">
        <v>18</v>
      </c>
      <c r="L1875" s="9">
        <v>72</v>
      </c>
      <c r="M1875" s="10">
        <v>217.90015045055327</v>
      </c>
      <c r="N1875" s="7" t="s">
        <v>22</v>
      </c>
      <c r="P1875" s="29">
        <f t="shared" si="522"/>
        <v>1</v>
      </c>
      <c r="Q1875" s="29" t="str">
        <f t="shared" si="523"/>
        <v/>
      </c>
      <c r="R1875" s="29" t="str">
        <f t="shared" si="524"/>
        <v/>
      </c>
      <c r="S1875" s="29" t="str">
        <f t="shared" si="525"/>
        <v/>
      </c>
      <c r="T1875" s="32" t="str">
        <f t="shared" si="526"/>
        <v/>
      </c>
      <c r="U1875" s="32" t="str">
        <f t="shared" si="529"/>
        <v/>
      </c>
      <c r="V1875" s="32" t="str">
        <f t="shared" si="530"/>
        <v/>
      </c>
      <c r="W1875" s="41">
        <f t="shared" si="527"/>
        <v>3.0263909784799066</v>
      </c>
      <c r="X1875" s="6">
        <f t="shared" si="528"/>
        <v>0</v>
      </c>
      <c r="Y1875" s="7">
        <f t="shared" si="531"/>
        <v>567</v>
      </c>
      <c r="AA1875" s="7">
        <f t="shared" si="532"/>
        <v>0</v>
      </c>
      <c r="AB1875" s="7" t="str">
        <f t="shared" si="533"/>
        <v/>
      </c>
      <c r="AC1875" s="7">
        <f t="shared" si="534"/>
        <v>0</v>
      </c>
      <c r="AD1875" s="7" t="str">
        <f t="shared" si="535"/>
        <v/>
      </c>
      <c r="AE1875" s="6">
        <f t="shared" si="536"/>
        <v>0</v>
      </c>
      <c r="AF1875" s="69">
        <f t="shared" si="537"/>
        <v>3.0263909784799066</v>
      </c>
      <c r="AG1875" s="6">
        <f t="shared" si="538"/>
        <v>217.90015045055327</v>
      </c>
      <c r="AH1875" s="6">
        <f t="shared" si="539"/>
        <v>140</v>
      </c>
    </row>
    <row r="1876" spans="8:34" x14ac:dyDescent="0.25">
      <c r="H1876" s="7">
        <v>1883</v>
      </c>
      <c r="I1876" s="7" t="s">
        <v>7</v>
      </c>
      <c r="J1876" s="8">
        <v>38188</v>
      </c>
      <c r="K1876" s="12" t="s">
        <v>17</v>
      </c>
      <c r="L1876" s="9">
        <v>-6</v>
      </c>
      <c r="M1876" s="10">
        <v>-15.735959690520316</v>
      </c>
      <c r="N1876" s="7" t="s">
        <v>24</v>
      </c>
      <c r="P1876" s="29" t="str">
        <f t="shared" si="522"/>
        <v/>
      </c>
      <c r="Q1876" s="29" t="str">
        <f t="shared" si="523"/>
        <v/>
      </c>
      <c r="R1876" s="29">
        <f t="shared" si="524"/>
        <v>1</v>
      </c>
      <c r="S1876" s="29" t="str">
        <f t="shared" si="525"/>
        <v/>
      </c>
      <c r="T1876" s="32" t="str">
        <f t="shared" si="526"/>
        <v/>
      </c>
      <c r="U1876" s="32" t="str">
        <f t="shared" si="529"/>
        <v/>
      </c>
      <c r="V1876" s="32" t="str">
        <f t="shared" si="530"/>
        <v/>
      </c>
      <c r="W1876" s="41" t="str">
        <f t="shared" si="527"/>
        <v/>
      </c>
      <c r="X1876" s="6">
        <f t="shared" si="528"/>
        <v>0</v>
      </c>
      <c r="Y1876" s="7">
        <f t="shared" si="531"/>
        <v>567</v>
      </c>
      <c r="AA1876" s="7">
        <f t="shared" si="532"/>
        <v>0</v>
      </c>
      <c r="AB1876" s="7" t="str">
        <f t="shared" si="533"/>
        <v/>
      </c>
      <c r="AC1876" s="7">
        <f t="shared" si="534"/>
        <v>0</v>
      </c>
      <c r="AD1876" s="7" t="str">
        <f t="shared" si="535"/>
        <v/>
      </c>
      <c r="AE1876" s="6">
        <f t="shared" si="536"/>
        <v>-6</v>
      </c>
      <c r="AF1876" s="69" t="str">
        <f t="shared" si="537"/>
        <v/>
      </c>
      <c r="AG1876" s="6">
        <f t="shared" si="538"/>
        <v>0</v>
      </c>
      <c r="AH1876" s="6">
        <f t="shared" si="539"/>
        <v>604</v>
      </c>
    </row>
    <row r="1877" spans="8:34" x14ac:dyDescent="0.25">
      <c r="H1877" s="7">
        <v>1884</v>
      </c>
      <c r="I1877" s="7" t="s">
        <v>8</v>
      </c>
      <c r="J1877" s="8">
        <v>38859</v>
      </c>
      <c r="K1877" s="12" t="s">
        <v>17</v>
      </c>
      <c r="L1877" s="9">
        <v>89</v>
      </c>
      <c r="M1877" s="10">
        <v>269.39552816852074</v>
      </c>
      <c r="N1877" s="7" t="s">
        <v>23</v>
      </c>
      <c r="P1877" s="29" t="str">
        <f t="shared" si="522"/>
        <v/>
      </c>
      <c r="Q1877" s="29" t="str">
        <f t="shared" si="523"/>
        <v/>
      </c>
      <c r="R1877" s="29" t="str">
        <f t="shared" si="524"/>
        <v/>
      </c>
      <c r="S1877" s="29" t="str">
        <f t="shared" si="525"/>
        <v/>
      </c>
      <c r="T1877" s="32" t="str">
        <f t="shared" si="526"/>
        <v/>
      </c>
      <c r="U1877" s="32" t="str">
        <f t="shared" si="529"/>
        <v/>
      </c>
      <c r="V1877" s="32">
        <f t="shared" si="530"/>
        <v>1</v>
      </c>
      <c r="W1877" s="41">
        <f t="shared" si="527"/>
        <v>3.0269160468373117</v>
      </c>
      <c r="X1877" s="6">
        <f t="shared" si="528"/>
        <v>0</v>
      </c>
      <c r="Y1877" s="7">
        <f t="shared" si="531"/>
        <v>567</v>
      </c>
      <c r="AA1877" s="7">
        <f t="shared" si="532"/>
        <v>0</v>
      </c>
      <c r="AB1877" s="7" t="str">
        <f t="shared" si="533"/>
        <v/>
      </c>
      <c r="AC1877" s="7">
        <f t="shared" si="534"/>
        <v>0</v>
      </c>
      <c r="AD1877" s="7" t="str">
        <f t="shared" si="535"/>
        <v/>
      </c>
      <c r="AE1877" s="6">
        <f t="shared" si="536"/>
        <v>0</v>
      </c>
      <c r="AF1877" s="69">
        <f t="shared" si="537"/>
        <v>3.0269160468373117</v>
      </c>
      <c r="AG1877" s="6">
        <f t="shared" si="538"/>
        <v>0</v>
      </c>
      <c r="AH1877" s="6">
        <f t="shared" si="539"/>
        <v>604</v>
      </c>
    </row>
    <row r="1878" spans="8:34" x14ac:dyDescent="0.25">
      <c r="H1878" s="7">
        <v>1885</v>
      </c>
      <c r="I1878" s="7" t="s">
        <v>9</v>
      </c>
      <c r="J1878" s="8">
        <v>38848</v>
      </c>
      <c r="K1878" s="12" t="s">
        <v>17</v>
      </c>
      <c r="L1878" s="9">
        <v>12</v>
      </c>
      <c r="M1878" s="10">
        <v>37.837711255972984</v>
      </c>
      <c r="N1878" s="7" t="s">
        <v>23</v>
      </c>
      <c r="P1878" s="29" t="str">
        <f t="shared" si="522"/>
        <v/>
      </c>
      <c r="Q1878" s="29" t="str">
        <f t="shared" si="523"/>
        <v/>
      </c>
      <c r="R1878" s="29" t="str">
        <f t="shared" si="524"/>
        <v/>
      </c>
      <c r="S1878" s="29" t="str">
        <f t="shared" si="525"/>
        <v/>
      </c>
      <c r="T1878" s="32" t="str">
        <f t="shared" si="526"/>
        <v/>
      </c>
      <c r="U1878" s="32" t="str">
        <f t="shared" si="529"/>
        <v/>
      </c>
      <c r="V1878" s="32">
        <f t="shared" si="530"/>
        <v>1</v>
      </c>
      <c r="W1878" s="41">
        <f t="shared" si="527"/>
        <v>3.1531426046644153</v>
      </c>
      <c r="X1878" s="6">
        <f t="shared" si="528"/>
        <v>0</v>
      </c>
      <c r="Y1878" s="7">
        <f t="shared" si="531"/>
        <v>567</v>
      </c>
      <c r="AA1878" s="7">
        <f t="shared" si="532"/>
        <v>0</v>
      </c>
      <c r="AB1878" s="7" t="str">
        <f t="shared" si="533"/>
        <v/>
      </c>
      <c r="AC1878" s="7">
        <f t="shared" si="534"/>
        <v>0</v>
      </c>
      <c r="AD1878" s="7" t="str">
        <f t="shared" si="535"/>
        <v/>
      </c>
      <c r="AE1878" s="6">
        <f t="shared" si="536"/>
        <v>0</v>
      </c>
      <c r="AF1878" s="69">
        <f t="shared" si="537"/>
        <v>3.1531426046644153</v>
      </c>
      <c r="AG1878" s="6">
        <f t="shared" si="538"/>
        <v>0</v>
      </c>
      <c r="AH1878" s="6">
        <f t="shared" si="539"/>
        <v>604</v>
      </c>
    </row>
    <row r="1879" spans="8:34" x14ac:dyDescent="0.25">
      <c r="H1879" s="7">
        <v>1886</v>
      </c>
      <c r="I1879" s="7" t="s">
        <v>12</v>
      </c>
      <c r="J1879" s="8">
        <v>38573</v>
      </c>
      <c r="K1879" s="12" t="s">
        <v>20</v>
      </c>
      <c r="L1879" s="9">
        <v>89</v>
      </c>
      <c r="M1879" s="10">
        <v>269.14754282019447</v>
      </c>
      <c r="N1879" s="7" t="s">
        <v>21</v>
      </c>
      <c r="P1879" s="29" t="str">
        <f t="shared" si="522"/>
        <v/>
      </c>
      <c r="Q1879" s="29" t="str">
        <f t="shared" si="523"/>
        <v/>
      </c>
      <c r="R1879" s="29" t="str">
        <f t="shared" si="524"/>
        <v/>
      </c>
      <c r="S1879" s="29" t="str">
        <f t="shared" si="525"/>
        <v/>
      </c>
      <c r="T1879" s="32" t="str">
        <f t="shared" si="526"/>
        <v/>
      </c>
      <c r="U1879" s="32">
        <f t="shared" si="529"/>
        <v>1</v>
      </c>
      <c r="V1879" s="32" t="str">
        <f t="shared" si="530"/>
        <v/>
      </c>
      <c r="W1879" s="41">
        <f t="shared" si="527"/>
        <v>3.0241296946089267</v>
      </c>
      <c r="X1879" s="6">
        <f t="shared" si="528"/>
        <v>269.14754282019447</v>
      </c>
      <c r="Y1879" s="7">
        <f t="shared" si="531"/>
        <v>45</v>
      </c>
      <c r="AA1879" s="7">
        <f t="shared" si="532"/>
        <v>1</v>
      </c>
      <c r="AB1879" s="7">
        <f t="shared" si="533"/>
        <v>89</v>
      </c>
      <c r="AC1879" s="7">
        <f t="shared" si="534"/>
        <v>0</v>
      </c>
      <c r="AD1879" s="7" t="str">
        <f t="shared" si="535"/>
        <v/>
      </c>
      <c r="AE1879" s="6">
        <f t="shared" si="536"/>
        <v>0</v>
      </c>
      <c r="AF1879" s="69">
        <f t="shared" si="537"/>
        <v>3.0241296946089267</v>
      </c>
      <c r="AG1879" s="6">
        <f t="shared" si="538"/>
        <v>0</v>
      </c>
      <c r="AH1879" s="6">
        <f t="shared" si="539"/>
        <v>604</v>
      </c>
    </row>
    <row r="1880" spans="8:34" x14ac:dyDescent="0.25">
      <c r="H1880" s="7">
        <v>1887</v>
      </c>
      <c r="I1880" s="7" t="s">
        <v>10</v>
      </c>
      <c r="J1880" s="8">
        <v>38463</v>
      </c>
      <c r="K1880" s="12" t="s">
        <v>17</v>
      </c>
      <c r="L1880" s="9">
        <v>61</v>
      </c>
      <c r="M1880" s="10">
        <v>185.3147883164014</v>
      </c>
      <c r="N1880" s="7" t="s">
        <v>22</v>
      </c>
      <c r="P1880" s="29" t="str">
        <f t="shared" si="522"/>
        <v/>
      </c>
      <c r="Q1880" s="29" t="str">
        <f t="shared" si="523"/>
        <v/>
      </c>
      <c r="R1880" s="29" t="str">
        <f t="shared" si="524"/>
        <v/>
      </c>
      <c r="S1880" s="29" t="str">
        <f t="shared" si="525"/>
        <v/>
      </c>
      <c r="T1880" s="32" t="str">
        <f t="shared" si="526"/>
        <v/>
      </c>
      <c r="U1880" s="32">
        <f t="shared" si="529"/>
        <v>1</v>
      </c>
      <c r="V1880" s="32" t="str">
        <f t="shared" si="530"/>
        <v/>
      </c>
      <c r="W1880" s="41">
        <f t="shared" si="527"/>
        <v>3.0379473494492033</v>
      </c>
      <c r="X1880" s="6">
        <f t="shared" si="528"/>
        <v>185.3147883164014</v>
      </c>
      <c r="Y1880" s="7">
        <f t="shared" si="531"/>
        <v>195</v>
      </c>
      <c r="AA1880" s="7">
        <f t="shared" si="532"/>
        <v>0</v>
      </c>
      <c r="AB1880" s="7" t="str">
        <f t="shared" si="533"/>
        <v/>
      </c>
      <c r="AC1880" s="7">
        <f t="shared" si="534"/>
        <v>1</v>
      </c>
      <c r="AD1880" s="7">
        <f t="shared" si="535"/>
        <v>61</v>
      </c>
      <c r="AE1880" s="6">
        <f t="shared" si="536"/>
        <v>0</v>
      </c>
      <c r="AF1880" s="69">
        <f t="shared" si="537"/>
        <v>3.0379473494492033</v>
      </c>
      <c r="AG1880" s="6">
        <f t="shared" si="538"/>
        <v>0</v>
      </c>
      <c r="AH1880" s="6">
        <f t="shared" si="539"/>
        <v>604</v>
      </c>
    </row>
    <row r="1881" spans="8:34" x14ac:dyDescent="0.25">
      <c r="H1881" s="7">
        <v>1888</v>
      </c>
      <c r="I1881" s="7" t="s">
        <v>11</v>
      </c>
      <c r="J1881" s="8">
        <v>38551</v>
      </c>
      <c r="K1881" s="12" t="s">
        <v>16</v>
      </c>
      <c r="L1881" s="9">
        <v>24</v>
      </c>
      <c r="M1881" s="10">
        <v>73.811151860326262</v>
      </c>
      <c r="N1881" s="7" t="s">
        <v>23</v>
      </c>
      <c r="P1881" s="29" t="str">
        <f t="shared" si="522"/>
        <v/>
      </c>
      <c r="Q1881" s="29" t="str">
        <f t="shared" si="523"/>
        <v/>
      </c>
      <c r="R1881" s="29" t="str">
        <f t="shared" si="524"/>
        <v/>
      </c>
      <c r="S1881" s="29" t="str">
        <f t="shared" si="525"/>
        <v/>
      </c>
      <c r="T1881" s="32" t="str">
        <f t="shared" si="526"/>
        <v/>
      </c>
      <c r="U1881" s="32">
        <f t="shared" si="529"/>
        <v>1</v>
      </c>
      <c r="V1881" s="32" t="str">
        <f t="shared" si="530"/>
        <v/>
      </c>
      <c r="W1881" s="41">
        <f t="shared" si="527"/>
        <v>3.0754646608469276</v>
      </c>
      <c r="X1881" s="6">
        <f t="shared" si="528"/>
        <v>73.811151860326262</v>
      </c>
      <c r="Y1881" s="7">
        <f t="shared" si="531"/>
        <v>418</v>
      </c>
      <c r="AA1881" s="7">
        <f t="shared" si="532"/>
        <v>1</v>
      </c>
      <c r="AB1881" s="7">
        <f t="shared" si="533"/>
        <v>24</v>
      </c>
      <c r="AC1881" s="7">
        <f t="shared" si="534"/>
        <v>0</v>
      </c>
      <c r="AD1881" s="7" t="str">
        <f t="shared" si="535"/>
        <v/>
      </c>
      <c r="AE1881" s="6">
        <f t="shared" si="536"/>
        <v>0</v>
      </c>
      <c r="AF1881" s="69">
        <f t="shared" si="537"/>
        <v>3.0754646608469276</v>
      </c>
      <c r="AG1881" s="6">
        <f t="shared" si="538"/>
        <v>0</v>
      </c>
      <c r="AH1881" s="6">
        <f t="shared" si="539"/>
        <v>604</v>
      </c>
    </row>
    <row r="1882" spans="8:34" x14ac:dyDescent="0.25">
      <c r="H1882" s="7">
        <v>1889</v>
      </c>
      <c r="I1882" s="7" t="s">
        <v>13</v>
      </c>
      <c r="J1882" s="8">
        <v>39046</v>
      </c>
      <c r="K1882" s="12" t="s">
        <v>16</v>
      </c>
      <c r="L1882" s="9">
        <v>76</v>
      </c>
      <c r="M1882" s="10">
        <v>229.9178081264337</v>
      </c>
      <c r="N1882" s="7" t="s">
        <v>23</v>
      </c>
      <c r="P1882" s="29" t="str">
        <f t="shared" si="522"/>
        <v/>
      </c>
      <c r="Q1882" s="29" t="str">
        <f t="shared" si="523"/>
        <v/>
      </c>
      <c r="R1882" s="29" t="str">
        <f t="shared" si="524"/>
        <v/>
      </c>
      <c r="S1882" s="29" t="str">
        <f t="shared" si="525"/>
        <v/>
      </c>
      <c r="T1882" s="32" t="str">
        <f t="shared" si="526"/>
        <v/>
      </c>
      <c r="U1882" s="32" t="str">
        <f t="shared" si="529"/>
        <v/>
      </c>
      <c r="V1882" s="32">
        <f t="shared" si="530"/>
        <v>1</v>
      </c>
      <c r="W1882" s="41">
        <f t="shared" si="527"/>
        <v>3.0252343174530751</v>
      </c>
      <c r="X1882" s="6">
        <f t="shared" si="528"/>
        <v>0</v>
      </c>
      <c r="Y1882" s="7">
        <f t="shared" si="531"/>
        <v>567</v>
      </c>
      <c r="AA1882" s="7">
        <f t="shared" si="532"/>
        <v>0</v>
      </c>
      <c r="AB1882" s="7" t="str">
        <f t="shared" si="533"/>
        <v/>
      </c>
      <c r="AC1882" s="7">
        <f t="shared" si="534"/>
        <v>0</v>
      </c>
      <c r="AD1882" s="7" t="str">
        <f t="shared" si="535"/>
        <v/>
      </c>
      <c r="AE1882" s="6">
        <f t="shared" si="536"/>
        <v>0</v>
      </c>
      <c r="AF1882" s="69">
        <f t="shared" si="537"/>
        <v>3.0252343174530751</v>
      </c>
      <c r="AG1882" s="6">
        <f t="shared" si="538"/>
        <v>0</v>
      </c>
      <c r="AH1882" s="6">
        <f t="shared" si="539"/>
        <v>604</v>
      </c>
    </row>
    <row r="1883" spans="8:34" x14ac:dyDescent="0.25">
      <c r="H1883" s="7">
        <v>1890</v>
      </c>
      <c r="I1883" s="7" t="s">
        <v>15</v>
      </c>
      <c r="J1883" s="8">
        <v>38518</v>
      </c>
      <c r="K1883" s="12" t="s">
        <v>18</v>
      </c>
      <c r="L1883" s="9">
        <v>16</v>
      </c>
      <c r="M1883" s="10">
        <v>49.753987400329763</v>
      </c>
      <c r="N1883" s="7" t="s">
        <v>24</v>
      </c>
      <c r="P1883" s="29" t="str">
        <f t="shared" si="522"/>
        <v/>
      </c>
      <c r="Q1883" s="29" t="str">
        <f t="shared" si="523"/>
        <v/>
      </c>
      <c r="R1883" s="29" t="str">
        <f t="shared" si="524"/>
        <v/>
      </c>
      <c r="S1883" s="29" t="str">
        <f t="shared" si="525"/>
        <v/>
      </c>
      <c r="T1883" s="32" t="str">
        <f t="shared" si="526"/>
        <v/>
      </c>
      <c r="U1883" s="32">
        <f t="shared" si="529"/>
        <v>1</v>
      </c>
      <c r="V1883" s="32" t="str">
        <f t="shared" si="530"/>
        <v/>
      </c>
      <c r="W1883" s="41">
        <f t="shared" si="527"/>
        <v>3.1096242125206102</v>
      </c>
      <c r="X1883" s="6">
        <f t="shared" si="528"/>
        <v>49.753987400329763</v>
      </c>
      <c r="Y1883" s="7">
        <f t="shared" si="531"/>
        <v>461</v>
      </c>
      <c r="AA1883" s="7">
        <f t="shared" si="532"/>
        <v>0</v>
      </c>
      <c r="AB1883" s="7" t="str">
        <f t="shared" si="533"/>
        <v/>
      </c>
      <c r="AC1883" s="7">
        <f t="shared" si="534"/>
        <v>1</v>
      </c>
      <c r="AD1883" s="7">
        <f t="shared" si="535"/>
        <v>16</v>
      </c>
      <c r="AE1883" s="6">
        <f t="shared" si="536"/>
        <v>0</v>
      </c>
      <c r="AF1883" s="69">
        <f t="shared" si="537"/>
        <v>3.1096242125206102</v>
      </c>
      <c r="AG1883" s="6">
        <f t="shared" si="538"/>
        <v>0</v>
      </c>
      <c r="AH1883" s="6">
        <f t="shared" si="539"/>
        <v>604</v>
      </c>
    </row>
    <row r="1884" spans="8:34" x14ac:dyDescent="0.25">
      <c r="H1884" s="7">
        <v>1891</v>
      </c>
      <c r="I1884" s="7" t="s">
        <v>7</v>
      </c>
      <c r="J1884" s="8">
        <v>38452</v>
      </c>
      <c r="K1884" s="12" t="s">
        <v>18</v>
      </c>
      <c r="L1884" s="9">
        <v>39</v>
      </c>
      <c r="M1884" s="10">
        <v>119.18883187506967</v>
      </c>
      <c r="N1884" s="7" t="s">
        <v>24</v>
      </c>
      <c r="P1884" s="29" t="str">
        <f t="shared" si="522"/>
        <v/>
      </c>
      <c r="Q1884" s="29" t="str">
        <f t="shared" si="523"/>
        <v/>
      </c>
      <c r="R1884" s="29" t="str">
        <f t="shared" si="524"/>
        <v/>
      </c>
      <c r="S1884" s="29" t="str">
        <f t="shared" si="525"/>
        <v/>
      </c>
      <c r="T1884" s="32" t="str">
        <f t="shared" si="526"/>
        <v/>
      </c>
      <c r="U1884" s="32">
        <f t="shared" si="529"/>
        <v>1</v>
      </c>
      <c r="V1884" s="32" t="str">
        <f t="shared" si="530"/>
        <v/>
      </c>
      <c r="W1884" s="41">
        <f t="shared" si="527"/>
        <v>3.0561238942325555</v>
      </c>
      <c r="X1884" s="6">
        <f t="shared" si="528"/>
        <v>119.18883187506967</v>
      </c>
      <c r="Y1884" s="7">
        <f t="shared" si="531"/>
        <v>319</v>
      </c>
      <c r="AA1884" s="7">
        <f t="shared" si="532"/>
        <v>0</v>
      </c>
      <c r="AB1884" s="7" t="str">
        <f t="shared" si="533"/>
        <v/>
      </c>
      <c r="AC1884" s="7">
        <f t="shared" si="534"/>
        <v>1</v>
      </c>
      <c r="AD1884" s="7">
        <f t="shared" si="535"/>
        <v>39</v>
      </c>
      <c r="AE1884" s="6">
        <f t="shared" si="536"/>
        <v>0</v>
      </c>
      <c r="AF1884" s="69">
        <f t="shared" si="537"/>
        <v>3.0561238942325555</v>
      </c>
      <c r="AG1884" s="6">
        <f t="shared" si="538"/>
        <v>0</v>
      </c>
      <c r="AH1884" s="6">
        <f t="shared" si="539"/>
        <v>604</v>
      </c>
    </row>
    <row r="1885" spans="8:34" x14ac:dyDescent="0.25">
      <c r="H1885" s="7">
        <v>1892</v>
      </c>
      <c r="I1885" s="7" t="s">
        <v>15</v>
      </c>
      <c r="J1885" s="8">
        <v>38771</v>
      </c>
      <c r="K1885" s="12" t="s">
        <v>20</v>
      </c>
      <c r="L1885" s="9">
        <v>92</v>
      </c>
      <c r="M1885" s="10">
        <v>278.43491112447333</v>
      </c>
      <c r="N1885" s="7" t="s">
        <v>23</v>
      </c>
      <c r="P1885" s="29" t="str">
        <f t="shared" si="522"/>
        <v/>
      </c>
      <c r="Q1885" s="29" t="str">
        <f t="shared" si="523"/>
        <v/>
      </c>
      <c r="R1885" s="29" t="str">
        <f t="shared" si="524"/>
        <v/>
      </c>
      <c r="S1885" s="29" t="str">
        <f t="shared" si="525"/>
        <v/>
      </c>
      <c r="T1885" s="32" t="str">
        <f t="shared" si="526"/>
        <v/>
      </c>
      <c r="U1885" s="32" t="str">
        <f t="shared" si="529"/>
        <v/>
      </c>
      <c r="V1885" s="32">
        <f t="shared" si="530"/>
        <v>1</v>
      </c>
      <c r="W1885" s="41">
        <f t="shared" si="527"/>
        <v>3.0264664252660145</v>
      </c>
      <c r="X1885" s="6">
        <f t="shared" si="528"/>
        <v>0</v>
      </c>
      <c r="Y1885" s="7">
        <f t="shared" si="531"/>
        <v>567</v>
      </c>
      <c r="AA1885" s="7">
        <f t="shared" si="532"/>
        <v>0</v>
      </c>
      <c r="AB1885" s="7" t="str">
        <f t="shared" si="533"/>
        <v/>
      </c>
      <c r="AC1885" s="7">
        <f t="shared" si="534"/>
        <v>0</v>
      </c>
      <c r="AD1885" s="7" t="str">
        <f t="shared" si="535"/>
        <v/>
      </c>
      <c r="AE1885" s="6">
        <f t="shared" si="536"/>
        <v>0</v>
      </c>
      <c r="AF1885" s="69">
        <f t="shared" si="537"/>
        <v>3.0264664252660145</v>
      </c>
      <c r="AG1885" s="6">
        <f t="shared" si="538"/>
        <v>0</v>
      </c>
      <c r="AH1885" s="6">
        <f t="shared" si="539"/>
        <v>604</v>
      </c>
    </row>
    <row r="1886" spans="8:34" x14ac:dyDescent="0.25">
      <c r="H1886" s="7">
        <v>1893</v>
      </c>
      <c r="I1886" s="7" t="s">
        <v>15</v>
      </c>
      <c r="J1886" s="8">
        <v>38199</v>
      </c>
      <c r="K1886" s="12" t="s">
        <v>18</v>
      </c>
      <c r="L1886" s="9">
        <v>20</v>
      </c>
      <c r="M1886" s="10">
        <v>61.923857472779041</v>
      </c>
      <c r="N1886" s="7" t="s">
        <v>22</v>
      </c>
      <c r="P1886" s="29" t="str">
        <f t="shared" si="522"/>
        <v/>
      </c>
      <c r="Q1886" s="29" t="str">
        <f t="shared" si="523"/>
        <v/>
      </c>
      <c r="R1886" s="29">
        <f t="shared" si="524"/>
        <v>1</v>
      </c>
      <c r="S1886" s="29" t="str">
        <f t="shared" si="525"/>
        <v/>
      </c>
      <c r="T1886" s="32" t="str">
        <f t="shared" si="526"/>
        <v/>
      </c>
      <c r="U1886" s="32" t="str">
        <f t="shared" si="529"/>
        <v/>
      </c>
      <c r="V1886" s="32" t="str">
        <f t="shared" si="530"/>
        <v/>
      </c>
      <c r="W1886" s="41">
        <f t="shared" si="527"/>
        <v>3.0961928736389521</v>
      </c>
      <c r="X1886" s="6">
        <f t="shared" si="528"/>
        <v>0</v>
      </c>
      <c r="Y1886" s="7">
        <f t="shared" si="531"/>
        <v>567</v>
      </c>
      <c r="AA1886" s="7">
        <f t="shared" si="532"/>
        <v>0</v>
      </c>
      <c r="AB1886" s="7" t="str">
        <f t="shared" si="533"/>
        <v/>
      </c>
      <c r="AC1886" s="7">
        <f t="shared" si="534"/>
        <v>0</v>
      </c>
      <c r="AD1886" s="7" t="str">
        <f t="shared" si="535"/>
        <v/>
      </c>
      <c r="AE1886" s="6">
        <f t="shared" si="536"/>
        <v>0</v>
      </c>
      <c r="AF1886" s="69">
        <f t="shared" si="537"/>
        <v>3.0961928736389521</v>
      </c>
      <c r="AG1886" s="6">
        <f t="shared" si="538"/>
        <v>61.923857472779041</v>
      </c>
      <c r="AH1886" s="6">
        <f t="shared" si="539"/>
        <v>461</v>
      </c>
    </row>
    <row r="1887" spans="8:34" x14ac:dyDescent="0.25">
      <c r="H1887" s="7">
        <v>1894</v>
      </c>
      <c r="I1887" s="7" t="s">
        <v>11</v>
      </c>
      <c r="J1887" s="8">
        <v>38122</v>
      </c>
      <c r="K1887" s="12" t="s">
        <v>17</v>
      </c>
      <c r="L1887" s="9">
        <v>60</v>
      </c>
      <c r="M1887" s="10">
        <v>181.87034788891373</v>
      </c>
      <c r="N1887" s="7" t="s">
        <v>24</v>
      </c>
      <c r="P1887" s="29" t="str">
        <f t="shared" si="522"/>
        <v/>
      </c>
      <c r="Q1887" s="29">
        <f t="shared" si="523"/>
        <v>1</v>
      </c>
      <c r="R1887" s="29" t="str">
        <f t="shared" si="524"/>
        <v/>
      </c>
      <c r="S1887" s="29" t="str">
        <f t="shared" si="525"/>
        <v/>
      </c>
      <c r="T1887" s="32" t="str">
        <f t="shared" si="526"/>
        <v/>
      </c>
      <c r="U1887" s="32" t="str">
        <f t="shared" si="529"/>
        <v/>
      </c>
      <c r="V1887" s="32" t="str">
        <f t="shared" si="530"/>
        <v/>
      </c>
      <c r="W1887" s="41">
        <f t="shared" si="527"/>
        <v>3.0311724648152287</v>
      </c>
      <c r="X1887" s="6">
        <f t="shared" si="528"/>
        <v>0</v>
      </c>
      <c r="Y1887" s="7">
        <f t="shared" si="531"/>
        <v>567</v>
      </c>
      <c r="AA1887" s="7">
        <f t="shared" si="532"/>
        <v>0</v>
      </c>
      <c r="AB1887" s="7" t="str">
        <f t="shared" si="533"/>
        <v/>
      </c>
      <c r="AC1887" s="7">
        <f t="shared" si="534"/>
        <v>0</v>
      </c>
      <c r="AD1887" s="7" t="str">
        <f t="shared" si="535"/>
        <v/>
      </c>
      <c r="AE1887" s="6">
        <f t="shared" si="536"/>
        <v>0</v>
      </c>
      <c r="AF1887" s="69">
        <f t="shared" si="537"/>
        <v>3.0311724648152287</v>
      </c>
      <c r="AG1887" s="6">
        <f t="shared" si="538"/>
        <v>181.87034788891373</v>
      </c>
      <c r="AH1887" s="6">
        <f t="shared" si="539"/>
        <v>221</v>
      </c>
    </row>
    <row r="1888" spans="8:34" x14ac:dyDescent="0.25">
      <c r="H1888" s="7">
        <v>1895</v>
      </c>
      <c r="I1888" s="7" t="s">
        <v>13</v>
      </c>
      <c r="J1888" s="8">
        <v>38683</v>
      </c>
      <c r="K1888" s="12" t="s">
        <v>16</v>
      </c>
      <c r="L1888" s="9">
        <v>15</v>
      </c>
      <c r="M1888" s="10">
        <v>47.161022333179389</v>
      </c>
      <c r="N1888" s="7" t="s">
        <v>24</v>
      </c>
      <c r="P1888" s="29" t="str">
        <f t="shared" si="522"/>
        <v/>
      </c>
      <c r="Q1888" s="29" t="str">
        <f t="shared" si="523"/>
        <v/>
      </c>
      <c r="R1888" s="29" t="str">
        <f t="shared" si="524"/>
        <v/>
      </c>
      <c r="S1888" s="29" t="str">
        <f t="shared" si="525"/>
        <v/>
      </c>
      <c r="T1888" s="32">
        <f t="shared" si="526"/>
        <v>1</v>
      </c>
      <c r="U1888" s="32">
        <f t="shared" si="529"/>
        <v>1</v>
      </c>
      <c r="V1888" s="32" t="str">
        <f t="shared" si="530"/>
        <v/>
      </c>
      <c r="W1888" s="41">
        <f t="shared" si="527"/>
        <v>3.1440681555452925</v>
      </c>
      <c r="X1888" s="6">
        <f t="shared" si="528"/>
        <v>47.161022333179389</v>
      </c>
      <c r="Y1888" s="7">
        <f t="shared" si="531"/>
        <v>464</v>
      </c>
      <c r="AA1888" s="7">
        <f t="shared" si="532"/>
        <v>0</v>
      </c>
      <c r="AB1888" s="7" t="str">
        <f t="shared" si="533"/>
        <v/>
      </c>
      <c r="AC1888" s="7">
        <f t="shared" si="534"/>
        <v>1</v>
      </c>
      <c r="AD1888" s="7">
        <f t="shared" si="535"/>
        <v>15</v>
      </c>
      <c r="AE1888" s="6">
        <f t="shared" si="536"/>
        <v>0</v>
      </c>
      <c r="AF1888" s="69">
        <f t="shared" si="537"/>
        <v>3.1440681555452925</v>
      </c>
      <c r="AG1888" s="6">
        <f t="shared" si="538"/>
        <v>0</v>
      </c>
      <c r="AH1888" s="6">
        <f t="shared" si="539"/>
        <v>604</v>
      </c>
    </row>
    <row r="1889" spans="8:34" x14ac:dyDescent="0.25">
      <c r="H1889" s="7">
        <v>1896</v>
      </c>
      <c r="I1889" s="7" t="s">
        <v>9</v>
      </c>
      <c r="J1889" s="8">
        <v>38397</v>
      </c>
      <c r="K1889" s="12" t="s">
        <v>18</v>
      </c>
      <c r="L1889" s="9">
        <v>36</v>
      </c>
      <c r="M1889" s="10">
        <v>109.84259915039922</v>
      </c>
      <c r="N1889" s="7" t="s">
        <v>24</v>
      </c>
      <c r="P1889" s="29" t="str">
        <f t="shared" si="522"/>
        <v/>
      </c>
      <c r="Q1889" s="29" t="str">
        <f t="shared" si="523"/>
        <v/>
      </c>
      <c r="R1889" s="29" t="str">
        <f t="shared" si="524"/>
        <v/>
      </c>
      <c r="S1889" s="29" t="str">
        <f t="shared" si="525"/>
        <v/>
      </c>
      <c r="T1889" s="32" t="str">
        <f t="shared" si="526"/>
        <v/>
      </c>
      <c r="U1889" s="32">
        <f t="shared" si="529"/>
        <v>1</v>
      </c>
      <c r="V1889" s="32" t="str">
        <f t="shared" si="530"/>
        <v/>
      </c>
      <c r="W1889" s="41">
        <f t="shared" si="527"/>
        <v>3.0511833097333119</v>
      </c>
      <c r="X1889" s="6">
        <f t="shared" si="528"/>
        <v>109.84259915039922</v>
      </c>
      <c r="Y1889" s="7">
        <f t="shared" si="531"/>
        <v>342</v>
      </c>
      <c r="AA1889" s="7">
        <f t="shared" si="532"/>
        <v>1</v>
      </c>
      <c r="AB1889" s="7">
        <f t="shared" si="533"/>
        <v>36</v>
      </c>
      <c r="AC1889" s="7">
        <f t="shared" si="534"/>
        <v>0</v>
      </c>
      <c r="AD1889" s="7" t="str">
        <f t="shared" si="535"/>
        <v/>
      </c>
      <c r="AE1889" s="6">
        <f t="shared" si="536"/>
        <v>0</v>
      </c>
      <c r="AF1889" s="69">
        <f t="shared" si="537"/>
        <v>3.0511833097333119</v>
      </c>
      <c r="AG1889" s="6">
        <f t="shared" si="538"/>
        <v>0</v>
      </c>
      <c r="AH1889" s="6">
        <f t="shared" si="539"/>
        <v>604</v>
      </c>
    </row>
    <row r="1890" spans="8:34" x14ac:dyDescent="0.25">
      <c r="H1890" s="7">
        <v>1897</v>
      </c>
      <c r="I1890" s="7" t="s">
        <v>11</v>
      </c>
      <c r="J1890" s="8">
        <v>38661</v>
      </c>
      <c r="K1890" s="12" t="s">
        <v>17</v>
      </c>
      <c r="L1890" s="9">
        <v>46</v>
      </c>
      <c r="M1890" s="10">
        <v>140.4088993575123</v>
      </c>
      <c r="N1890" s="7" t="s">
        <v>23</v>
      </c>
      <c r="P1890" s="29" t="str">
        <f t="shared" si="522"/>
        <v/>
      </c>
      <c r="Q1890" s="29" t="str">
        <f t="shared" si="523"/>
        <v/>
      </c>
      <c r="R1890" s="29" t="str">
        <f t="shared" si="524"/>
        <v/>
      </c>
      <c r="S1890" s="29" t="str">
        <f t="shared" si="525"/>
        <v/>
      </c>
      <c r="T1890" s="32">
        <f t="shared" si="526"/>
        <v>1</v>
      </c>
      <c r="U1890" s="32">
        <f t="shared" si="529"/>
        <v>1</v>
      </c>
      <c r="V1890" s="32" t="str">
        <f t="shared" si="530"/>
        <v/>
      </c>
      <c r="W1890" s="41">
        <f t="shared" si="527"/>
        <v>3.052367377337224</v>
      </c>
      <c r="X1890" s="6">
        <f t="shared" si="528"/>
        <v>140.4088993575123</v>
      </c>
      <c r="Y1890" s="7">
        <f t="shared" si="531"/>
        <v>286</v>
      </c>
      <c r="AA1890" s="7">
        <f t="shared" si="532"/>
        <v>0</v>
      </c>
      <c r="AB1890" s="7" t="str">
        <f t="shared" si="533"/>
        <v/>
      </c>
      <c r="AC1890" s="7">
        <f t="shared" si="534"/>
        <v>1</v>
      </c>
      <c r="AD1890" s="7">
        <f t="shared" si="535"/>
        <v>46</v>
      </c>
      <c r="AE1890" s="6">
        <f t="shared" si="536"/>
        <v>0</v>
      </c>
      <c r="AF1890" s="69">
        <f t="shared" si="537"/>
        <v>3.052367377337224</v>
      </c>
      <c r="AG1890" s="6">
        <f t="shared" si="538"/>
        <v>0</v>
      </c>
      <c r="AH1890" s="6">
        <f t="shared" si="539"/>
        <v>604</v>
      </c>
    </row>
    <row r="1891" spans="8:34" x14ac:dyDescent="0.25">
      <c r="H1891" s="7">
        <v>1898</v>
      </c>
      <c r="I1891" s="7" t="s">
        <v>10</v>
      </c>
      <c r="J1891" s="8">
        <v>38001</v>
      </c>
      <c r="K1891" s="12" t="s">
        <v>19</v>
      </c>
      <c r="L1891" s="9">
        <v>72</v>
      </c>
      <c r="M1891" s="10">
        <v>217.83588624347365</v>
      </c>
      <c r="N1891" s="7" t="s">
        <v>23</v>
      </c>
      <c r="P1891" s="29">
        <f t="shared" si="522"/>
        <v>1</v>
      </c>
      <c r="Q1891" s="29" t="str">
        <f t="shared" si="523"/>
        <v/>
      </c>
      <c r="R1891" s="29" t="str">
        <f t="shared" si="524"/>
        <v/>
      </c>
      <c r="S1891" s="29" t="str">
        <f t="shared" si="525"/>
        <v/>
      </c>
      <c r="T1891" s="32" t="str">
        <f t="shared" si="526"/>
        <v/>
      </c>
      <c r="U1891" s="32" t="str">
        <f t="shared" si="529"/>
        <v/>
      </c>
      <c r="V1891" s="32" t="str">
        <f t="shared" si="530"/>
        <v/>
      </c>
      <c r="W1891" s="41">
        <f t="shared" si="527"/>
        <v>3.0254984200482453</v>
      </c>
      <c r="X1891" s="6">
        <f t="shared" si="528"/>
        <v>0</v>
      </c>
      <c r="Y1891" s="7">
        <f t="shared" si="531"/>
        <v>567</v>
      </c>
      <c r="AA1891" s="7">
        <f t="shared" si="532"/>
        <v>0</v>
      </c>
      <c r="AB1891" s="7" t="str">
        <f t="shared" si="533"/>
        <v/>
      </c>
      <c r="AC1891" s="7">
        <f t="shared" si="534"/>
        <v>0</v>
      </c>
      <c r="AD1891" s="7" t="str">
        <f t="shared" si="535"/>
        <v/>
      </c>
      <c r="AE1891" s="6">
        <f t="shared" si="536"/>
        <v>0</v>
      </c>
      <c r="AF1891" s="69">
        <f t="shared" si="537"/>
        <v>3.0254984200482453</v>
      </c>
      <c r="AG1891" s="6">
        <f t="shared" si="538"/>
        <v>217.83588624347365</v>
      </c>
      <c r="AH1891" s="6">
        <f t="shared" si="539"/>
        <v>141</v>
      </c>
    </row>
    <row r="1892" spans="8:34" x14ac:dyDescent="0.25">
      <c r="H1892" s="7">
        <v>1899</v>
      </c>
      <c r="I1892" s="7" t="s">
        <v>8</v>
      </c>
      <c r="J1892" s="8">
        <v>39024</v>
      </c>
      <c r="K1892" s="12" t="s">
        <v>16</v>
      </c>
      <c r="L1892" s="9">
        <v>28</v>
      </c>
      <c r="M1892" s="10">
        <v>85.656829526557672</v>
      </c>
      <c r="N1892" s="7" t="s">
        <v>21</v>
      </c>
      <c r="P1892" s="29" t="str">
        <f t="shared" si="522"/>
        <v/>
      </c>
      <c r="Q1892" s="29" t="str">
        <f t="shared" si="523"/>
        <v/>
      </c>
      <c r="R1892" s="29" t="str">
        <f t="shared" si="524"/>
        <v/>
      </c>
      <c r="S1892" s="29" t="str">
        <f t="shared" si="525"/>
        <v/>
      </c>
      <c r="T1892" s="32" t="str">
        <f t="shared" si="526"/>
        <v/>
      </c>
      <c r="U1892" s="32" t="str">
        <f t="shared" si="529"/>
        <v/>
      </c>
      <c r="V1892" s="32">
        <f t="shared" si="530"/>
        <v>1</v>
      </c>
      <c r="W1892" s="41">
        <f t="shared" si="527"/>
        <v>3.0591724830913454</v>
      </c>
      <c r="X1892" s="6">
        <f t="shared" si="528"/>
        <v>0</v>
      </c>
      <c r="Y1892" s="7">
        <f t="shared" si="531"/>
        <v>567</v>
      </c>
      <c r="AA1892" s="7">
        <f t="shared" si="532"/>
        <v>0</v>
      </c>
      <c r="AB1892" s="7" t="str">
        <f t="shared" si="533"/>
        <v/>
      </c>
      <c r="AC1892" s="7">
        <f t="shared" si="534"/>
        <v>0</v>
      </c>
      <c r="AD1892" s="7" t="str">
        <f t="shared" si="535"/>
        <v/>
      </c>
      <c r="AE1892" s="6">
        <f t="shared" si="536"/>
        <v>0</v>
      </c>
      <c r="AF1892" s="69">
        <f t="shared" si="537"/>
        <v>3.0591724830913454</v>
      </c>
      <c r="AG1892" s="6">
        <f t="shared" si="538"/>
        <v>0</v>
      </c>
      <c r="AH1892" s="6">
        <f t="shared" si="539"/>
        <v>604</v>
      </c>
    </row>
    <row r="1893" spans="8:34" x14ac:dyDescent="0.25">
      <c r="H1893" s="7">
        <v>1900</v>
      </c>
      <c r="I1893" s="7" t="s">
        <v>12</v>
      </c>
      <c r="J1893" s="8">
        <v>38881</v>
      </c>
      <c r="K1893" s="12" t="s">
        <v>16</v>
      </c>
      <c r="L1893" s="9">
        <v>54</v>
      </c>
      <c r="M1893" s="10">
        <v>164.48733423141368</v>
      </c>
      <c r="N1893" s="7" t="s">
        <v>22</v>
      </c>
      <c r="P1893" s="29" t="str">
        <f t="shared" si="522"/>
        <v/>
      </c>
      <c r="Q1893" s="29" t="str">
        <f t="shared" si="523"/>
        <v/>
      </c>
      <c r="R1893" s="29" t="str">
        <f t="shared" si="524"/>
        <v/>
      </c>
      <c r="S1893" s="29" t="str">
        <f t="shared" si="525"/>
        <v/>
      </c>
      <c r="T1893" s="32" t="str">
        <f t="shared" si="526"/>
        <v/>
      </c>
      <c r="U1893" s="32" t="str">
        <f t="shared" si="529"/>
        <v/>
      </c>
      <c r="V1893" s="32">
        <f t="shared" si="530"/>
        <v>1</v>
      </c>
      <c r="W1893" s="41">
        <f t="shared" si="527"/>
        <v>3.0460617450261793</v>
      </c>
      <c r="X1893" s="6">
        <f t="shared" si="528"/>
        <v>0</v>
      </c>
      <c r="Y1893" s="7">
        <f t="shared" si="531"/>
        <v>567</v>
      </c>
      <c r="AA1893" s="7">
        <f t="shared" si="532"/>
        <v>0</v>
      </c>
      <c r="AB1893" s="7" t="str">
        <f t="shared" si="533"/>
        <v/>
      </c>
      <c r="AC1893" s="7">
        <f t="shared" si="534"/>
        <v>0</v>
      </c>
      <c r="AD1893" s="7" t="str">
        <f t="shared" si="535"/>
        <v/>
      </c>
      <c r="AE1893" s="6">
        <f t="shared" si="536"/>
        <v>0</v>
      </c>
      <c r="AF1893" s="69">
        <f t="shared" si="537"/>
        <v>3.0460617450261793</v>
      </c>
      <c r="AG1893" s="6">
        <f t="shared" si="538"/>
        <v>0</v>
      </c>
      <c r="AH1893" s="6">
        <f t="shared" si="539"/>
        <v>604</v>
      </c>
    </row>
  </sheetData>
  <phoneticPr fontId="0" type="noConversion"/>
  <printOptions headings="1" gridLines="1"/>
  <pageMargins left="0.75" right="0.75" top="1" bottom="1" header="0.5" footer="0.5"/>
  <pageSetup scale="1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CAFC-82A6-493F-863F-526C26450EBB}">
  <dimension ref="B2:Q2361"/>
  <sheetViews>
    <sheetView zoomScale="75" zoomScaleNormal="80" workbookViewId="0">
      <selection activeCell="B11" sqref="B11"/>
    </sheetView>
  </sheetViews>
  <sheetFormatPr defaultRowHeight="13.2" x14ac:dyDescent="0.25"/>
  <cols>
    <col min="2" max="2" width="25.109375" customWidth="1"/>
    <col min="4" max="4" width="28.88671875" customWidth="1"/>
    <col min="5" max="7" width="25.109375" style="15" customWidth="1"/>
    <col min="8" max="8" width="8.88671875" customWidth="1"/>
    <col min="9" max="13" width="17" customWidth="1"/>
    <col min="14" max="14" width="8.88671875" customWidth="1"/>
    <col min="15" max="17" width="17" customWidth="1"/>
    <col min="18" max="19" width="8.88671875" customWidth="1"/>
  </cols>
  <sheetData>
    <row r="2" spans="2:17" s="5" customFormat="1" ht="39.6" customHeight="1" x14ac:dyDescent="0.25">
      <c r="B2" s="14" t="s">
        <v>27</v>
      </c>
      <c r="D2" s="24" t="s">
        <v>26</v>
      </c>
      <c r="E2" s="24" t="s">
        <v>28</v>
      </c>
      <c r="F2" s="24" t="s">
        <v>29</v>
      </c>
      <c r="G2" s="24" t="s">
        <v>33</v>
      </c>
      <c r="I2" s="49" t="s">
        <v>49</v>
      </c>
      <c r="J2" s="49"/>
      <c r="K2" s="49"/>
      <c r="L2" s="49"/>
      <c r="M2" s="49"/>
      <c r="O2" s="49" t="s">
        <v>57</v>
      </c>
      <c r="P2" s="49"/>
      <c r="Q2" s="49"/>
    </row>
    <row r="3" spans="2:17" x14ac:dyDescent="0.25">
      <c r="B3" s="22" t="s">
        <v>17</v>
      </c>
      <c r="D3" s="22" t="s">
        <v>7</v>
      </c>
      <c r="E3" s="38"/>
      <c r="F3" s="28">
        <f xml:space="preserve"> SUMIFS(Данные!M3:M1893,Данные!I3:I1893,'Вариант 1'!D3,Данные!T3:T1893,1)</f>
        <v>2447.0141649113862</v>
      </c>
      <c r="G3" s="28">
        <f xml:space="preserve"> SUMIFS(Данные!$L$3:$L$1893,Данные!$I$3:$I$1893,'Вариант 1'!D3,Данные!$V$3:$V$1893,1)/COUNTIFS(Данные!$I$3:$I$1893,'Вариант 1'!D3,Данные!$V$3:$V$1893,1)</f>
        <v>41.45945945945946</v>
      </c>
      <c r="O3" s="47" t="s">
        <v>56</v>
      </c>
      <c r="P3" s="47" t="s">
        <v>53</v>
      </c>
      <c r="Q3" s="47" t="s">
        <v>55</v>
      </c>
    </row>
    <row r="4" spans="2:17" x14ac:dyDescent="0.25">
      <c r="B4" s="22" t="s">
        <v>19</v>
      </c>
      <c r="D4" s="23" t="s">
        <v>17</v>
      </c>
      <c r="E4" s="38">
        <f>SUMIFS(Данные!$M$3:$M$1893,Данные!$I$3:$I$1893,'Вариант 1'!$D$3,Данные!$K$3:$K$1893,'Вариант 1'!$D4)</f>
        <v>5675.6500450862495</v>
      </c>
      <c r="F4" s="28"/>
      <c r="G4" s="28"/>
      <c r="I4" s="52" t="s">
        <v>35</v>
      </c>
      <c r="J4" s="16" t="s">
        <v>36</v>
      </c>
      <c r="K4" s="16" t="s">
        <v>37</v>
      </c>
      <c r="L4" s="16" t="s">
        <v>38</v>
      </c>
      <c r="M4" s="16" t="s">
        <v>39</v>
      </c>
      <c r="O4" s="7">
        <v>1</v>
      </c>
      <c r="P4" s="7" t="str">
        <f>INDEX(Данные!$I$3:$I$1893,MATCH(O4,Данные!$Y$3:$Y$1893,0))</f>
        <v>Халлаган</v>
      </c>
      <c r="Q4" s="7">
        <f>INDEX(Данные!$M$3:$M$1893,MATCH(O4,Данные!$Y$3:$Y$1893,0))</f>
        <v>287.15467709700755</v>
      </c>
    </row>
    <row r="5" spans="2:17" x14ac:dyDescent="0.25">
      <c r="B5" s="22" t="s">
        <v>16</v>
      </c>
      <c r="D5" s="23" t="s">
        <v>19</v>
      </c>
      <c r="E5" s="38">
        <f>SUMIFS(Данные!$M$3:$M$1893,Данные!$I$3:$I$1893,'Вариант 1'!$D$3,Данные!$K$3:$K$1893,'Вариант 1'!$D5)</f>
        <v>3968.6054956178609</v>
      </c>
      <c r="F5" s="28"/>
      <c r="G5" s="28"/>
      <c r="I5" s="53"/>
      <c r="J5" s="36">
        <f>SUMIFS(Данные!$M$3:$M$1893,Данные!P3:P1893,1,Данные!$K$3:$K$1893,'Вариант 1'!$I$4)</f>
        <v>4192.3530180144071</v>
      </c>
      <c r="K5" s="36">
        <f>SUMIFS(Данные!$M$3:$M$1893,Данные!Q$3:Q$1893,1,Данные!$K$3:$K$1893,'Вариант 1'!$I$4)</f>
        <v>5980.6763011591383</v>
      </c>
      <c r="L5" s="36">
        <f>SUMIFS(Данные!$M$3:$M$1893,Данные!R$3:R$1893,1,Данные!$K$3:$K$1893,'Вариант 1'!$I$4)</f>
        <v>3327.3326633245324</v>
      </c>
      <c r="M5" s="36">
        <f>SUMIFS(Данные!$M$3:$M$1893,Данные!S$3:S$1893,1,Данные!$K$3:$K$1893,'Вариант 1'!$I$4)</f>
        <v>3877.8223658234065</v>
      </c>
      <c r="O5" s="7">
        <v>2</v>
      </c>
      <c r="P5" s="7" t="str">
        <f>INDEX(Данные!$I$3:$I$1893,MATCH(O5,Данные!$Y$3:$Y$1893,0))</f>
        <v>Колин</v>
      </c>
      <c r="Q5" s="7">
        <f>INDEX(Данные!$M$3:$M$1893,MATCH(O5,Данные!$Y$3:$Y$1893,0))</f>
        <v>286.97940760158696</v>
      </c>
    </row>
    <row r="6" spans="2:17" x14ac:dyDescent="0.25">
      <c r="B6" s="22" t="s">
        <v>18</v>
      </c>
      <c r="D6" s="23" t="s">
        <v>16</v>
      </c>
      <c r="E6" s="38">
        <f>SUMIFS(Данные!$M$3:$M$1893,Данные!$I$3:$I$1893,'Вариант 1'!$D$3,Данные!$K$3:$K$1893,'Вариант 1'!$D6)</f>
        <v>6046.5342817912433</v>
      </c>
      <c r="F6" s="28"/>
      <c r="G6" s="28"/>
      <c r="I6" s="15"/>
      <c r="J6" s="15"/>
      <c r="K6" s="15"/>
      <c r="L6" s="15"/>
      <c r="M6" s="15"/>
      <c r="O6" s="7">
        <v>3</v>
      </c>
      <c r="P6" s="7" t="str">
        <f>INDEX(Данные!$I$3:$I$1893,MATCH(O6,Данные!$Y$3:$Y$1893,0))</f>
        <v>Эшли</v>
      </c>
      <c r="Q6" s="7">
        <f>INDEX(Данные!$M$3:$M$1893,MATCH(O6,Данные!$Y$3:$Y$1893,0))</f>
        <v>286.82526300294711</v>
      </c>
    </row>
    <row r="7" spans="2:17" x14ac:dyDescent="0.25">
      <c r="B7" s="22" t="s">
        <v>20</v>
      </c>
      <c r="D7" s="23" t="s">
        <v>18</v>
      </c>
      <c r="E7" s="38">
        <f>SUMIFS(Данные!$M$3:$M$1893,Данные!$I$3:$I$1893,'Вариант 1'!$D$3,Данные!$K$3:$K$1893,'Вариант 1'!$D7)</f>
        <v>8043.4864622746163</v>
      </c>
      <c r="F7" s="28"/>
      <c r="G7" s="28"/>
      <c r="I7" s="51" t="s">
        <v>45</v>
      </c>
      <c r="J7" s="16" t="s">
        <v>36</v>
      </c>
      <c r="K7" s="16" t="s">
        <v>37</v>
      </c>
      <c r="L7" s="16" t="s">
        <v>38</v>
      </c>
      <c r="M7" s="16" t="s">
        <v>39</v>
      </c>
      <c r="O7" s="7">
        <v>4</v>
      </c>
      <c r="P7" s="7" t="str">
        <f>INDEX(Данные!$I$3:$I$1893,MATCH(O7,Данные!$Y$3:$Y$1893,0))</f>
        <v>Эшли</v>
      </c>
      <c r="Q7" s="7">
        <f>INDEX(Данные!$M$3:$M$1893,MATCH(O7,Данные!$Y$3:$Y$1893,0))</f>
        <v>286.75530123408925</v>
      </c>
    </row>
    <row r="8" spans="2:17" x14ac:dyDescent="0.25">
      <c r="B8" s="27" t="s">
        <v>25</v>
      </c>
      <c r="D8" s="23" t="s">
        <v>20</v>
      </c>
      <c r="E8" s="38">
        <f>SUMIFS(Данные!$M$3:$M$1893,Данные!$I$3:$I$1893,'Вариант 1'!$D$3,Данные!$K$3:$K$1893,'Вариант 1'!$D8)</f>
        <v>4827.2539959100477</v>
      </c>
      <c r="F8" s="28"/>
      <c r="G8" s="28"/>
      <c r="I8" s="51"/>
      <c r="J8" s="36">
        <f>SUMIFS(Данные!$M$3:$M$1893,Данные!P6:P1896,1,Данные!$K$3:$K$1893,'Вариант 1'!$I$7)</f>
        <v>1886.0335090086935</v>
      </c>
      <c r="K8" s="36">
        <f>SUMIFS(Данные!$M$3:$M$1893,Данные!Q$3:Q$1893,1,Данные!$K$3:$K$1893,'Вариант 1'!$I$7)</f>
        <v>2736.4728058370692</v>
      </c>
      <c r="L8" s="36">
        <f>SUMIFS(Данные!$M$3:$M$1893,Данные!R$3:R$1893,1,Данные!$K$3:$K$1893,'Вариант 1'!$I$7)</f>
        <v>2195.269060154274</v>
      </c>
      <c r="M8" s="36">
        <f>SUMIFS(Данные!$M$3:$M$1893,Данные!S$3:S$1893,1,Данные!$K$3:$K$1893,'Вариант 1'!$I$7)</f>
        <v>2219.7251497632301</v>
      </c>
      <c r="O8" s="7">
        <v>5</v>
      </c>
      <c r="P8" s="7" t="str">
        <f>INDEX(Данные!$I$3:$I$1893,MATCH(O8,Данные!$Y$3:$Y$1893,0))</f>
        <v>Колин</v>
      </c>
      <c r="Q8" s="7">
        <f>INDEX(Данные!$M$3:$M$1893,MATCH(O8,Данные!$Y$3:$Y$1893,0))</f>
        <v>286.66171116702549</v>
      </c>
    </row>
    <row r="9" spans="2:17" x14ac:dyDescent="0.25">
      <c r="D9" s="22" t="s">
        <v>14</v>
      </c>
      <c r="E9" s="38"/>
      <c r="F9" s="28">
        <f xml:space="preserve"> SUMIFS(Данные!M3:M1893,Данные!I3:I1893,'Вариант 1'!D9,Данные!T3:T1893,1)</f>
        <v>2340.9648611135003</v>
      </c>
      <c r="G9" s="21">
        <f>SUMIFS(Данные!$L$3:$L$1893,Данные!$I$3:$I$1893,'Вариант 1'!D9,Данные!$V$3:$V$1893,1)/COUNTIFS(Данные!$I$3:$I$1893,'Вариант 1'!D9,Данные!$V$3:$V$1893,1)</f>
        <v>45.607594936708864</v>
      </c>
      <c r="I9" s="15"/>
      <c r="J9" s="15"/>
      <c r="K9" s="15"/>
      <c r="L9" s="15"/>
      <c r="M9" s="15"/>
      <c r="O9" s="7">
        <v>6</v>
      </c>
      <c r="P9" s="7" t="str">
        <f>INDEX(Данные!$I$3:$I$1893,MATCH(O9,Данные!$Y$3:$Y$1893,0))</f>
        <v>Бетси</v>
      </c>
      <c r="Q9" s="7">
        <f>INDEX(Данные!$M$3:$M$1893,MATCH(O9,Данные!$Y$3:$Y$1893,0))</f>
        <v>286.60843219410157</v>
      </c>
    </row>
    <row r="10" spans="2:17" ht="13.2" customHeight="1" x14ac:dyDescent="0.25">
      <c r="B10" s="25" t="s">
        <v>31</v>
      </c>
      <c r="D10" s="23" t="s">
        <v>17</v>
      </c>
      <c r="E10" s="38">
        <f>SUMIFS(Данные!$M$3:$M$1893,Данные!$I$3:$I$1893,'Вариант 1'!$D$3,Данные!$K$3:$K$1893,'Вариант 1'!$D10)</f>
        <v>5675.6500450862495</v>
      </c>
      <c r="F10" s="28"/>
      <c r="G10" s="28"/>
      <c r="I10" s="51" t="s">
        <v>46</v>
      </c>
      <c r="J10" s="16" t="s">
        <v>36</v>
      </c>
      <c r="K10" s="16" t="s">
        <v>37</v>
      </c>
      <c r="L10" s="16" t="s">
        <v>38</v>
      </c>
      <c r="M10" s="16" t="s">
        <v>39</v>
      </c>
      <c r="O10" s="7">
        <v>7</v>
      </c>
      <c r="P10" s="7" t="str">
        <f>INDEX(Данные!$I$3:$I$1893,MATCH(O10,Данные!$Y$3:$Y$1893,0))</f>
        <v>Бетси</v>
      </c>
      <c r="Q10" s="7">
        <f>INDEX(Данные!$M$3:$M$1893,MATCH(O10,Данные!$Y$3:$Y$1893,0))</f>
        <v>286.4091350392265</v>
      </c>
    </row>
    <row r="11" spans="2:17" ht="13.2" customHeight="1" x14ac:dyDescent="0.25">
      <c r="B11" s="21" t="str">
        <f>INDEX(D3:D56,MATCH(MAX(F3:F56),F3:F56,0))</f>
        <v>Эшли</v>
      </c>
      <c r="D11" s="23" t="s">
        <v>19</v>
      </c>
      <c r="E11" s="38">
        <f>SUMIFS(Данные!$M$3:$M$1893,Данные!$I$3:$I$1893,'Вариант 1'!$D$3,Данные!$K$3:$K$1893,'Вариант 1'!$D11)</f>
        <v>3968.6054956178609</v>
      </c>
      <c r="F11" s="28"/>
      <c r="G11" s="28"/>
      <c r="I11" s="51"/>
      <c r="J11" s="36">
        <f>SUMIFS(Данные!$M$3:$M$1893,Данные!S$3:S$1893,1,Данные!$K$3:$K$1893,'Вариант 1'!$I$10)</f>
        <v>6132.6507572725932</v>
      </c>
      <c r="K11" s="36">
        <f>SUMIFS(Данные!$M$3:$M$1893,Данные!Q$3:Q$1893,1,Данные!$K$3:$K$1893,'Вариант 1'!$I$10)</f>
        <v>6506.3796219394162</v>
      </c>
      <c r="L11" s="36">
        <f>SUMIFS(Данные!$M$3:$M$1893,Данные!R$3:R$1893,1,Данные!$K$3:$K$1893,'Вариант 1'!$I$10)</f>
        <v>2889.860565049838</v>
      </c>
      <c r="M11" s="36">
        <f>SUMIFS(Данные!$M$3:$M$1893,Данные!S$3:S$1893,1,Данные!$K$3:$K$1893,'Вариант 1'!$I$10)</f>
        <v>6132.6507572725932</v>
      </c>
      <c r="O11" s="7">
        <v>8</v>
      </c>
      <c r="P11" s="7" t="str">
        <f>INDEX(Данные!$I$3:$I$1893,MATCH(O11,Данные!$Y$3:$Y$1893,0))</f>
        <v>Бетси</v>
      </c>
      <c r="Q11" s="7">
        <f>INDEX(Данные!$M$3:$M$1893,MATCH(O11,Данные!$Y$3:$Y$1893,0))</f>
        <v>284.41944495958916</v>
      </c>
    </row>
    <row r="12" spans="2:17" ht="13.2" customHeight="1" x14ac:dyDescent="0.25">
      <c r="D12" s="23" t="s">
        <v>16</v>
      </c>
      <c r="E12" s="38">
        <f>SUMIFS(Данные!$M$3:$M$1893,Данные!$I$3:$I$1893,'Вариант 1'!$D$3,Данные!$K$3:$K$1893,'Вариант 1'!$D12)</f>
        <v>6046.5342817912433</v>
      </c>
      <c r="F12" s="28"/>
      <c r="G12" s="28"/>
      <c r="I12" s="37"/>
      <c r="J12" s="15"/>
      <c r="K12" s="15"/>
      <c r="L12" s="15"/>
      <c r="M12" s="15"/>
      <c r="O12" s="7">
        <v>9</v>
      </c>
      <c r="P12" s="7" t="str">
        <f>INDEX(Данные!$I$3:$I$1893,MATCH(O12,Данные!$Y$3:$Y$1893,0))</f>
        <v>Бетси</v>
      </c>
      <c r="Q12" s="7">
        <f>INDEX(Данные!$M$3:$M$1893,MATCH(O12,Данные!$Y$3:$Y$1893,0))</f>
        <v>284.30651580761617</v>
      </c>
    </row>
    <row r="13" spans="2:17" x14ac:dyDescent="0.25">
      <c r="B13" s="26" t="s">
        <v>34</v>
      </c>
      <c r="D13" s="23" t="s">
        <v>18</v>
      </c>
      <c r="E13" s="38">
        <f>SUMIFS(Данные!$M$3:$M$1893,Данные!$I$3:$I$1893,'Вариант 1'!$D$3,Данные!$K$3:$K$1893,'Вариант 1'!$D13)</f>
        <v>8043.4864622746163</v>
      </c>
      <c r="F13" s="28"/>
      <c r="G13" s="28"/>
      <c r="I13" s="51" t="s">
        <v>47</v>
      </c>
      <c r="J13" s="16" t="s">
        <v>36</v>
      </c>
      <c r="K13" s="16" t="s">
        <v>37</v>
      </c>
      <c r="L13" s="16" t="s">
        <v>38</v>
      </c>
      <c r="M13" s="16" t="s">
        <v>39</v>
      </c>
      <c r="O13" s="7">
        <v>10</v>
      </c>
      <c r="P13" s="7" t="str">
        <f>INDEX(Данные!$I$3:$I$1893,MATCH(O13,Данные!$Y$3:$Y$1893,0))</f>
        <v>Колин</v>
      </c>
      <c r="Q13" s="7">
        <f>INDEX(Данные!$M$3:$M$1893,MATCH(O13,Данные!$Y$3:$Y$1893,0))</f>
        <v>284.24987523561106</v>
      </c>
    </row>
    <row r="14" spans="2:17" x14ac:dyDescent="0.25">
      <c r="B14" s="28" t="str">
        <f>INDEX(D3:D56,MATCH((MIN(G3:G56)),G3:G56,0))</f>
        <v>Кристина</v>
      </c>
      <c r="D14" s="23" t="s">
        <v>20</v>
      </c>
      <c r="E14" s="38">
        <f>SUMIFS(Данные!$M$3:$M$1893,Данные!$I$3:$I$1893,'Вариант 1'!$D$3,Данные!$K$3:$K$1893,'Вариант 1'!$D14)</f>
        <v>4827.2539959100477</v>
      </c>
      <c r="F14" s="28"/>
      <c r="G14" s="28"/>
      <c r="I14" s="51"/>
      <c r="J14" s="36">
        <f>SUMIFS(Данные!$M$3:$M$1893,Данные!S$3:S$1893,1,Данные!$K$3:$K$1893,'Вариант 1'!$I$13)</f>
        <v>5275.0647755655764</v>
      </c>
      <c r="K14" s="36">
        <f>SUMIFS(Данные!$M$3:$M$1893,Данные!Q$3:Q$1893,1,Данные!$K$3:$K$1893,'Вариант 1'!$I$13)</f>
        <v>5401.5762582399375</v>
      </c>
      <c r="L14" s="36">
        <f>SUMIFS(Данные!$M$3:$M$1893,Данные!R$3:R$1893,1,Данные!$K$3:$K$1893,'Вариант 1'!$I$13)</f>
        <v>3493.4748307910045</v>
      </c>
      <c r="M14" s="36">
        <f>SUMIFS(Данные!$M$3:$M$1893,Данные!S$3:S$1893,1,Данные!$K$3:$K$1893,'Вариант 1'!$I$13)</f>
        <v>5275.0647755655764</v>
      </c>
      <c r="O14" s="7">
        <v>11</v>
      </c>
      <c r="P14" s="7" t="str">
        <f>INDEX(Данные!$I$3:$I$1893,MATCH(O14,Данные!$Y$3:$Y$1893,0))</f>
        <v>Сиси</v>
      </c>
      <c r="Q14" s="7">
        <f>INDEX(Данные!$M$3:$M$1893,MATCH(O14,Данные!$Y$3:$Y$1893,0))</f>
        <v>284.11176896611153</v>
      </c>
    </row>
    <row r="15" spans="2:17" x14ac:dyDescent="0.25">
      <c r="D15" s="22" t="s">
        <v>10</v>
      </c>
      <c r="E15" s="38"/>
      <c r="F15" s="28">
        <f xml:space="preserve"> SUMIFS(Данные!M3:M1893,Данные!I3:I1893,'Вариант 1'!D15,Данные!T3:T1893,1)</f>
        <v>1533.03118253808</v>
      </c>
      <c r="G15" s="28">
        <f>SUMIFS(Данные!$L$3:$L$1893,Данные!$I$3:$I$1893,'Вариант 1'!D15,Данные!$V$3:$V$1893,1)/COUNTIFS(Данные!$I$3:$I$1893,'Вариант 1'!D15,Данные!$V$3:$V$1893,1)</f>
        <v>38.880000000000003</v>
      </c>
      <c r="I15" s="15"/>
      <c r="J15" s="15"/>
      <c r="K15" s="15"/>
      <c r="L15" s="15"/>
      <c r="M15" s="15"/>
      <c r="O15" s="7">
        <v>12</v>
      </c>
      <c r="P15" s="7" t="str">
        <f>INDEX(Данные!$I$3:$I$1893,MATCH(O15,Данные!$Y$3:$Y$1893,0))</f>
        <v>Кристина</v>
      </c>
      <c r="Q15" s="7">
        <f>INDEX(Данные!$M$3:$M$1893,MATCH(O15,Данные!$Y$3:$Y$1893,0))</f>
        <v>284.06034486899824</v>
      </c>
    </row>
    <row r="16" spans="2:17" ht="13.2" customHeight="1" x14ac:dyDescent="0.25">
      <c r="B16" s="42" t="s">
        <v>51</v>
      </c>
      <c r="D16" s="23" t="s">
        <v>17</v>
      </c>
      <c r="E16" s="38">
        <f>SUMIFS(Данные!$M$3:$M$1893,Данные!$I$3:$I$1893,'Вариант 1'!$D$3,Данные!$K$3:$K$1893,'Вариант 1'!$D16)</f>
        <v>5675.6500450862495</v>
      </c>
      <c r="F16" s="28"/>
      <c r="G16" s="28"/>
      <c r="I16" s="51" t="s">
        <v>48</v>
      </c>
      <c r="J16" s="16" t="s">
        <v>36</v>
      </c>
      <c r="K16" s="16" t="s">
        <v>37</v>
      </c>
      <c r="L16" s="16" t="s">
        <v>38</v>
      </c>
      <c r="M16" s="16" t="s">
        <v>39</v>
      </c>
      <c r="O16" s="7">
        <v>13</v>
      </c>
      <c r="P16" s="7" t="str">
        <f>INDEX(Данные!$I$3:$I$1893,MATCH(O16,Данные!$Y$3:$Y$1893,0))</f>
        <v>Эмили</v>
      </c>
      <c r="Q16" s="7">
        <f>INDEX(Данные!$M$3:$M$1893,MATCH(O16,Данные!$Y$3:$Y$1893,0))</f>
        <v>283.84678757282279</v>
      </c>
    </row>
    <row r="17" spans="2:17" x14ac:dyDescent="0.25">
      <c r="B17" s="21">
        <f>INDEX(Данные!H3:H1893,MATCH((MAX(Данные!W3:W1893)),Данные!W3:W1893,0))</f>
        <v>1538</v>
      </c>
      <c r="D17" s="23" t="s">
        <v>19</v>
      </c>
      <c r="E17" s="38">
        <f>SUMIFS(Данные!$M$3:$M$1893,Данные!$I$3:$I$1893,'Вариант 1'!$D$3,Данные!$K$3:$K$1893,'Вариант 1'!$D17)</f>
        <v>3968.6054956178609</v>
      </c>
      <c r="F17" s="28"/>
      <c r="G17" s="28"/>
      <c r="I17" s="51"/>
      <c r="J17" s="36">
        <f>SUMIFS(Данные!$M$3:$M$1893,Данные!S$3:S$1893,1,Данные!$K$3:$K$1893,'Вариант 1'!$I$16)</f>
        <v>4668.2741194542641</v>
      </c>
      <c r="K17" s="36">
        <f>SUMIFS(Данные!$M$3:$M$1893,Данные!Q$3:Q$1893,1,Данные!$K$3:$K$1893,'Вариант 1'!$I$16)</f>
        <v>4798.7846016565054</v>
      </c>
      <c r="L17" s="36">
        <f>SUMIFS(Данные!$M$3:$M$1893,Данные!R$3:R$1893,1,Данные!$K$3:$K$1893,'Вариант 1'!$I$16)</f>
        <v>4923.5819778869709</v>
      </c>
      <c r="M17" s="36">
        <f>SUMIFS(Данные!$M$3:$M$1893,Данные!S$3:S$1893,1,Данные!$K$3:$K$1893,'Вариант 1'!$I$16)</f>
        <v>4668.2741194542641</v>
      </c>
      <c r="O17" s="7">
        <v>14</v>
      </c>
      <c r="P17" s="7" t="str">
        <f>INDEX(Данные!$I$3:$I$1893,MATCH(O17,Данные!$Y$3:$Y$1893,0))</f>
        <v>Эмили</v>
      </c>
      <c r="Q17" s="7">
        <f>INDEX(Данные!$M$3:$M$1893,MATCH(O17,Данные!$Y$3:$Y$1893,0))</f>
        <v>283.56226306241973</v>
      </c>
    </row>
    <row r="18" spans="2:17" x14ac:dyDescent="0.25">
      <c r="D18" s="23" t="s">
        <v>16</v>
      </c>
      <c r="E18" s="38">
        <f>SUMIFS(Данные!$M$3:$M$1893,Данные!$I$3:$I$1893,'Вариант 1'!$D$3,Данные!$K$3:$K$1893,'Вариант 1'!$D18)</f>
        <v>6046.5342817912433</v>
      </c>
      <c r="F18" s="28"/>
      <c r="G18" s="28"/>
      <c r="O18" s="7">
        <v>15</v>
      </c>
      <c r="P18" s="7" t="str">
        <f>INDEX(Данные!$I$3:$I$1893,MATCH(O18,Данные!$Y$3:$Y$1893,0))</f>
        <v>Бетси</v>
      </c>
      <c r="Q18" s="7">
        <f>INDEX(Данные!$M$3:$M$1893,MATCH(O18,Данные!$Y$3:$Y$1893,0))</f>
        <v>283.45878652006695</v>
      </c>
    </row>
    <row r="19" spans="2:17" ht="13.2" customHeight="1" x14ac:dyDescent="0.25">
      <c r="B19" s="42" t="s">
        <v>52</v>
      </c>
      <c r="D19" s="23" t="s">
        <v>18</v>
      </c>
      <c r="E19" s="38">
        <f>SUMIFS(Данные!$M$3:$M$1893,Данные!$I$3:$I$1893,'Вариант 1'!$D$3,Данные!$K$3:$K$1893,'Вариант 1'!$D19)</f>
        <v>8043.4864622746163</v>
      </c>
      <c r="F19" s="28"/>
      <c r="G19" s="28"/>
      <c r="O19" s="7">
        <v>16</v>
      </c>
      <c r="P19" s="7" t="str">
        <f>INDEX(Данные!$I$3:$I$1893,MATCH(O19,Данные!$Y$3:$Y$1893,0))</f>
        <v>Сиси</v>
      </c>
      <c r="Q19" s="7">
        <f>INDEX(Данные!$M$3:$M$1893,MATCH(O19,Данные!$Y$3:$Y$1893,0))</f>
        <v>281.52944446781271</v>
      </c>
    </row>
    <row r="20" spans="2:17" x14ac:dyDescent="0.25">
      <c r="B20" s="28" t="str">
        <f>INDEX(Данные!N3:N1893,MATCH((MAX(Данные!W3:W1893)),Данные!W3:W1893,0))</f>
        <v>ср. запад</v>
      </c>
      <c r="D20" s="23" t="s">
        <v>20</v>
      </c>
      <c r="E20" s="38">
        <f>SUMIFS(Данные!$M$3:$M$1893,Данные!$I$3:$I$1893,'Вариант 1'!$D$3,Данные!$K$3:$K$1893,'Вариант 1'!$D20)</f>
        <v>4827.2539959100477</v>
      </c>
      <c r="F20" s="28"/>
      <c r="G20" s="28"/>
      <c r="O20" s="7">
        <v>17</v>
      </c>
      <c r="P20" s="7" t="str">
        <f>INDEX(Данные!$I$3:$I$1893,MATCH(O20,Данные!$Y$3:$Y$1893,0))</f>
        <v>Эшли</v>
      </c>
      <c r="Q20" s="7">
        <f>INDEX(Данные!$M$3:$M$1893,MATCH(O20,Данные!$Y$3:$Y$1893,0))</f>
        <v>281.34133684394243</v>
      </c>
    </row>
    <row r="21" spans="2:17" ht="13.2" customHeight="1" x14ac:dyDescent="0.25">
      <c r="D21" s="22" t="s">
        <v>11</v>
      </c>
      <c r="E21" s="38"/>
      <c r="F21" s="28">
        <f xml:space="preserve"> SUMIFS(Данные!M3:M1893,Данные!I3:I1893,'Вариант 1'!D21,Данные!T3:T1893,1)</f>
        <v>1336.2153321215592</v>
      </c>
      <c r="G21" s="28">
        <f>SUMIFS(Данные!$L$3:$L$1893,Данные!$I$3:$I$1893,'Вариант 1'!D21,Данные!$V$3:$V$1893,1)/COUNTIFS(Данные!$I$3:$I$1893,'Вариант 1'!D21,Данные!$V$3:$V$1893,1)</f>
        <v>41.898305084745765</v>
      </c>
      <c r="O21" s="7">
        <v>18</v>
      </c>
      <c r="P21" s="7" t="str">
        <f>INDEX(Данные!$I$3:$I$1893,MATCH(O21,Данные!$Y$3:$Y$1893,0))</f>
        <v>Джен</v>
      </c>
      <c r="Q21" s="7">
        <f>INDEX(Данные!$M$3:$M$1893,MATCH(O21,Данные!$Y$3:$Y$1893,0))</f>
        <v>281.17054419951137</v>
      </c>
    </row>
    <row r="22" spans="2:17" ht="13.2" customHeight="1" x14ac:dyDescent="0.25">
      <c r="B22" s="42" t="s">
        <v>61</v>
      </c>
      <c r="D22" s="23" t="s">
        <v>17</v>
      </c>
      <c r="E22" s="38">
        <f>SUMIFS(Данные!$M$3:$M$1893,Данные!$I$3:$I$1893,'Вариант 1'!$D$3,Данные!$K$3:$K$1893,'Вариант 1'!$D22)</f>
        <v>5675.6500450862495</v>
      </c>
      <c r="F22" s="28"/>
      <c r="G22" s="28"/>
      <c r="O22" s="7">
        <v>19</v>
      </c>
      <c r="P22" s="7" t="str">
        <f>INDEX(Данные!$I$3:$I$1893,MATCH(O22,Данные!$Y$3:$Y$1893,0))</f>
        <v>Эмили</v>
      </c>
      <c r="Q22" s="7">
        <f>INDEX(Данные!$M$3:$M$1893,MATCH(O22,Данные!$Y$3:$Y$1893,0))</f>
        <v>280.95785849203958</v>
      </c>
    </row>
    <row r="23" spans="2:17" x14ac:dyDescent="0.25">
      <c r="B23" s="21" t="str">
        <f>INDEX(O27:O35,MATCH((MAX(P27:P35)),P27:P35,0))</f>
        <v>Бетси</v>
      </c>
      <c r="D23" s="23" t="s">
        <v>19</v>
      </c>
      <c r="E23" s="38">
        <f>SUMIFS(Данные!$M$3:$M$1893,Данные!$I$3:$I$1893,'Вариант 1'!$D$3,Данные!$K$3:$K$1893,'Вариант 1'!$D23)</f>
        <v>3968.6054956178609</v>
      </c>
      <c r="F23" s="28"/>
      <c r="G23" s="28"/>
      <c r="O23" s="7">
        <v>20</v>
      </c>
      <c r="P23" s="7" t="str">
        <f>INDEX(Данные!$I$3:$I$1893,MATCH(O23,Данные!$Y$3:$Y$1893,0))</f>
        <v>Зарет</v>
      </c>
      <c r="Q23" s="7">
        <f>INDEX(Данные!$M$3:$M$1893,MATCH(O23,Данные!$Y$3:$Y$1893,0))</f>
        <v>280.93222292224493</v>
      </c>
    </row>
    <row r="24" spans="2:17" x14ac:dyDescent="0.25">
      <c r="D24" s="23" t="s">
        <v>16</v>
      </c>
      <c r="E24" s="38">
        <f>SUMIFS(Данные!$M$3:$M$1893,Данные!$I$3:$I$1893,'Вариант 1'!$D$3,Данные!$K$3:$K$1893,'Вариант 1'!$D24)</f>
        <v>6046.5342817912433</v>
      </c>
      <c r="F24" s="28"/>
      <c r="G24" s="28"/>
      <c r="O24" s="20"/>
    </row>
    <row r="25" spans="2:17" x14ac:dyDescent="0.25">
      <c r="D25" s="23" t="s">
        <v>18</v>
      </c>
      <c r="E25" s="38">
        <f>SUMIFS(Данные!$M$3:$M$1893,Данные!$I$3:$I$1893,'Вариант 1'!$D$3,Данные!$K$3:$K$1893,'Вариант 1'!$D25)</f>
        <v>8043.4864622746163</v>
      </c>
      <c r="F25" s="28"/>
      <c r="G25" s="28"/>
      <c r="O25" s="50" t="s">
        <v>59</v>
      </c>
      <c r="P25" s="50"/>
      <c r="Q25" s="20"/>
    </row>
    <row r="26" spans="2:17" x14ac:dyDescent="0.25">
      <c r="D26" s="23" t="s">
        <v>20</v>
      </c>
      <c r="E26" s="38">
        <f>SUMIFS(Данные!$M$3:$M$1893,Данные!$I$3:$I$1893,'Вариант 1'!$D$3,Данные!$K$3:$K$1893,'Вариант 1'!$D26)</f>
        <v>4827.2539959100477</v>
      </c>
      <c r="F26" s="28"/>
      <c r="G26" s="28"/>
      <c r="O26" s="47" t="s">
        <v>53</v>
      </c>
      <c r="P26" s="47" t="s">
        <v>60</v>
      </c>
    </row>
    <row r="27" spans="2:17" x14ac:dyDescent="0.25">
      <c r="D27" s="22" t="s">
        <v>12</v>
      </c>
      <c r="E27" s="38"/>
      <c r="F27" s="28">
        <f xml:space="preserve"> SUMIFS(Данные!M3:M1893,Данные!I3:I1893,'Вариант 1'!D27,Данные!T3:T1893,1)</f>
        <v>2297.6264548650943</v>
      </c>
      <c r="G27" s="28">
        <f>SUMIFS(Данные!$L$3:$L$1893,Данные!$I$3:$I$1893,'Вариант 1'!D27,Данные!$V$3:$V$1893,1)/COUNTIFS(Данные!$I$3:$I$1893,'Вариант 1'!D27,Данные!$V$3:$V$1893,1)</f>
        <v>37.440677966101696</v>
      </c>
      <c r="O27" s="46" t="str">
        <f>D3</f>
        <v>Бетси</v>
      </c>
      <c r="P27" s="7">
        <f>COUNTIF($P$4:$P$23,O27)</f>
        <v>5</v>
      </c>
    </row>
    <row r="28" spans="2:17" x14ac:dyDescent="0.25">
      <c r="D28" s="23" t="s">
        <v>17</v>
      </c>
      <c r="E28" s="38">
        <f>SUMIFS(Данные!$M$3:$M$1893,Данные!$I$3:$I$1893,'Вариант 1'!$D$3,Данные!$K$3:$K$1893,'Вариант 1'!$D28)</f>
        <v>5675.6500450862495</v>
      </c>
      <c r="F28" s="28"/>
      <c r="G28" s="28"/>
      <c r="O28" s="46" t="str">
        <f>D9</f>
        <v>Джен</v>
      </c>
      <c r="P28" s="7">
        <f t="shared" ref="P28:P35" si="0">COUNTIF($P$4:$P$23,O28)</f>
        <v>1</v>
      </c>
    </row>
    <row r="29" spans="2:17" x14ac:dyDescent="0.25">
      <c r="D29" s="23" t="s">
        <v>19</v>
      </c>
      <c r="E29" s="38">
        <f>SUMIFS(Данные!$M$3:$M$1893,Данные!$I$3:$I$1893,'Вариант 1'!$D$3,Данные!$K$3:$K$1893,'Вариант 1'!$D29)</f>
        <v>3968.6054956178609</v>
      </c>
      <c r="F29" s="28"/>
      <c r="G29" s="28"/>
      <c r="O29" s="46" t="str">
        <f>D15</f>
        <v>Зарет</v>
      </c>
      <c r="P29" s="7">
        <f t="shared" si="0"/>
        <v>1</v>
      </c>
    </row>
    <row r="30" spans="2:17" x14ac:dyDescent="0.25">
      <c r="D30" s="23" t="s">
        <v>16</v>
      </c>
      <c r="E30" s="38">
        <f>SUMIFS(Данные!$M$3:$M$1893,Данные!$I$3:$I$1893,'Вариант 1'!$D$3,Данные!$K$3:$K$1893,'Вариант 1'!$D30)</f>
        <v>6046.5342817912433</v>
      </c>
      <c r="F30" s="28"/>
      <c r="G30" s="28"/>
      <c r="O30" s="46" t="str">
        <f>D21</f>
        <v>Колин</v>
      </c>
      <c r="P30" s="7">
        <f t="shared" si="0"/>
        <v>3</v>
      </c>
    </row>
    <row r="31" spans="2:17" x14ac:dyDescent="0.25">
      <c r="D31" s="23" t="s">
        <v>18</v>
      </c>
      <c r="E31" s="38">
        <f>SUMIFS(Данные!$M$3:$M$1893,Данные!$I$3:$I$1893,'Вариант 1'!$D$3,Данные!$K$3:$K$1893,'Вариант 1'!$D31)</f>
        <v>8043.4864622746163</v>
      </c>
      <c r="F31" s="28"/>
      <c r="G31" s="28"/>
      <c r="O31" s="46" t="str">
        <f>D27</f>
        <v>Кристина</v>
      </c>
      <c r="P31" s="7">
        <f t="shared" si="0"/>
        <v>1</v>
      </c>
    </row>
    <row r="32" spans="2:17" x14ac:dyDescent="0.25">
      <c r="D32" s="23" t="s">
        <v>20</v>
      </c>
      <c r="E32" s="38">
        <f>SUMIFS(Данные!$M$3:$M$1893,Данные!$I$3:$I$1893,'Вариант 1'!$D$3,Данные!$K$3:$K$1893,'Вариант 1'!$D32)</f>
        <v>4827.2539959100477</v>
      </c>
      <c r="F32" s="28"/>
      <c r="G32" s="28"/>
      <c r="O32" s="46" t="str">
        <f>D33</f>
        <v>Сиси</v>
      </c>
      <c r="P32" s="7">
        <f t="shared" si="0"/>
        <v>2</v>
      </c>
    </row>
    <row r="33" spans="4:16" x14ac:dyDescent="0.25">
      <c r="D33" s="22" t="s">
        <v>15</v>
      </c>
      <c r="E33" s="38"/>
      <c r="F33" s="28">
        <f xml:space="preserve"> SUMIFS(Данные!M3:M1893,Данные!I3:I1893,'Вариант 1'!D33,Данные!T3:T1893,1)</f>
        <v>2595.9363468108131</v>
      </c>
      <c r="G33" s="28">
        <f>SUMIFS(Данные!$L$3:$L$1893,Данные!$I$3:$I$1893,'Вариант 1'!D33,Данные!$V$3:$V$1893,1)/COUNTIFS(Данные!$I$3:$I$1893,'Вариант 1'!D33,Данные!$V$3:$V$1893,1)</f>
        <v>40.883116883116884</v>
      </c>
      <c r="O33" s="46" t="str">
        <f>D39</f>
        <v>Халлаган</v>
      </c>
      <c r="P33" s="7">
        <f t="shared" si="0"/>
        <v>1</v>
      </c>
    </row>
    <row r="34" spans="4:16" x14ac:dyDescent="0.25">
      <c r="D34" s="23" t="s">
        <v>17</v>
      </c>
      <c r="E34" s="38">
        <f>SUMIFS(Данные!$M$3:$M$1893,Данные!$I$3:$I$1893,'Вариант 1'!$D$3,Данные!$K$3:$K$1893,'Вариант 1'!$D34)</f>
        <v>5675.6500450862495</v>
      </c>
      <c r="F34" s="28"/>
      <c r="G34" s="28"/>
      <c r="O34" s="46" t="str">
        <f>D45</f>
        <v>Эмили</v>
      </c>
      <c r="P34" s="7">
        <f t="shared" si="0"/>
        <v>3</v>
      </c>
    </row>
    <row r="35" spans="4:16" x14ac:dyDescent="0.25">
      <c r="D35" s="23" t="s">
        <v>19</v>
      </c>
      <c r="E35" s="38">
        <f>SUMIFS(Данные!$M$3:$M$1893,Данные!$I$3:$I$1893,'Вариант 1'!$D$3,Данные!$K$3:$K$1893,'Вариант 1'!$D35)</f>
        <v>3968.6054956178609</v>
      </c>
      <c r="F35" s="28"/>
      <c r="G35" s="28"/>
      <c r="O35" s="46" t="str">
        <f>D51</f>
        <v>Эшли</v>
      </c>
      <c r="P35" s="7">
        <f t="shared" si="0"/>
        <v>3</v>
      </c>
    </row>
    <row r="36" spans="4:16" x14ac:dyDescent="0.25">
      <c r="D36" s="23" t="s">
        <v>16</v>
      </c>
      <c r="E36" s="38">
        <f>SUMIFS(Данные!$M$3:$M$1893,Данные!$I$3:$I$1893,'Вариант 1'!$D$3,Данные!$K$3:$K$1893,'Вариант 1'!$D36)</f>
        <v>6046.5342817912433</v>
      </c>
      <c r="F36" s="28"/>
      <c r="G36" s="28"/>
      <c r="O36" s="20"/>
    </row>
    <row r="37" spans="4:16" x14ac:dyDescent="0.25">
      <c r="D37" s="23" t="s">
        <v>18</v>
      </c>
      <c r="E37" s="38">
        <f>SUMIFS(Данные!$M$3:$M$1893,Данные!$I$3:$I$1893,'Вариант 1'!$D$3,Данные!$K$3:$K$1893,'Вариант 1'!$D37)</f>
        <v>8043.4864622746163</v>
      </c>
      <c r="F37" s="28"/>
      <c r="G37" s="28"/>
      <c r="O37" s="20"/>
    </row>
    <row r="38" spans="4:16" x14ac:dyDescent="0.25">
      <c r="D38" s="23" t="s">
        <v>20</v>
      </c>
      <c r="E38" s="38">
        <f>SUMIFS(Данные!$M$3:$M$1893,Данные!$I$3:$I$1893,'Вариант 1'!$D$3,Данные!$K$3:$K$1893,'Вариант 1'!$D38)</f>
        <v>4827.2539959100477</v>
      </c>
      <c r="F38" s="28"/>
      <c r="G38" s="28"/>
      <c r="O38" s="20"/>
    </row>
    <row r="39" spans="4:16" x14ac:dyDescent="0.25">
      <c r="D39" s="22" t="s">
        <v>8</v>
      </c>
      <c r="E39" s="38"/>
      <c r="F39" s="28">
        <f xml:space="preserve"> SUMIFS(Данные!M3:M1893,Данные!I3:I1893,'Вариант 1'!D39,Данные!T3:T1893,1)</f>
        <v>2184.6359733199843</v>
      </c>
      <c r="G39" s="28">
        <f>SUMIFS(Данные!$L$3:$L$1893,Данные!$I$3:$I$1893,'Вариант 1'!D39,Данные!$V$3:$V$1893,1)/COUNTIFS(Данные!$I$3:$I$1893,'Вариант 1'!D39,Данные!$V$3:$V$1893,1)</f>
        <v>47.416666666666664</v>
      </c>
      <c r="O39" s="20"/>
    </row>
    <row r="40" spans="4:16" x14ac:dyDescent="0.25">
      <c r="D40" s="23" t="s">
        <v>17</v>
      </c>
      <c r="E40" s="38">
        <f>SUMIFS(Данные!$M$3:$M$1893,Данные!$I$3:$I$1893,'Вариант 1'!$D$3,Данные!$K$3:$K$1893,'Вариант 1'!$D40)</f>
        <v>5675.6500450862495</v>
      </c>
      <c r="F40" s="28"/>
      <c r="G40" s="28"/>
      <c r="O40" s="20"/>
    </row>
    <row r="41" spans="4:16" x14ac:dyDescent="0.25">
      <c r="D41" s="23" t="s">
        <v>19</v>
      </c>
      <c r="E41" s="38">
        <f>SUMIFS(Данные!$M$3:$M$1893,Данные!$I$3:$I$1893,'Вариант 1'!$D$3,Данные!$K$3:$K$1893,'Вариант 1'!$D41)</f>
        <v>3968.6054956178609</v>
      </c>
      <c r="F41" s="28"/>
      <c r="G41" s="28"/>
      <c r="O41" s="20"/>
    </row>
    <row r="42" spans="4:16" x14ac:dyDescent="0.25">
      <c r="D42" s="23" t="s">
        <v>16</v>
      </c>
      <c r="E42" s="38">
        <f>SUMIFS(Данные!$M$3:$M$1893,Данные!$I$3:$I$1893,'Вариант 1'!$D$3,Данные!$K$3:$K$1893,'Вариант 1'!$D42)</f>
        <v>6046.5342817912433</v>
      </c>
      <c r="F42" s="28"/>
      <c r="G42" s="28"/>
      <c r="O42" s="20"/>
    </row>
    <row r="43" spans="4:16" x14ac:dyDescent="0.25">
      <c r="D43" s="23" t="s">
        <v>18</v>
      </c>
      <c r="E43" s="38">
        <f>SUMIFS(Данные!$M$3:$M$1893,Данные!$I$3:$I$1893,'Вариант 1'!$D$3,Данные!$K$3:$K$1893,'Вариант 1'!$D43)</f>
        <v>8043.4864622746163</v>
      </c>
      <c r="F43" s="28"/>
      <c r="G43" s="28"/>
      <c r="O43" s="20"/>
    </row>
    <row r="44" spans="4:16" x14ac:dyDescent="0.25">
      <c r="D44" s="23" t="s">
        <v>20</v>
      </c>
      <c r="E44" s="38">
        <f>SUMIFS(Данные!$M$3:$M$1893,Данные!$I$3:$I$1893,'Вариант 1'!$D$3,Данные!$K$3:$K$1893,'Вариант 1'!$D44)</f>
        <v>4827.2539959100477</v>
      </c>
      <c r="F44" s="28"/>
      <c r="G44" s="28"/>
      <c r="O44" s="20"/>
    </row>
    <row r="45" spans="4:16" x14ac:dyDescent="0.25">
      <c r="D45" s="22" t="s">
        <v>13</v>
      </c>
      <c r="E45" s="38"/>
      <c r="F45" s="28">
        <f xml:space="preserve"> SUMIFS(Данные!M3:M1893,Данные!I3:I1893,'Вариант 1'!D45,Данные!T3:T1893,1)</f>
        <v>1788.0874991470898</v>
      </c>
      <c r="G45" s="28">
        <f>SUMIFS(Данные!$L$3:$L$1893,Данные!$I$3:$I$1893,'Вариант 1'!D45,Данные!$V$3:$V$1893,1)/COUNTIFS(Данные!$I$3:$I$1893,'Вариант 1'!D45,Данные!$V$3:$V$1893,1)</f>
        <v>37.739130434782609</v>
      </c>
      <c r="O45" s="20"/>
    </row>
    <row r="46" spans="4:16" x14ac:dyDescent="0.25">
      <c r="D46" s="23" t="s">
        <v>17</v>
      </c>
      <c r="E46" s="38">
        <f>SUMIFS(Данные!$M$3:$M$1893,Данные!$I$3:$I$1893,'Вариант 1'!$D$3,Данные!$K$3:$K$1893,'Вариант 1'!$D46)</f>
        <v>5675.6500450862495</v>
      </c>
      <c r="F46" s="28"/>
      <c r="G46" s="28"/>
      <c r="O46" s="20"/>
    </row>
    <row r="47" spans="4:16" x14ac:dyDescent="0.25">
      <c r="D47" s="23" t="s">
        <v>19</v>
      </c>
      <c r="E47" s="38">
        <f>SUMIFS(Данные!$M$3:$M$1893,Данные!$I$3:$I$1893,'Вариант 1'!$D$3,Данные!$K$3:$K$1893,'Вариант 1'!$D47)</f>
        <v>3968.6054956178609</v>
      </c>
      <c r="F47" s="28"/>
      <c r="G47" s="28"/>
      <c r="O47" s="20"/>
    </row>
    <row r="48" spans="4:16" x14ac:dyDescent="0.25">
      <c r="D48" s="23" t="s">
        <v>16</v>
      </c>
      <c r="E48" s="38">
        <f>SUMIFS(Данные!$M$3:$M$1893,Данные!$I$3:$I$1893,'Вариант 1'!$D$3,Данные!$K$3:$K$1893,'Вариант 1'!$D48)</f>
        <v>6046.5342817912433</v>
      </c>
      <c r="F48" s="28"/>
      <c r="G48" s="28"/>
      <c r="O48" s="20"/>
    </row>
    <row r="49" spans="4:17" x14ac:dyDescent="0.25">
      <c r="D49" s="23" t="s">
        <v>18</v>
      </c>
      <c r="E49" s="38">
        <f>SUMIFS(Данные!$M$3:$M$1893,Данные!$I$3:$I$1893,'Вариант 1'!$D$3,Данные!$K$3:$K$1893,'Вариант 1'!$D49)</f>
        <v>8043.4864622746163</v>
      </c>
      <c r="F49" s="28"/>
      <c r="G49" s="28"/>
      <c r="O49" s="20"/>
    </row>
    <row r="50" spans="4:17" x14ac:dyDescent="0.25">
      <c r="D50" s="23" t="s">
        <v>20</v>
      </c>
      <c r="E50" s="38">
        <f>SUMIFS(Данные!$M$3:$M$1893,Данные!$I$3:$I$1893,'Вариант 1'!$D$3,Данные!$K$3:$K$1893,'Вариант 1'!$D50)</f>
        <v>4827.2539959100477</v>
      </c>
      <c r="F50" s="28"/>
      <c r="G50" s="28"/>
      <c r="O50" s="20"/>
    </row>
    <row r="51" spans="4:17" x14ac:dyDescent="0.25">
      <c r="D51" s="22" t="s">
        <v>9</v>
      </c>
      <c r="E51" s="38"/>
      <c r="F51" s="28">
        <f xml:space="preserve"> SUMIFS(Данные!M3:M1893,Данные!I3:I1893,'Вариант 1'!D51,Данные!T3:T1893,1)</f>
        <v>2666.5922859878051</v>
      </c>
      <c r="G51" s="28">
        <f>SUMIFS(Данные!$L$3:$L$1893,Данные!$I$3:$I$1893,'Вариант 1'!D51,Данные!$V$3:$V$1893,1)/COUNTIFS(Данные!$I$3:$I$1893,'Вариант 1'!D51,Данные!$V$3:$V$1893,1)</f>
        <v>40.428571428571431</v>
      </c>
      <c r="O51" s="20"/>
    </row>
    <row r="52" spans="4:17" x14ac:dyDescent="0.25">
      <c r="D52" s="23" t="s">
        <v>17</v>
      </c>
      <c r="E52" s="38">
        <f>SUMIFS(Данные!$M$3:$M$1893,Данные!$I$3:$I$1893,'Вариант 1'!$D$3,Данные!$K$3:$K$1893,'Вариант 1'!$D52)</f>
        <v>5675.6500450862495</v>
      </c>
      <c r="F52" s="28"/>
      <c r="G52" s="28"/>
      <c r="O52" s="20"/>
    </row>
    <row r="53" spans="4:17" x14ac:dyDescent="0.25">
      <c r="D53" s="23" t="s">
        <v>19</v>
      </c>
      <c r="E53" s="38">
        <f>SUMIFS(Данные!$M$3:$M$1893,Данные!$I$3:$I$1893,'Вариант 1'!$D$3,Данные!$K$3:$K$1893,'Вариант 1'!$D53)</f>
        <v>3968.6054956178609</v>
      </c>
      <c r="F53" s="28"/>
      <c r="G53" s="28"/>
      <c r="O53" s="20"/>
    </row>
    <row r="54" spans="4:17" x14ac:dyDescent="0.25">
      <c r="D54" s="23" t="s">
        <v>16</v>
      </c>
      <c r="E54" s="38">
        <f>SUMIFS(Данные!$M$3:$M$1893,Данные!$I$3:$I$1893,'Вариант 1'!$D$3,Данные!$K$3:$K$1893,'Вариант 1'!$D54)</f>
        <v>6046.5342817912433</v>
      </c>
      <c r="F54" s="28"/>
      <c r="G54" s="28"/>
      <c r="O54" s="20"/>
    </row>
    <row r="55" spans="4:17" x14ac:dyDescent="0.25">
      <c r="D55" s="23" t="s">
        <v>18</v>
      </c>
      <c r="E55" s="38">
        <f>SUMIFS(Данные!$M$3:$M$1893,Данные!$I$3:$I$1893,'Вариант 1'!$D$3,Данные!$K$3:$K$1893,'Вариант 1'!$D55)</f>
        <v>8043.4864622746163</v>
      </c>
      <c r="F55" s="28"/>
      <c r="G55" s="28"/>
      <c r="O55" s="20"/>
    </row>
    <row r="56" spans="4:17" x14ac:dyDescent="0.25">
      <c r="D56" s="23" t="s">
        <v>20</v>
      </c>
      <c r="E56" s="38">
        <f>SUMIFS(Данные!$M$3:$M$1893,Данные!$I$3:$I$1893,'Вариант 1'!$D$3,Данные!$K$3:$K$1893,'Вариант 1'!$D56)</f>
        <v>4827.2539959100477</v>
      </c>
      <c r="F56" s="28"/>
      <c r="G56" s="28"/>
      <c r="O56" s="20"/>
    </row>
    <row r="57" spans="4:17" x14ac:dyDescent="0.25">
      <c r="D57" s="27" t="s">
        <v>25</v>
      </c>
      <c r="E57" s="39"/>
      <c r="O57" s="20"/>
    </row>
    <row r="58" spans="4:17" x14ac:dyDescent="0.25">
      <c r="D58" s="19"/>
      <c r="E58" s="39"/>
      <c r="O58" s="20"/>
    </row>
    <row r="59" spans="4:17" x14ac:dyDescent="0.25">
      <c r="H59" s="44"/>
      <c r="I59" s="44"/>
      <c r="J59" s="44"/>
      <c r="K59" s="44"/>
      <c r="L59" s="44"/>
      <c r="M59" s="44"/>
      <c r="N59" s="44"/>
      <c r="O59" s="44"/>
      <c r="P59" s="44"/>
      <c r="Q59" s="44"/>
    </row>
    <row r="60" spans="4:17" ht="13.2" customHeight="1" x14ac:dyDescent="0.25">
      <c r="H60" s="44"/>
      <c r="I60" s="43"/>
      <c r="J60" s="43"/>
      <c r="K60" s="43"/>
      <c r="L60" s="43"/>
      <c r="M60" s="44"/>
      <c r="N60" s="44"/>
      <c r="O60" s="44"/>
      <c r="P60" s="44"/>
      <c r="Q60" s="44"/>
    </row>
    <row r="61" spans="4:17" ht="13.2" customHeight="1" x14ac:dyDescent="0.25">
      <c r="H61" s="44"/>
      <c r="I61" s="44"/>
      <c r="J61" s="45"/>
      <c r="K61" s="44"/>
      <c r="L61" s="44"/>
      <c r="M61" s="44"/>
      <c r="N61" s="44"/>
      <c r="O61" s="44"/>
      <c r="P61" s="44"/>
      <c r="Q61" s="44"/>
    </row>
    <row r="62" spans="4:17" x14ac:dyDescent="0.25">
      <c r="H62" s="44"/>
      <c r="I62" s="44"/>
      <c r="J62" s="45"/>
      <c r="K62" s="44"/>
      <c r="L62" s="44"/>
      <c r="M62" s="44"/>
      <c r="N62" s="44"/>
      <c r="O62" s="44"/>
      <c r="P62" s="44"/>
      <c r="Q62" s="44"/>
    </row>
    <row r="63" spans="4:17" x14ac:dyDescent="0.25">
      <c r="H63" s="44"/>
      <c r="I63" s="44"/>
      <c r="J63" s="45"/>
      <c r="K63" s="44"/>
      <c r="L63" s="44"/>
      <c r="M63" s="44"/>
      <c r="N63" s="44"/>
      <c r="O63" s="44"/>
      <c r="P63" s="44"/>
      <c r="Q63" s="44"/>
    </row>
    <row r="64" spans="4:17" x14ac:dyDescent="0.25">
      <c r="H64" s="44"/>
      <c r="I64" s="44"/>
      <c r="J64" s="45"/>
      <c r="K64" s="45"/>
      <c r="L64" s="44"/>
      <c r="M64" s="44"/>
      <c r="N64" s="44"/>
      <c r="O64" s="44"/>
      <c r="P64" s="44"/>
      <c r="Q64" s="44"/>
    </row>
    <row r="65" spans="8:17" x14ac:dyDescent="0.25">
      <c r="H65" s="44"/>
      <c r="I65" s="44"/>
      <c r="J65" s="45"/>
      <c r="K65" s="45"/>
      <c r="L65" s="45"/>
      <c r="M65" s="44"/>
      <c r="N65" s="44"/>
      <c r="O65" s="44"/>
      <c r="P65" s="44"/>
      <c r="Q65" s="44"/>
    </row>
    <row r="66" spans="8:17" x14ac:dyDescent="0.25">
      <c r="H66" s="44"/>
      <c r="I66" s="44"/>
      <c r="J66" s="45"/>
      <c r="K66" s="45"/>
      <c r="L66" s="45"/>
      <c r="M66" s="44"/>
      <c r="N66" s="44"/>
      <c r="O66" s="44"/>
      <c r="P66" s="44"/>
      <c r="Q66" s="44"/>
    </row>
    <row r="67" spans="8:17" x14ac:dyDescent="0.25">
      <c r="H67" s="44"/>
      <c r="I67" s="44"/>
      <c r="J67" s="45"/>
      <c r="K67" s="45"/>
      <c r="L67" s="45"/>
      <c r="M67" s="44"/>
      <c r="N67" s="44"/>
      <c r="O67" s="44"/>
      <c r="P67" s="44"/>
      <c r="Q67" s="44"/>
    </row>
    <row r="68" spans="8:17" x14ac:dyDescent="0.25">
      <c r="H68" s="44"/>
      <c r="I68" s="44"/>
      <c r="J68" s="45"/>
      <c r="K68" s="45"/>
      <c r="L68" s="45"/>
      <c r="M68" s="44"/>
      <c r="N68" s="44"/>
      <c r="O68" s="44"/>
      <c r="P68" s="44"/>
      <c r="Q68" s="44"/>
    </row>
    <row r="69" spans="8:17" x14ac:dyDescent="0.25">
      <c r="H69" s="44"/>
      <c r="I69" s="44"/>
      <c r="J69" s="45"/>
      <c r="K69" s="45"/>
      <c r="L69" s="45"/>
      <c r="M69" s="44"/>
      <c r="N69" s="44"/>
      <c r="O69" s="44"/>
      <c r="P69" s="44"/>
      <c r="Q69" s="44"/>
    </row>
    <row r="70" spans="8:17" x14ac:dyDescent="0.25">
      <c r="H70" s="44"/>
      <c r="I70" s="44"/>
      <c r="J70" s="45"/>
      <c r="K70" s="45"/>
      <c r="L70" s="45"/>
      <c r="M70" s="44"/>
      <c r="N70" s="44"/>
      <c r="O70" s="44"/>
      <c r="P70" s="44"/>
      <c r="Q70" s="44"/>
    </row>
    <row r="71" spans="8:17" x14ac:dyDescent="0.25">
      <c r="H71" s="44"/>
      <c r="I71" s="44"/>
      <c r="J71" s="45"/>
      <c r="K71" s="45"/>
      <c r="L71" s="45"/>
      <c r="M71" s="44"/>
      <c r="N71" s="44"/>
      <c r="O71" s="44"/>
      <c r="P71" s="44"/>
      <c r="Q71" s="44"/>
    </row>
    <row r="72" spans="8:17" x14ac:dyDescent="0.25">
      <c r="H72" s="44"/>
      <c r="I72" s="44"/>
      <c r="J72" s="45"/>
      <c r="K72" s="45"/>
      <c r="L72" s="45"/>
      <c r="M72" s="44"/>
      <c r="N72" s="44"/>
      <c r="O72" s="44"/>
      <c r="P72" s="44"/>
      <c r="Q72" s="44"/>
    </row>
    <row r="73" spans="8:17" x14ac:dyDescent="0.25">
      <c r="H73" s="44"/>
      <c r="I73" s="44"/>
      <c r="J73" s="45"/>
      <c r="K73" s="45"/>
      <c r="L73" s="45"/>
      <c r="M73" s="44"/>
      <c r="N73" s="44"/>
      <c r="O73" s="44"/>
      <c r="P73" s="44"/>
      <c r="Q73" s="44"/>
    </row>
    <row r="74" spans="8:17" x14ac:dyDescent="0.25">
      <c r="H74" s="44"/>
      <c r="I74" s="44"/>
      <c r="J74" s="45"/>
      <c r="K74" s="44"/>
      <c r="L74" s="45"/>
      <c r="M74" s="44"/>
      <c r="N74" s="44"/>
      <c r="O74" s="44"/>
      <c r="P74" s="44"/>
      <c r="Q74" s="44"/>
    </row>
    <row r="75" spans="8:17" x14ac:dyDescent="0.25">
      <c r="H75" s="44"/>
      <c r="I75" s="44"/>
      <c r="J75" s="45"/>
      <c r="K75" s="44"/>
      <c r="L75" s="45"/>
      <c r="M75" s="44"/>
      <c r="N75" s="44"/>
      <c r="O75" s="44"/>
      <c r="P75" s="44"/>
      <c r="Q75" s="44"/>
    </row>
    <row r="76" spans="8:17" x14ac:dyDescent="0.25">
      <c r="H76" s="44"/>
      <c r="I76" s="44"/>
      <c r="J76" s="45"/>
      <c r="K76" s="45"/>
      <c r="L76" s="45"/>
      <c r="M76" s="44"/>
      <c r="N76" s="44"/>
      <c r="O76" s="44"/>
      <c r="P76" s="44"/>
      <c r="Q76" s="44"/>
    </row>
    <row r="77" spans="8:17" x14ac:dyDescent="0.25">
      <c r="H77" s="44"/>
      <c r="I77" s="44"/>
      <c r="J77" s="45"/>
      <c r="K77" s="45"/>
      <c r="L77" s="45"/>
      <c r="M77" s="44"/>
      <c r="N77" s="44"/>
      <c r="O77" s="44"/>
      <c r="P77" s="44"/>
      <c r="Q77" s="44"/>
    </row>
    <row r="78" spans="8:17" x14ac:dyDescent="0.25">
      <c r="H78" s="44"/>
      <c r="I78" s="44"/>
      <c r="J78" s="45"/>
      <c r="K78" s="45"/>
      <c r="L78" s="45"/>
      <c r="M78" s="44"/>
      <c r="N78" s="44"/>
      <c r="O78" s="44"/>
      <c r="P78" s="44"/>
      <c r="Q78" s="44"/>
    </row>
    <row r="79" spans="8:17" x14ac:dyDescent="0.25">
      <c r="H79" s="44"/>
      <c r="I79" s="44"/>
      <c r="J79" s="45"/>
      <c r="K79" s="44"/>
      <c r="L79" s="44"/>
      <c r="M79" s="44"/>
      <c r="N79" s="44"/>
      <c r="O79" s="44"/>
      <c r="P79" s="44"/>
      <c r="Q79" s="44"/>
    </row>
    <row r="80" spans="8:17" x14ac:dyDescent="0.25">
      <c r="H80" s="44"/>
      <c r="I80" s="44"/>
      <c r="J80" s="45"/>
      <c r="K80" s="45"/>
      <c r="L80" s="45"/>
      <c r="M80" s="45"/>
      <c r="N80" s="44"/>
      <c r="O80" s="44"/>
      <c r="P80" s="44"/>
      <c r="Q80" s="44"/>
    </row>
    <row r="81" spans="8:17" x14ac:dyDescent="0.25">
      <c r="H81" s="44"/>
      <c r="I81" s="44"/>
      <c r="J81" s="45"/>
      <c r="K81" s="44"/>
      <c r="L81" s="45"/>
      <c r="M81" s="45"/>
      <c r="N81" s="44"/>
      <c r="O81" s="44"/>
      <c r="P81" s="44"/>
      <c r="Q81" s="44"/>
    </row>
    <row r="82" spans="8:17" x14ac:dyDescent="0.25">
      <c r="H82" s="44"/>
      <c r="I82" s="44"/>
      <c r="J82" s="45"/>
      <c r="K82" s="45"/>
      <c r="L82" s="45"/>
      <c r="M82" s="45"/>
      <c r="N82" s="44"/>
      <c r="O82" s="44"/>
      <c r="P82" s="44"/>
      <c r="Q82" s="44"/>
    </row>
    <row r="83" spans="8:17" x14ac:dyDescent="0.25">
      <c r="H83" s="44"/>
      <c r="I83" s="44"/>
      <c r="J83" s="45"/>
      <c r="K83" s="45"/>
      <c r="L83" s="45"/>
      <c r="M83" s="44"/>
      <c r="N83" s="44"/>
      <c r="O83" s="44"/>
      <c r="P83" s="44"/>
      <c r="Q83" s="44"/>
    </row>
    <row r="84" spans="8:17" x14ac:dyDescent="0.25">
      <c r="H84" s="44"/>
      <c r="I84" s="44"/>
      <c r="J84" s="45"/>
      <c r="K84" s="45"/>
      <c r="L84" s="45"/>
      <c r="M84" s="44"/>
      <c r="N84" s="44"/>
      <c r="O84" s="44"/>
      <c r="P84" s="44"/>
      <c r="Q84" s="44"/>
    </row>
    <row r="85" spans="8:17" x14ac:dyDescent="0.25">
      <c r="H85" s="44"/>
      <c r="I85" s="44"/>
      <c r="J85" s="45"/>
      <c r="K85" s="45"/>
      <c r="L85" s="45"/>
      <c r="M85" s="44"/>
      <c r="N85" s="44"/>
      <c r="O85" s="44"/>
      <c r="P85" s="44"/>
      <c r="Q85" s="44"/>
    </row>
    <row r="86" spans="8:17" x14ac:dyDescent="0.25">
      <c r="H86" s="44"/>
      <c r="I86" s="44"/>
      <c r="J86" s="45"/>
      <c r="K86" s="45"/>
      <c r="L86" s="45"/>
      <c r="M86" s="44"/>
      <c r="N86" s="44"/>
      <c r="O86" s="44"/>
      <c r="P86" s="44"/>
      <c r="Q86" s="44"/>
    </row>
    <row r="87" spans="8:17" x14ac:dyDescent="0.25">
      <c r="H87" s="44"/>
      <c r="I87" s="44"/>
      <c r="J87" s="45"/>
      <c r="K87" s="44"/>
      <c r="L87" s="45"/>
      <c r="M87" s="44"/>
      <c r="N87" s="44"/>
      <c r="O87" s="44"/>
      <c r="P87" s="44"/>
      <c r="Q87" s="44"/>
    </row>
    <row r="88" spans="8:17" x14ac:dyDescent="0.25">
      <c r="H88" s="44"/>
      <c r="I88" s="44"/>
      <c r="J88" s="45"/>
      <c r="K88" s="45"/>
      <c r="L88" s="45"/>
      <c r="M88" s="44"/>
      <c r="N88" s="44"/>
      <c r="O88" s="44"/>
      <c r="P88" s="44"/>
      <c r="Q88" s="44"/>
    </row>
    <row r="89" spans="8:17" x14ac:dyDescent="0.25">
      <c r="H89" s="44"/>
      <c r="I89" s="44"/>
      <c r="J89" s="45"/>
      <c r="K89" s="45"/>
      <c r="L89" s="45"/>
      <c r="M89" s="44"/>
      <c r="N89" s="44"/>
      <c r="O89" s="44"/>
      <c r="P89" s="44"/>
      <c r="Q89" s="44"/>
    </row>
    <row r="90" spans="8:17" x14ac:dyDescent="0.25">
      <c r="H90" s="44"/>
      <c r="I90" s="44"/>
      <c r="J90" s="45"/>
      <c r="K90" s="45"/>
      <c r="L90" s="45"/>
      <c r="M90" s="44"/>
      <c r="N90" s="44"/>
      <c r="O90" s="44"/>
      <c r="P90" s="44"/>
      <c r="Q90" s="44"/>
    </row>
    <row r="91" spans="8:17" x14ac:dyDescent="0.25">
      <c r="H91" s="44"/>
      <c r="I91" s="44"/>
      <c r="J91" s="45"/>
      <c r="K91" s="45"/>
      <c r="L91" s="45"/>
      <c r="M91" s="44"/>
      <c r="N91" s="44"/>
      <c r="O91" s="44"/>
      <c r="P91" s="44"/>
      <c r="Q91" s="44"/>
    </row>
    <row r="92" spans="8:17" x14ac:dyDescent="0.25">
      <c r="H92" s="44"/>
      <c r="I92" s="44"/>
      <c r="J92" s="45"/>
      <c r="K92" s="45"/>
      <c r="L92" s="45"/>
      <c r="M92" s="44"/>
      <c r="N92" s="44"/>
      <c r="O92" s="44"/>
      <c r="P92" s="44"/>
      <c r="Q92" s="44"/>
    </row>
    <row r="93" spans="8:17" x14ac:dyDescent="0.25">
      <c r="H93" s="44"/>
      <c r="I93" s="44"/>
      <c r="J93" s="45"/>
      <c r="K93" s="45"/>
      <c r="L93" s="45"/>
      <c r="M93" s="44"/>
      <c r="N93" s="44"/>
      <c r="O93" s="44"/>
      <c r="P93" s="44"/>
      <c r="Q93" s="44"/>
    </row>
    <row r="94" spans="8:17" x14ac:dyDescent="0.25">
      <c r="H94" s="44"/>
      <c r="I94" s="44"/>
      <c r="J94" s="45"/>
      <c r="K94" s="44"/>
      <c r="L94" s="45"/>
      <c r="M94" s="44"/>
      <c r="N94" s="44"/>
      <c r="O94" s="44"/>
      <c r="P94" s="44"/>
      <c r="Q94" s="44"/>
    </row>
    <row r="95" spans="8:17" x14ac:dyDescent="0.25">
      <c r="H95" s="44"/>
      <c r="I95" s="44"/>
      <c r="J95" s="45"/>
      <c r="K95" s="45"/>
      <c r="L95" s="45"/>
      <c r="M95" s="44"/>
      <c r="N95" s="44"/>
      <c r="O95" s="44"/>
      <c r="P95" s="44"/>
      <c r="Q95" s="44"/>
    </row>
    <row r="96" spans="8:17" x14ac:dyDescent="0.25">
      <c r="H96" s="44"/>
      <c r="I96" s="44"/>
      <c r="J96" s="45"/>
      <c r="K96" s="45"/>
      <c r="L96" s="45"/>
      <c r="M96" s="44"/>
      <c r="N96" s="44"/>
      <c r="O96" s="44"/>
      <c r="P96" s="44"/>
      <c r="Q96" s="44"/>
    </row>
    <row r="97" spans="8:17" x14ac:dyDescent="0.25">
      <c r="H97" s="44"/>
      <c r="I97" s="44"/>
      <c r="J97" s="45"/>
      <c r="K97" s="45"/>
      <c r="L97" s="45"/>
      <c r="M97" s="44"/>
      <c r="N97" s="44"/>
      <c r="O97" s="44"/>
      <c r="P97" s="44"/>
      <c r="Q97" s="44"/>
    </row>
    <row r="98" spans="8:17" x14ac:dyDescent="0.25">
      <c r="H98" s="44"/>
      <c r="I98" s="44"/>
      <c r="J98" s="45"/>
      <c r="K98" s="44"/>
      <c r="L98" s="45"/>
      <c r="M98" s="44"/>
      <c r="N98" s="44"/>
      <c r="O98" s="44"/>
      <c r="P98" s="44"/>
      <c r="Q98" s="44"/>
    </row>
    <row r="99" spans="8:17" x14ac:dyDescent="0.25">
      <c r="H99" s="44"/>
      <c r="I99" s="44"/>
      <c r="J99" s="45"/>
      <c r="K99" s="45"/>
      <c r="L99" s="45"/>
      <c r="M99" s="44"/>
      <c r="N99" s="44"/>
      <c r="O99" s="44"/>
      <c r="P99" s="44"/>
      <c r="Q99" s="44"/>
    </row>
    <row r="100" spans="8:17" x14ac:dyDescent="0.25">
      <c r="H100" s="44"/>
      <c r="I100" s="44"/>
      <c r="J100" s="45"/>
      <c r="K100" s="45"/>
      <c r="L100" s="45"/>
      <c r="M100" s="44"/>
      <c r="N100" s="44"/>
      <c r="O100" s="44"/>
      <c r="P100" s="44"/>
      <c r="Q100" s="44"/>
    </row>
    <row r="101" spans="8:17" x14ac:dyDescent="0.25">
      <c r="H101" s="44"/>
      <c r="I101" s="44"/>
      <c r="J101" s="45"/>
      <c r="K101" s="45"/>
      <c r="L101" s="45"/>
      <c r="M101" s="44"/>
      <c r="N101" s="44"/>
      <c r="O101" s="44"/>
      <c r="P101" s="44"/>
      <c r="Q101" s="44"/>
    </row>
    <row r="102" spans="8:17" x14ac:dyDescent="0.25">
      <c r="H102" s="44"/>
      <c r="I102" s="44"/>
      <c r="J102" s="45"/>
      <c r="K102" s="45"/>
      <c r="L102" s="45"/>
      <c r="M102" s="44"/>
      <c r="N102" s="44"/>
      <c r="O102" s="44"/>
      <c r="P102" s="44"/>
      <c r="Q102" s="44"/>
    </row>
    <row r="103" spans="8:17" x14ac:dyDescent="0.25">
      <c r="H103" s="44"/>
      <c r="I103" s="44"/>
      <c r="J103" s="45"/>
      <c r="K103" s="45"/>
      <c r="L103" s="45"/>
      <c r="M103" s="44"/>
      <c r="N103" s="44"/>
      <c r="O103" s="44"/>
      <c r="P103" s="44"/>
      <c r="Q103" s="44"/>
    </row>
    <row r="104" spans="8:17" x14ac:dyDescent="0.25">
      <c r="H104" s="44"/>
      <c r="I104" s="44"/>
      <c r="J104" s="45"/>
      <c r="K104" s="45"/>
      <c r="L104" s="45"/>
      <c r="M104" s="44"/>
      <c r="N104" s="44"/>
      <c r="O104" s="44"/>
      <c r="P104" s="44"/>
      <c r="Q104" s="44"/>
    </row>
    <row r="105" spans="8:17" x14ac:dyDescent="0.25">
      <c r="H105" s="44"/>
      <c r="I105" s="44"/>
      <c r="J105" s="45"/>
      <c r="K105" s="45"/>
      <c r="L105" s="45"/>
      <c r="M105" s="44"/>
      <c r="N105" s="44"/>
      <c r="O105" s="44"/>
      <c r="P105" s="44"/>
      <c r="Q105" s="44"/>
    </row>
    <row r="106" spans="8:17" x14ac:dyDescent="0.25">
      <c r="H106" s="44"/>
      <c r="I106" s="44"/>
      <c r="J106" s="45"/>
      <c r="K106" s="45"/>
      <c r="L106" s="45"/>
      <c r="M106" s="44"/>
      <c r="N106" s="44"/>
      <c r="O106" s="44"/>
      <c r="P106" s="44"/>
      <c r="Q106" s="44"/>
    </row>
    <row r="107" spans="8:17" x14ac:dyDescent="0.25">
      <c r="H107" s="44"/>
      <c r="I107" s="44"/>
      <c r="J107" s="45"/>
      <c r="K107" s="45"/>
      <c r="L107" s="45"/>
      <c r="M107" s="44"/>
      <c r="N107" s="44"/>
      <c r="O107" s="44"/>
      <c r="P107" s="44"/>
      <c r="Q107" s="44"/>
    </row>
    <row r="108" spans="8:17" x14ac:dyDescent="0.25">
      <c r="H108" s="44"/>
      <c r="I108" s="44"/>
      <c r="J108" s="45"/>
      <c r="K108" s="45"/>
      <c r="L108" s="45"/>
      <c r="M108" s="44"/>
      <c r="N108" s="44"/>
      <c r="O108" s="44"/>
      <c r="P108" s="44"/>
      <c r="Q108" s="44"/>
    </row>
    <row r="109" spans="8:17" x14ac:dyDescent="0.25">
      <c r="H109" s="44"/>
      <c r="I109" s="44"/>
      <c r="J109" s="45"/>
      <c r="K109" s="45"/>
      <c r="L109" s="45"/>
      <c r="M109" s="44"/>
      <c r="N109" s="44"/>
      <c r="O109" s="44"/>
      <c r="P109" s="44"/>
      <c r="Q109" s="44"/>
    </row>
    <row r="110" spans="8:17" x14ac:dyDescent="0.25">
      <c r="H110" s="44"/>
      <c r="I110" s="44"/>
      <c r="J110" s="45"/>
      <c r="K110" s="45"/>
      <c r="L110" s="45"/>
      <c r="M110" s="44"/>
      <c r="N110" s="44"/>
      <c r="O110" s="44"/>
      <c r="P110" s="44"/>
      <c r="Q110" s="44"/>
    </row>
    <row r="111" spans="8:17" x14ac:dyDescent="0.25">
      <c r="H111" s="44"/>
      <c r="I111" s="44"/>
      <c r="J111" s="45"/>
      <c r="K111" s="45"/>
      <c r="L111" s="45"/>
      <c r="M111" s="44"/>
      <c r="N111" s="44"/>
      <c r="O111" s="44"/>
      <c r="P111" s="44"/>
      <c r="Q111" s="44"/>
    </row>
    <row r="112" spans="8:17" x14ac:dyDescent="0.25">
      <c r="H112" s="44"/>
      <c r="I112" s="44"/>
      <c r="J112" s="45"/>
      <c r="K112" s="45"/>
      <c r="L112" s="45"/>
      <c r="M112" s="44"/>
      <c r="N112" s="44"/>
      <c r="O112" s="44"/>
      <c r="P112" s="44"/>
      <c r="Q112" s="44"/>
    </row>
    <row r="113" spans="8:17" x14ac:dyDescent="0.25">
      <c r="H113" s="44"/>
      <c r="I113" s="44"/>
      <c r="J113" s="45"/>
      <c r="K113" s="45"/>
      <c r="L113" s="45"/>
      <c r="M113" s="44"/>
      <c r="N113" s="44"/>
      <c r="O113" s="44"/>
      <c r="P113" s="44"/>
      <c r="Q113" s="44"/>
    </row>
    <row r="114" spans="8:17" x14ac:dyDescent="0.25">
      <c r="H114" s="44"/>
      <c r="I114" s="44"/>
      <c r="J114" s="45"/>
      <c r="K114" s="45"/>
      <c r="L114" s="45"/>
      <c r="M114" s="44"/>
      <c r="N114" s="44"/>
      <c r="O114" s="44"/>
      <c r="P114" s="44"/>
      <c r="Q114" s="44"/>
    </row>
    <row r="115" spans="8:17" x14ac:dyDescent="0.25">
      <c r="H115" s="44"/>
      <c r="I115" s="44"/>
      <c r="J115" s="45"/>
      <c r="K115" s="45"/>
      <c r="L115" s="45"/>
      <c r="M115" s="44"/>
      <c r="N115" s="44"/>
      <c r="O115" s="44"/>
      <c r="P115" s="44"/>
      <c r="Q115" s="44"/>
    </row>
    <row r="116" spans="8:17" x14ac:dyDescent="0.25">
      <c r="H116" s="44"/>
      <c r="I116" s="44"/>
      <c r="J116" s="45"/>
      <c r="K116" s="45"/>
      <c r="L116" s="45"/>
      <c r="M116" s="44"/>
      <c r="N116" s="44"/>
      <c r="O116" s="44"/>
      <c r="P116" s="44"/>
      <c r="Q116" s="44"/>
    </row>
    <row r="117" spans="8:17" x14ac:dyDescent="0.25">
      <c r="H117" s="44"/>
      <c r="I117" s="44"/>
      <c r="J117" s="45"/>
      <c r="K117" s="45"/>
      <c r="L117" s="45"/>
      <c r="M117" s="44"/>
      <c r="N117" s="44"/>
      <c r="O117" s="44"/>
      <c r="P117" s="44"/>
      <c r="Q117" s="44"/>
    </row>
    <row r="118" spans="8:17" x14ac:dyDescent="0.25">
      <c r="H118" s="44"/>
      <c r="I118" s="44"/>
      <c r="J118" s="45"/>
      <c r="K118" s="45"/>
      <c r="L118" s="45"/>
      <c r="M118" s="44"/>
      <c r="N118" s="44"/>
      <c r="O118" s="44"/>
      <c r="P118" s="44"/>
      <c r="Q118" s="44"/>
    </row>
    <row r="119" spans="8:17" x14ac:dyDescent="0.25">
      <c r="H119" s="44"/>
      <c r="I119" s="44"/>
      <c r="J119" s="45"/>
      <c r="K119" s="45"/>
      <c r="L119" s="45"/>
      <c r="M119" s="44"/>
      <c r="N119" s="44"/>
      <c r="O119" s="44"/>
      <c r="P119" s="44"/>
      <c r="Q119" s="44"/>
    </row>
    <row r="120" spans="8:17" x14ac:dyDescent="0.25">
      <c r="H120" s="44"/>
      <c r="I120" s="44"/>
      <c r="J120" s="45"/>
      <c r="K120" s="45"/>
      <c r="L120" s="45"/>
      <c r="M120" s="44"/>
      <c r="N120" s="44"/>
      <c r="O120" s="44"/>
      <c r="P120" s="44"/>
      <c r="Q120" s="44"/>
    </row>
    <row r="121" spans="8:17" x14ac:dyDescent="0.25">
      <c r="H121" s="44"/>
      <c r="I121" s="44"/>
      <c r="J121" s="45"/>
      <c r="K121" s="45"/>
      <c r="L121" s="45"/>
      <c r="M121" s="44"/>
      <c r="N121" s="44"/>
      <c r="O121" s="44"/>
      <c r="P121" s="44"/>
      <c r="Q121" s="44"/>
    </row>
    <row r="122" spans="8:17" x14ac:dyDescent="0.25">
      <c r="H122" s="44"/>
      <c r="I122" s="44"/>
      <c r="J122" s="45"/>
      <c r="K122" s="45"/>
      <c r="L122" s="45"/>
      <c r="M122" s="44"/>
      <c r="N122" s="44"/>
      <c r="O122" s="44"/>
      <c r="P122" s="44"/>
      <c r="Q122" s="44"/>
    </row>
    <row r="123" spans="8:17" x14ac:dyDescent="0.25">
      <c r="H123" s="44"/>
      <c r="I123" s="44"/>
      <c r="J123" s="45"/>
      <c r="K123" s="45"/>
      <c r="L123" s="45"/>
      <c r="M123" s="44"/>
      <c r="N123" s="44"/>
      <c r="O123" s="44"/>
      <c r="P123" s="44"/>
      <c r="Q123" s="44"/>
    </row>
    <row r="124" spans="8:17" x14ac:dyDescent="0.25">
      <c r="H124" s="44"/>
      <c r="I124" s="44"/>
      <c r="J124" s="45"/>
      <c r="K124" s="45"/>
      <c r="L124" s="45"/>
      <c r="M124" s="44"/>
      <c r="N124" s="44"/>
      <c r="O124" s="44"/>
      <c r="P124" s="44"/>
      <c r="Q124" s="44"/>
    </row>
    <row r="125" spans="8:17" x14ac:dyDescent="0.25">
      <c r="H125" s="44"/>
      <c r="I125" s="44"/>
      <c r="J125" s="45"/>
      <c r="K125" s="45"/>
      <c r="L125" s="45"/>
      <c r="M125" s="44"/>
      <c r="N125" s="44"/>
      <c r="O125" s="44"/>
      <c r="P125" s="44"/>
      <c r="Q125" s="44"/>
    </row>
    <row r="126" spans="8:17" x14ac:dyDescent="0.25">
      <c r="H126" s="44"/>
      <c r="I126" s="44"/>
      <c r="J126" s="45"/>
      <c r="K126" s="45"/>
      <c r="L126" s="45"/>
      <c r="M126" s="44"/>
      <c r="N126" s="44"/>
      <c r="O126" s="44"/>
      <c r="P126" s="44"/>
      <c r="Q126" s="44"/>
    </row>
    <row r="127" spans="8:17" x14ac:dyDescent="0.25">
      <c r="H127" s="44"/>
      <c r="I127" s="44"/>
      <c r="J127" s="45"/>
      <c r="K127" s="45"/>
      <c r="L127" s="45"/>
      <c r="M127" s="44"/>
      <c r="N127" s="44"/>
      <c r="O127" s="44"/>
      <c r="P127" s="44"/>
      <c r="Q127" s="44"/>
    </row>
    <row r="128" spans="8:17" x14ac:dyDescent="0.25">
      <c r="H128" s="44"/>
      <c r="I128" s="44"/>
      <c r="J128" s="45"/>
      <c r="K128" s="45"/>
      <c r="L128" s="45"/>
      <c r="M128" s="44"/>
      <c r="N128" s="44"/>
      <c r="O128" s="44"/>
      <c r="P128" s="44"/>
      <c r="Q128" s="44"/>
    </row>
    <row r="129" spans="8:17" x14ac:dyDescent="0.25">
      <c r="H129" s="44"/>
      <c r="I129" s="44"/>
      <c r="J129" s="45"/>
      <c r="K129" s="45"/>
      <c r="L129" s="45"/>
      <c r="M129" s="44"/>
      <c r="N129" s="44"/>
      <c r="O129" s="44"/>
      <c r="P129" s="44"/>
      <c r="Q129" s="44"/>
    </row>
    <row r="130" spans="8:17" x14ac:dyDescent="0.25">
      <c r="H130" s="44"/>
      <c r="I130" s="44"/>
      <c r="J130" s="45"/>
      <c r="K130" s="45"/>
      <c r="L130" s="45"/>
      <c r="M130" s="44"/>
      <c r="N130" s="44"/>
      <c r="O130" s="44"/>
      <c r="P130" s="44"/>
      <c r="Q130" s="44"/>
    </row>
    <row r="131" spans="8:17" x14ac:dyDescent="0.25">
      <c r="H131" s="44"/>
      <c r="I131" s="44"/>
      <c r="J131" s="45"/>
      <c r="K131" s="45"/>
      <c r="L131" s="45"/>
      <c r="M131" s="44"/>
      <c r="N131" s="44"/>
      <c r="O131" s="44"/>
      <c r="P131" s="44"/>
      <c r="Q131" s="44"/>
    </row>
    <row r="132" spans="8:17" x14ac:dyDescent="0.25">
      <c r="H132" s="44"/>
      <c r="I132" s="44"/>
      <c r="J132" s="45"/>
      <c r="K132" s="45"/>
      <c r="L132" s="45"/>
      <c r="M132" s="44"/>
      <c r="N132" s="44"/>
      <c r="O132" s="44"/>
      <c r="P132" s="44"/>
      <c r="Q132" s="44"/>
    </row>
    <row r="133" spans="8:17" x14ac:dyDescent="0.25">
      <c r="H133" s="44"/>
      <c r="I133" s="44"/>
      <c r="J133" s="45"/>
      <c r="K133" s="45"/>
      <c r="L133" s="45"/>
      <c r="M133" s="44"/>
      <c r="N133" s="44"/>
      <c r="O133" s="44"/>
      <c r="P133" s="44"/>
      <c r="Q133" s="44"/>
    </row>
    <row r="134" spans="8:17" x14ac:dyDescent="0.25">
      <c r="H134" s="44"/>
      <c r="I134" s="44"/>
      <c r="J134" s="45"/>
      <c r="K134" s="45"/>
      <c r="L134" s="45"/>
      <c r="M134" s="44"/>
      <c r="N134" s="44"/>
      <c r="O134" s="44"/>
      <c r="P134" s="44"/>
      <c r="Q134" s="44"/>
    </row>
    <row r="135" spans="8:17" x14ac:dyDescent="0.25">
      <c r="H135" s="44"/>
      <c r="I135" s="44"/>
      <c r="J135" s="45"/>
      <c r="K135" s="45"/>
      <c r="L135" s="45"/>
      <c r="M135" s="44"/>
      <c r="N135" s="44"/>
      <c r="O135" s="44"/>
      <c r="P135" s="44"/>
      <c r="Q135" s="44"/>
    </row>
    <row r="136" spans="8:17" x14ac:dyDescent="0.25">
      <c r="H136" s="44"/>
      <c r="I136" s="44"/>
      <c r="J136" s="45"/>
      <c r="K136" s="45"/>
      <c r="L136" s="45"/>
      <c r="M136" s="44"/>
      <c r="N136" s="44"/>
      <c r="O136" s="44"/>
      <c r="P136" s="44"/>
      <c r="Q136" s="44"/>
    </row>
    <row r="137" spans="8:17" x14ac:dyDescent="0.25">
      <c r="H137" s="44"/>
      <c r="I137" s="44"/>
      <c r="J137" s="45"/>
      <c r="K137" s="45"/>
      <c r="L137" s="45"/>
      <c r="M137" s="44"/>
      <c r="N137" s="44"/>
      <c r="O137" s="44"/>
      <c r="P137" s="44"/>
      <c r="Q137" s="44"/>
    </row>
    <row r="138" spans="8:17" x14ac:dyDescent="0.25">
      <c r="H138" s="44"/>
      <c r="I138" s="44"/>
      <c r="J138" s="45"/>
      <c r="K138" s="45"/>
      <c r="L138" s="45"/>
      <c r="M138" s="44"/>
      <c r="N138" s="44"/>
      <c r="O138" s="44"/>
      <c r="P138" s="44"/>
      <c r="Q138" s="44"/>
    </row>
    <row r="139" spans="8:17" x14ac:dyDescent="0.25">
      <c r="H139" s="44"/>
      <c r="I139" s="44"/>
      <c r="J139" s="45"/>
      <c r="K139" s="45"/>
      <c r="L139" s="45"/>
      <c r="M139" s="44"/>
      <c r="N139" s="44"/>
      <c r="O139" s="44"/>
      <c r="P139" s="44"/>
      <c r="Q139" s="44"/>
    </row>
    <row r="140" spans="8:17" x14ac:dyDescent="0.25">
      <c r="H140" s="44"/>
      <c r="I140" s="44"/>
      <c r="J140" s="45"/>
      <c r="K140" s="45"/>
      <c r="L140" s="45"/>
      <c r="M140" s="44"/>
      <c r="N140" s="44"/>
      <c r="O140" s="44"/>
      <c r="P140" s="44"/>
      <c r="Q140" s="44"/>
    </row>
    <row r="141" spans="8:17" x14ac:dyDescent="0.25">
      <c r="H141" s="44"/>
      <c r="I141" s="44"/>
      <c r="J141" s="45"/>
      <c r="K141" s="45"/>
      <c r="L141" s="45"/>
      <c r="M141" s="44"/>
      <c r="N141" s="44"/>
      <c r="O141" s="44"/>
      <c r="P141" s="44"/>
      <c r="Q141" s="44"/>
    </row>
    <row r="142" spans="8:17" x14ac:dyDescent="0.25">
      <c r="H142" s="44"/>
      <c r="I142" s="44"/>
      <c r="J142" s="45"/>
      <c r="K142" s="45"/>
      <c r="L142" s="45"/>
      <c r="M142" s="44"/>
      <c r="N142" s="44"/>
      <c r="O142" s="44"/>
      <c r="P142" s="44"/>
      <c r="Q142" s="44"/>
    </row>
    <row r="143" spans="8:17" x14ac:dyDescent="0.25">
      <c r="H143" s="44"/>
      <c r="I143" s="44"/>
      <c r="J143" s="45"/>
      <c r="K143" s="45"/>
      <c r="L143" s="45"/>
      <c r="M143" s="44"/>
      <c r="N143" s="44"/>
      <c r="O143" s="44"/>
      <c r="P143" s="44"/>
      <c r="Q143" s="44"/>
    </row>
    <row r="144" spans="8:17" x14ac:dyDescent="0.25">
      <c r="H144" s="44"/>
      <c r="I144" s="44"/>
      <c r="J144" s="45"/>
      <c r="K144" s="45"/>
      <c r="L144" s="45"/>
      <c r="M144" s="44"/>
      <c r="N144" s="44"/>
      <c r="O144" s="44"/>
      <c r="P144" s="44"/>
      <c r="Q144" s="44"/>
    </row>
    <row r="145" spans="8:17" x14ac:dyDescent="0.25">
      <c r="H145" s="44"/>
      <c r="I145" s="44"/>
      <c r="J145" s="45"/>
      <c r="K145" s="45"/>
      <c r="L145" s="45"/>
      <c r="M145" s="44"/>
      <c r="N145" s="44"/>
      <c r="O145" s="44"/>
      <c r="P145" s="44"/>
      <c r="Q145" s="44"/>
    </row>
    <row r="146" spans="8:17" x14ac:dyDescent="0.25">
      <c r="H146" s="44"/>
      <c r="I146" s="44"/>
      <c r="J146" s="45"/>
      <c r="K146" s="45"/>
      <c r="L146" s="45"/>
      <c r="M146" s="44"/>
      <c r="N146" s="44"/>
      <c r="O146" s="44"/>
      <c r="P146" s="44"/>
      <c r="Q146" s="44"/>
    </row>
    <row r="147" spans="8:17" x14ac:dyDescent="0.25">
      <c r="H147" s="44"/>
      <c r="I147" s="44"/>
      <c r="J147" s="45"/>
      <c r="K147" s="45"/>
      <c r="L147" s="45"/>
      <c r="M147" s="44"/>
      <c r="N147" s="44"/>
      <c r="O147" s="44"/>
      <c r="P147" s="44"/>
      <c r="Q147" s="44"/>
    </row>
    <row r="148" spans="8:17" x14ac:dyDescent="0.25">
      <c r="H148" s="44"/>
      <c r="I148" s="44"/>
      <c r="J148" s="45"/>
      <c r="K148" s="45"/>
      <c r="L148" s="45"/>
      <c r="M148" s="44"/>
      <c r="N148" s="44"/>
      <c r="O148" s="44"/>
      <c r="P148" s="44"/>
      <c r="Q148" s="44"/>
    </row>
    <row r="149" spans="8:17" x14ac:dyDescent="0.25">
      <c r="H149" s="44"/>
      <c r="I149" s="44"/>
      <c r="J149" s="45"/>
      <c r="K149" s="45"/>
      <c r="L149" s="45"/>
      <c r="M149" s="44"/>
      <c r="N149" s="44"/>
      <c r="O149" s="44"/>
      <c r="P149" s="44"/>
      <c r="Q149" s="44"/>
    </row>
    <row r="150" spans="8:17" x14ac:dyDescent="0.25">
      <c r="H150" s="44"/>
      <c r="I150" s="44"/>
      <c r="J150" s="45"/>
      <c r="K150" s="45"/>
      <c r="L150" s="45"/>
      <c r="M150" s="44"/>
      <c r="N150" s="44"/>
      <c r="O150" s="44"/>
      <c r="P150" s="44"/>
      <c r="Q150" s="44"/>
    </row>
    <row r="151" spans="8:17" x14ac:dyDescent="0.25">
      <c r="H151" s="44"/>
      <c r="I151" s="44"/>
      <c r="J151" s="45"/>
      <c r="K151" s="45"/>
      <c r="L151" s="45"/>
      <c r="M151" s="44"/>
      <c r="N151" s="44"/>
      <c r="O151" s="44"/>
      <c r="P151" s="44"/>
      <c r="Q151" s="44"/>
    </row>
    <row r="152" spans="8:17" x14ac:dyDescent="0.25">
      <c r="H152" s="44"/>
      <c r="I152" s="44"/>
      <c r="J152" s="45"/>
      <c r="K152" s="45"/>
      <c r="L152" s="45"/>
      <c r="M152" s="44"/>
      <c r="N152" s="44"/>
      <c r="O152" s="44"/>
      <c r="P152" s="44"/>
      <c r="Q152" s="44"/>
    </row>
    <row r="153" spans="8:17" x14ac:dyDescent="0.25">
      <c r="H153" s="44"/>
      <c r="I153" s="44"/>
      <c r="J153" s="45"/>
      <c r="K153" s="45"/>
      <c r="L153" s="45"/>
      <c r="M153" s="44"/>
      <c r="N153" s="44"/>
      <c r="O153" s="44"/>
      <c r="P153" s="44"/>
      <c r="Q153" s="44"/>
    </row>
    <row r="154" spans="8:17" x14ac:dyDescent="0.25">
      <c r="H154" s="44"/>
      <c r="I154" s="44"/>
      <c r="J154" s="45"/>
      <c r="K154" s="45"/>
      <c r="L154" s="45"/>
      <c r="M154" s="44"/>
      <c r="N154" s="44"/>
      <c r="O154" s="44"/>
      <c r="P154" s="44"/>
      <c r="Q154" s="44"/>
    </row>
    <row r="155" spans="8:17" x14ac:dyDescent="0.25">
      <c r="H155" s="44"/>
      <c r="I155" s="44"/>
      <c r="J155" s="45"/>
      <c r="K155" s="45"/>
      <c r="L155" s="45"/>
      <c r="M155" s="44"/>
      <c r="N155" s="44"/>
      <c r="O155" s="44"/>
      <c r="P155" s="44"/>
      <c r="Q155" s="44"/>
    </row>
    <row r="156" spans="8:17" x14ac:dyDescent="0.25">
      <c r="H156" s="44"/>
      <c r="I156" s="44"/>
      <c r="J156" s="45"/>
      <c r="K156" s="45"/>
      <c r="L156" s="45"/>
      <c r="M156" s="44"/>
      <c r="N156" s="44"/>
      <c r="O156" s="44"/>
      <c r="P156" s="44"/>
      <c r="Q156" s="44"/>
    </row>
    <row r="157" spans="8:17" x14ac:dyDescent="0.25">
      <c r="H157" s="44"/>
      <c r="I157" s="44"/>
      <c r="J157" s="45"/>
      <c r="K157" s="45"/>
      <c r="L157" s="45"/>
      <c r="M157" s="44"/>
      <c r="N157" s="44"/>
      <c r="O157" s="44"/>
      <c r="P157" s="44"/>
      <c r="Q157" s="44"/>
    </row>
    <row r="158" spans="8:17" x14ac:dyDescent="0.25">
      <c r="H158" s="44"/>
      <c r="I158" s="44"/>
      <c r="J158" s="45"/>
      <c r="K158" s="45"/>
      <c r="L158" s="45"/>
      <c r="M158" s="44"/>
      <c r="N158" s="44"/>
      <c r="O158" s="44"/>
      <c r="P158" s="44"/>
      <c r="Q158" s="44"/>
    </row>
    <row r="159" spans="8:17" x14ac:dyDescent="0.25">
      <c r="H159" s="44"/>
      <c r="I159" s="44"/>
      <c r="J159" s="45"/>
      <c r="K159" s="45"/>
      <c r="L159" s="45"/>
      <c r="M159" s="44"/>
      <c r="N159" s="44"/>
      <c r="O159" s="44"/>
      <c r="P159" s="44"/>
      <c r="Q159" s="44"/>
    </row>
    <row r="160" spans="8:17" x14ac:dyDescent="0.25">
      <c r="H160" s="44"/>
      <c r="I160" s="44"/>
      <c r="J160" s="45"/>
      <c r="K160" s="45"/>
      <c r="L160" s="45"/>
      <c r="M160" s="44"/>
      <c r="N160" s="44"/>
      <c r="O160" s="44"/>
      <c r="P160" s="44"/>
      <c r="Q160" s="44"/>
    </row>
    <row r="161" spans="8:17" x14ac:dyDescent="0.25">
      <c r="H161" s="44"/>
      <c r="I161" s="44"/>
      <c r="J161" s="45"/>
      <c r="K161" s="45"/>
      <c r="L161" s="45"/>
      <c r="M161" s="44"/>
      <c r="N161" s="44"/>
      <c r="O161" s="44"/>
      <c r="P161" s="44"/>
      <c r="Q161" s="44"/>
    </row>
    <row r="162" spans="8:17" x14ac:dyDescent="0.25">
      <c r="H162" s="44"/>
      <c r="I162" s="44"/>
      <c r="J162" s="45"/>
      <c r="K162" s="45"/>
      <c r="L162" s="45"/>
      <c r="M162" s="44"/>
      <c r="N162" s="44"/>
      <c r="O162" s="44"/>
      <c r="P162" s="44"/>
      <c r="Q162" s="44"/>
    </row>
    <row r="163" spans="8:17" x14ac:dyDescent="0.25">
      <c r="H163" s="44"/>
      <c r="I163" s="44"/>
      <c r="J163" s="45"/>
      <c r="K163" s="45"/>
      <c r="L163" s="45"/>
      <c r="M163" s="44"/>
      <c r="N163" s="44"/>
      <c r="O163" s="44"/>
      <c r="P163" s="44"/>
      <c r="Q163" s="44"/>
    </row>
    <row r="164" spans="8:17" x14ac:dyDescent="0.25">
      <c r="H164" s="44"/>
      <c r="I164" s="44"/>
      <c r="J164" s="45"/>
      <c r="K164" s="45"/>
      <c r="L164" s="45"/>
      <c r="M164" s="44"/>
      <c r="N164" s="44"/>
      <c r="O164" s="44"/>
      <c r="P164" s="44"/>
      <c r="Q164" s="44"/>
    </row>
    <row r="165" spans="8:17" x14ac:dyDescent="0.25">
      <c r="H165" s="44"/>
      <c r="I165" s="44"/>
      <c r="J165" s="45"/>
      <c r="K165" s="45"/>
      <c r="L165" s="45"/>
      <c r="M165" s="44"/>
      <c r="N165" s="44"/>
      <c r="O165" s="44"/>
      <c r="P165" s="44"/>
      <c r="Q165" s="44"/>
    </row>
    <row r="166" spans="8:17" x14ac:dyDescent="0.25">
      <c r="H166" s="44"/>
      <c r="I166" s="44"/>
      <c r="J166" s="45"/>
      <c r="K166" s="45"/>
      <c r="L166" s="45"/>
      <c r="M166" s="44"/>
      <c r="N166" s="44"/>
      <c r="O166" s="44"/>
      <c r="P166" s="44"/>
      <c r="Q166" s="44"/>
    </row>
    <row r="167" spans="8:17" x14ac:dyDescent="0.25">
      <c r="H167" s="44"/>
      <c r="I167" s="44"/>
      <c r="J167" s="45"/>
      <c r="K167" s="45"/>
      <c r="L167" s="45"/>
      <c r="M167" s="44"/>
      <c r="N167" s="44"/>
      <c r="O167" s="44"/>
      <c r="P167" s="44"/>
      <c r="Q167" s="44"/>
    </row>
    <row r="168" spans="8:17" x14ac:dyDescent="0.25">
      <c r="H168" s="44"/>
      <c r="I168" s="44"/>
      <c r="J168" s="45"/>
      <c r="K168" s="45"/>
      <c r="L168" s="45"/>
      <c r="M168" s="44"/>
      <c r="N168" s="44"/>
      <c r="O168" s="44"/>
      <c r="P168" s="44"/>
      <c r="Q168" s="44"/>
    </row>
    <row r="169" spans="8:17" x14ac:dyDescent="0.25">
      <c r="H169" s="44"/>
      <c r="I169" s="44"/>
      <c r="J169" s="45"/>
      <c r="K169" s="45"/>
      <c r="L169" s="45"/>
      <c r="M169" s="44"/>
      <c r="N169" s="44"/>
      <c r="O169" s="44"/>
      <c r="P169" s="44"/>
      <c r="Q169" s="44"/>
    </row>
    <row r="170" spans="8:17" x14ac:dyDescent="0.25">
      <c r="H170" s="44"/>
      <c r="I170" s="44"/>
      <c r="J170" s="45"/>
      <c r="K170" s="45"/>
      <c r="L170" s="45"/>
      <c r="M170" s="44"/>
      <c r="N170" s="44"/>
      <c r="O170" s="44"/>
      <c r="P170" s="44"/>
      <c r="Q170" s="44"/>
    </row>
    <row r="171" spans="8:17" x14ac:dyDescent="0.25">
      <c r="H171" s="44"/>
      <c r="I171" s="44"/>
      <c r="J171" s="45"/>
      <c r="K171" s="45"/>
      <c r="L171" s="45"/>
      <c r="M171" s="44"/>
      <c r="N171" s="44"/>
      <c r="O171" s="44"/>
      <c r="P171" s="44"/>
      <c r="Q171" s="44"/>
    </row>
    <row r="172" spans="8:17" x14ac:dyDescent="0.25">
      <c r="H172" s="44"/>
      <c r="I172" s="44"/>
      <c r="J172" s="45"/>
      <c r="K172" s="45"/>
      <c r="L172" s="45"/>
      <c r="M172" s="44"/>
      <c r="N172" s="44"/>
      <c r="O172" s="44"/>
      <c r="P172" s="44"/>
      <c r="Q172" s="44"/>
    </row>
    <row r="173" spans="8:17" x14ac:dyDescent="0.25">
      <c r="H173" s="44"/>
      <c r="I173" s="44"/>
      <c r="J173" s="45"/>
      <c r="K173" s="45"/>
      <c r="L173" s="45"/>
      <c r="M173" s="44"/>
      <c r="N173" s="44"/>
      <c r="O173" s="44"/>
      <c r="P173" s="44"/>
      <c r="Q173" s="44"/>
    </row>
    <row r="174" spans="8:17" x14ac:dyDescent="0.25">
      <c r="H174" s="44"/>
      <c r="I174" s="44"/>
      <c r="J174" s="45"/>
      <c r="K174" s="45"/>
      <c r="L174" s="45"/>
      <c r="M174" s="44"/>
      <c r="N174" s="44"/>
      <c r="O174" s="44"/>
      <c r="P174" s="44"/>
      <c r="Q174" s="44"/>
    </row>
    <row r="175" spans="8:17" x14ac:dyDescent="0.25">
      <c r="H175" s="44"/>
      <c r="I175" s="44"/>
      <c r="J175" s="45"/>
      <c r="K175" s="45"/>
      <c r="L175" s="45"/>
      <c r="M175" s="44"/>
      <c r="N175" s="44"/>
      <c r="O175" s="44"/>
      <c r="P175" s="44"/>
      <c r="Q175" s="44"/>
    </row>
    <row r="176" spans="8:17" x14ac:dyDescent="0.25">
      <c r="H176" s="44"/>
      <c r="I176" s="44"/>
      <c r="J176" s="45"/>
      <c r="K176" s="45"/>
      <c r="L176" s="45"/>
      <c r="M176" s="44"/>
      <c r="N176" s="44"/>
      <c r="O176" s="44"/>
      <c r="P176" s="44"/>
      <c r="Q176" s="44"/>
    </row>
    <row r="177" spans="8:17" x14ac:dyDescent="0.25">
      <c r="H177" s="44"/>
      <c r="I177" s="44"/>
      <c r="J177" s="45"/>
      <c r="K177" s="45"/>
      <c r="L177" s="45"/>
      <c r="M177" s="44"/>
      <c r="N177" s="44"/>
      <c r="O177" s="44"/>
      <c r="P177" s="44"/>
      <c r="Q177" s="44"/>
    </row>
    <row r="178" spans="8:17" x14ac:dyDescent="0.25">
      <c r="H178" s="44"/>
      <c r="I178" s="44"/>
      <c r="J178" s="45"/>
      <c r="K178" s="45"/>
      <c r="L178" s="45"/>
      <c r="M178" s="44"/>
      <c r="N178" s="44"/>
      <c r="O178" s="44"/>
      <c r="P178" s="44"/>
      <c r="Q178" s="44"/>
    </row>
    <row r="179" spans="8:17" x14ac:dyDescent="0.25">
      <c r="H179" s="44"/>
      <c r="I179" s="44"/>
      <c r="J179" s="45"/>
      <c r="K179" s="45"/>
      <c r="L179" s="45"/>
      <c r="M179" s="44"/>
      <c r="N179" s="44"/>
      <c r="O179" s="44"/>
      <c r="P179" s="44"/>
      <c r="Q179" s="44"/>
    </row>
    <row r="180" spans="8:17" x14ac:dyDescent="0.25">
      <c r="H180" s="44"/>
      <c r="I180" s="44"/>
      <c r="J180" s="45"/>
      <c r="K180" s="45"/>
      <c r="L180" s="45"/>
      <c r="M180" s="44"/>
      <c r="N180" s="44"/>
      <c r="O180" s="44"/>
      <c r="P180" s="44"/>
      <c r="Q180" s="44"/>
    </row>
    <row r="181" spans="8:17" x14ac:dyDescent="0.25">
      <c r="H181" s="44"/>
      <c r="I181" s="44"/>
      <c r="J181" s="45"/>
      <c r="K181" s="45"/>
      <c r="L181" s="45"/>
      <c r="M181" s="44"/>
      <c r="N181" s="44"/>
      <c r="O181" s="44"/>
      <c r="P181" s="44"/>
      <c r="Q181" s="44"/>
    </row>
    <row r="182" spans="8:17" x14ac:dyDescent="0.25">
      <c r="H182" s="44"/>
      <c r="I182" s="44"/>
      <c r="J182" s="45"/>
      <c r="K182" s="45"/>
      <c r="L182" s="45"/>
      <c r="M182" s="44"/>
      <c r="N182" s="44"/>
      <c r="O182" s="44"/>
      <c r="P182" s="44"/>
      <c r="Q182" s="44"/>
    </row>
    <row r="183" spans="8:17" x14ac:dyDescent="0.25">
      <c r="H183" s="44"/>
      <c r="I183" s="44"/>
      <c r="J183" s="45"/>
      <c r="K183" s="45"/>
      <c r="L183" s="45"/>
      <c r="M183" s="44"/>
      <c r="N183" s="44"/>
      <c r="O183" s="44"/>
      <c r="P183" s="44"/>
      <c r="Q183" s="44"/>
    </row>
    <row r="184" spans="8:17" x14ac:dyDescent="0.25">
      <c r="H184" s="44"/>
      <c r="I184" s="44"/>
      <c r="J184" s="45"/>
      <c r="K184" s="45"/>
      <c r="L184" s="45"/>
      <c r="M184" s="44"/>
      <c r="N184" s="44"/>
      <c r="O184" s="44"/>
      <c r="P184" s="44"/>
      <c r="Q184" s="44"/>
    </row>
    <row r="185" spans="8:17" x14ac:dyDescent="0.25">
      <c r="H185" s="44"/>
      <c r="I185" s="44"/>
      <c r="J185" s="45"/>
      <c r="K185" s="45"/>
      <c r="L185" s="45"/>
      <c r="M185" s="44"/>
      <c r="N185" s="44"/>
      <c r="O185" s="44"/>
      <c r="P185" s="44"/>
      <c r="Q185" s="44"/>
    </row>
    <row r="186" spans="8:17" x14ac:dyDescent="0.25">
      <c r="H186" s="44"/>
      <c r="I186" s="44"/>
      <c r="J186" s="45"/>
      <c r="K186" s="45"/>
      <c r="L186" s="45"/>
      <c r="M186" s="44"/>
      <c r="N186" s="44"/>
      <c r="O186" s="44"/>
      <c r="P186" s="44"/>
      <c r="Q186" s="44"/>
    </row>
    <row r="187" spans="8:17" x14ac:dyDescent="0.25">
      <c r="H187" s="44"/>
      <c r="I187" s="44"/>
      <c r="J187" s="45"/>
      <c r="K187" s="45"/>
      <c r="L187" s="45"/>
      <c r="M187" s="44"/>
      <c r="N187" s="44"/>
      <c r="O187" s="44"/>
      <c r="P187" s="44"/>
      <c r="Q187" s="44"/>
    </row>
    <row r="188" spans="8:17" x14ac:dyDescent="0.25">
      <c r="H188" s="44"/>
      <c r="I188" s="44"/>
      <c r="J188" s="45"/>
      <c r="K188" s="45"/>
      <c r="L188" s="45"/>
      <c r="M188" s="44"/>
      <c r="N188" s="44"/>
      <c r="O188" s="44"/>
      <c r="P188" s="44"/>
      <c r="Q188" s="44"/>
    </row>
    <row r="189" spans="8:17" x14ac:dyDescent="0.25">
      <c r="H189" s="44"/>
      <c r="I189" s="44"/>
      <c r="J189" s="45"/>
      <c r="K189" s="45"/>
      <c r="L189" s="45"/>
      <c r="M189" s="44"/>
      <c r="N189" s="44"/>
      <c r="O189" s="44"/>
      <c r="P189" s="44"/>
      <c r="Q189" s="44"/>
    </row>
    <row r="190" spans="8:17" x14ac:dyDescent="0.25">
      <c r="H190" s="44"/>
      <c r="I190" s="44"/>
      <c r="J190" s="45"/>
      <c r="K190" s="45"/>
      <c r="L190" s="45"/>
      <c r="M190" s="44"/>
      <c r="N190" s="44"/>
      <c r="O190" s="44"/>
      <c r="P190" s="44"/>
      <c r="Q190" s="44"/>
    </row>
    <row r="191" spans="8:17" x14ac:dyDescent="0.25">
      <c r="H191" s="44"/>
      <c r="I191" s="44"/>
      <c r="J191" s="45"/>
      <c r="K191" s="45"/>
      <c r="L191" s="45"/>
      <c r="M191" s="44"/>
      <c r="N191" s="44"/>
      <c r="O191" s="44"/>
      <c r="P191" s="44"/>
      <c r="Q191" s="44"/>
    </row>
    <row r="192" spans="8:17" x14ac:dyDescent="0.25">
      <c r="H192" s="44"/>
      <c r="I192" s="44"/>
      <c r="J192" s="45"/>
      <c r="K192" s="45"/>
      <c r="L192" s="45"/>
      <c r="M192" s="44"/>
      <c r="N192" s="44"/>
      <c r="O192" s="44"/>
      <c r="P192" s="44"/>
      <c r="Q192" s="44"/>
    </row>
    <row r="193" spans="8:17" x14ac:dyDescent="0.25">
      <c r="H193" s="44"/>
      <c r="I193" s="44"/>
      <c r="J193" s="45"/>
      <c r="K193" s="45"/>
      <c r="L193" s="45"/>
      <c r="M193" s="44"/>
      <c r="N193" s="44"/>
      <c r="O193" s="44"/>
      <c r="P193" s="44"/>
      <c r="Q193" s="44"/>
    </row>
    <row r="194" spans="8:17" x14ac:dyDescent="0.25">
      <c r="H194" s="44"/>
      <c r="I194" s="44"/>
      <c r="J194" s="45"/>
      <c r="K194" s="45"/>
      <c r="L194" s="45"/>
      <c r="M194" s="44"/>
      <c r="N194" s="44"/>
      <c r="O194" s="44"/>
      <c r="P194" s="44"/>
      <c r="Q194" s="44"/>
    </row>
    <row r="195" spans="8:17" x14ac:dyDescent="0.25">
      <c r="H195" s="44"/>
      <c r="I195" s="44"/>
      <c r="J195" s="45"/>
      <c r="K195" s="45"/>
      <c r="L195" s="45"/>
      <c r="M195" s="44"/>
      <c r="N195" s="44"/>
      <c r="O195" s="44"/>
      <c r="P195" s="44"/>
      <c r="Q195" s="44"/>
    </row>
    <row r="196" spans="8:17" x14ac:dyDescent="0.25">
      <c r="H196" s="44"/>
      <c r="I196" s="44"/>
      <c r="J196" s="45"/>
      <c r="K196" s="45"/>
      <c r="L196" s="45"/>
      <c r="M196" s="44"/>
      <c r="N196" s="44"/>
      <c r="O196" s="44"/>
      <c r="P196" s="44"/>
      <c r="Q196" s="44"/>
    </row>
    <row r="197" spans="8:17" x14ac:dyDescent="0.25">
      <c r="H197" s="44"/>
      <c r="I197" s="44"/>
      <c r="J197" s="45"/>
      <c r="K197" s="45"/>
      <c r="L197" s="45"/>
      <c r="M197" s="44"/>
      <c r="N197" s="44"/>
      <c r="O197" s="44"/>
      <c r="P197" s="44"/>
      <c r="Q197" s="44"/>
    </row>
    <row r="198" spans="8:17" x14ac:dyDescent="0.25">
      <c r="H198" s="44"/>
      <c r="I198" s="44"/>
      <c r="J198" s="45"/>
      <c r="K198" s="45"/>
      <c r="L198" s="45"/>
      <c r="M198" s="44"/>
      <c r="N198" s="44"/>
      <c r="O198" s="44"/>
      <c r="P198" s="44"/>
      <c r="Q198" s="44"/>
    </row>
    <row r="199" spans="8:17" x14ac:dyDescent="0.25">
      <c r="H199" s="44"/>
      <c r="I199" s="44"/>
      <c r="J199" s="45"/>
      <c r="K199" s="45"/>
      <c r="L199" s="45"/>
      <c r="M199" s="44"/>
      <c r="N199" s="44"/>
      <c r="O199" s="44"/>
      <c r="P199" s="44"/>
      <c r="Q199" s="44"/>
    </row>
    <row r="200" spans="8:17" x14ac:dyDescent="0.25">
      <c r="H200" s="44"/>
      <c r="I200" s="44"/>
      <c r="J200" s="45"/>
      <c r="K200" s="45"/>
      <c r="L200" s="45"/>
      <c r="M200" s="44"/>
      <c r="N200" s="44"/>
      <c r="O200" s="44"/>
      <c r="P200" s="44"/>
      <c r="Q200" s="44"/>
    </row>
    <row r="201" spans="8:17" x14ac:dyDescent="0.25">
      <c r="H201" s="44"/>
      <c r="I201" s="44"/>
      <c r="J201" s="45"/>
      <c r="K201" s="45"/>
      <c r="L201" s="45"/>
      <c r="M201" s="44"/>
      <c r="N201" s="44"/>
      <c r="O201" s="44"/>
      <c r="P201" s="44"/>
      <c r="Q201" s="44"/>
    </row>
    <row r="202" spans="8:17" x14ac:dyDescent="0.25">
      <c r="H202" s="44"/>
      <c r="I202" s="44"/>
      <c r="J202" s="45"/>
      <c r="K202" s="45"/>
      <c r="L202" s="45"/>
      <c r="M202" s="44"/>
      <c r="N202" s="44"/>
      <c r="O202" s="44"/>
      <c r="P202" s="44"/>
      <c r="Q202" s="44"/>
    </row>
    <row r="203" spans="8:17" x14ac:dyDescent="0.25">
      <c r="H203" s="44"/>
      <c r="I203" s="44"/>
      <c r="J203" s="45"/>
      <c r="K203" s="45"/>
      <c r="L203" s="45"/>
      <c r="M203" s="44"/>
      <c r="N203" s="44"/>
      <c r="O203" s="44"/>
      <c r="P203" s="44"/>
      <c r="Q203" s="44"/>
    </row>
    <row r="204" spans="8:17" x14ac:dyDescent="0.25">
      <c r="H204" s="44"/>
      <c r="I204" s="44"/>
      <c r="J204" s="45"/>
      <c r="K204" s="45"/>
      <c r="L204" s="45"/>
      <c r="M204" s="44"/>
      <c r="N204" s="44"/>
      <c r="O204" s="44"/>
      <c r="P204" s="44"/>
      <c r="Q204" s="44"/>
    </row>
    <row r="205" spans="8:17" x14ac:dyDescent="0.25">
      <c r="H205" s="44"/>
      <c r="I205" s="44"/>
      <c r="J205" s="45"/>
      <c r="K205" s="45"/>
      <c r="L205" s="45"/>
      <c r="M205" s="44"/>
      <c r="N205" s="44"/>
      <c r="O205" s="44"/>
      <c r="P205" s="44"/>
      <c r="Q205" s="44"/>
    </row>
    <row r="206" spans="8:17" x14ac:dyDescent="0.25">
      <c r="H206" s="44"/>
      <c r="I206" s="44"/>
      <c r="J206" s="45"/>
      <c r="K206" s="45"/>
      <c r="L206" s="45"/>
      <c r="M206" s="44"/>
      <c r="N206" s="44"/>
      <c r="O206" s="44"/>
      <c r="P206" s="44"/>
      <c r="Q206" s="44"/>
    </row>
    <row r="207" spans="8:17" x14ac:dyDescent="0.25">
      <c r="H207" s="44"/>
      <c r="I207" s="44"/>
      <c r="J207" s="45"/>
      <c r="K207" s="45"/>
      <c r="L207" s="45"/>
      <c r="M207" s="44"/>
      <c r="N207" s="44"/>
      <c r="O207" s="44"/>
      <c r="P207" s="44"/>
      <c r="Q207" s="44"/>
    </row>
    <row r="208" spans="8:17" x14ac:dyDescent="0.25">
      <c r="H208" s="44"/>
      <c r="I208" s="44"/>
      <c r="J208" s="45"/>
      <c r="K208" s="45"/>
      <c r="L208" s="45"/>
      <c r="M208" s="44"/>
      <c r="N208" s="44"/>
      <c r="O208" s="44"/>
      <c r="P208" s="44"/>
      <c r="Q208" s="44"/>
    </row>
    <row r="209" spans="8:17" x14ac:dyDescent="0.25">
      <c r="H209" s="44"/>
      <c r="I209" s="44"/>
      <c r="J209" s="45"/>
      <c r="K209" s="45"/>
      <c r="L209" s="45"/>
      <c r="M209" s="44"/>
      <c r="N209" s="44"/>
      <c r="O209" s="44"/>
      <c r="P209" s="44"/>
      <c r="Q209" s="44"/>
    </row>
    <row r="210" spans="8:17" x14ac:dyDescent="0.25">
      <c r="H210" s="44"/>
      <c r="I210" s="44"/>
      <c r="J210" s="45"/>
      <c r="K210" s="45"/>
      <c r="L210" s="45"/>
      <c r="M210" s="44"/>
      <c r="N210" s="44"/>
      <c r="O210" s="44"/>
      <c r="P210" s="44"/>
      <c r="Q210" s="44"/>
    </row>
    <row r="211" spans="8:17" x14ac:dyDescent="0.25">
      <c r="H211" s="44"/>
      <c r="I211" s="44"/>
      <c r="J211" s="45"/>
      <c r="K211" s="45"/>
      <c r="L211" s="45"/>
      <c r="M211" s="44"/>
      <c r="N211" s="44"/>
      <c r="O211" s="44"/>
      <c r="P211" s="44"/>
      <c r="Q211" s="44"/>
    </row>
    <row r="212" spans="8:17" x14ac:dyDescent="0.25">
      <c r="H212" s="44"/>
      <c r="I212" s="44"/>
      <c r="J212" s="45"/>
      <c r="K212" s="45"/>
      <c r="L212" s="45"/>
      <c r="M212" s="44"/>
      <c r="N212" s="44"/>
      <c r="O212" s="44"/>
      <c r="P212" s="44"/>
      <c r="Q212" s="44"/>
    </row>
    <row r="213" spans="8:17" x14ac:dyDescent="0.25">
      <c r="H213" s="44"/>
      <c r="I213" s="44"/>
      <c r="J213" s="45"/>
      <c r="K213" s="45"/>
      <c r="L213" s="45"/>
      <c r="M213" s="44"/>
      <c r="N213" s="44"/>
      <c r="O213" s="44"/>
      <c r="P213" s="44"/>
      <c r="Q213" s="44"/>
    </row>
    <row r="214" spans="8:17" x14ac:dyDescent="0.25">
      <c r="H214" s="44"/>
      <c r="I214" s="44"/>
      <c r="J214" s="45"/>
      <c r="K214" s="45"/>
      <c r="L214" s="45"/>
      <c r="M214" s="44"/>
      <c r="N214" s="44"/>
      <c r="O214" s="44"/>
      <c r="P214" s="44"/>
      <c r="Q214" s="44"/>
    </row>
    <row r="215" spans="8:17" x14ac:dyDescent="0.25">
      <c r="H215" s="44"/>
      <c r="I215" s="44"/>
      <c r="J215" s="45"/>
      <c r="K215" s="45"/>
      <c r="L215" s="45"/>
      <c r="M215" s="44"/>
      <c r="N215" s="44"/>
      <c r="O215" s="44"/>
      <c r="P215" s="44"/>
      <c r="Q215" s="44"/>
    </row>
    <row r="216" spans="8:17" x14ac:dyDescent="0.25">
      <c r="H216" s="44"/>
      <c r="I216" s="44"/>
      <c r="J216" s="45"/>
      <c r="K216" s="45"/>
      <c r="L216" s="45"/>
      <c r="M216" s="44"/>
      <c r="N216" s="44"/>
      <c r="O216" s="44"/>
      <c r="P216" s="44"/>
      <c r="Q216" s="44"/>
    </row>
    <row r="217" spans="8:17" x14ac:dyDescent="0.25">
      <c r="H217" s="44"/>
      <c r="I217" s="44"/>
      <c r="J217" s="45"/>
      <c r="K217" s="45"/>
      <c r="L217" s="45"/>
      <c r="M217" s="44"/>
      <c r="N217" s="44"/>
      <c r="O217" s="44"/>
      <c r="P217" s="44"/>
      <c r="Q217" s="44"/>
    </row>
    <row r="218" spans="8:17" x14ac:dyDescent="0.25">
      <c r="H218" s="44"/>
      <c r="I218" s="44"/>
      <c r="J218" s="45"/>
      <c r="K218" s="45"/>
      <c r="L218" s="45"/>
      <c r="M218" s="44"/>
      <c r="N218" s="44"/>
      <c r="O218" s="44"/>
      <c r="P218" s="44"/>
      <c r="Q218" s="44"/>
    </row>
    <row r="219" spans="8:17" x14ac:dyDescent="0.25">
      <c r="H219" s="44"/>
      <c r="I219" s="44"/>
      <c r="J219" s="45"/>
      <c r="K219" s="45"/>
      <c r="L219" s="45"/>
      <c r="M219" s="44"/>
      <c r="N219" s="44"/>
      <c r="O219" s="44"/>
      <c r="P219" s="44"/>
      <c r="Q219" s="44"/>
    </row>
    <row r="220" spans="8:17" x14ac:dyDescent="0.25">
      <c r="H220" s="44"/>
      <c r="I220" s="44"/>
      <c r="J220" s="45"/>
      <c r="K220" s="45"/>
      <c r="L220" s="45"/>
      <c r="M220" s="44"/>
      <c r="N220" s="44"/>
      <c r="O220" s="44"/>
      <c r="P220" s="44"/>
      <c r="Q220" s="44"/>
    </row>
    <row r="221" spans="8:17" x14ac:dyDescent="0.25">
      <c r="H221" s="44"/>
      <c r="I221" s="44"/>
      <c r="J221" s="45"/>
      <c r="K221" s="45"/>
      <c r="L221" s="45"/>
      <c r="M221" s="44"/>
      <c r="N221" s="44"/>
      <c r="O221" s="44"/>
      <c r="P221" s="44"/>
      <c r="Q221" s="44"/>
    </row>
    <row r="222" spans="8:17" x14ac:dyDescent="0.25">
      <c r="H222" s="44"/>
      <c r="I222" s="44"/>
      <c r="J222" s="45"/>
      <c r="K222" s="45"/>
      <c r="L222" s="45"/>
      <c r="M222" s="44"/>
      <c r="N222" s="44"/>
      <c r="O222" s="44"/>
      <c r="P222" s="44"/>
      <c r="Q222" s="44"/>
    </row>
    <row r="223" spans="8:17" x14ac:dyDescent="0.25">
      <c r="H223" s="44"/>
      <c r="I223" s="44"/>
      <c r="J223" s="45"/>
      <c r="K223" s="45"/>
      <c r="L223" s="45"/>
      <c r="M223" s="44"/>
      <c r="N223" s="44"/>
      <c r="O223" s="44"/>
      <c r="P223" s="44"/>
      <c r="Q223" s="44"/>
    </row>
    <row r="224" spans="8:17" x14ac:dyDescent="0.25">
      <c r="H224" s="44"/>
      <c r="I224" s="44"/>
      <c r="J224" s="45"/>
      <c r="K224" s="45"/>
      <c r="L224" s="45"/>
      <c r="M224" s="44"/>
      <c r="N224" s="44"/>
      <c r="O224" s="44"/>
      <c r="P224" s="44"/>
      <c r="Q224" s="44"/>
    </row>
    <row r="225" spans="8:17" x14ac:dyDescent="0.25">
      <c r="H225" s="44"/>
      <c r="I225" s="44"/>
      <c r="J225" s="45"/>
      <c r="K225" s="45"/>
      <c r="L225" s="45"/>
      <c r="M225" s="44"/>
      <c r="N225" s="44"/>
      <c r="O225" s="44"/>
      <c r="P225" s="44"/>
      <c r="Q225" s="44"/>
    </row>
    <row r="226" spans="8:17" x14ac:dyDescent="0.25">
      <c r="H226" s="44"/>
      <c r="I226" s="44"/>
      <c r="J226" s="45"/>
      <c r="K226" s="45"/>
      <c r="L226" s="45"/>
      <c r="M226" s="44"/>
      <c r="N226" s="44"/>
      <c r="O226" s="44"/>
      <c r="P226" s="44"/>
      <c r="Q226" s="44"/>
    </row>
    <row r="227" spans="8:17" x14ac:dyDescent="0.25">
      <c r="H227" s="44"/>
      <c r="I227" s="44"/>
      <c r="J227" s="45"/>
      <c r="K227" s="45"/>
      <c r="L227" s="45"/>
      <c r="M227" s="44"/>
      <c r="N227" s="44"/>
      <c r="O227" s="44"/>
      <c r="P227" s="44"/>
      <c r="Q227" s="44"/>
    </row>
    <row r="228" spans="8:17" x14ac:dyDescent="0.25">
      <c r="H228" s="44"/>
      <c r="I228" s="44"/>
      <c r="J228" s="45"/>
      <c r="K228" s="45"/>
      <c r="L228" s="45"/>
      <c r="M228" s="44"/>
      <c r="N228" s="44"/>
      <c r="O228" s="44"/>
      <c r="P228" s="44"/>
      <c r="Q228" s="44"/>
    </row>
    <row r="229" spans="8:17" x14ac:dyDescent="0.25">
      <c r="H229" s="44"/>
      <c r="I229" s="44"/>
      <c r="J229" s="45"/>
      <c r="K229" s="45"/>
      <c r="L229" s="45"/>
      <c r="M229" s="44"/>
      <c r="N229" s="44"/>
      <c r="O229" s="44"/>
      <c r="P229" s="44"/>
      <c r="Q229" s="44"/>
    </row>
    <row r="230" spans="8:17" x14ac:dyDescent="0.25">
      <c r="H230" s="44"/>
      <c r="I230" s="44"/>
      <c r="J230" s="45"/>
      <c r="K230" s="45"/>
      <c r="L230" s="45"/>
      <c r="M230" s="44"/>
      <c r="N230" s="44"/>
      <c r="O230" s="44"/>
      <c r="P230" s="44"/>
      <c r="Q230" s="44"/>
    </row>
    <row r="231" spans="8:17" x14ac:dyDescent="0.25">
      <c r="H231" s="44"/>
      <c r="I231" s="44"/>
      <c r="J231" s="45"/>
      <c r="K231" s="45"/>
      <c r="L231" s="45"/>
      <c r="M231" s="44"/>
      <c r="N231" s="44"/>
      <c r="O231" s="44"/>
      <c r="P231" s="44"/>
      <c r="Q231" s="44"/>
    </row>
    <row r="232" spans="8:17" x14ac:dyDescent="0.25">
      <c r="H232" s="44"/>
      <c r="I232" s="44"/>
      <c r="J232" s="45"/>
      <c r="K232" s="45"/>
      <c r="L232" s="45"/>
      <c r="M232" s="44"/>
      <c r="N232" s="44"/>
      <c r="O232" s="44"/>
      <c r="P232" s="44"/>
      <c r="Q232" s="44"/>
    </row>
    <row r="233" spans="8:17" x14ac:dyDescent="0.25">
      <c r="H233" s="44"/>
      <c r="I233" s="44"/>
      <c r="J233" s="45"/>
      <c r="K233" s="45"/>
      <c r="L233" s="45"/>
      <c r="M233" s="44"/>
      <c r="N233" s="44"/>
      <c r="O233" s="44"/>
      <c r="P233" s="44"/>
      <c r="Q233" s="44"/>
    </row>
    <row r="234" spans="8:17" x14ac:dyDescent="0.25">
      <c r="H234" s="44"/>
      <c r="I234" s="44"/>
      <c r="J234" s="45"/>
      <c r="K234" s="45"/>
      <c r="L234" s="45"/>
      <c r="M234" s="44"/>
      <c r="N234" s="44"/>
      <c r="O234" s="44"/>
      <c r="P234" s="44"/>
      <c r="Q234" s="44"/>
    </row>
    <row r="235" spans="8:17" x14ac:dyDescent="0.25">
      <c r="H235" s="44"/>
      <c r="I235" s="44"/>
      <c r="J235" s="45"/>
      <c r="K235" s="45"/>
      <c r="L235" s="45"/>
      <c r="M235" s="44"/>
      <c r="N235" s="44"/>
      <c r="O235" s="44"/>
      <c r="P235" s="44"/>
      <c r="Q235" s="44"/>
    </row>
    <row r="236" spans="8:17" x14ac:dyDescent="0.25">
      <c r="H236" s="44"/>
      <c r="I236" s="44"/>
      <c r="J236" s="45"/>
      <c r="K236" s="45"/>
      <c r="L236" s="45"/>
      <c r="M236" s="44"/>
      <c r="N236" s="44"/>
      <c r="O236" s="44"/>
      <c r="P236" s="44"/>
      <c r="Q236" s="44"/>
    </row>
    <row r="237" spans="8:17" x14ac:dyDescent="0.25">
      <c r="H237" s="44"/>
      <c r="I237" s="44"/>
      <c r="J237" s="45"/>
      <c r="K237" s="45"/>
      <c r="L237" s="45"/>
      <c r="M237" s="44"/>
      <c r="N237" s="44"/>
      <c r="O237" s="44"/>
      <c r="P237" s="44"/>
      <c r="Q237" s="44"/>
    </row>
    <row r="238" spans="8:17" x14ac:dyDescent="0.25">
      <c r="H238" s="44"/>
      <c r="I238" s="44"/>
      <c r="J238" s="45"/>
      <c r="K238" s="45"/>
      <c r="L238" s="45"/>
      <c r="M238" s="44"/>
      <c r="N238" s="44"/>
      <c r="O238" s="44"/>
      <c r="P238" s="44"/>
      <c r="Q238" s="44"/>
    </row>
    <row r="239" spans="8:17" x14ac:dyDescent="0.25">
      <c r="H239" s="44"/>
      <c r="I239" s="44"/>
      <c r="J239" s="45"/>
      <c r="K239" s="45"/>
      <c r="L239" s="45"/>
      <c r="M239" s="44"/>
      <c r="N239" s="44"/>
      <c r="O239" s="44"/>
      <c r="P239" s="44"/>
      <c r="Q239" s="44"/>
    </row>
    <row r="240" spans="8:17" x14ac:dyDescent="0.25">
      <c r="H240" s="44"/>
      <c r="I240" s="44"/>
      <c r="J240" s="45"/>
      <c r="K240" s="45"/>
      <c r="L240" s="45"/>
      <c r="M240" s="44"/>
      <c r="N240" s="44"/>
      <c r="O240" s="44"/>
      <c r="P240" s="44"/>
      <c r="Q240" s="44"/>
    </row>
    <row r="241" spans="8:17" x14ac:dyDescent="0.25">
      <c r="H241" s="44"/>
      <c r="I241" s="44"/>
      <c r="J241" s="45"/>
      <c r="K241" s="45"/>
      <c r="L241" s="45"/>
      <c r="M241" s="44"/>
      <c r="N241" s="44"/>
      <c r="O241" s="44"/>
      <c r="P241" s="44"/>
      <c r="Q241" s="44"/>
    </row>
    <row r="242" spans="8:17" x14ac:dyDescent="0.25">
      <c r="H242" s="44"/>
      <c r="I242" s="44"/>
      <c r="J242" s="45"/>
      <c r="K242" s="45"/>
      <c r="L242" s="45"/>
      <c r="M242" s="44"/>
      <c r="N242" s="44"/>
      <c r="O242" s="44"/>
      <c r="P242" s="44"/>
      <c r="Q242" s="44"/>
    </row>
    <row r="243" spans="8:17" x14ac:dyDescent="0.25">
      <c r="H243" s="44"/>
      <c r="I243" s="44"/>
      <c r="J243" s="45"/>
      <c r="K243" s="45"/>
      <c r="L243" s="45"/>
      <c r="M243" s="44"/>
      <c r="N243" s="44"/>
      <c r="O243" s="44"/>
      <c r="P243" s="44"/>
      <c r="Q243" s="44"/>
    </row>
    <row r="244" spans="8:17" x14ac:dyDescent="0.25">
      <c r="H244" s="44"/>
      <c r="I244" s="44"/>
      <c r="J244" s="45"/>
      <c r="K244" s="45"/>
      <c r="L244" s="45"/>
      <c r="M244" s="44"/>
      <c r="N244" s="44"/>
      <c r="O244" s="44"/>
      <c r="P244" s="44"/>
      <c r="Q244" s="44"/>
    </row>
    <row r="245" spans="8:17" x14ac:dyDescent="0.25">
      <c r="H245" s="44"/>
      <c r="I245" s="44"/>
      <c r="J245" s="45"/>
      <c r="K245" s="45"/>
      <c r="L245" s="45"/>
      <c r="M245" s="44"/>
      <c r="N245" s="44"/>
      <c r="O245" s="44"/>
      <c r="P245" s="44"/>
      <c r="Q245" s="44"/>
    </row>
    <row r="246" spans="8:17" x14ac:dyDescent="0.25">
      <c r="H246" s="44"/>
      <c r="I246" s="44"/>
      <c r="J246" s="45"/>
      <c r="K246" s="45"/>
      <c r="L246" s="45"/>
      <c r="M246" s="44"/>
      <c r="N246" s="44"/>
      <c r="O246" s="44"/>
      <c r="P246" s="44"/>
      <c r="Q246" s="44"/>
    </row>
    <row r="247" spans="8:17" x14ac:dyDescent="0.25">
      <c r="H247" s="44"/>
      <c r="I247" s="44"/>
      <c r="J247" s="45"/>
      <c r="K247" s="45"/>
      <c r="L247" s="45"/>
      <c r="M247" s="44"/>
      <c r="N247" s="44"/>
      <c r="O247" s="44"/>
      <c r="P247" s="44"/>
      <c r="Q247" s="44"/>
    </row>
    <row r="248" spans="8:17" x14ac:dyDescent="0.25">
      <c r="H248" s="44"/>
      <c r="I248" s="44"/>
      <c r="J248" s="45"/>
      <c r="K248" s="45"/>
      <c r="L248" s="45"/>
      <c r="M248" s="44"/>
      <c r="N248" s="44"/>
      <c r="O248" s="44"/>
      <c r="P248" s="44"/>
      <c r="Q248" s="44"/>
    </row>
    <row r="249" spans="8:17" x14ac:dyDescent="0.25">
      <c r="H249" s="44"/>
      <c r="I249" s="44"/>
      <c r="J249" s="45"/>
      <c r="K249" s="45"/>
      <c r="L249" s="45"/>
      <c r="M249" s="44"/>
      <c r="N249" s="44"/>
      <c r="O249" s="44"/>
      <c r="P249" s="44"/>
      <c r="Q249" s="44"/>
    </row>
    <row r="250" spans="8:17" x14ac:dyDescent="0.25">
      <c r="H250" s="44"/>
      <c r="I250" s="44"/>
      <c r="J250" s="45"/>
      <c r="K250" s="45"/>
      <c r="L250" s="45"/>
      <c r="M250" s="44"/>
      <c r="N250" s="44"/>
      <c r="O250" s="44"/>
      <c r="P250" s="44"/>
      <c r="Q250" s="44"/>
    </row>
    <row r="251" spans="8:17" x14ac:dyDescent="0.25">
      <c r="H251" s="44"/>
      <c r="I251" s="44"/>
      <c r="J251" s="45"/>
      <c r="K251" s="45"/>
      <c r="L251" s="45"/>
      <c r="M251" s="44"/>
      <c r="N251" s="44"/>
      <c r="O251" s="44"/>
      <c r="P251" s="44"/>
      <c r="Q251" s="44"/>
    </row>
    <row r="252" spans="8:17" x14ac:dyDescent="0.25">
      <c r="H252" s="44"/>
      <c r="I252" s="44"/>
      <c r="J252" s="45"/>
      <c r="K252" s="45"/>
      <c r="L252" s="45"/>
      <c r="M252" s="44"/>
      <c r="N252" s="44"/>
      <c r="O252" s="44"/>
      <c r="P252" s="44"/>
      <c r="Q252" s="44"/>
    </row>
    <row r="253" spans="8:17" x14ac:dyDescent="0.25">
      <c r="H253" s="44"/>
      <c r="I253" s="44"/>
      <c r="J253" s="45"/>
      <c r="K253" s="45"/>
      <c r="L253" s="45"/>
      <c r="M253" s="44"/>
      <c r="N253" s="44"/>
      <c r="O253" s="44"/>
      <c r="P253" s="44"/>
      <c r="Q253" s="44"/>
    </row>
    <row r="254" spans="8:17" x14ac:dyDescent="0.25">
      <c r="H254" s="44"/>
      <c r="I254" s="44"/>
      <c r="J254" s="45"/>
      <c r="K254" s="45"/>
      <c r="L254" s="45"/>
      <c r="M254" s="44"/>
      <c r="N254" s="44"/>
      <c r="O254" s="44"/>
      <c r="P254" s="44"/>
      <c r="Q254" s="44"/>
    </row>
    <row r="255" spans="8:17" x14ac:dyDescent="0.25">
      <c r="H255" s="44"/>
      <c r="I255" s="44"/>
      <c r="J255" s="45"/>
      <c r="K255" s="45"/>
      <c r="L255" s="45"/>
      <c r="M255" s="44"/>
      <c r="N255" s="44"/>
      <c r="O255" s="44"/>
      <c r="P255" s="44"/>
      <c r="Q255" s="44"/>
    </row>
    <row r="256" spans="8:17" x14ac:dyDescent="0.25">
      <c r="H256" s="44"/>
      <c r="I256" s="44"/>
      <c r="J256" s="45"/>
      <c r="K256" s="45"/>
      <c r="L256" s="45"/>
      <c r="M256" s="44"/>
      <c r="N256" s="44"/>
      <c r="O256" s="44"/>
      <c r="P256" s="44"/>
      <c r="Q256" s="44"/>
    </row>
    <row r="257" spans="8:17" x14ac:dyDescent="0.25">
      <c r="H257" s="44"/>
      <c r="I257" s="44"/>
      <c r="J257" s="45"/>
      <c r="K257" s="45"/>
      <c r="L257" s="45"/>
      <c r="M257" s="44"/>
      <c r="N257" s="44"/>
      <c r="O257" s="44"/>
      <c r="P257" s="44"/>
      <c r="Q257" s="44"/>
    </row>
    <row r="258" spans="8:17" x14ac:dyDescent="0.25">
      <c r="H258" s="44"/>
      <c r="I258" s="44"/>
      <c r="J258" s="45"/>
      <c r="K258" s="45"/>
      <c r="L258" s="45"/>
      <c r="M258" s="44"/>
      <c r="N258" s="44"/>
      <c r="O258" s="44"/>
      <c r="P258" s="44"/>
      <c r="Q258" s="44"/>
    </row>
    <row r="259" spans="8:17" x14ac:dyDescent="0.25">
      <c r="H259" s="44"/>
      <c r="I259" s="44"/>
      <c r="J259" s="45"/>
      <c r="K259" s="45"/>
      <c r="L259" s="45"/>
      <c r="M259" s="44"/>
      <c r="N259" s="44"/>
      <c r="O259" s="44"/>
      <c r="P259" s="44"/>
      <c r="Q259" s="44"/>
    </row>
    <row r="260" spans="8:17" x14ac:dyDescent="0.25">
      <c r="H260" s="44"/>
      <c r="I260" s="44"/>
      <c r="J260" s="45"/>
      <c r="K260" s="45"/>
      <c r="L260" s="45"/>
      <c r="M260" s="44"/>
      <c r="N260" s="44"/>
      <c r="O260" s="44"/>
      <c r="P260" s="44"/>
      <c r="Q260" s="44"/>
    </row>
    <row r="261" spans="8:17" x14ac:dyDescent="0.25">
      <c r="H261" s="44"/>
      <c r="I261" s="44"/>
      <c r="J261" s="45"/>
      <c r="K261" s="45"/>
      <c r="L261" s="45"/>
      <c r="M261" s="44"/>
      <c r="N261" s="44"/>
      <c r="O261" s="44"/>
      <c r="P261" s="44"/>
      <c r="Q261" s="44"/>
    </row>
    <row r="262" spans="8:17" x14ac:dyDescent="0.25">
      <c r="H262" s="44"/>
      <c r="I262" s="44"/>
      <c r="J262" s="45"/>
      <c r="K262" s="45"/>
      <c r="L262" s="45"/>
      <c r="M262" s="44"/>
      <c r="N262" s="44"/>
      <c r="O262" s="44"/>
      <c r="P262" s="44"/>
      <c r="Q262" s="44"/>
    </row>
    <row r="263" spans="8:17" x14ac:dyDescent="0.25">
      <c r="H263" s="44"/>
      <c r="I263" s="44"/>
      <c r="J263" s="45"/>
      <c r="K263" s="45"/>
      <c r="L263" s="45"/>
      <c r="M263" s="44"/>
      <c r="N263" s="44"/>
      <c r="O263" s="44"/>
      <c r="P263" s="44"/>
      <c r="Q263" s="44"/>
    </row>
    <row r="264" spans="8:17" x14ac:dyDescent="0.25">
      <c r="H264" s="44"/>
      <c r="I264" s="44"/>
      <c r="J264" s="45"/>
      <c r="K264" s="45"/>
      <c r="L264" s="45"/>
      <c r="M264" s="44"/>
      <c r="N264" s="44"/>
      <c r="O264" s="44"/>
      <c r="P264" s="44"/>
      <c r="Q264" s="44"/>
    </row>
    <row r="265" spans="8:17" x14ac:dyDescent="0.25">
      <c r="H265" s="44"/>
      <c r="I265" s="44"/>
      <c r="J265" s="45"/>
      <c r="K265" s="45"/>
      <c r="L265" s="45"/>
      <c r="M265" s="44"/>
      <c r="N265" s="44"/>
      <c r="O265" s="44"/>
      <c r="P265" s="44"/>
      <c r="Q265" s="44"/>
    </row>
    <row r="266" spans="8:17" x14ac:dyDescent="0.25">
      <c r="H266" s="44"/>
      <c r="I266" s="44"/>
      <c r="J266" s="45"/>
      <c r="K266" s="45"/>
      <c r="L266" s="45"/>
      <c r="M266" s="44"/>
      <c r="N266" s="44"/>
      <c r="O266" s="44"/>
      <c r="P266" s="44"/>
      <c r="Q266" s="44"/>
    </row>
    <row r="267" spans="8:17" x14ac:dyDescent="0.25">
      <c r="H267" s="44"/>
      <c r="I267" s="44"/>
      <c r="J267" s="45"/>
      <c r="K267" s="45"/>
      <c r="L267" s="45"/>
      <c r="M267" s="44"/>
      <c r="N267" s="44"/>
      <c r="O267" s="44"/>
      <c r="P267" s="44"/>
      <c r="Q267" s="44"/>
    </row>
    <row r="268" spans="8:17" x14ac:dyDescent="0.25">
      <c r="H268" s="44"/>
      <c r="I268" s="44"/>
      <c r="J268" s="45"/>
      <c r="K268" s="45"/>
      <c r="L268" s="45"/>
      <c r="M268" s="44"/>
      <c r="N268" s="44"/>
      <c r="O268" s="44"/>
      <c r="P268" s="44"/>
      <c r="Q268" s="44"/>
    </row>
    <row r="269" spans="8:17" x14ac:dyDescent="0.25">
      <c r="H269" s="44"/>
      <c r="I269" s="44"/>
      <c r="J269" s="45"/>
      <c r="K269" s="45"/>
      <c r="L269" s="45"/>
      <c r="M269" s="44"/>
      <c r="N269" s="44"/>
      <c r="O269" s="44"/>
      <c r="P269" s="44"/>
      <c r="Q269" s="44"/>
    </row>
    <row r="270" spans="8:17" x14ac:dyDescent="0.25">
      <c r="H270" s="44"/>
      <c r="I270" s="44"/>
      <c r="J270" s="45"/>
      <c r="K270" s="45"/>
      <c r="L270" s="45"/>
      <c r="M270" s="44"/>
      <c r="N270" s="44"/>
      <c r="O270" s="44"/>
      <c r="P270" s="44"/>
      <c r="Q270" s="44"/>
    </row>
    <row r="271" spans="8:17" x14ac:dyDescent="0.25">
      <c r="H271" s="44"/>
      <c r="I271" s="44"/>
      <c r="J271" s="45"/>
      <c r="K271" s="45"/>
      <c r="L271" s="45"/>
      <c r="M271" s="44"/>
      <c r="N271" s="44"/>
      <c r="O271" s="44"/>
      <c r="P271" s="44"/>
      <c r="Q271" s="44"/>
    </row>
    <row r="272" spans="8:17" x14ac:dyDescent="0.25">
      <c r="H272" s="44"/>
      <c r="I272" s="44"/>
      <c r="J272" s="45"/>
      <c r="K272" s="45"/>
      <c r="L272" s="45"/>
      <c r="M272" s="44"/>
      <c r="N272" s="44"/>
      <c r="O272" s="44"/>
      <c r="P272" s="44"/>
      <c r="Q272" s="44"/>
    </row>
    <row r="273" spans="8:17" x14ac:dyDescent="0.25">
      <c r="H273" s="44"/>
      <c r="I273" s="44"/>
      <c r="J273" s="45"/>
      <c r="K273" s="45"/>
      <c r="L273" s="45"/>
      <c r="M273" s="44"/>
      <c r="N273" s="44"/>
      <c r="O273" s="44"/>
      <c r="P273" s="44"/>
      <c r="Q273" s="44"/>
    </row>
    <row r="274" spans="8:17" x14ac:dyDescent="0.25">
      <c r="H274" s="44"/>
      <c r="I274" s="44"/>
      <c r="J274" s="45"/>
      <c r="K274" s="45"/>
      <c r="L274" s="45"/>
      <c r="M274" s="44"/>
      <c r="N274" s="44"/>
      <c r="O274" s="44"/>
      <c r="P274" s="44"/>
      <c r="Q274" s="44"/>
    </row>
    <row r="275" spans="8:17" x14ac:dyDescent="0.25">
      <c r="H275" s="44"/>
      <c r="I275" s="44"/>
      <c r="J275" s="45"/>
      <c r="K275" s="45"/>
      <c r="L275" s="45"/>
      <c r="M275" s="44"/>
      <c r="N275" s="44"/>
      <c r="O275" s="44"/>
      <c r="P275" s="44"/>
      <c r="Q275" s="44"/>
    </row>
    <row r="276" spans="8:17" x14ac:dyDescent="0.25">
      <c r="H276" s="44"/>
      <c r="I276" s="44"/>
      <c r="J276" s="45"/>
      <c r="K276" s="45"/>
      <c r="L276" s="45"/>
      <c r="M276" s="44"/>
      <c r="N276" s="44"/>
      <c r="O276" s="44"/>
      <c r="P276" s="44"/>
      <c r="Q276" s="44"/>
    </row>
    <row r="277" spans="8:17" x14ac:dyDescent="0.25">
      <c r="H277" s="44"/>
      <c r="I277" s="44"/>
      <c r="J277" s="45"/>
      <c r="K277" s="45"/>
      <c r="L277" s="45"/>
      <c r="M277" s="44"/>
      <c r="N277" s="44"/>
      <c r="O277" s="44"/>
      <c r="P277" s="44"/>
      <c r="Q277" s="44"/>
    </row>
    <row r="278" spans="8:17" x14ac:dyDescent="0.25">
      <c r="H278" s="44"/>
      <c r="I278" s="44"/>
      <c r="J278" s="45"/>
      <c r="K278" s="45"/>
      <c r="L278" s="45"/>
      <c r="M278" s="44"/>
      <c r="N278" s="44"/>
      <c r="O278" s="44"/>
      <c r="P278" s="44"/>
      <c r="Q278" s="44"/>
    </row>
    <row r="279" spans="8:17" x14ac:dyDescent="0.25">
      <c r="H279" s="44"/>
      <c r="I279" s="44"/>
      <c r="J279" s="45"/>
      <c r="K279" s="45"/>
      <c r="L279" s="45"/>
      <c r="M279" s="44"/>
      <c r="N279" s="44"/>
      <c r="O279" s="44"/>
      <c r="P279" s="44"/>
      <c r="Q279" s="44"/>
    </row>
    <row r="280" spans="8:17" x14ac:dyDescent="0.25">
      <c r="H280" s="44"/>
      <c r="I280" s="44"/>
      <c r="J280" s="45"/>
      <c r="K280" s="45"/>
      <c r="L280" s="45"/>
      <c r="M280" s="44"/>
      <c r="N280" s="44"/>
      <c r="O280" s="44"/>
      <c r="P280" s="44"/>
      <c r="Q280" s="44"/>
    </row>
    <row r="281" spans="8:17" x14ac:dyDescent="0.25">
      <c r="H281" s="44"/>
      <c r="I281" s="44"/>
      <c r="J281" s="45"/>
      <c r="K281" s="45"/>
      <c r="L281" s="45"/>
      <c r="M281" s="44"/>
      <c r="N281" s="44"/>
      <c r="O281" s="44"/>
      <c r="P281" s="44"/>
      <c r="Q281" s="44"/>
    </row>
    <row r="282" spans="8:17" x14ac:dyDescent="0.25">
      <c r="H282" s="44"/>
      <c r="I282" s="44"/>
      <c r="J282" s="45"/>
      <c r="K282" s="45"/>
      <c r="L282" s="45"/>
      <c r="M282" s="44"/>
      <c r="N282" s="44"/>
      <c r="O282" s="44"/>
      <c r="P282" s="44"/>
      <c r="Q282" s="44"/>
    </row>
    <row r="283" spans="8:17" x14ac:dyDescent="0.25">
      <c r="H283" s="44"/>
      <c r="I283" s="44"/>
      <c r="J283" s="45"/>
      <c r="K283" s="45"/>
      <c r="L283" s="45"/>
      <c r="M283" s="44"/>
      <c r="N283" s="44"/>
      <c r="O283" s="44"/>
      <c r="P283" s="44"/>
      <c r="Q283" s="44"/>
    </row>
    <row r="284" spans="8:17" x14ac:dyDescent="0.25">
      <c r="H284" s="44"/>
      <c r="I284" s="44"/>
      <c r="J284" s="45"/>
      <c r="K284" s="45"/>
      <c r="L284" s="45"/>
      <c r="M284" s="44"/>
      <c r="N284" s="44"/>
      <c r="O284" s="44"/>
      <c r="P284" s="44"/>
      <c r="Q284" s="44"/>
    </row>
    <row r="285" spans="8:17" x14ac:dyDescent="0.25">
      <c r="H285" s="44"/>
      <c r="I285" s="44"/>
      <c r="J285" s="45"/>
      <c r="K285" s="45"/>
      <c r="L285" s="45"/>
      <c r="M285" s="44"/>
      <c r="N285" s="44"/>
      <c r="O285" s="44"/>
      <c r="P285" s="44"/>
      <c r="Q285" s="44"/>
    </row>
    <row r="286" spans="8:17" x14ac:dyDescent="0.25">
      <c r="H286" s="44"/>
      <c r="I286" s="44"/>
      <c r="J286" s="45"/>
      <c r="K286" s="45"/>
      <c r="L286" s="45"/>
      <c r="M286" s="44"/>
      <c r="N286" s="44"/>
      <c r="O286" s="44"/>
      <c r="P286" s="44"/>
      <c r="Q286" s="44"/>
    </row>
    <row r="287" spans="8:17" x14ac:dyDescent="0.25">
      <c r="H287" s="44"/>
      <c r="I287" s="44"/>
      <c r="J287" s="45"/>
      <c r="K287" s="45"/>
      <c r="L287" s="45"/>
      <c r="M287" s="44"/>
      <c r="N287" s="44"/>
      <c r="O287" s="44"/>
      <c r="P287" s="44"/>
      <c r="Q287" s="44"/>
    </row>
    <row r="288" spans="8:17" x14ac:dyDescent="0.25">
      <c r="H288" s="44"/>
      <c r="I288" s="44"/>
      <c r="J288" s="45"/>
      <c r="K288" s="45"/>
      <c r="L288" s="45"/>
      <c r="M288" s="44"/>
      <c r="N288" s="44"/>
      <c r="O288" s="44"/>
      <c r="P288" s="44"/>
      <c r="Q288" s="44"/>
    </row>
    <row r="289" spans="8:17" x14ac:dyDescent="0.25">
      <c r="H289" s="44"/>
      <c r="I289" s="44"/>
      <c r="J289" s="45"/>
      <c r="K289" s="45"/>
      <c r="L289" s="45"/>
      <c r="M289" s="44"/>
      <c r="N289" s="44"/>
      <c r="O289" s="44"/>
      <c r="P289" s="44"/>
      <c r="Q289" s="44"/>
    </row>
    <row r="290" spans="8:17" x14ac:dyDescent="0.25">
      <c r="H290" s="44"/>
      <c r="I290" s="44"/>
      <c r="J290" s="45"/>
      <c r="K290" s="45"/>
      <c r="L290" s="45"/>
      <c r="M290" s="44"/>
      <c r="N290" s="44"/>
      <c r="O290" s="44"/>
      <c r="P290" s="44"/>
      <c r="Q290" s="44"/>
    </row>
    <row r="291" spans="8:17" x14ac:dyDescent="0.25">
      <c r="H291" s="44"/>
      <c r="I291" s="44"/>
      <c r="J291" s="45"/>
      <c r="K291" s="45"/>
      <c r="L291" s="45"/>
      <c r="M291" s="44"/>
      <c r="N291" s="44"/>
      <c r="O291" s="44"/>
      <c r="P291" s="44"/>
      <c r="Q291" s="44"/>
    </row>
    <row r="292" spans="8:17" x14ac:dyDescent="0.25">
      <c r="H292" s="44"/>
      <c r="I292" s="44"/>
      <c r="J292" s="45"/>
      <c r="K292" s="45"/>
      <c r="L292" s="45"/>
      <c r="M292" s="44"/>
      <c r="N292" s="44"/>
      <c r="O292" s="44"/>
      <c r="P292" s="44"/>
      <c r="Q292" s="44"/>
    </row>
    <row r="293" spans="8:17" x14ac:dyDescent="0.25">
      <c r="H293" s="44"/>
      <c r="I293" s="44"/>
      <c r="J293" s="45"/>
      <c r="K293" s="45"/>
      <c r="L293" s="45"/>
      <c r="M293" s="44"/>
      <c r="N293" s="44"/>
      <c r="O293" s="44"/>
      <c r="P293" s="44"/>
      <c r="Q293" s="44"/>
    </row>
    <row r="294" spans="8:17" x14ac:dyDescent="0.25">
      <c r="H294" s="44"/>
      <c r="I294" s="44"/>
      <c r="J294" s="45"/>
      <c r="K294" s="45"/>
      <c r="L294" s="45"/>
      <c r="M294" s="44"/>
      <c r="N294" s="44"/>
      <c r="O294" s="44"/>
      <c r="P294" s="44"/>
      <c r="Q294" s="44"/>
    </row>
    <row r="295" spans="8:17" x14ac:dyDescent="0.25">
      <c r="H295" s="44"/>
      <c r="I295" s="44"/>
      <c r="J295" s="45"/>
      <c r="K295" s="45"/>
      <c r="L295" s="45"/>
      <c r="M295" s="44"/>
      <c r="N295" s="44"/>
      <c r="O295" s="44"/>
      <c r="P295" s="44"/>
      <c r="Q295" s="44"/>
    </row>
    <row r="296" spans="8:17" x14ac:dyDescent="0.25">
      <c r="H296" s="44"/>
      <c r="I296" s="44"/>
      <c r="J296" s="45"/>
      <c r="K296" s="45"/>
      <c r="L296" s="45"/>
      <c r="M296" s="44"/>
      <c r="N296" s="44"/>
      <c r="O296" s="44"/>
      <c r="P296" s="44"/>
      <c r="Q296" s="44"/>
    </row>
    <row r="297" spans="8:17" x14ac:dyDescent="0.25">
      <c r="H297" s="44"/>
      <c r="I297" s="44"/>
      <c r="J297" s="45"/>
      <c r="K297" s="45"/>
      <c r="L297" s="45"/>
      <c r="M297" s="44"/>
      <c r="N297" s="44"/>
      <c r="O297" s="44"/>
      <c r="P297" s="44"/>
      <c r="Q297" s="44"/>
    </row>
    <row r="298" spans="8:17" x14ac:dyDescent="0.25">
      <c r="H298" s="44"/>
      <c r="I298" s="44"/>
      <c r="J298" s="45"/>
      <c r="K298" s="45"/>
      <c r="L298" s="45"/>
      <c r="M298" s="44"/>
      <c r="N298" s="44"/>
      <c r="O298" s="44"/>
      <c r="P298" s="44"/>
      <c r="Q298" s="44"/>
    </row>
    <row r="299" spans="8:17" x14ac:dyDescent="0.25">
      <c r="H299" s="44"/>
      <c r="I299" s="44"/>
      <c r="J299" s="45"/>
      <c r="K299" s="45"/>
      <c r="L299" s="45"/>
      <c r="M299" s="44"/>
      <c r="N299" s="44"/>
      <c r="O299" s="44"/>
      <c r="P299" s="44"/>
      <c r="Q299" s="44"/>
    </row>
    <row r="300" spans="8:17" x14ac:dyDescent="0.25">
      <c r="H300" s="44"/>
      <c r="I300" s="44"/>
      <c r="J300" s="45"/>
      <c r="K300" s="45"/>
      <c r="L300" s="45"/>
      <c r="M300" s="44"/>
      <c r="N300" s="44"/>
      <c r="O300" s="44"/>
      <c r="P300" s="44"/>
      <c r="Q300" s="44"/>
    </row>
    <row r="301" spans="8:17" x14ac:dyDescent="0.25">
      <c r="H301" s="44"/>
      <c r="I301" s="44"/>
      <c r="J301" s="45"/>
      <c r="K301" s="45"/>
      <c r="L301" s="45"/>
      <c r="M301" s="44"/>
      <c r="N301" s="44"/>
      <c r="O301" s="44"/>
      <c r="P301" s="44"/>
      <c r="Q301" s="44"/>
    </row>
    <row r="302" spans="8:17" x14ac:dyDescent="0.25">
      <c r="H302" s="44"/>
      <c r="I302" s="44"/>
      <c r="J302" s="45"/>
      <c r="K302" s="45"/>
      <c r="L302" s="45"/>
      <c r="M302" s="44"/>
      <c r="N302" s="44"/>
      <c r="O302" s="44"/>
      <c r="P302" s="44"/>
      <c r="Q302" s="44"/>
    </row>
    <row r="303" spans="8:17" x14ac:dyDescent="0.25">
      <c r="H303" s="44"/>
      <c r="I303" s="44"/>
      <c r="J303" s="45"/>
      <c r="K303" s="45"/>
      <c r="L303" s="45"/>
      <c r="M303" s="44"/>
      <c r="N303" s="44"/>
      <c r="O303" s="44"/>
      <c r="P303" s="44"/>
      <c r="Q303" s="44"/>
    </row>
    <row r="304" spans="8:17" x14ac:dyDescent="0.25">
      <c r="H304" s="44"/>
      <c r="I304" s="44"/>
      <c r="J304" s="45"/>
      <c r="K304" s="45"/>
      <c r="L304" s="45"/>
      <c r="M304" s="44"/>
      <c r="N304" s="44"/>
      <c r="O304" s="44"/>
      <c r="P304" s="44"/>
      <c r="Q304" s="44"/>
    </row>
    <row r="305" spans="8:17" x14ac:dyDescent="0.25">
      <c r="H305" s="44"/>
      <c r="I305" s="44"/>
      <c r="J305" s="45"/>
      <c r="K305" s="45"/>
      <c r="L305" s="45"/>
      <c r="M305" s="44"/>
      <c r="N305" s="44"/>
      <c r="O305" s="44"/>
      <c r="P305" s="44"/>
      <c r="Q305" s="44"/>
    </row>
    <row r="306" spans="8:17" x14ac:dyDescent="0.25">
      <c r="H306" s="44"/>
      <c r="I306" s="44"/>
      <c r="J306" s="45"/>
      <c r="K306" s="45"/>
      <c r="L306" s="45"/>
      <c r="M306" s="44"/>
      <c r="N306" s="44"/>
      <c r="O306" s="44"/>
      <c r="P306" s="44"/>
      <c r="Q306" s="44"/>
    </row>
    <row r="307" spans="8:17" x14ac:dyDescent="0.25">
      <c r="H307" s="44"/>
      <c r="I307" s="44"/>
      <c r="J307" s="45"/>
      <c r="K307" s="45"/>
      <c r="L307" s="45"/>
      <c r="M307" s="44"/>
      <c r="N307" s="44"/>
      <c r="O307" s="44"/>
      <c r="P307" s="44"/>
      <c r="Q307" s="44"/>
    </row>
    <row r="308" spans="8:17" x14ac:dyDescent="0.25">
      <c r="H308" s="44"/>
      <c r="I308" s="44"/>
      <c r="J308" s="45"/>
      <c r="K308" s="45"/>
      <c r="L308" s="45"/>
      <c r="M308" s="44"/>
      <c r="N308" s="44"/>
      <c r="O308" s="44"/>
      <c r="P308" s="44"/>
      <c r="Q308" s="44"/>
    </row>
    <row r="309" spans="8:17" x14ac:dyDescent="0.25">
      <c r="H309" s="44"/>
      <c r="I309" s="44"/>
      <c r="J309" s="45"/>
      <c r="K309" s="45"/>
      <c r="L309" s="45"/>
      <c r="M309" s="44"/>
      <c r="N309" s="44"/>
      <c r="O309" s="44"/>
      <c r="P309" s="44"/>
      <c r="Q309" s="44"/>
    </row>
    <row r="310" spans="8:17" x14ac:dyDescent="0.25">
      <c r="H310" s="44"/>
      <c r="I310" s="44"/>
      <c r="J310" s="45"/>
      <c r="K310" s="45"/>
      <c r="L310" s="45"/>
      <c r="M310" s="44"/>
      <c r="N310" s="44"/>
      <c r="O310" s="44"/>
      <c r="P310" s="44"/>
      <c r="Q310" s="44"/>
    </row>
    <row r="311" spans="8:17" x14ac:dyDescent="0.25">
      <c r="H311" s="44"/>
      <c r="I311" s="44"/>
      <c r="J311" s="45"/>
      <c r="K311" s="45"/>
      <c r="L311" s="45"/>
      <c r="M311" s="44"/>
      <c r="N311" s="44"/>
      <c r="O311" s="44"/>
      <c r="P311" s="44"/>
      <c r="Q311" s="44"/>
    </row>
    <row r="312" spans="8:17" x14ac:dyDescent="0.25">
      <c r="H312" s="44"/>
      <c r="I312" s="44"/>
      <c r="J312" s="45"/>
      <c r="K312" s="45"/>
      <c r="L312" s="45"/>
      <c r="M312" s="44"/>
      <c r="N312" s="44"/>
      <c r="O312" s="44"/>
      <c r="P312" s="44"/>
      <c r="Q312" s="44"/>
    </row>
    <row r="313" spans="8:17" x14ac:dyDescent="0.25">
      <c r="H313" s="44"/>
      <c r="I313" s="44"/>
      <c r="J313" s="45"/>
      <c r="K313" s="45"/>
      <c r="L313" s="45"/>
      <c r="M313" s="44"/>
      <c r="N313" s="44"/>
      <c r="O313" s="44"/>
      <c r="P313" s="44"/>
      <c r="Q313" s="44"/>
    </row>
    <row r="314" spans="8:17" x14ac:dyDescent="0.25">
      <c r="H314" s="44"/>
      <c r="I314" s="44"/>
      <c r="J314" s="45"/>
      <c r="K314" s="45"/>
      <c r="L314" s="45"/>
      <c r="M314" s="44"/>
      <c r="N314" s="44"/>
      <c r="O314" s="44"/>
      <c r="P314" s="44"/>
      <c r="Q314" s="44"/>
    </row>
    <row r="315" spans="8:17" x14ac:dyDescent="0.25">
      <c r="H315" s="44"/>
      <c r="I315" s="44"/>
      <c r="J315" s="45"/>
      <c r="K315" s="45"/>
      <c r="L315" s="45"/>
      <c r="M315" s="44"/>
      <c r="N315" s="44"/>
      <c r="O315" s="44"/>
      <c r="P315" s="44"/>
      <c r="Q315" s="44"/>
    </row>
    <row r="316" spans="8:17" x14ac:dyDescent="0.25">
      <c r="H316" s="44"/>
      <c r="I316" s="44"/>
      <c r="J316" s="45"/>
      <c r="K316" s="45"/>
      <c r="L316" s="45"/>
      <c r="M316" s="44"/>
      <c r="N316" s="44"/>
      <c r="O316" s="44"/>
      <c r="P316" s="44"/>
      <c r="Q316" s="44"/>
    </row>
    <row r="317" spans="8:17" x14ac:dyDescent="0.25">
      <c r="H317" s="44"/>
      <c r="I317" s="44"/>
      <c r="J317" s="45"/>
      <c r="K317" s="45"/>
      <c r="L317" s="45"/>
      <c r="M317" s="44"/>
      <c r="N317" s="44"/>
      <c r="O317" s="44"/>
      <c r="P317" s="44"/>
      <c r="Q317" s="44"/>
    </row>
    <row r="318" spans="8:17" x14ac:dyDescent="0.25">
      <c r="H318" s="44"/>
      <c r="I318" s="44"/>
      <c r="J318" s="45"/>
      <c r="K318" s="45"/>
      <c r="L318" s="45"/>
      <c r="M318" s="44"/>
      <c r="N318" s="44"/>
      <c r="O318" s="44"/>
      <c r="P318" s="44"/>
      <c r="Q318" s="44"/>
    </row>
    <row r="319" spans="8:17" x14ac:dyDescent="0.25">
      <c r="H319" s="44"/>
      <c r="I319" s="44"/>
      <c r="J319" s="45"/>
      <c r="K319" s="45"/>
      <c r="L319" s="45"/>
      <c r="M319" s="44"/>
      <c r="N319" s="44"/>
      <c r="O319" s="44"/>
      <c r="P319" s="44"/>
      <c r="Q319" s="44"/>
    </row>
    <row r="320" spans="8:17" x14ac:dyDescent="0.25">
      <c r="H320" s="44"/>
      <c r="I320" s="44"/>
      <c r="J320" s="45"/>
      <c r="K320" s="45"/>
      <c r="L320" s="45"/>
      <c r="M320" s="44"/>
      <c r="N320" s="44"/>
      <c r="O320" s="44"/>
      <c r="P320" s="44"/>
      <c r="Q320" s="44"/>
    </row>
    <row r="321" spans="8:17" x14ac:dyDescent="0.25">
      <c r="H321" s="44"/>
      <c r="I321" s="44"/>
      <c r="J321" s="45"/>
      <c r="K321" s="45"/>
      <c r="L321" s="45"/>
      <c r="M321" s="44"/>
      <c r="N321" s="44"/>
      <c r="O321" s="44"/>
      <c r="P321" s="44"/>
      <c r="Q321" s="44"/>
    </row>
    <row r="322" spans="8:17" x14ac:dyDescent="0.25">
      <c r="H322" s="44"/>
      <c r="I322" s="44"/>
      <c r="J322" s="45"/>
      <c r="K322" s="45"/>
      <c r="L322" s="45"/>
      <c r="M322" s="44"/>
      <c r="N322" s="44"/>
      <c r="O322" s="44"/>
      <c r="P322" s="44"/>
      <c r="Q322" s="44"/>
    </row>
    <row r="323" spans="8:17" x14ac:dyDescent="0.25">
      <c r="H323" s="44"/>
      <c r="I323" s="44"/>
      <c r="J323" s="45"/>
      <c r="K323" s="45"/>
      <c r="L323" s="45"/>
      <c r="M323" s="44"/>
      <c r="N323" s="44"/>
      <c r="O323" s="44"/>
      <c r="P323" s="44"/>
      <c r="Q323" s="44"/>
    </row>
    <row r="324" spans="8:17" x14ac:dyDescent="0.25">
      <c r="H324" s="44"/>
      <c r="I324" s="44"/>
      <c r="J324" s="45"/>
      <c r="K324" s="45"/>
      <c r="L324" s="45"/>
      <c r="M324" s="44"/>
      <c r="N324" s="44"/>
      <c r="O324" s="44"/>
      <c r="P324" s="44"/>
      <c r="Q324" s="44"/>
    </row>
    <row r="325" spans="8:17" x14ac:dyDescent="0.25">
      <c r="H325" s="44"/>
      <c r="I325" s="44"/>
      <c r="J325" s="45"/>
      <c r="K325" s="45"/>
      <c r="L325" s="45"/>
      <c r="M325" s="44"/>
      <c r="N325" s="44"/>
      <c r="O325" s="44"/>
      <c r="P325" s="44"/>
      <c r="Q325" s="44"/>
    </row>
    <row r="326" spans="8:17" x14ac:dyDescent="0.25">
      <c r="H326" s="44"/>
      <c r="I326" s="44"/>
      <c r="J326" s="45"/>
      <c r="K326" s="45"/>
      <c r="L326" s="45"/>
      <c r="M326" s="44"/>
      <c r="N326" s="44"/>
      <c r="O326" s="44"/>
      <c r="P326" s="44"/>
      <c r="Q326" s="44"/>
    </row>
    <row r="327" spans="8:17" x14ac:dyDescent="0.25">
      <c r="H327" s="44"/>
      <c r="I327" s="44"/>
      <c r="J327" s="45"/>
      <c r="K327" s="45"/>
      <c r="L327" s="45"/>
      <c r="M327" s="44"/>
      <c r="N327" s="44"/>
      <c r="O327" s="44"/>
      <c r="P327" s="44"/>
      <c r="Q327" s="44"/>
    </row>
    <row r="328" spans="8:17" x14ac:dyDescent="0.25">
      <c r="H328" s="44"/>
      <c r="I328" s="44"/>
      <c r="J328" s="45"/>
      <c r="K328" s="45"/>
      <c r="L328" s="45"/>
      <c r="M328" s="44"/>
      <c r="N328" s="44"/>
      <c r="O328" s="44"/>
      <c r="P328" s="44"/>
      <c r="Q328" s="44"/>
    </row>
    <row r="329" spans="8:17" x14ac:dyDescent="0.25">
      <c r="H329" s="44"/>
      <c r="I329" s="44"/>
      <c r="J329" s="45"/>
      <c r="K329" s="45"/>
      <c r="L329" s="45"/>
      <c r="M329" s="44"/>
      <c r="N329" s="44"/>
      <c r="O329" s="44"/>
      <c r="P329" s="44"/>
      <c r="Q329" s="44"/>
    </row>
    <row r="330" spans="8:17" x14ac:dyDescent="0.25">
      <c r="H330" s="44"/>
      <c r="I330" s="44"/>
      <c r="J330" s="45"/>
      <c r="K330" s="45"/>
      <c r="L330" s="45"/>
      <c r="M330" s="44"/>
      <c r="N330" s="44"/>
      <c r="O330" s="44"/>
      <c r="P330" s="44"/>
      <c r="Q330" s="44"/>
    </row>
    <row r="331" spans="8:17" x14ac:dyDescent="0.25">
      <c r="H331" s="44"/>
      <c r="I331" s="44"/>
      <c r="J331" s="45"/>
      <c r="K331" s="45"/>
      <c r="L331" s="45"/>
      <c r="M331" s="44"/>
      <c r="N331" s="44"/>
      <c r="O331" s="44"/>
      <c r="P331" s="44"/>
      <c r="Q331" s="44"/>
    </row>
    <row r="332" spans="8:17" x14ac:dyDescent="0.25">
      <c r="H332" s="44"/>
      <c r="I332" s="44"/>
      <c r="J332" s="45"/>
      <c r="K332" s="45"/>
      <c r="L332" s="45"/>
      <c r="M332" s="44"/>
      <c r="N332" s="44"/>
      <c r="O332" s="44"/>
      <c r="P332" s="44"/>
      <c r="Q332" s="44"/>
    </row>
    <row r="333" spans="8:17" x14ac:dyDescent="0.25">
      <c r="H333" s="44"/>
      <c r="I333" s="44"/>
      <c r="J333" s="45"/>
      <c r="K333" s="45"/>
      <c r="L333" s="45"/>
      <c r="M333" s="44"/>
      <c r="N333" s="44"/>
      <c r="O333" s="44"/>
      <c r="P333" s="44"/>
      <c r="Q333" s="44"/>
    </row>
    <row r="334" spans="8:17" x14ac:dyDescent="0.25">
      <c r="H334" s="44"/>
      <c r="I334" s="44"/>
      <c r="J334" s="45"/>
      <c r="K334" s="45"/>
      <c r="L334" s="45"/>
      <c r="M334" s="44"/>
      <c r="N334" s="44"/>
      <c r="O334" s="44"/>
      <c r="P334" s="44"/>
      <c r="Q334" s="44"/>
    </row>
    <row r="335" spans="8:17" x14ac:dyDescent="0.25">
      <c r="H335" s="44"/>
      <c r="I335" s="44"/>
      <c r="J335" s="45"/>
      <c r="K335" s="45"/>
      <c r="L335" s="45"/>
      <c r="M335" s="44"/>
      <c r="N335" s="44"/>
      <c r="O335" s="44"/>
      <c r="P335" s="44"/>
      <c r="Q335" s="44"/>
    </row>
    <row r="336" spans="8:17" x14ac:dyDescent="0.25">
      <c r="H336" s="44"/>
      <c r="I336" s="44"/>
      <c r="J336" s="45"/>
      <c r="K336" s="45"/>
      <c r="L336" s="45"/>
      <c r="M336" s="44"/>
      <c r="N336" s="44"/>
      <c r="O336" s="44"/>
      <c r="P336" s="44"/>
      <c r="Q336" s="44"/>
    </row>
    <row r="337" spans="8:17" x14ac:dyDescent="0.25">
      <c r="H337" s="44"/>
      <c r="I337" s="44"/>
      <c r="J337" s="45"/>
      <c r="K337" s="45"/>
      <c r="L337" s="45"/>
      <c r="M337" s="44"/>
      <c r="N337" s="44"/>
      <c r="O337" s="44"/>
      <c r="P337" s="44"/>
      <c r="Q337" s="44"/>
    </row>
    <row r="338" spans="8:17" x14ac:dyDescent="0.25">
      <c r="H338" s="44"/>
      <c r="I338" s="44"/>
      <c r="J338" s="45"/>
      <c r="K338" s="45"/>
      <c r="L338" s="45"/>
      <c r="M338" s="44"/>
      <c r="N338" s="44"/>
      <c r="O338" s="44"/>
      <c r="P338" s="44"/>
      <c r="Q338" s="44"/>
    </row>
    <row r="339" spans="8:17" x14ac:dyDescent="0.25">
      <c r="H339" s="44"/>
      <c r="I339" s="44"/>
      <c r="J339" s="45"/>
      <c r="K339" s="45"/>
      <c r="L339" s="45"/>
      <c r="M339" s="44"/>
      <c r="N339" s="44"/>
      <c r="O339" s="44"/>
      <c r="P339" s="44"/>
      <c r="Q339" s="44"/>
    </row>
    <row r="340" spans="8:17" x14ac:dyDescent="0.25">
      <c r="H340" s="44"/>
      <c r="I340" s="44"/>
      <c r="J340" s="45"/>
      <c r="K340" s="45"/>
      <c r="L340" s="45"/>
      <c r="M340" s="44"/>
      <c r="N340" s="44"/>
      <c r="O340" s="44"/>
      <c r="P340" s="44"/>
      <c r="Q340" s="44"/>
    </row>
    <row r="341" spans="8:17" x14ac:dyDescent="0.25">
      <c r="H341" s="44"/>
      <c r="I341" s="44"/>
      <c r="J341" s="45"/>
      <c r="K341" s="45"/>
      <c r="L341" s="45"/>
      <c r="M341" s="44"/>
      <c r="N341" s="44"/>
      <c r="O341" s="44"/>
      <c r="P341" s="44"/>
      <c r="Q341" s="44"/>
    </row>
    <row r="342" spans="8:17" x14ac:dyDescent="0.25">
      <c r="H342" s="44"/>
      <c r="I342" s="44"/>
      <c r="J342" s="45"/>
      <c r="K342" s="45"/>
      <c r="L342" s="45"/>
      <c r="M342" s="44"/>
      <c r="N342" s="44"/>
      <c r="O342" s="44"/>
      <c r="P342" s="44"/>
      <c r="Q342" s="44"/>
    </row>
    <row r="343" spans="8:17" x14ac:dyDescent="0.25">
      <c r="H343" s="44"/>
      <c r="I343" s="44"/>
      <c r="J343" s="45"/>
      <c r="K343" s="45"/>
      <c r="L343" s="45"/>
      <c r="M343" s="44"/>
      <c r="N343" s="44"/>
      <c r="O343" s="44"/>
      <c r="P343" s="44"/>
      <c r="Q343" s="44"/>
    </row>
    <row r="344" spans="8:17" x14ac:dyDescent="0.25">
      <c r="H344" s="44"/>
      <c r="I344" s="44"/>
      <c r="J344" s="45"/>
      <c r="K344" s="45"/>
      <c r="L344" s="45"/>
      <c r="M344" s="44"/>
      <c r="N344" s="44"/>
      <c r="O344" s="44"/>
      <c r="P344" s="44"/>
      <c r="Q344" s="44"/>
    </row>
    <row r="345" spans="8:17" x14ac:dyDescent="0.25">
      <c r="H345" s="44"/>
      <c r="I345" s="44"/>
      <c r="J345" s="45"/>
      <c r="K345" s="45"/>
      <c r="L345" s="45"/>
      <c r="M345" s="44"/>
      <c r="N345" s="44"/>
      <c r="O345" s="44"/>
      <c r="P345" s="44"/>
      <c r="Q345" s="44"/>
    </row>
    <row r="346" spans="8:17" x14ac:dyDescent="0.25">
      <c r="H346" s="44"/>
      <c r="I346" s="44"/>
      <c r="J346" s="45"/>
      <c r="K346" s="45"/>
      <c r="L346" s="45"/>
      <c r="M346" s="44"/>
      <c r="N346" s="44"/>
      <c r="O346" s="44"/>
      <c r="P346" s="44"/>
      <c r="Q346" s="44"/>
    </row>
    <row r="347" spans="8:17" x14ac:dyDescent="0.25">
      <c r="H347" s="44"/>
      <c r="I347" s="44"/>
      <c r="J347" s="45"/>
      <c r="K347" s="45"/>
      <c r="L347" s="45"/>
      <c r="M347" s="44"/>
      <c r="N347" s="44"/>
      <c r="O347" s="44"/>
      <c r="P347" s="44"/>
      <c r="Q347" s="44"/>
    </row>
    <row r="348" spans="8:17" x14ac:dyDescent="0.25">
      <c r="H348" s="44"/>
      <c r="I348" s="44"/>
      <c r="J348" s="45"/>
      <c r="K348" s="45"/>
      <c r="L348" s="45"/>
      <c r="M348" s="44"/>
      <c r="N348" s="44"/>
      <c r="O348" s="44"/>
      <c r="P348" s="44"/>
      <c r="Q348" s="44"/>
    </row>
    <row r="349" spans="8:17" x14ac:dyDescent="0.25">
      <c r="H349" s="44"/>
      <c r="I349" s="44"/>
      <c r="J349" s="45"/>
      <c r="K349" s="45"/>
      <c r="L349" s="45"/>
      <c r="M349" s="44"/>
      <c r="N349" s="44"/>
      <c r="O349" s="44"/>
      <c r="P349" s="44"/>
      <c r="Q349" s="44"/>
    </row>
    <row r="350" spans="8:17" x14ac:dyDescent="0.25">
      <c r="H350" s="44"/>
      <c r="I350" s="44"/>
      <c r="J350" s="45"/>
      <c r="K350" s="45"/>
      <c r="L350" s="45"/>
      <c r="M350" s="44"/>
      <c r="N350" s="44"/>
      <c r="O350" s="44"/>
      <c r="P350" s="44"/>
      <c r="Q350" s="44"/>
    </row>
    <row r="351" spans="8:17" x14ac:dyDescent="0.25">
      <c r="H351" s="44"/>
      <c r="I351" s="44"/>
      <c r="J351" s="45"/>
      <c r="K351" s="45"/>
      <c r="L351" s="45"/>
      <c r="M351" s="44"/>
      <c r="N351" s="44"/>
      <c r="O351" s="44"/>
      <c r="P351" s="44"/>
      <c r="Q351" s="44"/>
    </row>
    <row r="352" spans="8:17" x14ac:dyDescent="0.25">
      <c r="H352" s="44"/>
      <c r="I352" s="44"/>
      <c r="J352" s="45"/>
      <c r="K352" s="45"/>
      <c r="L352" s="45"/>
      <c r="M352" s="44"/>
      <c r="N352" s="44"/>
      <c r="O352" s="44"/>
      <c r="P352" s="44"/>
      <c r="Q352" s="44"/>
    </row>
    <row r="353" spans="8:17" x14ac:dyDescent="0.25">
      <c r="H353" s="44"/>
      <c r="I353" s="44"/>
      <c r="J353" s="45"/>
      <c r="K353" s="45"/>
      <c r="L353" s="45"/>
      <c r="M353" s="44"/>
      <c r="N353" s="44"/>
      <c r="O353" s="44"/>
      <c r="P353" s="44"/>
      <c r="Q353" s="44"/>
    </row>
    <row r="354" spans="8:17" x14ac:dyDescent="0.25">
      <c r="H354" s="44"/>
      <c r="I354" s="44"/>
      <c r="J354" s="45"/>
      <c r="K354" s="45"/>
      <c r="L354" s="45"/>
      <c r="M354" s="44"/>
      <c r="N354" s="44"/>
      <c r="O354" s="44"/>
      <c r="P354" s="44"/>
      <c r="Q354" s="44"/>
    </row>
    <row r="355" spans="8:17" x14ac:dyDescent="0.25">
      <c r="H355" s="44"/>
      <c r="I355" s="44"/>
      <c r="J355" s="45"/>
      <c r="K355" s="45"/>
      <c r="L355" s="45"/>
      <c r="M355" s="44"/>
      <c r="N355" s="44"/>
      <c r="O355" s="44"/>
      <c r="P355" s="44"/>
      <c r="Q355" s="44"/>
    </row>
    <row r="356" spans="8:17" x14ac:dyDescent="0.25">
      <c r="H356" s="44"/>
      <c r="I356" s="44"/>
      <c r="J356" s="45"/>
      <c r="K356" s="45"/>
      <c r="L356" s="45"/>
      <c r="M356" s="44"/>
      <c r="N356" s="44"/>
      <c r="O356" s="44"/>
      <c r="P356" s="44"/>
      <c r="Q356" s="44"/>
    </row>
    <row r="357" spans="8:17" x14ac:dyDescent="0.25">
      <c r="H357" s="44"/>
      <c r="I357" s="44"/>
      <c r="J357" s="45"/>
      <c r="K357" s="45"/>
      <c r="L357" s="45"/>
      <c r="M357" s="44"/>
      <c r="N357" s="44"/>
      <c r="O357" s="44"/>
      <c r="P357" s="44"/>
      <c r="Q357" s="44"/>
    </row>
    <row r="358" spans="8:17" x14ac:dyDescent="0.25">
      <c r="H358" s="44"/>
      <c r="I358" s="44"/>
      <c r="J358" s="45"/>
      <c r="K358" s="45"/>
      <c r="L358" s="45"/>
      <c r="M358" s="44"/>
      <c r="N358" s="44"/>
      <c r="O358" s="44"/>
      <c r="P358" s="44"/>
      <c r="Q358" s="44"/>
    </row>
    <row r="359" spans="8:17" x14ac:dyDescent="0.25">
      <c r="H359" s="44"/>
      <c r="I359" s="44"/>
      <c r="J359" s="45"/>
      <c r="K359" s="45"/>
      <c r="L359" s="45"/>
      <c r="M359" s="44"/>
      <c r="N359" s="44"/>
      <c r="O359" s="44"/>
      <c r="P359" s="44"/>
      <c r="Q359" s="44"/>
    </row>
    <row r="360" spans="8:17" x14ac:dyDescent="0.25">
      <c r="H360" s="44"/>
      <c r="I360" s="44"/>
      <c r="J360" s="45"/>
      <c r="K360" s="45"/>
      <c r="L360" s="45"/>
      <c r="M360" s="44"/>
      <c r="N360" s="44"/>
      <c r="O360" s="44"/>
      <c r="P360" s="44"/>
      <c r="Q360" s="44"/>
    </row>
    <row r="361" spans="8:17" x14ac:dyDescent="0.25">
      <c r="H361" s="44"/>
      <c r="I361" s="44"/>
      <c r="J361" s="45"/>
      <c r="K361" s="45"/>
      <c r="L361" s="45"/>
      <c r="M361" s="44"/>
      <c r="N361" s="44"/>
      <c r="O361" s="44"/>
      <c r="P361" s="44"/>
      <c r="Q361" s="44"/>
    </row>
    <row r="362" spans="8:17" x14ac:dyDescent="0.25">
      <c r="H362" s="44"/>
      <c r="I362" s="44"/>
      <c r="J362" s="45"/>
      <c r="K362" s="45"/>
      <c r="L362" s="45"/>
      <c r="M362" s="44"/>
      <c r="N362" s="44"/>
      <c r="O362" s="44"/>
      <c r="P362" s="44"/>
      <c r="Q362" s="44"/>
    </row>
    <row r="363" spans="8:17" x14ac:dyDescent="0.25">
      <c r="H363" s="44"/>
      <c r="I363" s="44"/>
      <c r="J363" s="45"/>
      <c r="K363" s="45"/>
      <c r="L363" s="45"/>
      <c r="M363" s="44"/>
      <c r="N363" s="44"/>
      <c r="O363" s="44"/>
      <c r="P363" s="44"/>
      <c r="Q363" s="44"/>
    </row>
    <row r="364" spans="8:17" x14ac:dyDescent="0.25">
      <c r="H364" s="44"/>
      <c r="I364" s="44"/>
      <c r="J364" s="45"/>
      <c r="K364" s="45"/>
      <c r="L364" s="45"/>
      <c r="M364" s="44"/>
      <c r="N364" s="44"/>
      <c r="O364" s="44"/>
      <c r="P364" s="44"/>
      <c r="Q364" s="44"/>
    </row>
    <row r="365" spans="8:17" x14ac:dyDescent="0.25">
      <c r="H365" s="44"/>
      <c r="I365" s="44"/>
      <c r="J365" s="45"/>
      <c r="K365" s="45"/>
      <c r="L365" s="45"/>
      <c r="M365" s="44"/>
      <c r="N365" s="44"/>
      <c r="O365" s="44"/>
      <c r="P365" s="44"/>
      <c r="Q365" s="44"/>
    </row>
    <row r="366" spans="8:17" x14ac:dyDescent="0.25">
      <c r="H366" s="44"/>
      <c r="I366" s="44"/>
      <c r="J366" s="45"/>
      <c r="K366" s="45"/>
      <c r="L366" s="45"/>
      <c r="M366" s="44"/>
      <c r="N366" s="44"/>
      <c r="O366" s="44"/>
      <c r="P366" s="44"/>
      <c r="Q366" s="44"/>
    </row>
    <row r="367" spans="8:17" x14ac:dyDescent="0.25">
      <c r="H367" s="44"/>
      <c r="I367" s="44"/>
      <c r="J367" s="45"/>
      <c r="K367" s="45"/>
      <c r="L367" s="45"/>
      <c r="M367" s="44"/>
      <c r="N367" s="44"/>
      <c r="O367" s="44"/>
      <c r="P367" s="44"/>
      <c r="Q367" s="44"/>
    </row>
    <row r="368" spans="8:17" x14ac:dyDescent="0.25">
      <c r="H368" s="44"/>
      <c r="I368" s="44"/>
      <c r="J368" s="45"/>
      <c r="K368" s="45"/>
      <c r="L368" s="45"/>
      <c r="M368" s="44"/>
      <c r="N368" s="44"/>
      <c r="O368" s="44"/>
      <c r="P368" s="44"/>
      <c r="Q368" s="44"/>
    </row>
    <row r="369" spans="8:17" x14ac:dyDescent="0.25">
      <c r="H369" s="44"/>
      <c r="I369" s="44"/>
      <c r="J369" s="45"/>
      <c r="K369" s="45"/>
      <c r="L369" s="45"/>
      <c r="M369" s="44"/>
      <c r="N369" s="44"/>
      <c r="O369" s="44"/>
      <c r="P369" s="44"/>
      <c r="Q369" s="44"/>
    </row>
    <row r="370" spans="8:17" x14ac:dyDescent="0.25">
      <c r="H370" s="44"/>
      <c r="I370" s="44"/>
      <c r="J370" s="45"/>
      <c r="K370" s="45"/>
      <c r="L370" s="45"/>
      <c r="M370" s="44"/>
      <c r="N370" s="44"/>
      <c r="O370" s="44"/>
      <c r="P370" s="44"/>
      <c r="Q370" s="44"/>
    </row>
    <row r="371" spans="8:17" x14ac:dyDescent="0.25">
      <c r="H371" s="44"/>
      <c r="I371" s="44"/>
      <c r="J371" s="45"/>
      <c r="K371" s="45"/>
      <c r="L371" s="45"/>
      <c r="M371" s="44"/>
      <c r="N371" s="44"/>
      <c r="O371" s="44"/>
      <c r="P371" s="44"/>
      <c r="Q371" s="44"/>
    </row>
    <row r="372" spans="8:17" x14ac:dyDescent="0.25">
      <c r="H372" s="44"/>
      <c r="I372" s="44"/>
      <c r="J372" s="45"/>
      <c r="K372" s="45"/>
      <c r="L372" s="45"/>
      <c r="M372" s="44"/>
      <c r="N372" s="44"/>
      <c r="O372" s="44"/>
      <c r="P372" s="44"/>
      <c r="Q372" s="44"/>
    </row>
    <row r="373" spans="8:17" x14ac:dyDescent="0.25">
      <c r="H373" s="44"/>
      <c r="I373" s="44"/>
      <c r="J373" s="45"/>
      <c r="K373" s="45"/>
      <c r="L373" s="45"/>
      <c r="M373" s="44"/>
      <c r="N373" s="44"/>
      <c r="O373" s="44"/>
      <c r="P373" s="44"/>
      <c r="Q373" s="44"/>
    </row>
    <row r="374" spans="8:17" x14ac:dyDescent="0.25">
      <c r="H374" s="44"/>
      <c r="I374" s="44"/>
      <c r="J374" s="45"/>
      <c r="K374" s="45"/>
      <c r="L374" s="45"/>
      <c r="M374" s="44"/>
      <c r="N374" s="44"/>
      <c r="O374" s="44"/>
      <c r="P374" s="44"/>
      <c r="Q374" s="44"/>
    </row>
    <row r="375" spans="8:17" x14ac:dyDescent="0.25">
      <c r="H375" s="44"/>
      <c r="I375" s="44"/>
      <c r="J375" s="45"/>
      <c r="K375" s="45"/>
      <c r="L375" s="45"/>
      <c r="M375" s="44"/>
      <c r="N375" s="44"/>
      <c r="O375" s="44"/>
      <c r="P375" s="44"/>
      <c r="Q375" s="44"/>
    </row>
    <row r="376" spans="8:17" x14ac:dyDescent="0.25">
      <c r="H376" s="44"/>
      <c r="I376" s="44"/>
      <c r="J376" s="45"/>
      <c r="K376" s="45"/>
      <c r="L376" s="45"/>
      <c r="M376" s="44"/>
      <c r="N376" s="44"/>
      <c r="O376" s="44"/>
      <c r="P376" s="44"/>
      <c r="Q376" s="44"/>
    </row>
    <row r="377" spans="8:17" x14ac:dyDescent="0.25">
      <c r="H377" s="44"/>
      <c r="I377" s="44"/>
      <c r="J377" s="45"/>
      <c r="K377" s="45"/>
      <c r="L377" s="45"/>
      <c r="M377" s="44"/>
      <c r="N377" s="44"/>
      <c r="O377" s="44"/>
      <c r="P377" s="44"/>
      <c r="Q377" s="44"/>
    </row>
    <row r="378" spans="8:17" x14ac:dyDescent="0.25">
      <c r="H378" s="44"/>
      <c r="I378" s="44"/>
      <c r="J378" s="45"/>
      <c r="K378" s="45"/>
      <c r="L378" s="45"/>
      <c r="M378" s="44"/>
      <c r="N378" s="44"/>
      <c r="O378" s="44"/>
      <c r="P378" s="44"/>
      <c r="Q378" s="44"/>
    </row>
    <row r="379" spans="8:17" x14ac:dyDescent="0.25">
      <c r="H379" s="44"/>
      <c r="I379" s="44"/>
      <c r="J379" s="45"/>
      <c r="K379" s="45"/>
      <c r="L379" s="45"/>
      <c r="M379" s="44"/>
      <c r="N379" s="44"/>
      <c r="O379" s="44"/>
      <c r="P379" s="44"/>
      <c r="Q379" s="44"/>
    </row>
    <row r="380" spans="8:17" x14ac:dyDescent="0.25">
      <c r="H380" s="44"/>
      <c r="I380" s="44"/>
      <c r="J380" s="45"/>
      <c r="K380" s="45"/>
      <c r="L380" s="45"/>
      <c r="M380" s="44"/>
      <c r="N380" s="44"/>
      <c r="O380" s="44"/>
      <c r="P380" s="44"/>
      <c r="Q380" s="44"/>
    </row>
    <row r="381" spans="8:17" x14ac:dyDescent="0.25">
      <c r="H381" s="44"/>
      <c r="I381" s="44"/>
      <c r="J381" s="45"/>
      <c r="K381" s="45"/>
      <c r="L381" s="45"/>
      <c r="M381" s="44"/>
      <c r="N381" s="44"/>
      <c r="O381" s="44"/>
      <c r="P381" s="44"/>
      <c r="Q381" s="44"/>
    </row>
    <row r="382" spans="8:17" x14ac:dyDescent="0.25">
      <c r="H382" s="44"/>
      <c r="I382" s="44"/>
      <c r="J382" s="45"/>
      <c r="K382" s="45"/>
      <c r="L382" s="45"/>
      <c r="M382" s="44"/>
      <c r="N382" s="44"/>
      <c r="O382" s="44"/>
      <c r="P382" s="44"/>
      <c r="Q382" s="44"/>
    </row>
    <row r="383" spans="8:17" x14ac:dyDescent="0.25">
      <c r="H383" s="44"/>
      <c r="I383" s="44"/>
      <c r="J383" s="45"/>
      <c r="K383" s="45"/>
      <c r="L383" s="45"/>
      <c r="M383" s="44"/>
      <c r="N383" s="44"/>
      <c r="O383" s="44"/>
      <c r="P383" s="44"/>
      <c r="Q383" s="44"/>
    </row>
    <row r="384" spans="8:17" x14ac:dyDescent="0.25">
      <c r="H384" s="44"/>
      <c r="I384" s="44"/>
      <c r="J384" s="45"/>
      <c r="K384" s="45"/>
      <c r="L384" s="45"/>
      <c r="M384" s="44"/>
      <c r="N384" s="44"/>
      <c r="O384" s="44"/>
      <c r="P384" s="44"/>
      <c r="Q384" s="44"/>
    </row>
    <row r="385" spans="8:17" x14ac:dyDescent="0.25">
      <c r="H385" s="44"/>
      <c r="I385" s="44"/>
      <c r="J385" s="45"/>
      <c r="K385" s="45"/>
      <c r="L385" s="45"/>
      <c r="M385" s="44"/>
      <c r="N385" s="44"/>
      <c r="O385" s="44"/>
      <c r="P385" s="44"/>
      <c r="Q385" s="44"/>
    </row>
    <row r="386" spans="8:17" x14ac:dyDescent="0.25">
      <c r="H386" s="44"/>
      <c r="I386" s="44"/>
      <c r="J386" s="45"/>
      <c r="K386" s="45"/>
      <c r="L386" s="45"/>
      <c r="M386" s="44"/>
      <c r="N386" s="44"/>
      <c r="O386" s="44"/>
      <c r="P386" s="44"/>
      <c r="Q386" s="44"/>
    </row>
    <row r="387" spans="8:17" x14ac:dyDescent="0.25">
      <c r="H387" s="44"/>
      <c r="I387" s="44"/>
      <c r="J387" s="45"/>
      <c r="K387" s="45"/>
      <c r="L387" s="45"/>
      <c r="M387" s="44"/>
      <c r="N387" s="44"/>
      <c r="O387" s="44"/>
      <c r="P387" s="44"/>
      <c r="Q387" s="44"/>
    </row>
    <row r="388" spans="8:17" x14ac:dyDescent="0.25">
      <c r="H388" s="44"/>
      <c r="I388" s="44"/>
      <c r="J388" s="45"/>
      <c r="K388" s="45"/>
      <c r="L388" s="45"/>
      <c r="M388" s="44"/>
      <c r="N388" s="44"/>
      <c r="O388" s="44"/>
      <c r="P388" s="44"/>
      <c r="Q388" s="44"/>
    </row>
    <row r="389" spans="8:17" x14ac:dyDescent="0.25">
      <c r="H389" s="44"/>
      <c r="I389" s="44"/>
      <c r="J389" s="45"/>
      <c r="K389" s="45"/>
      <c r="L389" s="45"/>
      <c r="M389" s="44"/>
      <c r="N389" s="44"/>
      <c r="O389" s="44"/>
      <c r="P389" s="44"/>
      <c r="Q389" s="44"/>
    </row>
    <row r="390" spans="8:17" x14ac:dyDescent="0.25">
      <c r="H390" s="44"/>
      <c r="I390" s="44"/>
      <c r="J390" s="45"/>
      <c r="K390" s="45"/>
      <c r="L390" s="45"/>
      <c r="M390" s="44"/>
      <c r="N390" s="44"/>
      <c r="O390" s="44"/>
      <c r="P390" s="44"/>
      <c r="Q390" s="44"/>
    </row>
    <row r="391" spans="8:17" x14ac:dyDescent="0.25">
      <c r="H391" s="44"/>
      <c r="I391" s="44"/>
      <c r="J391" s="45"/>
      <c r="K391" s="45"/>
      <c r="L391" s="45"/>
      <c r="M391" s="44"/>
      <c r="N391" s="44"/>
      <c r="O391" s="44"/>
      <c r="P391" s="44"/>
      <c r="Q391" s="44"/>
    </row>
    <row r="392" spans="8:17" x14ac:dyDescent="0.25">
      <c r="H392" s="44"/>
      <c r="I392" s="44"/>
      <c r="J392" s="45"/>
      <c r="K392" s="45"/>
      <c r="L392" s="45"/>
      <c r="M392" s="44"/>
      <c r="N392" s="44"/>
      <c r="O392" s="44"/>
      <c r="P392" s="44"/>
      <c r="Q392" s="44"/>
    </row>
    <row r="393" spans="8:17" x14ac:dyDescent="0.25">
      <c r="H393" s="44"/>
      <c r="I393" s="44"/>
      <c r="J393" s="45"/>
      <c r="K393" s="45"/>
      <c r="L393" s="45"/>
      <c r="M393" s="44"/>
      <c r="N393" s="44"/>
      <c r="O393" s="44"/>
      <c r="P393" s="44"/>
      <c r="Q393" s="44"/>
    </row>
    <row r="394" spans="8:17" x14ac:dyDescent="0.25">
      <c r="H394" s="44"/>
      <c r="I394" s="44"/>
      <c r="J394" s="45"/>
      <c r="K394" s="45"/>
      <c r="L394" s="45"/>
      <c r="M394" s="44"/>
      <c r="N394" s="44"/>
      <c r="O394" s="44"/>
      <c r="P394" s="44"/>
      <c r="Q394" s="44"/>
    </row>
    <row r="395" spans="8:17" x14ac:dyDescent="0.25">
      <c r="H395" s="44"/>
      <c r="I395" s="44"/>
      <c r="J395" s="45"/>
      <c r="K395" s="45"/>
      <c r="L395" s="45"/>
      <c r="M395" s="44"/>
      <c r="N395" s="44"/>
      <c r="O395" s="44"/>
      <c r="P395" s="44"/>
      <c r="Q395" s="44"/>
    </row>
    <row r="396" spans="8:17" x14ac:dyDescent="0.25">
      <c r="H396" s="44"/>
      <c r="I396" s="44"/>
      <c r="J396" s="45"/>
      <c r="K396" s="45"/>
      <c r="L396" s="45"/>
      <c r="M396" s="44"/>
      <c r="N396" s="44"/>
      <c r="O396" s="44"/>
      <c r="P396" s="44"/>
      <c r="Q396" s="44"/>
    </row>
    <row r="397" spans="8:17" x14ac:dyDescent="0.25">
      <c r="H397" s="44"/>
      <c r="I397" s="44"/>
      <c r="J397" s="45"/>
      <c r="K397" s="45"/>
      <c r="L397" s="45"/>
      <c r="M397" s="44"/>
      <c r="N397" s="44"/>
      <c r="O397" s="44"/>
      <c r="P397" s="44"/>
      <c r="Q397" s="44"/>
    </row>
    <row r="398" spans="8:17" x14ac:dyDescent="0.25">
      <c r="H398" s="44"/>
      <c r="I398" s="44"/>
      <c r="J398" s="45"/>
      <c r="K398" s="45"/>
      <c r="L398" s="45"/>
      <c r="M398" s="44"/>
      <c r="N398" s="44"/>
      <c r="O398" s="44"/>
      <c r="P398" s="44"/>
      <c r="Q398" s="44"/>
    </row>
    <row r="399" spans="8:17" x14ac:dyDescent="0.25">
      <c r="H399" s="44"/>
      <c r="I399" s="44"/>
      <c r="J399" s="45"/>
      <c r="K399" s="45"/>
      <c r="L399" s="45"/>
      <c r="M399" s="44"/>
      <c r="N399" s="44"/>
      <c r="O399" s="44"/>
      <c r="P399" s="44"/>
      <c r="Q399" s="44"/>
    </row>
    <row r="400" spans="8:17" x14ac:dyDescent="0.25">
      <c r="H400" s="44"/>
      <c r="I400" s="44"/>
      <c r="J400" s="45"/>
      <c r="K400" s="45"/>
      <c r="L400" s="45"/>
      <c r="M400" s="44"/>
      <c r="N400" s="44"/>
      <c r="O400" s="44"/>
      <c r="P400" s="44"/>
      <c r="Q400" s="44"/>
    </row>
    <row r="401" spans="8:17" x14ac:dyDescent="0.25">
      <c r="H401" s="44"/>
      <c r="I401" s="44"/>
      <c r="J401" s="45"/>
      <c r="K401" s="45"/>
      <c r="L401" s="45"/>
      <c r="M401" s="44"/>
      <c r="N401" s="44"/>
      <c r="O401" s="44"/>
      <c r="P401" s="44"/>
      <c r="Q401" s="44"/>
    </row>
    <row r="402" spans="8:17" x14ac:dyDescent="0.25">
      <c r="H402" s="44"/>
      <c r="I402" s="44"/>
      <c r="J402" s="45"/>
      <c r="K402" s="45"/>
      <c r="L402" s="45"/>
      <c r="M402" s="44"/>
      <c r="N402" s="44"/>
      <c r="O402" s="44"/>
      <c r="P402" s="44"/>
      <c r="Q402" s="44"/>
    </row>
    <row r="403" spans="8:17" x14ac:dyDescent="0.25">
      <c r="H403" s="44"/>
      <c r="I403" s="44"/>
      <c r="J403" s="45"/>
      <c r="K403" s="45"/>
      <c r="L403" s="45"/>
      <c r="M403" s="44"/>
      <c r="N403" s="44"/>
      <c r="O403" s="44"/>
      <c r="P403" s="44"/>
      <c r="Q403" s="44"/>
    </row>
    <row r="404" spans="8:17" x14ac:dyDescent="0.25">
      <c r="H404" s="44"/>
      <c r="I404" s="44"/>
      <c r="J404" s="45"/>
      <c r="K404" s="45"/>
      <c r="L404" s="45"/>
      <c r="M404" s="44"/>
      <c r="N404" s="44"/>
      <c r="O404" s="44"/>
      <c r="P404" s="44"/>
      <c r="Q404" s="44"/>
    </row>
    <row r="405" spans="8:17" x14ac:dyDescent="0.25">
      <c r="H405" s="44"/>
      <c r="I405" s="44"/>
      <c r="J405" s="45"/>
      <c r="K405" s="45"/>
      <c r="L405" s="45"/>
      <c r="M405" s="44"/>
      <c r="N405" s="44"/>
      <c r="O405" s="44"/>
      <c r="P405" s="44"/>
      <c r="Q405" s="44"/>
    </row>
    <row r="406" spans="8:17" x14ac:dyDescent="0.25">
      <c r="H406" s="44"/>
      <c r="I406" s="44"/>
      <c r="J406" s="45"/>
      <c r="K406" s="45"/>
      <c r="L406" s="45"/>
      <c r="M406" s="44"/>
      <c r="N406" s="44"/>
      <c r="O406" s="44"/>
      <c r="P406" s="44"/>
      <c r="Q406" s="44"/>
    </row>
    <row r="407" spans="8:17" x14ac:dyDescent="0.25">
      <c r="H407" s="44"/>
      <c r="I407" s="44"/>
      <c r="J407" s="45"/>
      <c r="K407" s="45"/>
      <c r="L407" s="45"/>
      <c r="M407" s="44"/>
      <c r="N407" s="44"/>
      <c r="O407" s="44"/>
      <c r="P407" s="44"/>
      <c r="Q407" s="44"/>
    </row>
    <row r="408" spans="8:17" x14ac:dyDescent="0.25">
      <c r="H408" s="44"/>
      <c r="I408" s="44"/>
      <c r="J408" s="45"/>
      <c r="K408" s="45"/>
      <c r="L408" s="45"/>
      <c r="M408" s="44"/>
      <c r="N408" s="44"/>
      <c r="O408" s="44"/>
      <c r="P408" s="44"/>
      <c r="Q408" s="44"/>
    </row>
    <row r="409" spans="8:17" x14ac:dyDescent="0.25">
      <c r="H409" s="44"/>
      <c r="I409" s="44"/>
      <c r="J409" s="45"/>
      <c r="K409" s="45"/>
      <c r="L409" s="45"/>
      <c r="M409" s="44"/>
      <c r="N409" s="44"/>
      <c r="O409" s="44"/>
      <c r="P409" s="44"/>
      <c r="Q409" s="44"/>
    </row>
    <row r="410" spans="8:17" x14ac:dyDescent="0.25">
      <c r="H410" s="44"/>
      <c r="I410" s="44"/>
      <c r="J410" s="45"/>
      <c r="K410" s="45"/>
      <c r="L410" s="45"/>
      <c r="M410" s="44"/>
      <c r="N410" s="44"/>
      <c r="O410" s="44"/>
      <c r="P410" s="44"/>
      <c r="Q410" s="44"/>
    </row>
    <row r="411" spans="8:17" x14ac:dyDescent="0.25">
      <c r="H411" s="44"/>
      <c r="I411" s="44"/>
      <c r="J411" s="45"/>
      <c r="K411" s="45"/>
      <c r="L411" s="45"/>
      <c r="M411" s="44"/>
      <c r="N411" s="44"/>
      <c r="O411" s="44"/>
      <c r="P411" s="44"/>
      <c r="Q411" s="44"/>
    </row>
    <row r="412" spans="8:17" x14ac:dyDescent="0.25">
      <c r="H412" s="44"/>
      <c r="I412" s="44"/>
      <c r="J412" s="45"/>
      <c r="K412" s="45"/>
      <c r="L412" s="45"/>
      <c r="M412" s="44"/>
      <c r="N412" s="44"/>
      <c r="O412" s="44"/>
      <c r="P412" s="44"/>
      <c r="Q412" s="44"/>
    </row>
    <row r="413" spans="8:17" x14ac:dyDescent="0.25">
      <c r="H413" s="44"/>
      <c r="I413" s="44"/>
      <c r="J413" s="45"/>
      <c r="K413" s="45"/>
      <c r="L413" s="45"/>
      <c r="M413" s="44"/>
      <c r="N413" s="44"/>
      <c r="O413" s="44"/>
      <c r="P413" s="44"/>
      <c r="Q413" s="44"/>
    </row>
    <row r="414" spans="8:17" x14ac:dyDescent="0.25">
      <c r="H414" s="44"/>
      <c r="I414" s="44"/>
      <c r="J414" s="45"/>
      <c r="K414" s="45"/>
      <c r="L414" s="45"/>
      <c r="M414" s="44"/>
      <c r="N414" s="44"/>
      <c r="O414" s="44"/>
      <c r="P414" s="44"/>
      <c r="Q414" s="44"/>
    </row>
    <row r="415" spans="8:17" x14ac:dyDescent="0.25">
      <c r="H415" s="44"/>
      <c r="I415" s="44"/>
      <c r="J415" s="45"/>
      <c r="K415" s="45"/>
      <c r="L415" s="45"/>
      <c r="M415" s="44"/>
      <c r="N415" s="44"/>
      <c r="O415" s="44"/>
      <c r="P415" s="44"/>
      <c r="Q415" s="44"/>
    </row>
    <row r="416" spans="8:17" x14ac:dyDescent="0.25">
      <c r="H416" s="44"/>
      <c r="I416" s="44"/>
      <c r="J416" s="45"/>
      <c r="K416" s="45"/>
      <c r="L416" s="45"/>
      <c r="M416" s="44"/>
      <c r="N416" s="44"/>
      <c r="O416" s="44"/>
      <c r="P416" s="44"/>
      <c r="Q416" s="44"/>
    </row>
    <row r="417" spans="8:17" x14ac:dyDescent="0.25">
      <c r="H417" s="44"/>
      <c r="I417" s="44"/>
      <c r="J417" s="45"/>
      <c r="K417" s="45"/>
      <c r="L417" s="45"/>
      <c r="M417" s="44"/>
      <c r="N417" s="44"/>
      <c r="O417" s="44"/>
      <c r="P417" s="44"/>
      <c r="Q417" s="44"/>
    </row>
    <row r="418" spans="8:17" x14ac:dyDescent="0.25">
      <c r="H418" s="44"/>
      <c r="I418" s="44"/>
      <c r="J418" s="45"/>
      <c r="K418" s="45"/>
      <c r="L418" s="45"/>
      <c r="M418" s="44"/>
      <c r="N418" s="44"/>
      <c r="O418" s="44"/>
      <c r="P418" s="44"/>
      <c r="Q418" s="44"/>
    </row>
    <row r="419" spans="8:17" x14ac:dyDescent="0.25">
      <c r="H419" s="44"/>
      <c r="I419" s="44"/>
      <c r="J419" s="45"/>
      <c r="K419" s="45"/>
      <c r="L419" s="45"/>
      <c r="M419" s="44"/>
      <c r="N419" s="44"/>
      <c r="O419" s="44"/>
      <c r="P419" s="44"/>
      <c r="Q419" s="44"/>
    </row>
    <row r="420" spans="8:17" x14ac:dyDescent="0.25">
      <c r="H420" s="44"/>
      <c r="I420" s="44"/>
      <c r="J420" s="45"/>
      <c r="K420" s="45"/>
      <c r="L420" s="45"/>
      <c r="M420" s="44"/>
      <c r="N420" s="44"/>
      <c r="O420" s="44"/>
      <c r="P420" s="44"/>
      <c r="Q420" s="44"/>
    </row>
    <row r="421" spans="8:17" x14ac:dyDescent="0.25">
      <c r="H421" s="44"/>
      <c r="I421" s="44"/>
      <c r="J421" s="45"/>
      <c r="K421" s="45"/>
      <c r="L421" s="45"/>
      <c r="M421" s="44"/>
      <c r="N421" s="44"/>
      <c r="O421" s="44"/>
      <c r="P421" s="44"/>
      <c r="Q421" s="44"/>
    </row>
    <row r="422" spans="8:17" x14ac:dyDescent="0.25">
      <c r="H422" s="44"/>
      <c r="I422" s="44"/>
      <c r="J422" s="45"/>
      <c r="K422" s="45"/>
      <c r="L422" s="45"/>
      <c r="M422" s="44"/>
      <c r="N422" s="44"/>
      <c r="O422" s="44"/>
      <c r="P422" s="44"/>
      <c r="Q422" s="44"/>
    </row>
    <row r="423" spans="8:17" x14ac:dyDescent="0.25">
      <c r="H423" s="44"/>
      <c r="I423" s="44"/>
      <c r="J423" s="45"/>
      <c r="K423" s="45"/>
      <c r="L423" s="45"/>
      <c r="M423" s="44"/>
      <c r="N423" s="44"/>
      <c r="O423" s="44"/>
      <c r="P423" s="44"/>
      <c r="Q423" s="44"/>
    </row>
    <row r="424" spans="8:17" x14ac:dyDescent="0.25">
      <c r="H424" s="44"/>
      <c r="I424" s="44"/>
      <c r="J424" s="45"/>
      <c r="K424" s="45"/>
      <c r="L424" s="45"/>
      <c r="M424" s="44"/>
      <c r="N424" s="44"/>
      <c r="O424" s="44"/>
      <c r="P424" s="44"/>
      <c r="Q424" s="44"/>
    </row>
    <row r="425" spans="8:17" x14ac:dyDescent="0.25">
      <c r="H425" s="44"/>
      <c r="I425" s="44"/>
      <c r="J425" s="45"/>
      <c r="K425" s="45"/>
      <c r="L425" s="45"/>
      <c r="M425" s="44"/>
      <c r="N425" s="44"/>
      <c r="O425" s="44"/>
      <c r="P425" s="44"/>
      <c r="Q425" s="44"/>
    </row>
    <row r="426" spans="8:17" x14ac:dyDescent="0.25">
      <c r="H426" s="44"/>
      <c r="I426" s="44"/>
      <c r="J426" s="45"/>
      <c r="K426" s="45"/>
      <c r="L426" s="45"/>
      <c r="M426" s="44"/>
      <c r="N426" s="44"/>
      <c r="O426" s="44"/>
      <c r="P426" s="44"/>
      <c r="Q426" s="44"/>
    </row>
    <row r="427" spans="8:17" x14ac:dyDescent="0.25">
      <c r="H427" s="44"/>
      <c r="I427" s="44"/>
      <c r="J427" s="45"/>
      <c r="K427" s="45"/>
      <c r="L427" s="45"/>
      <c r="M427" s="44"/>
      <c r="N427" s="44"/>
      <c r="O427" s="44"/>
      <c r="P427" s="44"/>
      <c r="Q427" s="44"/>
    </row>
    <row r="428" spans="8:17" x14ac:dyDescent="0.25">
      <c r="H428" s="44"/>
      <c r="I428" s="44"/>
      <c r="J428" s="45"/>
      <c r="K428" s="45"/>
      <c r="L428" s="45"/>
      <c r="M428" s="44"/>
      <c r="N428" s="44"/>
      <c r="O428" s="44"/>
      <c r="P428" s="44"/>
      <c r="Q428" s="44"/>
    </row>
    <row r="429" spans="8:17" x14ac:dyDescent="0.25">
      <c r="H429" s="44"/>
      <c r="I429" s="44"/>
      <c r="J429" s="45"/>
      <c r="K429" s="45"/>
      <c r="L429" s="45"/>
      <c r="M429" s="44"/>
      <c r="N429" s="44"/>
      <c r="O429" s="44"/>
      <c r="P429" s="44"/>
      <c r="Q429" s="44"/>
    </row>
    <row r="430" spans="8:17" x14ac:dyDescent="0.25">
      <c r="H430" s="44"/>
      <c r="I430" s="44"/>
      <c r="J430" s="45"/>
      <c r="K430" s="45"/>
      <c r="L430" s="45"/>
      <c r="M430" s="44"/>
      <c r="N430" s="44"/>
      <c r="O430" s="44"/>
      <c r="P430" s="44"/>
      <c r="Q430" s="44"/>
    </row>
    <row r="431" spans="8:17" x14ac:dyDescent="0.25">
      <c r="H431" s="44"/>
      <c r="I431" s="44"/>
      <c r="J431" s="45"/>
      <c r="K431" s="45"/>
      <c r="L431" s="45"/>
      <c r="M431" s="44"/>
      <c r="N431" s="44"/>
      <c r="O431" s="44"/>
      <c r="P431" s="44"/>
      <c r="Q431" s="44"/>
    </row>
    <row r="432" spans="8:17" x14ac:dyDescent="0.25">
      <c r="H432" s="44"/>
      <c r="I432" s="44"/>
      <c r="J432" s="45"/>
      <c r="K432" s="45"/>
      <c r="L432" s="45"/>
      <c r="M432" s="44"/>
      <c r="N432" s="44"/>
      <c r="O432" s="44"/>
      <c r="P432" s="44"/>
      <c r="Q432" s="44"/>
    </row>
    <row r="433" spans="8:17" x14ac:dyDescent="0.25">
      <c r="H433" s="44"/>
      <c r="I433" s="44"/>
      <c r="J433" s="45"/>
      <c r="K433" s="45"/>
      <c r="L433" s="45"/>
      <c r="M433" s="44"/>
      <c r="N433" s="44"/>
      <c r="O433" s="44"/>
      <c r="P433" s="44"/>
      <c r="Q433" s="44"/>
    </row>
    <row r="434" spans="8:17" x14ac:dyDescent="0.25">
      <c r="H434" s="44"/>
      <c r="I434" s="44"/>
      <c r="J434" s="45"/>
      <c r="K434" s="45"/>
      <c r="L434" s="45"/>
      <c r="M434" s="44"/>
      <c r="N434" s="44"/>
      <c r="O434" s="44"/>
      <c r="P434" s="44"/>
      <c r="Q434" s="44"/>
    </row>
    <row r="435" spans="8:17" x14ac:dyDescent="0.25">
      <c r="H435" s="44"/>
      <c r="I435" s="44"/>
      <c r="J435" s="45"/>
      <c r="K435" s="45"/>
      <c r="L435" s="45"/>
      <c r="M435" s="44"/>
      <c r="N435" s="44"/>
      <c r="O435" s="44"/>
      <c r="P435" s="44"/>
      <c r="Q435" s="44"/>
    </row>
    <row r="436" spans="8:17" x14ac:dyDescent="0.25">
      <c r="H436" s="44"/>
      <c r="I436" s="44"/>
      <c r="J436" s="45"/>
      <c r="K436" s="45"/>
      <c r="L436" s="45"/>
      <c r="M436" s="44"/>
      <c r="N436" s="44"/>
      <c r="O436" s="44"/>
      <c r="P436" s="44"/>
      <c r="Q436" s="44"/>
    </row>
    <row r="437" spans="8:17" x14ac:dyDescent="0.25">
      <c r="H437" s="44"/>
      <c r="I437" s="44"/>
      <c r="J437" s="45"/>
      <c r="K437" s="45"/>
      <c r="L437" s="45"/>
      <c r="M437" s="44"/>
      <c r="N437" s="44"/>
      <c r="O437" s="44"/>
      <c r="P437" s="44"/>
      <c r="Q437" s="44"/>
    </row>
    <row r="438" spans="8:17" x14ac:dyDescent="0.25">
      <c r="H438" s="44"/>
      <c r="I438" s="44"/>
      <c r="J438" s="45"/>
      <c r="K438" s="45"/>
      <c r="L438" s="45"/>
      <c r="M438" s="44"/>
      <c r="N438" s="44"/>
      <c r="O438" s="44"/>
      <c r="P438" s="44"/>
      <c r="Q438" s="44"/>
    </row>
    <row r="439" spans="8:17" x14ac:dyDescent="0.25">
      <c r="H439" s="44"/>
      <c r="I439" s="44"/>
      <c r="J439" s="45"/>
      <c r="K439" s="45"/>
      <c r="L439" s="45"/>
      <c r="M439" s="44"/>
      <c r="N439" s="44"/>
      <c r="O439" s="44"/>
      <c r="P439" s="44"/>
      <c r="Q439" s="44"/>
    </row>
    <row r="440" spans="8:17" x14ac:dyDescent="0.25">
      <c r="H440" s="44"/>
      <c r="I440" s="44"/>
      <c r="J440" s="45"/>
      <c r="K440" s="45"/>
      <c r="L440" s="45"/>
      <c r="M440" s="44"/>
      <c r="N440" s="44"/>
      <c r="O440" s="44"/>
      <c r="P440" s="44"/>
      <c r="Q440" s="44"/>
    </row>
    <row r="441" spans="8:17" x14ac:dyDescent="0.25">
      <c r="H441" s="44"/>
      <c r="I441" s="44"/>
      <c r="J441" s="45"/>
      <c r="K441" s="45"/>
      <c r="L441" s="45"/>
      <c r="M441" s="44"/>
      <c r="N441" s="44"/>
      <c r="O441" s="44"/>
      <c r="P441" s="44"/>
      <c r="Q441" s="44"/>
    </row>
    <row r="442" spans="8:17" x14ac:dyDescent="0.25">
      <c r="H442" s="44"/>
      <c r="I442" s="44"/>
      <c r="J442" s="45"/>
      <c r="K442" s="45"/>
      <c r="L442" s="45"/>
      <c r="M442" s="44"/>
      <c r="N442" s="44"/>
      <c r="O442" s="44"/>
      <c r="P442" s="44"/>
      <c r="Q442" s="44"/>
    </row>
    <row r="443" spans="8:17" x14ac:dyDescent="0.25">
      <c r="H443" s="44"/>
      <c r="I443" s="44"/>
      <c r="J443" s="45"/>
      <c r="K443" s="45"/>
      <c r="L443" s="45"/>
      <c r="M443" s="44"/>
      <c r="N443" s="44"/>
      <c r="O443" s="44"/>
      <c r="P443" s="44"/>
      <c r="Q443" s="44"/>
    </row>
    <row r="444" spans="8:17" x14ac:dyDescent="0.25">
      <c r="H444" s="44"/>
      <c r="I444" s="44"/>
      <c r="J444" s="45"/>
      <c r="K444" s="45"/>
      <c r="L444" s="45"/>
      <c r="M444" s="44"/>
      <c r="N444" s="44"/>
      <c r="O444" s="44"/>
      <c r="P444" s="44"/>
      <c r="Q444" s="44"/>
    </row>
    <row r="445" spans="8:17" x14ac:dyDescent="0.25">
      <c r="H445" s="44"/>
      <c r="I445" s="44"/>
      <c r="J445" s="45"/>
      <c r="K445" s="45"/>
      <c r="L445" s="45"/>
      <c r="M445" s="44"/>
      <c r="N445" s="44"/>
      <c r="O445" s="44"/>
      <c r="P445" s="44"/>
      <c r="Q445" s="44"/>
    </row>
    <row r="446" spans="8:17" x14ac:dyDescent="0.25">
      <c r="H446" s="44"/>
      <c r="I446" s="44"/>
      <c r="J446" s="45"/>
      <c r="K446" s="45"/>
      <c r="L446" s="45"/>
      <c r="M446" s="44"/>
      <c r="N446" s="44"/>
      <c r="O446" s="44"/>
      <c r="P446" s="44"/>
      <c r="Q446" s="44"/>
    </row>
    <row r="447" spans="8:17" x14ac:dyDescent="0.25">
      <c r="H447" s="44"/>
      <c r="I447" s="44"/>
      <c r="J447" s="45"/>
      <c r="K447" s="45"/>
      <c r="L447" s="45"/>
      <c r="M447" s="44"/>
      <c r="N447" s="44"/>
      <c r="O447" s="44"/>
      <c r="P447" s="44"/>
      <c r="Q447" s="44"/>
    </row>
    <row r="448" spans="8:17" x14ac:dyDescent="0.25">
      <c r="H448" s="44"/>
      <c r="I448" s="44"/>
      <c r="J448" s="45"/>
      <c r="K448" s="45"/>
      <c r="L448" s="45"/>
      <c r="M448" s="44"/>
      <c r="N448" s="44"/>
      <c r="O448" s="44"/>
      <c r="P448" s="44"/>
      <c r="Q448" s="44"/>
    </row>
    <row r="449" spans="8:17" x14ac:dyDescent="0.25">
      <c r="H449" s="44"/>
      <c r="I449" s="44"/>
      <c r="J449" s="45"/>
      <c r="K449" s="45"/>
      <c r="L449" s="45"/>
      <c r="M449" s="44"/>
      <c r="N449" s="44"/>
      <c r="O449" s="44"/>
      <c r="P449" s="44"/>
      <c r="Q449" s="44"/>
    </row>
    <row r="450" spans="8:17" x14ac:dyDescent="0.25">
      <c r="H450" s="44"/>
      <c r="I450" s="44"/>
      <c r="J450" s="45"/>
      <c r="K450" s="45"/>
      <c r="L450" s="45"/>
      <c r="M450" s="44"/>
      <c r="N450" s="44"/>
      <c r="O450" s="44"/>
      <c r="P450" s="44"/>
      <c r="Q450" s="44"/>
    </row>
    <row r="451" spans="8:17" x14ac:dyDescent="0.25">
      <c r="H451" s="44"/>
      <c r="I451" s="44"/>
      <c r="J451" s="45"/>
      <c r="K451" s="45"/>
      <c r="L451" s="45"/>
      <c r="M451" s="44"/>
      <c r="N451" s="44"/>
      <c r="O451" s="44"/>
      <c r="P451" s="44"/>
      <c r="Q451" s="44"/>
    </row>
    <row r="452" spans="8:17" x14ac:dyDescent="0.25">
      <c r="H452" s="44"/>
      <c r="I452" s="44"/>
      <c r="J452" s="45"/>
      <c r="K452" s="45"/>
      <c r="L452" s="45"/>
      <c r="M452" s="44"/>
      <c r="N452" s="44"/>
      <c r="O452" s="44"/>
      <c r="P452" s="44"/>
      <c r="Q452" s="44"/>
    </row>
    <row r="453" spans="8:17" x14ac:dyDescent="0.25">
      <c r="H453" s="44"/>
      <c r="I453" s="44"/>
      <c r="J453" s="45"/>
      <c r="K453" s="45"/>
      <c r="L453" s="45"/>
      <c r="M453" s="44"/>
      <c r="N453" s="44"/>
      <c r="O453" s="44"/>
      <c r="P453" s="44"/>
      <c r="Q453" s="44"/>
    </row>
    <row r="454" spans="8:17" x14ac:dyDescent="0.25">
      <c r="H454" s="44"/>
      <c r="I454" s="44"/>
      <c r="J454" s="45"/>
      <c r="K454" s="45"/>
      <c r="L454" s="45"/>
      <c r="M454" s="44"/>
      <c r="N454" s="44"/>
      <c r="O454" s="44"/>
      <c r="P454" s="44"/>
      <c r="Q454" s="44"/>
    </row>
    <row r="455" spans="8:17" x14ac:dyDescent="0.25">
      <c r="H455" s="44"/>
      <c r="I455" s="44"/>
      <c r="J455" s="45"/>
      <c r="K455" s="45"/>
      <c r="L455" s="45"/>
      <c r="M455" s="44"/>
      <c r="N455" s="44"/>
      <c r="O455" s="44"/>
      <c r="P455" s="44"/>
      <c r="Q455" s="44"/>
    </row>
    <row r="456" spans="8:17" x14ac:dyDescent="0.25">
      <c r="H456" s="44"/>
      <c r="I456" s="44"/>
      <c r="J456" s="45"/>
      <c r="K456" s="45"/>
      <c r="L456" s="45"/>
      <c r="M456" s="44"/>
      <c r="N456" s="44"/>
      <c r="O456" s="44"/>
      <c r="P456" s="44"/>
      <c r="Q456" s="44"/>
    </row>
    <row r="457" spans="8:17" x14ac:dyDescent="0.25">
      <c r="H457" s="44"/>
      <c r="I457" s="44"/>
      <c r="J457" s="45"/>
      <c r="K457" s="45"/>
      <c r="L457" s="45"/>
      <c r="M457" s="44"/>
      <c r="N457" s="44"/>
      <c r="O457" s="44"/>
      <c r="P457" s="44"/>
      <c r="Q457" s="44"/>
    </row>
    <row r="458" spans="8:17" x14ac:dyDescent="0.25">
      <c r="H458" s="44"/>
      <c r="I458" s="44"/>
      <c r="J458" s="45"/>
      <c r="K458" s="45"/>
      <c r="L458" s="45"/>
      <c r="M458" s="44"/>
      <c r="N458" s="44"/>
      <c r="O458" s="44"/>
      <c r="P458" s="44"/>
      <c r="Q458" s="44"/>
    </row>
    <row r="459" spans="8:17" x14ac:dyDescent="0.25">
      <c r="H459" s="44"/>
      <c r="I459" s="44"/>
      <c r="J459" s="45"/>
      <c r="K459" s="45"/>
      <c r="L459" s="45"/>
      <c r="M459" s="44"/>
      <c r="N459" s="44"/>
      <c r="O459" s="44"/>
      <c r="P459" s="44"/>
      <c r="Q459" s="44"/>
    </row>
    <row r="460" spans="8:17" x14ac:dyDescent="0.25">
      <c r="H460" s="44"/>
      <c r="I460" s="44"/>
      <c r="J460" s="45"/>
      <c r="K460" s="45"/>
      <c r="L460" s="45"/>
      <c r="M460" s="44"/>
      <c r="N460" s="44"/>
      <c r="O460" s="44"/>
      <c r="P460" s="44"/>
      <c r="Q460" s="44"/>
    </row>
    <row r="461" spans="8:17" x14ac:dyDescent="0.25">
      <c r="H461" s="44"/>
      <c r="I461" s="44"/>
      <c r="J461" s="45"/>
      <c r="K461" s="45"/>
      <c r="L461" s="45"/>
      <c r="M461" s="44"/>
      <c r="N461" s="44"/>
      <c r="O461" s="44"/>
      <c r="P461" s="44"/>
      <c r="Q461" s="44"/>
    </row>
    <row r="462" spans="8:17" x14ac:dyDescent="0.25">
      <c r="H462" s="44"/>
      <c r="I462" s="44"/>
      <c r="J462" s="45"/>
      <c r="K462" s="45"/>
      <c r="L462" s="45"/>
      <c r="M462" s="44"/>
      <c r="N462" s="44"/>
      <c r="O462" s="44"/>
      <c r="P462" s="44"/>
      <c r="Q462" s="44"/>
    </row>
    <row r="463" spans="8:17" x14ac:dyDescent="0.25">
      <c r="H463" s="44"/>
      <c r="I463" s="44"/>
      <c r="J463" s="45"/>
      <c r="K463" s="45"/>
      <c r="L463" s="45"/>
      <c r="M463" s="44"/>
      <c r="N463" s="44"/>
      <c r="O463" s="44"/>
      <c r="P463" s="44"/>
      <c r="Q463" s="44"/>
    </row>
    <row r="464" spans="8:17" x14ac:dyDescent="0.25">
      <c r="H464" s="44"/>
      <c r="I464" s="44"/>
      <c r="J464" s="45"/>
      <c r="K464" s="45"/>
      <c r="L464" s="45"/>
      <c r="M464" s="44"/>
      <c r="N464" s="44"/>
      <c r="O464" s="44"/>
      <c r="P464" s="44"/>
      <c r="Q464" s="44"/>
    </row>
    <row r="465" spans="8:17" x14ac:dyDescent="0.25">
      <c r="H465" s="44"/>
      <c r="I465" s="44"/>
      <c r="J465" s="45"/>
      <c r="K465" s="45"/>
      <c r="L465" s="45"/>
      <c r="M465" s="44"/>
      <c r="N465" s="44"/>
      <c r="O465" s="44"/>
      <c r="P465" s="44"/>
      <c r="Q465" s="44"/>
    </row>
    <row r="466" spans="8:17" x14ac:dyDescent="0.25">
      <c r="H466" s="44"/>
      <c r="I466" s="44"/>
      <c r="J466" s="45"/>
      <c r="K466" s="45"/>
      <c r="L466" s="45"/>
      <c r="M466" s="44"/>
      <c r="N466" s="44"/>
      <c r="O466" s="44"/>
      <c r="P466" s="44"/>
      <c r="Q466" s="44"/>
    </row>
    <row r="467" spans="8:17" x14ac:dyDescent="0.25">
      <c r="H467" s="44"/>
      <c r="I467" s="44"/>
      <c r="J467" s="45"/>
      <c r="K467" s="45"/>
      <c r="L467" s="45"/>
      <c r="M467" s="44"/>
      <c r="N467" s="44"/>
      <c r="O467" s="44"/>
      <c r="P467" s="44"/>
      <c r="Q467" s="44"/>
    </row>
    <row r="468" spans="8:17" x14ac:dyDescent="0.25">
      <c r="H468" s="44"/>
      <c r="I468" s="44"/>
      <c r="J468" s="45"/>
      <c r="K468" s="45"/>
      <c r="L468" s="45"/>
      <c r="M468" s="44"/>
      <c r="N468" s="44"/>
      <c r="O468" s="44"/>
      <c r="P468" s="44"/>
      <c r="Q468" s="44"/>
    </row>
    <row r="469" spans="8:17" x14ac:dyDescent="0.25">
      <c r="H469" s="44"/>
      <c r="I469" s="44"/>
      <c r="J469" s="45"/>
      <c r="K469" s="45"/>
      <c r="L469" s="45"/>
      <c r="M469" s="44"/>
      <c r="N469" s="44"/>
      <c r="O469" s="44"/>
      <c r="P469" s="44"/>
      <c r="Q469" s="44"/>
    </row>
    <row r="470" spans="8:17" x14ac:dyDescent="0.25">
      <c r="H470" s="44"/>
      <c r="I470" s="44"/>
      <c r="J470" s="45"/>
      <c r="K470" s="45"/>
      <c r="L470" s="45"/>
      <c r="M470" s="44"/>
      <c r="N470" s="44"/>
      <c r="O470" s="44"/>
      <c r="P470" s="44"/>
      <c r="Q470" s="44"/>
    </row>
    <row r="471" spans="8:17" x14ac:dyDescent="0.25">
      <c r="H471" s="44"/>
      <c r="I471" s="44"/>
      <c r="J471" s="45"/>
      <c r="K471" s="45"/>
      <c r="L471" s="45"/>
      <c r="M471" s="44"/>
      <c r="N471" s="44"/>
      <c r="O471" s="44"/>
      <c r="P471" s="44"/>
      <c r="Q471" s="44"/>
    </row>
    <row r="472" spans="8:17" x14ac:dyDescent="0.25">
      <c r="H472" s="44"/>
      <c r="I472" s="44"/>
      <c r="J472" s="45"/>
      <c r="K472" s="45"/>
      <c r="L472" s="45"/>
      <c r="M472" s="44"/>
      <c r="N472" s="44"/>
      <c r="O472" s="44"/>
      <c r="P472" s="44"/>
      <c r="Q472" s="44"/>
    </row>
    <row r="473" spans="8:17" x14ac:dyDescent="0.25">
      <c r="H473" s="44"/>
      <c r="I473" s="44"/>
      <c r="J473" s="45"/>
      <c r="K473" s="45"/>
      <c r="L473" s="45"/>
      <c r="M473" s="44"/>
      <c r="N473" s="44"/>
      <c r="O473" s="44"/>
      <c r="P473" s="44"/>
      <c r="Q473" s="44"/>
    </row>
    <row r="474" spans="8:17" x14ac:dyDescent="0.25">
      <c r="H474" s="44"/>
      <c r="I474" s="44"/>
      <c r="J474" s="45"/>
      <c r="K474" s="45"/>
      <c r="L474" s="45"/>
      <c r="M474" s="44"/>
      <c r="N474" s="44"/>
      <c r="O474" s="44"/>
      <c r="P474" s="44"/>
      <c r="Q474" s="44"/>
    </row>
    <row r="475" spans="8:17" x14ac:dyDescent="0.25">
      <c r="H475" s="44"/>
      <c r="I475" s="44"/>
      <c r="J475" s="45"/>
      <c r="K475" s="45"/>
      <c r="L475" s="45"/>
      <c r="M475" s="44"/>
      <c r="N475" s="44"/>
      <c r="O475" s="44"/>
      <c r="P475" s="44"/>
      <c r="Q475" s="44"/>
    </row>
    <row r="476" spans="8:17" x14ac:dyDescent="0.25">
      <c r="H476" s="44"/>
      <c r="I476" s="44"/>
      <c r="J476" s="45"/>
      <c r="K476" s="45"/>
      <c r="L476" s="45"/>
      <c r="M476" s="44"/>
      <c r="N476" s="44"/>
      <c r="O476" s="44"/>
      <c r="P476" s="44"/>
      <c r="Q476" s="44"/>
    </row>
    <row r="477" spans="8:17" x14ac:dyDescent="0.25">
      <c r="H477" s="44"/>
      <c r="I477" s="44"/>
      <c r="J477" s="45"/>
      <c r="K477" s="45"/>
      <c r="L477" s="45"/>
      <c r="M477" s="44"/>
      <c r="N477" s="44"/>
      <c r="O477" s="44"/>
      <c r="P477" s="44"/>
      <c r="Q477" s="44"/>
    </row>
    <row r="478" spans="8:17" x14ac:dyDescent="0.25">
      <c r="H478" s="44"/>
      <c r="I478" s="44"/>
      <c r="J478" s="45"/>
      <c r="K478" s="45"/>
      <c r="L478" s="45"/>
      <c r="M478" s="44"/>
      <c r="N478" s="44"/>
      <c r="O478" s="44"/>
      <c r="P478" s="44"/>
      <c r="Q478" s="44"/>
    </row>
    <row r="479" spans="8:17" x14ac:dyDescent="0.25">
      <c r="H479" s="44"/>
      <c r="I479" s="44"/>
      <c r="J479" s="45"/>
      <c r="K479" s="45"/>
      <c r="L479" s="45"/>
      <c r="M479" s="44"/>
      <c r="N479" s="44"/>
      <c r="O479" s="44"/>
      <c r="P479" s="44"/>
      <c r="Q479" s="44"/>
    </row>
    <row r="480" spans="8:17" x14ac:dyDescent="0.25">
      <c r="H480" s="44"/>
      <c r="I480" s="44"/>
      <c r="J480" s="45"/>
      <c r="K480" s="45"/>
      <c r="L480" s="45"/>
      <c r="M480" s="44"/>
      <c r="N480" s="44"/>
      <c r="O480" s="44"/>
      <c r="P480" s="44"/>
      <c r="Q480" s="44"/>
    </row>
    <row r="481" spans="8:17" x14ac:dyDescent="0.25">
      <c r="H481" s="44"/>
      <c r="I481" s="44"/>
      <c r="J481" s="45"/>
      <c r="K481" s="45"/>
      <c r="L481" s="45"/>
      <c r="M481" s="44"/>
      <c r="N481" s="44"/>
      <c r="O481" s="44"/>
      <c r="P481" s="44"/>
      <c r="Q481" s="44"/>
    </row>
    <row r="482" spans="8:17" x14ac:dyDescent="0.25">
      <c r="H482" s="44"/>
      <c r="I482" s="44"/>
      <c r="J482" s="45"/>
      <c r="K482" s="45"/>
      <c r="L482" s="45"/>
      <c r="M482" s="44"/>
      <c r="N482" s="44"/>
      <c r="O482" s="44"/>
      <c r="P482" s="44"/>
      <c r="Q482" s="44"/>
    </row>
    <row r="483" spans="8:17" x14ac:dyDescent="0.25">
      <c r="H483" s="44"/>
      <c r="I483" s="44"/>
      <c r="J483" s="45"/>
      <c r="K483" s="45"/>
      <c r="L483" s="45"/>
      <c r="M483" s="44"/>
      <c r="N483" s="44"/>
      <c r="O483" s="44"/>
      <c r="P483" s="44"/>
      <c r="Q483" s="44"/>
    </row>
    <row r="484" spans="8:17" x14ac:dyDescent="0.25">
      <c r="H484" s="44"/>
      <c r="I484" s="44"/>
      <c r="J484" s="45"/>
      <c r="K484" s="45"/>
      <c r="L484" s="45"/>
      <c r="M484" s="44"/>
      <c r="N484" s="44"/>
      <c r="O484" s="44"/>
      <c r="P484" s="44"/>
      <c r="Q484" s="44"/>
    </row>
    <row r="485" spans="8:17" x14ac:dyDescent="0.25">
      <c r="H485" s="44"/>
      <c r="I485" s="44"/>
      <c r="J485" s="45"/>
      <c r="K485" s="45"/>
      <c r="L485" s="45"/>
      <c r="M485" s="44"/>
      <c r="N485" s="44"/>
      <c r="O485" s="44"/>
      <c r="P485" s="44"/>
      <c r="Q485" s="44"/>
    </row>
    <row r="486" spans="8:17" x14ac:dyDescent="0.25">
      <c r="H486" s="44"/>
      <c r="I486" s="44"/>
      <c r="J486" s="45"/>
      <c r="K486" s="45"/>
      <c r="L486" s="45"/>
      <c r="M486" s="44"/>
      <c r="N486" s="44"/>
      <c r="O486" s="44"/>
      <c r="P486" s="44"/>
      <c r="Q486" s="44"/>
    </row>
    <row r="487" spans="8:17" x14ac:dyDescent="0.25">
      <c r="H487" s="44"/>
      <c r="I487" s="44"/>
      <c r="J487" s="45"/>
      <c r="K487" s="45"/>
      <c r="L487" s="45"/>
      <c r="M487" s="44"/>
      <c r="N487" s="44"/>
      <c r="O487" s="44"/>
      <c r="P487" s="44"/>
      <c r="Q487" s="44"/>
    </row>
    <row r="488" spans="8:17" x14ac:dyDescent="0.25">
      <c r="H488" s="44"/>
      <c r="I488" s="44"/>
      <c r="J488" s="45"/>
      <c r="K488" s="45"/>
      <c r="L488" s="45"/>
      <c r="M488" s="44"/>
      <c r="N488" s="44"/>
      <c r="O488" s="44"/>
      <c r="P488" s="44"/>
      <c r="Q488" s="44"/>
    </row>
    <row r="489" spans="8:17" x14ac:dyDescent="0.25">
      <c r="H489" s="44"/>
      <c r="I489" s="44"/>
      <c r="J489" s="45"/>
      <c r="K489" s="45"/>
      <c r="L489" s="45"/>
      <c r="M489" s="44"/>
      <c r="N489" s="44"/>
      <c r="O489" s="44"/>
      <c r="P489" s="44"/>
      <c r="Q489" s="44"/>
    </row>
    <row r="490" spans="8:17" x14ac:dyDescent="0.25">
      <c r="H490" s="44"/>
      <c r="I490" s="44"/>
      <c r="J490" s="45"/>
      <c r="K490" s="45"/>
      <c r="L490" s="45"/>
      <c r="M490" s="44"/>
      <c r="N490" s="44"/>
      <c r="O490" s="44"/>
      <c r="P490" s="44"/>
      <c r="Q490" s="44"/>
    </row>
    <row r="491" spans="8:17" x14ac:dyDescent="0.25">
      <c r="H491" s="44"/>
      <c r="I491" s="44"/>
      <c r="J491" s="45"/>
      <c r="K491" s="45"/>
      <c r="L491" s="45"/>
      <c r="M491" s="44"/>
      <c r="N491" s="44"/>
      <c r="O491" s="44"/>
      <c r="P491" s="44"/>
      <c r="Q491" s="44"/>
    </row>
    <row r="492" spans="8:17" x14ac:dyDescent="0.25">
      <c r="H492" s="44"/>
      <c r="I492" s="44"/>
      <c r="J492" s="45"/>
      <c r="K492" s="45"/>
      <c r="L492" s="45"/>
      <c r="M492" s="44"/>
      <c r="N492" s="44"/>
      <c r="O492" s="44"/>
      <c r="P492" s="44"/>
      <c r="Q492" s="44"/>
    </row>
    <row r="493" spans="8:17" x14ac:dyDescent="0.25">
      <c r="H493" s="44"/>
      <c r="I493" s="44"/>
      <c r="J493" s="45"/>
      <c r="K493" s="45"/>
      <c r="L493" s="45"/>
      <c r="M493" s="44"/>
      <c r="N493" s="44"/>
      <c r="O493" s="44"/>
      <c r="P493" s="44"/>
      <c r="Q493" s="44"/>
    </row>
    <row r="494" spans="8:17" x14ac:dyDescent="0.25">
      <c r="H494" s="44"/>
      <c r="I494" s="44"/>
      <c r="J494" s="45"/>
      <c r="K494" s="45"/>
      <c r="L494" s="45"/>
      <c r="M494" s="44"/>
      <c r="N494" s="44"/>
      <c r="O494" s="44"/>
      <c r="P494" s="44"/>
      <c r="Q494" s="44"/>
    </row>
    <row r="495" spans="8:17" x14ac:dyDescent="0.25">
      <c r="H495" s="44"/>
      <c r="I495" s="44"/>
      <c r="J495" s="45"/>
      <c r="K495" s="45"/>
      <c r="L495" s="45"/>
      <c r="M495" s="44"/>
      <c r="N495" s="44"/>
      <c r="O495" s="44"/>
      <c r="P495" s="44"/>
      <c r="Q495" s="44"/>
    </row>
    <row r="496" spans="8:17" x14ac:dyDescent="0.25">
      <c r="H496" s="44"/>
      <c r="I496" s="44"/>
      <c r="J496" s="45"/>
      <c r="K496" s="45"/>
      <c r="L496" s="45"/>
      <c r="M496" s="44"/>
      <c r="N496" s="44"/>
      <c r="O496" s="44"/>
      <c r="P496" s="44"/>
      <c r="Q496" s="44"/>
    </row>
    <row r="497" spans="8:17" x14ac:dyDescent="0.25">
      <c r="H497" s="44"/>
      <c r="I497" s="44"/>
      <c r="J497" s="45"/>
      <c r="K497" s="45"/>
      <c r="L497" s="45"/>
      <c r="M497" s="44"/>
      <c r="N497" s="44"/>
      <c r="O497" s="44"/>
      <c r="P497" s="44"/>
      <c r="Q497" s="44"/>
    </row>
    <row r="498" spans="8:17" x14ac:dyDescent="0.25">
      <c r="H498" s="44"/>
      <c r="I498" s="44"/>
      <c r="J498" s="45"/>
      <c r="K498" s="45"/>
      <c r="L498" s="45"/>
      <c r="M498" s="44"/>
      <c r="N498" s="44"/>
      <c r="O498" s="44"/>
      <c r="P498" s="44"/>
      <c r="Q498" s="44"/>
    </row>
    <row r="499" spans="8:17" x14ac:dyDescent="0.25">
      <c r="H499" s="44"/>
      <c r="I499" s="44"/>
      <c r="J499" s="45"/>
      <c r="K499" s="45"/>
      <c r="L499" s="45"/>
      <c r="M499" s="44"/>
      <c r="N499" s="44"/>
      <c r="O499" s="44"/>
      <c r="P499" s="44"/>
      <c r="Q499" s="44"/>
    </row>
    <row r="500" spans="8:17" x14ac:dyDescent="0.25">
      <c r="H500" s="44"/>
      <c r="I500" s="44"/>
      <c r="J500" s="45"/>
      <c r="K500" s="45"/>
      <c r="L500" s="45"/>
      <c r="M500" s="44"/>
      <c r="N500" s="44"/>
      <c r="O500" s="44"/>
      <c r="P500" s="44"/>
      <c r="Q500" s="44"/>
    </row>
    <row r="501" spans="8:17" x14ac:dyDescent="0.25">
      <c r="H501" s="44"/>
      <c r="I501" s="44"/>
      <c r="J501" s="45"/>
      <c r="K501" s="45"/>
      <c r="L501" s="45"/>
      <c r="M501" s="44"/>
      <c r="N501" s="44"/>
      <c r="O501" s="44"/>
      <c r="P501" s="44"/>
      <c r="Q501" s="44"/>
    </row>
    <row r="502" spans="8:17" x14ac:dyDescent="0.25">
      <c r="H502" s="44"/>
      <c r="I502" s="44"/>
      <c r="J502" s="45"/>
      <c r="K502" s="45"/>
      <c r="L502" s="45"/>
      <c r="M502" s="44"/>
      <c r="N502" s="44"/>
      <c r="O502" s="44"/>
      <c r="P502" s="44"/>
      <c r="Q502" s="44"/>
    </row>
    <row r="503" spans="8:17" x14ac:dyDescent="0.25">
      <c r="H503" s="44"/>
      <c r="I503" s="44"/>
      <c r="J503" s="45"/>
      <c r="K503" s="45"/>
      <c r="L503" s="45"/>
      <c r="M503" s="44"/>
      <c r="N503" s="44"/>
      <c r="O503" s="44"/>
      <c r="P503" s="44"/>
      <c r="Q503" s="44"/>
    </row>
    <row r="504" spans="8:17" x14ac:dyDescent="0.25">
      <c r="H504" s="44"/>
      <c r="I504" s="44"/>
      <c r="J504" s="45"/>
      <c r="K504" s="45"/>
      <c r="L504" s="45"/>
      <c r="M504" s="44"/>
      <c r="N504" s="44"/>
      <c r="O504" s="44"/>
      <c r="P504" s="44"/>
      <c r="Q504" s="44"/>
    </row>
    <row r="505" spans="8:17" x14ac:dyDescent="0.25">
      <c r="H505" s="44"/>
      <c r="I505" s="44"/>
      <c r="J505" s="45"/>
      <c r="K505" s="45"/>
      <c r="L505" s="45"/>
      <c r="M505" s="44"/>
      <c r="N505" s="44"/>
      <c r="O505" s="44"/>
      <c r="P505" s="44"/>
      <c r="Q505" s="44"/>
    </row>
    <row r="506" spans="8:17" x14ac:dyDescent="0.25">
      <c r="H506" s="44"/>
      <c r="I506" s="44"/>
      <c r="J506" s="45"/>
      <c r="K506" s="45"/>
      <c r="L506" s="45"/>
      <c r="M506" s="44"/>
      <c r="N506" s="44"/>
      <c r="O506" s="44"/>
      <c r="P506" s="44"/>
      <c r="Q506" s="44"/>
    </row>
    <row r="507" spans="8:17" x14ac:dyDescent="0.25">
      <c r="H507" s="44"/>
      <c r="I507" s="44"/>
      <c r="J507" s="45"/>
      <c r="K507" s="45"/>
      <c r="L507" s="45"/>
      <c r="M507" s="44"/>
      <c r="N507" s="44"/>
      <c r="O507" s="44"/>
      <c r="P507" s="44"/>
      <c r="Q507" s="44"/>
    </row>
    <row r="508" spans="8:17" x14ac:dyDescent="0.25">
      <c r="H508" s="44"/>
      <c r="I508" s="44"/>
      <c r="J508" s="45"/>
      <c r="K508" s="45"/>
      <c r="L508" s="45"/>
      <c r="M508" s="44"/>
      <c r="N508" s="44"/>
      <c r="O508" s="44"/>
      <c r="P508" s="44"/>
      <c r="Q508" s="44"/>
    </row>
    <row r="509" spans="8:17" x14ac:dyDescent="0.25">
      <c r="H509" s="44"/>
      <c r="I509" s="44"/>
      <c r="J509" s="45"/>
      <c r="K509" s="45"/>
      <c r="L509" s="45"/>
      <c r="M509" s="44"/>
      <c r="N509" s="44"/>
      <c r="O509" s="44"/>
      <c r="P509" s="44"/>
      <c r="Q509" s="44"/>
    </row>
    <row r="510" spans="8:17" x14ac:dyDescent="0.25">
      <c r="H510" s="44"/>
      <c r="I510" s="44"/>
      <c r="J510" s="45"/>
      <c r="K510" s="45"/>
      <c r="L510" s="45"/>
      <c r="M510" s="44"/>
      <c r="N510" s="44"/>
      <c r="O510" s="44"/>
      <c r="P510" s="44"/>
      <c r="Q510" s="44"/>
    </row>
    <row r="511" spans="8:17" x14ac:dyDescent="0.25">
      <c r="H511" s="44"/>
      <c r="I511" s="44"/>
      <c r="J511" s="45"/>
      <c r="K511" s="45"/>
      <c r="L511" s="45"/>
      <c r="M511" s="44"/>
      <c r="N511" s="44"/>
      <c r="O511" s="44"/>
      <c r="P511" s="44"/>
      <c r="Q511" s="44"/>
    </row>
    <row r="512" spans="8:17" x14ac:dyDescent="0.25">
      <c r="H512" s="44"/>
      <c r="I512" s="44"/>
      <c r="J512" s="45"/>
      <c r="K512" s="45"/>
      <c r="L512" s="45"/>
      <c r="M512" s="44"/>
      <c r="N512" s="44"/>
      <c r="O512" s="44"/>
      <c r="P512" s="44"/>
      <c r="Q512" s="44"/>
    </row>
    <row r="513" spans="8:17" x14ac:dyDescent="0.25">
      <c r="H513" s="44"/>
      <c r="I513" s="44"/>
      <c r="J513" s="45"/>
      <c r="K513" s="45"/>
      <c r="L513" s="45"/>
      <c r="M513" s="44"/>
      <c r="N513" s="44"/>
      <c r="O513" s="44"/>
      <c r="P513" s="44"/>
      <c r="Q513" s="44"/>
    </row>
    <row r="514" spans="8:17" x14ac:dyDescent="0.25">
      <c r="H514" s="44"/>
      <c r="I514" s="44"/>
      <c r="J514" s="45"/>
      <c r="K514" s="45"/>
      <c r="L514" s="45"/>
      <c r="M514" s="44"/>
      <c r="N514" s="44"/>
      <c r="O514" s="44"/>
      <c r="P514" s="44"/>
      <c r="Q514" s="44"/>
    </row>
    <row r="515" spans="8:17" x14ac:dyDescent="0.25">
      <c r="H515" s="44"/>
      <c r="I515" s="44"/>
      <c r="J515" s="45"/>
      <c r="K515" s="45"/>
      <c r="L515" s="45"/>
      <c r="M515" s="44"/>
      <c r="N515" s="44"/>
      <c r="O515" s="44"/>
      <c r="P515" s="44"/>
      <c r="Q515" s="44"/>
    </row>
    <row r="516" spans="8:17" x14ac:dyDescent="0.25">
      <c r="H516" s="44"/>
      <c r="I516" s="44"/>
      <c r="J516" s="45"/>
      <c r="K516" s="45"/>
      <c r="L516" s="45"/>
      <c r="M516" s="44"/>
      <c r="N516" s="44"/>
      <c r="O516" s="44"/>
      <c r="P516" s="44"/>
      <c r="Q516" s="44"/>
    </row>
    <row r="517" spans="8:17" x14ac:dyDescent="0.25">
      <c r="H517" s="44"/>
      <c r="I517" s="44"/>
      <c r="J517" s="45"/>
      <c r="K517" s="45"/>
      <c r="L517" s="45"/>
      <c r="M517" s="44"/>
      <c r="N517" s="44"/>
      <c r="O517" s="44"/>
      <c r="P517" s="44"/>
      <c r="Q517" s="44"/>
    </row>
    <row r="518" spans="8:17" x14ac:dyDescent="0.25">
      <c r="H518" s="44"/>
      <c r="I518" s="44"/>
      <c r="J518" s="45"/>
      <c r="K518" s="45"/>
      <c r="L518" s="45"/>
      <c r="M518" s="44"/>
      <c r="N518" s="44"/>
      <c r="O518" s="44"/>
      <c r="P518" s="44"/>
      <c r="Q518" s="44"/>
    </row>
    <row r="519" spans="8:17" x14ac:dyDescent="0.25">
      <c r="H519" s="44"/>
      <c r="I519" s="44"/>
      <c r="J519" s="45"/>
      <c r="K519" s="45"/>
      <c r="L519" s="45"/>
      <c r="M519" s="44"/>
      <c r="N519" s="44"/>
      <c r="O519" s="44"/>
      <c r="P519" s="44"/>
      <c r="Q519" s="44"/>
    </row>
    <row r="520" spans="8:17" x14ac:dyDescent="0.25">
      <c r="H520" s="44"/>
      <c r="I520" s="44"/>
      <c r="J520" s="45"/>
      <c r="K520" s="45"/>
      <c r="L520" s="45"/>
      <c r="M520" s="44"/>
      <c r="N520" s="44"/>
      <c r="O520" s="44"/>
      <c r="P520" s="44"/>
      <c r="Q520" s="44"/>
    </row>
    <row r="521" spans="8:17" x14ac:dyDescent="0.25">
      <c r="H521" s="44"/>
      <c r="I521" s="44"/>
      <c r="J521" s="45"/>
      <c r="K521" s="45"/>
      <c r="L521" s="45"/>
      <c r="M521" s="44"/>
      <c r="N521" s="44"/>
      <c r="O521" s="44"/>
      <c r="P521" s="44"/>
      <c r="Q521" s="44"/>
    </row>
    <row r="522" spans="8:17" x14ac:dyDescent="0.25">
      <c r="H522" s="44"/>
      <c r="I522" s="44"/>
      <c r="J522" s="45"/>
      <c r="K522" s="45"/>
      <c r="L522" s="45"/>
      <c r="M522" s="44"/>
      <c r="N522" s="44"/>
      <c r="O522" s="44"/>
      <c r="P522" s="44"/>
      <c r="Q522" s="44"/>
    </row>
    <row r="523" spans="8:17" x14ac:dyDescent="0.25">
      <c r="H523" s="44"/>
      <c r="I523" s="44"/>
      <c r="J523" s="45"/>
      <c r="K523" s="45"/>
      <c r="L523" s="45"/>
      <c r="M523" s="44"/>
      <c r="N523" s="44"/>
      <c r="O523" s="44"/>
      <c r="P523" s="44"/>
      <c r="Q523" s="44"/>
    </row>
    <row r="524" spans="8:17" x14ac:dyDescent="0.25">
      <c r="H524" s="44"/>
      <c r="I524" s="44"/>
      <c r="J524" s="45"/>
      <c r="K524" s="45"/>
      <c r="L524" s="45"/>
      <c r="M524" s="44"/>
      <c r="N524" s="44"/>
      <c r="O524" s="44"/>
      <c r="P524" s="44"/>
      <c r="Q524" s="44"/>
    </row>
    <row r="525" spans="8:17" x14ac:dyDescent="0.25">
      <c r="H525" s="44"/>
      <c r="I525" s="44"/>
      <c r="J525" s="45"/>
      <c r="K525" s="45"/>
      <c r="L525" s="45"/>
      <c r="M525" s="44"/>
      <c r="N525" s="44"/>
      <c r="O525" s="44"/>
      <c r="P525" s="44"/>
      <c r="Q525" s="44"/>
    </row>
    <row r="526" spans="8:17" x14ac:dyDescent="0.25">
      <c r="H526" s="44"/>
      <c r="I526" s="44"/>
      <c r="J526" s="45"/>
      <c r="K526" s="45"/>
      <c r="L526" s="45"/>
      <c r="M526" s="44"/>
      <c r="N526" s="44"/>
      <c r="O526" s="44"/>
      <c r="P526" s="44"/>
      <c r="Q526" s="44"/>
    </row>
    <row r="527" spans="8:17" x14ac:dyDescent="0.25">
      <c r="H527" s="44"/>
      <c r="I527" s="44"/>
      <c r="J527" s="45"/>
      <c r="K527" s="45"/>
      <c r="L527" s="45"/>
      <c r="M527" s="44"/>
      <c r="N527" s="44"/>
      <c r="O527" s="44"/>
      <c r="P527" s="44"/>
      <c r="Q527" s="44"/>
    </row>
    <row r="528" spans="8:17" x14ac:dyDescent="0.25">
      <c r="H528" s="44"/>
      <c r="I528" s="44"/>
      <c r="J528" s="45"/>
      <c r="K528" s="45"/>
      <c r="L528" s="45"/>
      <c r="M528" s="44"/>
      <c r="N528" s="44"/>
      <c r="O528" s="44"/>
      <c r="P528" s="44"/>
      <c r="Q528" s="44"/>
    </row>
    <row r="529" spans="8:17" x14ac:dyDescent="0.25">
      <c r="H529" s="44"/>
      <c r="I529" s="44"/>
      <c r="J529" s="45"/>
      <c r="K529" s="45"/>
      <c r="L529" s="45"/>
      <c r="M529" s="44"/>
      <c r="N529" s="44"/>
      <c r="O529" s="44"/>
      <c r="P529" s="44"/>
      <c r="Q529" s="44"/>
    </row>
    <row r="530" spans="8:17" x14ac:dyDescent="0.25">
      <c r="H530" s="44"/>
      <c r="I530" s="44"/>
      <c r="J530" s="45"/>
      <c r="K530" s="45"/>
      <c r="L530" s="45"/>
      <c r="M530" s="44"/>
      <c r="N530" s="44"/>
      <c r="O530" s="44"/>
      <c r="P530" s="44"/>
      <c r="Q530" s="44"/>
    </row>
    <row r="531" spans="8:17" x14ac:dyDescent="0.25">
      <c r="H531" s="44"/>
      <c r="I531" s="44"/>
      <c r="J531" s="45"/>
      <c r="K531" s="45"/>
      <c r="L531" s="45"/>
      <c r="M531" s="44"/>
      <c r="N531" s="44"/>
      <c r="O531" s="44"/>
      <c r="P531" s="44"/>
      <c r="Q531" s="44"/>
    </row>
    <row r="532" spans="8:17" x14ac:dyDescent="0.25">
      <c r="H532" s="44"/>
      <c r="I532" s="44"/>
      <c r="J532" s="45"/>
      <c r="K532" s="45"/>
      <c r="L532" s="45"/>
      <c r="M532" s="44"/>
      <c r="N532" s="44"/>
      <c r="O532" s="44"/>
      <c r="P532" s="44"/>
      <c r="Q532" s="44"/>
    </row>
    <row r="533" spans="8:17" x14ac:dyDescent="0.25">
      <c r="H533" s="44"/>
      <c r="I533" s="44"/>
      <c r="J533" s="45"/>
      <c r="K533" s="45"/>
      <c r="L533" s="45"/>
      <c r="M533" s="44"/>
      <c r="N533" s="44"/>
      <c r="O533" s="44"/>
      <c r="P533" s="44"/>
      <c r="Q533" s="44"/>
    </row>
    <row r="534" spans="8:17" x14ac:dyDescent="0.25">
      <c r="H534" s="44"/>
      <c r="I534" s="44"/>
      <c r="J534" s="45"/>
      <c r="K534" s="45"/>
      <c r="L534" s="45"/>
      <c r="M534" s="44"/>
      <c r="N534" s="44"/>
      <c r="O534" s="44"/>
      <c r="P534" s="44"/>
      <c r="Q534" s="44"/>
    </row>
    <row r="535" spans="8:17" x14ac:dyDescent="0.25">
      <c r="H535" s="44"/>
      <c r="I535" s="44"/>
      <c r="J535" s="45"/>
      <c r="K535" s="45"/>
      <c r="L535" s="45"/>
      <c r="M535" s="44"/>
      <c r="N535" s="44"/>
      <c r="O535" s="44"/>
      <c r="P535" s="44"/>
      <c r="Q535" s="44"/>
    </row>
    <row r="536" spans="8:17" x14ac:dyDescent="0.25">
      <c r="H536" s="44"/>
      <c r="I536" s="44"/>
      <c r="J536" s="45"/>
      <c r="K536" s="45"/>
      <c r="L536" s="45"/>
      <c r="M536" s="44"/>
      <c r="N536" s="44"/>
      <c r="O536" s="44"/>
      <c r="P536" s="44"/>
      <c r="Q536" s="44"/>
    </row>
    <row r="537" spans="8:17" x14ac:dyDescent="0.25">
      <c r="H537" s="44"/>
      <c r="I537" s="44"/>
      <c r="J537" s="45"/>
      <c r="K537" s="45"/>
      <c r="L537" s="45"/>
      <c r="M537" s="44"/>
      <c r="N537" s="44"/>
      <c r="O537" s="44"/>
      <c r="P537" s="44"/>
      <c r="Q537" s="44"/>
    </row>
    <row r="538" spans="8:17" x14ac:dyDescent="0.25">
      <c r="H538" s="44"/>
      <c r="I538" s="44"/>
      <c r="J538" s="45"/>
      <c r="K538" s="45"/>
      <c r="L538" s="45"/>
      <c r="M538" s="44"/>
      <c r="N538" s="44"/>
      <c r="O538" s="44"/>
      <c r="P538" s="44"/>
      <c r="Q538" s="44"/>
    </row>
    <row r="539" spans="8:17" x14ac:dyDescent="0.25">
      <c r="H539" s="44"/>
      <c r="I539" s="44"/>
      <c r="J539" s="45"/>
      <c r="K539" s="45"/>
      <c r="L539" s="45"/>
      <c r="M539" s="44"/>
      <c r="N539" s="44"/>
      <c r="O539" s="44"/>
      <c r="P539" s="44"/>
      <c r="Q539" s="44"/>
    </row>
    <row r="540" spans="8:17" x14ac:dyDescent="0.25">
      <c r="H540" s="44"/>
      <c r="I540" s="44"/>
      <c r="J540" s="45"/>
      <c r="K540" s="45"/>
      <c r="L540" s="45"/>
      <c r="M540" s="44"/>
      <c r="N540" s="44"/>
      <c r="O540" s="44"/>
      <c r="P540" s="44"/>
      <c r="Q540" s="44"/>
    </row>
    <row r="541" spans="8:17" x14ac:dyDescent="0.25">
      <c r="H541" s="44"/>
      <c r="I541" s="44"/>
      <c r="J541" s="45"/>
      <c r="K541" s="45"/>
      <c r="L541" s="45"/>
      <c r="M541" s="44"/>
      <c r="N541" s="44"/>
      <c r="O541" s="44"/>
      <c r="P541" s="44"/>
      <c r="Q541" s="44"/>
    </row>
    <row r="542" spans="8:17" x14ac:dyDescent="0.25">
      <c r="H542" s="44"/>
      <c r="I542" s="44"/>
      <c r="J542" s="45"/>
      <c r="K542" s="45"/>
      <c r="L542" s="45"/>
      <c r="M542" s="44"/>
      <c r="N542" s="44"/>
      <c r="O542" s="44"/>
      <c r="P542" s="44"/>
      <c r="Q542" s="44"/>
    </row>
    <row r="543" spans="8:17" x14ac:dyDescent="0.25">
      <c r="H543" s="44"/>
      <c r="I543" s="44"/>
      <c r="J543" s="45"/>
      <c r="K543" s="45"/>
      <c r="L543" s="45"/>
      <c r="M543" s="44"/>
      <c r="N543" s="44"/>
      <c r="O543" s="44"/>
      <c r="P543" s="44"/>
      <c r="Q543" s="44"/>
    </row>
    <row r="544" spans="8:17" x14ac:dyDescent="0.25">
      <c r="H544" s="44"/>
      <c r="I544" s="44"/>
      <c r="J544" s="45"/>
      <c r="K544" s="45"/>
      <c r="L544" s="45"/>
      <c r="M544" s="44"/>
      <c r="N544" s="44"/>
      <c r="O544" s="44"/>
      <c r="P544" s="44"/>
      <c r="Q544" s="44"/>
    </row>
    <row r="545" spans="8:17" x14ac:dyDescent="0.25">
      <c r="H545" s="44"/>
      <c r="I545" s="44"/>
      <c r="J545" s="45"/>
      <c r="K545" s="45"/>
      <c r="L545" s="45"/>
      <c r="M545" s="44"/>
      <c r="N545" s="44"/>
      <c r="O545" s="44"/>
      <c r="P545" s="44"/>
      <c r="Q545" s="44"/>
    </row>
    <row r="546" spans="8:17" x14ac:dyDescent="0.25">
      <c r="H546" s="44"/>
      <c r="I546" s="44"/>
      <c r="J546" s="45"/>
      <c r="K546" s="45"/>
      <c r="L546" s="45"/>
      <c r="M546" s="44"/>
      <c r="N546" s="44"/>
      <c r="O546" s="44"/>
      <c r="P546" s="44"/>
      <c r="Q546" s="44"/>
    </row>
    <row r="547" spans="8:17" x14ac:dyDescent="0.25">
      <c r="H547" s="44"/>
      <c r="I547" s="44"/>
      <c r="J547" s="45"/>
      <c r="K547" s="45"/>
      <c r="L547" s="45"/>
      <c r="M547" s="44"/>
      <c r="N547" s="44"/>
      <c r="O547" s="44"/>
      <c r="P547" s="44"/>
      <c r="Q547" s="44"/>
    </row>
    <row r="548" spans="8:17" x14ac:dyDescent="0.25">
      <c r="H548" s="44"/>
      <c r="I548" s="44"/>
      <c r="J548" s="45"/>
      <c r="K548" s="45"/>
      <c r="L548" s="45"/>
      <c r="M548" s="44"/>
      <c r="N548" s="44"/>
      <c r="O548" s="44"/>
      <c r="P548" s="44"/>
      <c r="Q548" s="44"/>
    </row>
    <row r="549" spans="8:17" x14ac:dyDescent="0.25">
      <c r="H549" s="44"/>
      <c r="I549" s="44"/>
      <c r="J549" s="45"/>
      <c r="K549" s="45"/>
      <c r="L549" s="45"/>
      <c r="M549" s="44"/>
      <c r="N549" s="44"/>
      <c r="O549" s="44"/>
      <c r="P549" s="44"/>
      <c r="Q549" s="44"/>
    </row>
    <row r="550" spans="8:17" x14ac:dyDescent="0.25">
      <c r="H550" s="44"/>
      <c r="I550" s="44"/>
      <c r="J550" s="45"/>
      <c r="K550" s="45"/>
      <c r="L550" s="45"/>
      <c r="M550" s="44"/>
      <c r="N550" s="44"/>
      <c r="O550" s="44"/>
      <c r="P550" s="44"/>
      <c r="Q550" s="44"/>
    </row>
    <row r="551" spans="8:17" x14ac:dyDescent="0.25">
      <c r="H551" s="44"/>
      <c r="I551" s="44"/>
      <c r="J551" s="45"/>
      <c r="K551" s="45"/>
      <c r="L551" s="45"/>
      <c r="M551" s="44"/>
      <c r="N551" s="44"/>
      <c r="O551" s="44"/>
      <c r="P551" s="44"/>
      <c r="Q551" s="44"/>
    </row>
    <row r="552" spans="8:17" x14ac:dyDescent="0.25">
      <c r="H552" s="44"/>
      <c r="I552" s="44"/>
      <c r="J552" s="45"/>
      <c r="K552" s="45"/>
      <c r="L552" s="45"/>
      <c r="M552" s="44"/>
      <c r="N552" s="44"/>
      <c r="O552" s="44"/>
      <c r="P552" s="44"/>
      <c r="Q552" s="44"/>
    </row>
    <row r="553" spans="8:17" x14ac:dyDescent="0.25">
      <c r="H553" s="44"/>
      <c r="I553" s="44"/>
      <c r="J553" s="45"/>
      <c r="K553" s="45"/>
      <c r="L553" s="45"/>
      <c r="M553" s="44"/>
      <c r="N553" s="44"/>
      <c r="O553" s="44"/>
      <c r="P553" s="44"/>
      <c r="Q553" s="44"/>
    </row>
    <row r="554" spans="8:17" x14ac:dyDescent="0.25">
      <c r="H554" s="44"/>
      <c r="I554" s="44"/>
      <c r="J554" s="45"/>
      <c r="K554" s="45"/>
      <c r="L554" s="45"/>
      <c r="M554" s="44"/>
      <c r="N554" s="44"/>
      <c r="O554" s="44"/>
      <c r="P554" s="44"/>
      <c r="Q554" s="44"/>
    </row>
    <row r="555" spans="8:17" x14ac:dyDescent="0.25">
      <c r="H555" s="44"/>
      <c r="I555" s="44"/>
      <c r="J555" s="45"/>
      <c r="K555" s="45"/>
      <c r="L555" s="45"/>
      <c r="M555" s="44"/>
      <c r="N555" s="44"/>
      <c r="O555" s="44"/>
      <c r="P555" s="44"/>
      <c r="Q555" s="44"/>
    </row>
    <row r="556" spans="8:17" x14ac:dyDescent="0.25">
      <c r="H556" s="44"/>
      <c r="I556" s="44"/>
      <c r="J556" s="45"/>
      <c r="K556" s="45"/>
      <c r="L556" s="45"/>
      <c r="M556" s="44"/>
      <c r="N556" s="44"/>
      <c r="O556" s="44"/>
      <c r="P556" s="44"/>
      <c r="Q556" s="44"/>
    </row>
    <row r="557" spans="8:17" x14ac:dyDescent="0.25">
      <c r="H557" s="44"/>
      <c r="I557" s="44"/>
      <c r="J557" s="45"/>
      <c r="K557" s="45"/>
      <c r="L557" s="45"/>
      <c r="M557" s="44"/>
      <c r="N557" s="44"/>
      <c r="O557" s="44"/>
      <c r="P557" s="44"/>
      <c r="Q557" s="44"/>
    </row>
    <row r="558" spans="8:17" x14ac:dyDescent="0.25">
      <c r="H558" s="44"/>
      <c r="I558" s="44"/>
      <c r="J558" s="45"/>
      <c r="K558" s="45"/>
      <c r="L558" s="45"/>
      <c r="M558" s="44"/>
      <c r="N558" s="44"/>
      <c r="O558" s="44"/>
      <c r="P558" s="44"/>
      <c r="Q558" s="44"/>
    </row>
    <row r="559" spans="8:17" x14ac:dyDescent="0.25">
      <c r="H559" s="44"/>
      <c r="I559" s="44"/>
      <c r="J559" s="45"/>
      <c r="K559" s="45"/>
      <c r="L559" s="45"/>
      <c r="M559" s="44"/>
      <c r="N559" s="44"/>
      <c r="O559" s="44"/>
      <c r="P559" s="44"/>
      <c r="Q559" s="44"/>
    </row>
    <row r="560" spans="8:17" x14ac:dyDescent="0.25">
      <c r="H560" s="44"/>
      <c r="I560" s="44"/>
      <c r="J560" s="45"/>
      <c r="K560" s="45"/>
      <c r="L560" s="45"/>
      <c r="M560" s="44"/>
      <c r="N560" s="44"/>
      <c r="O560" s="44"/>
      <c r="P560" s="44"/>
      <c r="Q560" s="44"/>
    </row>
    <row r="561" spans="8:17" x14ac:dyDescent="0.25">
      <c r="H561" s="44"/>
      <c r="I561" s="44"/>
      <c r="J561" s="45"/>
      <c r="K561" s="45"/>
      <c r="L561" s="45"/>
      <c r="M561" s="44"/>
      <c r="N561" s="44"/>
      <c r="O561" s="44"/>
      <c r="P561" s="44"/>
      <c r="Q561" s="44"/>
    </row>
    <row r="562" spans="8:17" x14ac:dyDescent="0.25">
      <c r="H562" s="44"/>
      <c r="I562" s="44"/>
      <c r="J562" s="45"/>
      <c r="K562" s="45"/>
      <c r="L562" s="45"/>
      <c r="M562" s="44"/>
      <c r="N562" s="44"/>
      <c r="O562" s="44"/>
      <c r="P562" s="44"/>
      <c r="Q562" s="44"/>
    </row>
    <row r="563" spans="8:17" x14ac:dyDescent="0.25">
      <c r="H563" s="44"/>
      <c r="I563" s="44"/>
      <c r="J563" s="45"/>
      <c r="K563" s="45"/>
      <c r="L563" s="45"/>
      <c r="M563" s="44"/>
      <c r="N563" s="44"/>
      <c r="O563" s="44"/>
      <c r="P563" s="44"/>
      <c r="Q563" s="44"/>
    </row>
    <row r="564" spans="8:17" x14ac:dyDescent="0.25">
      <c r="H564" s="44"/>
      <c r="I564" s="44"/>
      <c r="J564" s="45"/>
      <c r="K564" s="45"/>
      <c r="L564" s="45"/>
      <c r="M564" s="44"/>
      <c r="N564" s="44"/>
      <c r="O564" s="44"/>
      <c r="P564" s="44"/>
      <c r="Q564" s="44"/>
    </row>
    <row r="565" spans="8:17" x14ac:dyDescent="0.25">
      <c r="H565" s="44"/>
      <c r="I565" s="44"/>
      <c r="J565" s="45"/>
      <c r="K565" s="45"/>
      <c r="L565" s="45"/>
      <c r="M565" s="44"/>
      <c r="N565" s="44"/>
      <c r="O565" s="44"/>
      <c r="P565" s="44"/>
      <c r="Q565" s="44"/>
    </row>
    <row r="566" spans="8:17" x14ac:dyDescent="0.25">
      <c r="H566" s="44"/>
      <c r="I566" s="44"/>
      <c r="J566" s="45"/>
      <c r="K566" s="45"/>
      <c r="L566" s="45"/>
      <c r="M566" s="44"/>
      <c r="N566" s="44"/>
      <c r="O566" s="44"/>
      <c r="P566" s="44"/>
      <c r="Q566" s="44"/>
    </row>
    <row r="567" spans="8:17" x14ac:dyDescent="0.25">
      <c r="H567" s="44"/>
      <c r="I567" s="44"/>
      <c r="J567" s="45"/>
      <c r="K567" s="45"/>
      <c r="L567" s="45"/>
      <c r="M567" s="44"/>
      <c r="N567" s="44"/>
      <c r="O567" s="44"/>
      <c r="P567" s="44"/>
      <c r="Q567" s="44"/>
    </row>
    <row r="568" spans="8:17" x14ac:dyDescent="0.25">
      <c r="H568" s="44"/>
      <c r="I568" s="44"/>
      <c r="J568" s="45"/>
      <c r="K568" s="45"/>
      <c r="L568" s="45"/>
      <c r="M568" s="44"/>
      <c r="N568" s="44"/>
      <c r="O568" s="44"/>
      <c r="P568" s="44"/>
      <c r="Q568" s="44"/>
    </row>
    <row r="569" spans="8:17" x14ac:dyDescent="0.25">
      <c r="H569" s="44"/>
      <c r="I569" s="44"/>
      <c r="J569" s="45"/>
      <c r="K569" s="45"/>
      <c r="L569" s="45"/>
      <c r="M569" s="44"/>
      <c r="N569" s="44"/>
      <c r="O569" s="44"/>
      <c r="P569" s="44"/>
      <c r="Q569" s="44"/>
    </row>
    <row r="570" spans="8:17" x14ac:dyDescent="0.25">
      <c r="H570" s="44"/>
      <c r="I570" s="44"/>
      <c r="J570" s="45"/>
      <c r="K570" s="45"/>
      <c r="L570" s="45"/>
      <c r="M570" s="44"/>
      <c r="N570" s="44"/>
      <c r="O570" s="44"/>
      <c r="P570" s="44"/>
      <c r="Q570" s="44"/>
    </row>
    <row r="571" spans="8:17" x14ac:dyDescent="0.25">
      <c r="H571" s="44"/>
      <c r="I571" s="44"/>
      <c r="J571" s="45"/>
      <c r="K571" s="45"/>
      <c r="L571" s="45"/>
      <c r="M571" s="44"/>
      <c r="N571" s="44"/>
      <c r="O571" s="44"/>
      <c r="P571" s="44"/>
      <c r="Q571" s="44"/>
    </row>
    <row r="572" spans="8:17" x14ac:dyDescent="0.25">
      <c r="H572" s="44"/>
      <c r="I572" s="44"/>
      <c r="J572" s="45"/>
      <c r="K572" s="45"/>
      <c r="L572" s="45"/>
      <c r="M572" s="44"/>
      <c r="N572" s="44"/>
      <c r="O572" s="44"/>
      <c r="P572" s="44"/>
      <c r="Q572" s="44"/>
    </row>
    <row r="573" spans="8:17" x14ac:dyDescent="0.25">
      <c r="H573" s="44"/>
      <c r="I573" s="44"/>
      <c r="J573" s="45"/>
      <c r="K573" s="45"/>
      <c r="L573" s="45"/>
      <c r="M573" s="44"/>
      <c r="N573" s="44"/>
      <c r="O573" s="44"/>
      <c r="P573" s="44"/>
      <c r="Q573" s="44"/>
    </row>
    <row r="574" spans="8:17" x14ac:dyDescent="0.25">
      <c r="H574" s="44"/>
      <c r="I574" s="44"/>
      <c r="J574" s="45"/>
      <c r="K574" s="45"/>
      <c r="L574" s="45"/>
      <c r="M574" s="44"/>
      <c r="N574" s="44"/>
      <c r="O574" s="44"/>
      <c r="P574" s="44"/>
      <c r="Q574" s="44"/>
    </row>
    <row r="575" spans="8:17" x14ac:dyDescent="0.25">
      <c r="H575" s="44"/>
      <c r="I575" s="44"/>
      <c r="J575" s="45"/>
      <c r="K575" s="45"/>
      <c r="L575" s="45"/>
      <c r="M575" s="44"/>
      <c r="N575" s="44"/>
      <c r="O575" s="44"/>
      <c r="P575" s="44"/>
      <c r="Q575" s="44"/>
    </row>
    <row r="576" spans="8:17" x14ac:dyDescent="0.25">
      <c r="H576" s="44"/>
      <c r="I576" s="44"/>
      <c r="J576" s="45"/>
      <c r="K576" s="45"/>
      <c r="L576" s="45"/>
      <c r="M576" s="44"/>
      <c r="N576" s="44"/>
      <c r="O576" s="44"/>
      <c r="P576" s="44"/>
      <c r="Q576" s="44"/>
    </row>
    <row r="577" spans="8:17" x14ac:dyDescent="0.25">
      <c r="H577" s="44"/>
      <c r="I577" s="44"/>
      <c r="J577" s="45"/>
      <c r="K577" s="45"/>
      <c r="L577" s="45"/>
      <c r="M577" s="44"/>
      <c r="N577" s="44"/>
      <c r="O577" s="44"/>
      <c r="P577" s="44"/>
      <c r="Q577" s="44"/>
    </row>
    <row r="578" spans="8:17" x14ac:dyDescent="0.25">
      <c r="H578" s="44"/>
      <c r="I578" s="44"/>
      <c r="J578" s="45"/>
      <c r="K578" s="45"/>
      <c r="L578" s="45"/>
      <c r="M578" s="44"/>
      <c r="N578" s="44"/>
      <c r="O578" s="44"/>
      <c r="P578" s="44"/>
      <c r="Q578" s="44"/>
    </row>
    <row r="579" spans="8:17" x14ac:dyDescent="0.25">
      <c r="H579" s="44"/>
      <c r="I579" s="44"/>
      <c r="J579" s="45"/>
      <c r="K579" s="45"/>
      <c r="L579" s="45"/>
      <c r="M579" s="44"/>
      <c r="N579" s="44"/>
      <c r="O579" s="44"/>
      <c r="P579" s="44"/>
      <c r="Q579" s="44"/>
    </row>
    <row r="580" spans="8:17" x14ac:dyDescent="0.25">
      <c r="H580" s="44"/>
      <c r="I580" s="44"/>
      <c r="J580" s="45"/>
      <c r="K580" s="45"/>
      <c r="L580" s="45"/>
      <c r="M580" s="44"/>
      <c r="N580" s="44"/>
      <c r="O580" s="44"/>
      <c r="P580" s="44"/>
      <c r="Q580" s="44"/>
    </row>
    <row r="581" spans="8:17" x14ac:dyDescent="0.25">
      <c r="H581" s="44"/>
      <c r="I581" s="44"/>
      <c r="J581" s="45"/>
      <c r="K581" s="45"/>
      <c r="L581" s="45"/>
      <c r="M581" s="44"/>
      <c r="N581" s="44"/>
      <c r="O581" s="44"/>
      <c r="P581" s="44"/>
      <c r="Q581" s="44"/>
    </row>
    <row r="582" spans="8:17" x14ac:dyDescent="0.25">
      <c r="H582" s="44"/>
      <c r="I582" s="44"/>
      <c r="J582" s="45"/>
      <c r="K582" s="45"/>
      <c r="L582" s="45"/>
      <c r="M582" s="44"/>
      <c r="N582" s="44"/>
      <c r="O582" s="44"/>
      <c r="P582" s="44"/>
      <c r="Q582" s="44"/>
    </row>
    <row r="583" spans="8:17" x14ac:dyDescent="0.25">
      <c r="H583" s="44"/>
      <c r="I583" s="44"/>
      <c r="J583" s="45"/>
      <c r="K583" s="45"/>
      <c r="L583" s="45"/>
      <c r="M583" s="44"/>
      <c r="N583" s="44"/>
      <c r="O583" s="44"/>
      <c r="P583" s="44"/>
      <c r="Q583" s="44"/>
    </row>
    <row r="584" spans="8:17" x14ac:dyDescent="0.25">
      <c r="H584" s="44"/>
      <c r="I584" s="44"/>
      <c r="J584" s="45"/>
      <c r="K584" s="45"/>
      <c r="L584" s="45"/>
      <c r="M584" s="44"/>
      <c r="N584" s="44"/>
      <c r="O584" s="44"/>
      <c r="P584" s="44"/>
      <c r="Q584" s="44"/>
    </row>
    <row r="585" spans="8:17" x14ac:dyDescent="0.25">
      <c r="H585" s="44"/>
      <c r="I585" s="44"/>
      <c r="J585" s="45"/>
      <c r="K585" s="45"/>
      <c r="L585" s="45"/>
      <c r="M585" s="44"/>
      <c r="N585" s="44"/>
      <c r="O585" s="44"/>
      <c r="P585" s="44"/>
      <c r="Q585" s="44"/>
    </row>
    <row r="586" spans="8:17" x14ac:dyDescent="0.25">
      <c r="H586" s="44"/>
      <c r="I586" s="44"/>
      <c r="J586" s="45"/>
      <c r="K586" s="45"/>
      <c r="L586" s="45"/>
      <c r="M586" s="44"/>
      <c r="N586" s="44"/>
      <c r="O586" s="44"/>
      <c r="P586" s="44"/>
      <c r="Q586" s="44"/>
    </row>
    <row r="587" spans="8:17" x14ac:dyDescent="0.25">
      <c r="H587" s="44"/>
      <c r="I587" s="44"/>
      <c r="J587" s="45"/>
      <c r="K587" s="45"/>
      <c r="L587" s="45"/>
      <c r="M587" s="44"/>
      <c r="N587" s="44"/>
      <c r="O587" s="44"/>
      <c r="P587" s="44"/>
      <c r="Q587" s="44"/>
    </row>
    <row r="588" spans="8:17" x14ac:dyDescent="0.25">
      <c r="H588" s="44"/>
      <c r="I588" s="44"/>
      <c r="J588" s="45"/>
      <c r="K588" s="45"/>
      <c r="L588" s="45"/>
      <c r="M588" s="44"/>
      <c r="N588" s="44"/>
      <c r="O588" s="44"/>
      <c r="P588" s="44"/>
      <c r="Q588" s="44"/>
    </row>
    <row r="589" spans="8:17" x14ac:dyDescent="0.25">
      <c r="H589" s="44"/>
      <c r="I589" s="44"/>
      <c r="J589" s="45"/>
      <c r="K589" s="45"/>
      <c r="L589" s="45"/>
      <c r="M589" s="44"/>
      <c r="N589" s="44"/>
      <c r="O589" s="44"/>
      <c r="P589" s="44"/>
      <c r="Q589" s="44"/>
    </row>
    <row r="590" spans="8:17" x14ac:dyDescent="0.25">
      <c r="H590" s="44"/>
      <c r="I590" s="44"/>
      <c r="J590" s="45"/>
      <c r="K590" s="45"/>
      <c r="L590" s="45"/>
      <c r="M590" s="44"/>
      <c r="N590" s="44"/>
      <c r="O590" s="44"/>
      <c r="P590" s="44"/>
      <c r="Q590" s="44"/>
    </row>
    <row r="591" spans="8:17" x14ac:dyDescent="0.25">
      <c r="H591" s="44"/>
      <c r="I591" s="44"/>
      <c r="J591" s="45"/>
      <c r="K591" s="45"/>
      <c r="L591" s="45"/>
      <c r="M591" s="44"/>
      <c r="N591" s="44"/>
      <c r="O591" s="44"/>
      <c r="P591" s="44"/>
      <c r="Q591" s="44"/>
    </row>
    <row r="592" spans="8:17" x14ac:dyDescent="0.25">
      <c r="H592" s="44"/>
      <c r="I592" s="44"/>
      <c r="J592" s="45"/>
      <c r="K592" s="45"/>
      <c r="L592" s="45"/>
      <c r="M592" s="44"/>
      <c r="N592" s="44"/>
      <c r="O592" s="44"/>
      <c r="P592" s="44"/>
      <c r="Q592" s="44"/>
    </row>
    <row r="593" spans="8:17" x14ac:dyDescent="0.25">
      <c r="H593" s="44"/>
      <c r="I593" s="44"/>
      <c r="J593" s="45"/>
      <c r="K593" s="45"/>
      <c r="L593" s="45"/>
      <c r="M593" s="44"/>
      <c r="N593" s="44"/>
      <c r="O593" s="44"/>
      <c r="P593" s="44"/>
      <c r="Q593" s="44"/>
    </row>
    <row r="594" spans="8:17" x14ac:dyDescent="0.25">
      <c r="H594" s="44"/>
      <c r="I594" s="44"/>
      <c r="J594" s="45"/>
      <c r="K594" s="45"/>
      <c r="L594" s="45"/>
      <c r="M594" s="44"/>
      <c r="N594" s="44"/>
      <c r="O594" s="44"/>
      <c r="P594" s="44"/>
      <c r="Q594" s="44"/>
    </row>
    <row r="595" spans="8:17" x14ac:dyDescent="0.25">
      <c r="H595" s="44"/>
      <c r="I595" s="44"/>
      <c r="J595" s="45"/>
      <c r="K595" s="45"/>
      <c r="L595" s="45"/>
      <c r="M595" s="44"/>
      <c r="N595" s="44"/>
      <c r="O595" s="44"/>
      <c r="P595" s="44"/>
      <c r="Q595" s="44"/>
    </row>
    <row r="596" spans="8:17" x14ac:dyDescent="0.25">
      <c r="H596" s="44"/>
      <c r="I596" s="44"/>
      <c r="J596" s="45"/>
      <c r="K596" s="45"/>
      <c r="L596" s="45"/>
      <c r="M596" s="44"/>
      <c r="N596" s="44"/>
      <c r="O596" s="44"/>
      <c r="P596" s="44"/>
      <c r="Q596" s="44"/>
    </row>
    <row r="597" spans="8:17" x14ac:dyDescent="0.25">
      <c r="H597" s="44"/>
      <c r="I597" s="44"/>
      <c r="J597" s="45"/>
      <c r="K597" s="45"/>
      <c r="L597" s="45"/>
      <c r="M597" s="44"/>
      <c r="N597" s="44"/>
      <c r="O597" s="44"/>
      <c r="P597" s="44"/>
      <c r="Q597" s="44"/>
    </row>
    <row r="598" spans="8:17" x14ac:dyDescent="0.25">
      <c r="H598" s="44"/>
      <c r="I598" s="44"/>
      <c r="J598" s="45"/>
      <c r="K598" s="45"/>
      <c r="L598" s="45"/>
      <c r="M598" s="44"/>
      <c r="N598" s="44"/>
      <c r="O598" s="44"/>
      <c r="P598" s="44"/>
      <c r="Q598" s="44"/>
    </row>
    <row r="599" spans="8:17" x14ac:dyDescent="0.25">
      <c r="H599" s="44"/>
      <c r="I599" s="44"/>
      <c r="J599" s="45"/>
      <c r="K599" s="45"/>
      <c r="L599" s="45"/>
      <c r="M599" s="44"/>
      <c r="N599" s="44"/>
      <c r="O599" s="44"/>
      <c r="P599" s="44"/>
      <c r="Q599" s="44"/>
    </row>
    <row r="600" spans="8:17" x14ac:dyDescent="0.25">
      <c r="H600" s="44"/>
      <c r="I600" s="44"/>
      <c r="J600" s="45"/>
      <c r="K600" s="45"/>
      <c r="L600" s="45"/>
      <c r="M600" s="44"/>
      <c r="N600" s="44"/>
      <c r="O600" s="44"/>
      <c r="P600" s="44"/>
      <c r="Q600" s="44"/>
    </row>
    <row r="601" spans="8:17" x14ac:dyDescent="0.25">
      <c r="H601" s="44"/>
      <c r="I601" s="44"/>
      <c r="J601" s="45"/>
      <c r="K601" s="45"/>
      <c r="L601" s="45"/>
      <c r="M601" s="44"/>
      <c r="N601" s="44"/>
      <c r="O601" s="44"/>
      <c r="P601" s="44"/>
      <c r="Q601" s="44"/>
    </row>
    <row r="602" spans="8:17" x14ac:dyDescent="0.25">
      <c r="H602" s="44"/>
      <c r="I602" s="44"/>
      <c r="J602" s="45"/>
      <c r="K602" s="45"/>
      <c r="L602" s="45"/>
      <c r="M602" s="44"/>
      <c r="N602" s="44"/>
      <c r="O602" s="44"/>
      <c r="P602" s="44"/>
      <c r="Q602" s="44"/>
    </row>
    <row r="603" spans="8:17" x14ac:dyDescent="0.25">
      <c r="H603" s="44"/>
      <c r="I603" s="44"/>
      <c r="J603" s="45"/>
      <c r="K603" s="45"/>
      <c r="L603" s="45"/>
      <c r="M603" s="44"/>
      <c r="N603" s="44"/>
      <c r="O603" s="44"/>
      <c r="P603" s="44"/>
      <c r="Q603" s="44"/>
    </row>
    <row r="604" spans="8:17" x14ac:dyDescent="0.25">
      <c r="H604" s="44"/>
      <c r="I604" s="44"/>
      <c r="J604" s="45"/>
      <c r="K604" s="45"/>
      <c r="L604" s="45"/>
      <c r="M604" s="44"/>
      <c r="N604" s="44"/>
      <c r="O604" s="44"/>
      <c r="P604" s="44"/>
      <c r="Q604" s="44"/>
    </row>
    <row r="605" spans="8:17" x14ac:dyDescent="0.25">
      <c r="H605" s="44"/>
      <c r="I605" s="44"/>
      <c r="J605" s="45"/>
      <c r="K605" s="45"/>
      <c r="L605" s="45"/>
      <c r="M605" s="44"/>
      <c r="N605" s="44"/>
      <c r="O605" s="44"/>
      <c r="P605" s="44"/>
      <c r="Q605" s="44"/>
    </row>
    <row r="606" spans="8:17" x14ac:dyDescent="0.25">
      <c r="H606" s="44"/>
      <c r="I606" s="44"/>
      <c r="J606" s="45"/>
      <c r="K606" s="45"/>
      <c r="L606" s="45"/>
      <c r="M606" s="44"/>
      <c r="N606" s="44"/>
      <c r="O606" s="44"/>
      <c r="P606" s="44"/>
      <c r="Q606" s="44"/>
    </row>
    <row r="607" spans="8:17" x14ac:dyDescent="0.25">
      <c r="H607" s="44"/>
      <c r="I607" s="44"/>
      <c r="J607" s="45"/>
      <c r="K607" s="45"/>
      <c r="L607" s="45"/>
      <c r="M607" s="44"/>
      <c r="N607" s="44"/>
      <c r="O607" s="44"/>
      <c r="P607" s="44"/>
      <c r="Q607" s="44"/>
    </row>
    <row r="608" spans="8:17" x14ac:dyDescent="0.25">
      <c r="H608" s="44"/>
      <c r="I608" s="44"/>
      <c r="J608" s="45"/>
      <c r="K608" s="45"/>
      <c r="L608" s="45"/>
      <c r="M608" s="44"/>
      <c r="N608" s="44"/>
      <c r="O608" s="44"/>
      <c r="P608" s="44"/>
      <c r="Q608" s="44"/>
    </row>
    <row r="609" spans="8:17" x14ac:dyDescent="0.25">
      <c r="H609" s="44"/>
      <c r="I609" s="44"/>
      <c r="J609" s="45"/>
      <c r="K609" s="45"/>
      <c r="L609" s="45"/>
      <c r="M609" s="44"/>
      <c r="N609" s="44"/>
      <c r="O609" s="44"/>
      <c r="P609" s="44"/>
      <c r="Q609" s="44"/>
    </row>
    <row r="610" spans="8:17" x14ac:dyDescent="0.25">
      <c r="H610" s="44"/>
      <c r="I610" s="44"/>
      <c r="J610" s="45"/>
      <c r="K610" s="45"/>
      <c r="L610" s="45"/>
      <c r="M610" s="44"/>
      <c r="N610" s="44"/>
      <c r="O610" s="44"/>
      <c r="P610" s="44"/>
      <c r="Q610" s="44"/>
    </row>
    <row r="611" spans="8:17" x14ac:dyDescent="0.25">
      <c r="H611" s="44"/>
      <c r="I611" s="44"/>
      <c r="J611" s="45"/>
      <c r="K611" s="45"/>
      <c r="L611" s="45"/>
      <c r="M611" s="44"/>
      <c r="N611" s="44"/>
      <c r="O611" s="44"/>
      <c r="P611" s="44"/>
      <c r="Q611" s="44"/>
    </row>
    <row r="612" spans="8:17" x14ac:dyDescent="0.25">
      <c r="H612" s="44"/>
      <c r="I612" s="44"/>
      <c r="J612" s="45"/>
      <c r="K612" s="45"/>
      <c r="L612" s="45"/>
      <c r="M612" s="44"/>
      <c r="N612" s="44"/>
      <c r="O612" s="44"/>
      <c r="P612" s="44"/>
      <c r="Q612" s="44"/>
    </row>
    <row r="613" spans="8:17" x14ac:dyDescent="0.25">
      <c r="H613" s="44"/>
      <c r="I613" s="44"/>
      <c r="J613" s="45"/>
      <c r="K613" s="45"/>
      <c r="L613" s="45"/>
      <c r="M613" s="44"/>
      <c r="N613" s="44"/>
      <c r="O613" s="44"/>
      <c r="P613" s="44"/>
      <c r="Q613" s="44"/>
    </row>
    <row r="614" spans="8:17" x14ac:dyDescent="0.25">
      <c r="H614" s="44"/>
      <c r="I614" s="44"/>
      <c r="J614" s="45"/>
      <c r="K614" s="45"/>
      <c r="L614" s="45"/>
      <c r="M614" s="44"/>
      <c r="N614" s="44"/>
      <c r="O614" s="44"/>
      <c r="P614" s="44"/>
      <c r="Q614" s="44"/>
    </row>
    <row r="615" spans="8:17" x14ac:dyDescent="0.25">
      <c r="H615" s="44"/>
      <c r="I615" s="44"/>
      <c r="J615" s="45"/>
      <c r="K615" s="45"/>
      <c r="L615" s="45"/>
      <c r="M615" s="44"/>
      <c r="N615" s="44"/>
      <c r="O615" s="44"/>
      <c r="P615" s="44"/>
      <c r="Q615" s="44"/>
    </row>
    <row r="616" spans="8:17" x14ac:dyDescent="0.25">
      <c r="H616" s="44"/>
      <c r="I616" s="44"/>
      <c r="J616" s="45"/>
      <c r="K616" s="45"/>
      <c r="L616" s="45"/>
      <c r="M616" s="44"/>
      <c r="N616" s="44"/>
      <c r="O616" s="44"/>
      <c r="P616" s="44"/>
      <c r="Q616" s="44"/>
    </row>
    <row r="617" spans="8:17" x14ac:dyDescent="0.25">
      <c r="H617" s="44"/>
      <c r="I617" s="44"/>
      <c r="J617" s="45"/>
      <c r="K617" s="45"/>
      <c r="L617" s="45"/>
      <c r="M617" s="44"/>
      <c r="N617" s="44"/>
      <c r="O617" s="44"/>
      <c r="P617" s="44"/>
      <c r="Q617" s="44"/>
    </row>
    <row r="618" spans="8:17" x14ac:dyDescent="0.25">
      <c r="H618" s="44"/>
      <c r="I618" s="44"/>
      <c r="J618" s="45"/>
      <c r="K618" s="45"/>
      <c r="L618" s="45"/>
      <c r="M618" s="44"/>
      <c r="N618" s="44"/>
      <c r="O618" s="44"/>
      <c r="P618" s="44"/>
      <c r="Q618" s="44"/>
    </row>
    <row r="619" spans="8:17" x14ac:dyDescent="0.25">
      <c r="H619" s="44"/>
      <c r="I619" s="44"/>
      <c r="J619" s="45"/>
      <c r="K619" s="45"/>
      <c r="L619" s="45"/>
      <c r="M619" s="44"/>
      <c r="N619" s="44"/>
      <c r="O619" s="44"/>
      <c r="P619" s="44"/>
      <c r="Q619" s="44"/>
    </row>
    <row r="620" spans="8:17" x14ac:dyDescent="0.25">
      <c r="H620" s="44"/>
      <c r="I620" s="44"/>
      <c r="J620" s="45"/>
      <c r="K620" s="45"/>
      <c r="L620" s="45"/>
      <c r="M620" s="44"/>
      <c r="N620" s="44"/>
      <c r="O620" s="44"/>
      <c r="P620" s="44"/>
      <c r="Q620" s="44"/>
    </row>
    <row r="621" spans="8:17" x14ac:dyDescent="0.25">
      <c r="H621" s="44"/>
      <c r="I621" s="44"/>
      <c r="J621" s="45"/>
      <c r="K621" s="45"/>
      <c r="L621" s="45"/>
      <c r="M621" s="44"/>
      <c r="N621" s="44"/>
      <c r="O621" s="44"/>
      <c r="P621" s="44"/>
      <c r="Q621" s="44"/>
    </row>
    <row r="622" spans="8:17" x14ac:dyDescent="0.25">
      <c r="H622" s="44"/>
      <c r="I622" s="44"/>
      <c r="J622" s="45"/>
      <c r="K622" s="45"/>
      <c r="L622" s="45"/>
      <c r="M622" s="44"/>
      <c r="N622" s="44"/>
      <c r="O622" s="44"/>
      <c r="P622" s="44"/>
      <c r="Q622" s="44"/>
    </row>
    <row r="623" spans="8:17" x14ac:dyDescent="0.25">
      <c r="H623" s="44"/>
      <c r="I623" s="44"/>
      <c r="J623" s="45"/>
      <c r="K623" s="45"/>
      <c r="L623" s="45"/>
      <c r="M623" s="44"/>
      <c r="N623" s="44"/>
      <c r="O623" s="44"/>
      <c r="P623" s="44"/>
      <c r="Q623" s="44"/>
    </row>
    <row r="624" spans="8:17" x14ac:dyDescent="0.25">
      <c r="H624" s="44"/>
      <c r="I624" s="44"/>
      <c r="J624" s="45"/>
      <c r="K624" s="45"/>
      <c r="L624" s="45"/>
      <c r="M624" s="44"/>
      <c r="N624" s="44"/>
      <c r="O624" s="44"/>
      <c r="P624" s="44"/>
      <c r="Q624" s="44"/>
    </row>
    <row r="625" spans="8:17" x14ac:dyDescent="0.25">
      <c r="H625" s="44"/>
      <c r="I625" s="44"/>
      <c r="J625" s="45"/>
      <c r="K625" s="45"/>
      <c r="L625" s="45"/>
      <c r="M625" s="44"/>
      <c r="N625" s="44"/>
      <c r="O625" s="44"/>
      <c r="P625" s="44"/>
      <c r="Q625" s="44"/>
    </row>
    <row r="626" spans="8:17" x14ac:dyDescent="0.25">
      <c r="H626" s="44"/>
      <c r="I626" s="44"/>
      <c r="J626" s="45"/>
      <c r="K626" s="45"/>
      <c r="L626" s="45"/>
      <c r="M626" s="44"/>
      <c r="N626" s="44"/>
      <c r="O626" s="44"/>
      <c r="P626" s="44"/>
      <c r="Q626" s="44"/>
    </row>
    <row r="627" spans="8:17" x14ac:dyDescent="0.25">
      <c r="H627" s="44"/>
      <c r="I627" s="44"/>
      <c r="J627" s="45"/>
      <c r="K627" s="45"/>
      <c r="L627" s="45"/>
      <c r="M627" s="44"/>
      <c r="N627" s="44"/>
      <c r="O627" s="44"/>
      <c r="P627" s="44"/>
      <c r="Q627" s="44"/>
    </row>
    <row r="628" spans="8:17" x14ac:dyDescent="0.25">
      <c r="H628" s="44"/>
      <c r="I628" s="44"/>
      <c r="J628" s="45"/>
      <c r="K628" s="45"/>
      <c r="L628" s="45"/>
      <c r="M628" s="44"/>
      <c r="N628" s="44"/>
      <c r="O628" s="44"/>
      <c r="P628" s="44"/>
      <c r="Q628" s="44"/>
    </row>
    <row r="629" spans="8:17" x14ac:dyDescent="0.25">
      <c r="H629" s="44"/>
      <c r="I629" s="44"/>
      <c r="J629" s="45"/>
      <c r="K629" s="45"/>
      <c r="L629" s="45"/>
      <c r="M629" s="44"/>
      <c r="N629" s="44"/>
      <c r="O629" s="44"/>
      <c r="P629" s="44"/>
      <c r="Q629" s="44"/>
    </row>
    <row r="630" spans="8:17" x14ac:dyDescent="0.25">
      <c r="H630" s="44"/>
      <c r="I630" s="44"/>
      <c r="J630" s="45"/>
      <c r="K630" s="45"/>
      <c r="L630" s="45"/>
      <c r="M630" s="44"/>
      <c r="N630" s="44"/>
      <c r="O630" s="44"/>
      <c r="P630" s="44"/>
      <c r="Q630" s="44"/>
    </row>
    <row r="631" spans="8:17" x14ac:dyDescent="0.25">
      <c r="H631" s="44"/>
      <c r="I631" s="44"/>
      <c r="J631" s="45"/>
      <c r="K631" s="45"/>
      <c r="L631" s="45"/>
      <c r="M631" s="44"/>
      <c r="N631" s="44"/>
      <c r="O631" s="44"/>
      <c r="P631" s="44"/>
      <c r="Q631" s="44"/>
    </row>
    <row r="632" spans="8:17" x14ac:dyDescent="0.25">
      <c r="H632" s="44"/>
      <c r="I632" s="44"/>
      <c r="J632" s="45"/>
      <c r="K632" s="45"/>
      <c r="L632" s="45"/>
      <c r="M632" s="44"/>
      <c r="N632" s="44"/>
      <c r="O632" s="44"/>
      <c r="P632" s="44"/>
      <c r="Q632" s="44"/>
    </row>
    <row r="633" spans="8:17" x14ac:dyDescent="0.25">
      <c r="H633" s="44"/>
      <c r="I633" s="44"/>
      <c r="J633" s="45"/>
      <c r="K633" s="45"/>
      <c r="L633" s="45"/>
      <c r="M633" s="44"/>
      <c r="N633" s="44"/>
      <c r="O633" s="44"/>
      <c r="P633" s="44"/>
      <c r="Q633" s="44"/>
    </row>
    <row r="634" spans="8:17" x14ac:dyDescent="0.25">
      <c r="H634" s="44"/>
      <c r="I634" s="44"/>
      <c r="J634" s="45"/>
      <c r="K634" s="45"/>
      <c r="L634" s="45"/>
      <c r="M634" s="44"/>
      <c r="N634" s="44"/>
      <c r="O634" s="44"/>
      <c r="P634" s="44"/>
      <c r="Q634" s="44"/>
    </row>
    <row r="635" spans="8:17" x14ac:dyDescent="0.25">
      <c r="H635" s="44"/>
      <c r="I635" s="44"/>
      <c r="J635" s="45"/>
      <c r="K635" s="45"/>
      <c r="L635" s="45"/>
      <c r="M635" s="44"/>
      <c r="N635" s="44"/>
      <c r="O635" s="44"/>
      <c r="P635" s="44"/>
      <c r="Q635" s="44"/>
    </row>
    <row r="636" spans="8:17" x14ac:dyDescent="0.25">
      <c r="H636" s="44"/>
      <c r="I636" s="44"/>
      <c r="J636" s="45"/>
      <c r="K636" s="45"/>
      <c r="L636" s="45"/>
      <c r="M636" s="44"/>
      <c r="N636" s="44"/>
      <c r="O636" s="44"/>
      <c r="P636" s="44"/>
      <c r="Q636" s="44"/>
    </row>
    <row r="637" spans="8:17" x14ac:dyDescent="0.25">
      <c r="H637" s="44"/>
      <c r="I637" s="44"/>
      <c r="J637" s="45"/>
      <c r="K637" s="45"/>
      <c r="L637" s="45"/>
      <c r="M637" s="44"/>
      <c r="N637" s="44"/>
      <c r="O637" s="44"/>
      <c r="P637" s="44"/>
      <c r="Q637" s="44"/>
    </row>
    <row r="638" spans="8:17" x14ac:dyDescent="0.25">
      <c r="H638" s="44"/>
      <c r="I638" s="44"/>
      <c r="J638" s="45"/>
      <c r="K638" s="45"/>
      <c r="L638" s="45"/>
      <c r="M638" s="44"/>
      <c r="N638" s="44"/>
      <c r="O638" s="44"/>
      <c r="P638" s="44"/>
      <c r="Q638" s="44"/>
    </row>
    <row r="639" spans="8:17" x14ac:dyDescent="0.25">
      <c r="H639" s="44"/>
      <c r="I639" s="44"/>
      <c r="J639" s="45"/>
      <c r="K639" s="45"/>
      <c r="L639" s="45"/>
      <c r="M639" s="44"/>
      <c r="N639" s="44"/>
      <c r="O639" s="44"/>
      <c r="P639" s="44"/>
      <c r="Q639" s="44"/>
    </row>
    <row r="640" spans="8:17" x14ac:dyDescent="0.25">
      <c r="H640" s="44"/>
      <c r="I640" s="44"/>
      <c r="J640" s="45"/>
      <c r="K640" s="45"/>
      <c r="L640" s="45"/>
      <c r="M640" s="44"/>
      <c r="N640" s="44"/>
      <c r="O640" s="44"/>
      <c r="P640" s="44"/>
      <c r="Q640" s="44"/>
    </row>
    <row r="641" spans="8:17" x14ac:dyDescent="0.25">
      <c r="H641" s="44"/>
      <c r="I641" s="44"/>
      <c r="J641" s="45"/>
      <c r="K641" s="45"/>
      <c r="L641" s="45"/>
      <c r="M641" s="44"/>
      <c r="N641" s="44"/>
      <c r="O641" s="44"/>
      <c r="P641" s="44"/>
      <c r="Q641" s="44"/>
    </row>
    <row r="642" spans="8:17" x14ac:dyDescent="0.25">
      <c r="H642" s="44"/>
      <c r="I642" s="44"/>
      <c r="J642" s="45"/>
      <c r="K642" s="45"/>
      <c r="L642" s="45"/>
      <c r="M642" s="44"/>
      <c r="N642" s="44"/>
      <c r="O642" s="44"/>
      <c r="P642" s="44"/>
      <c r="Q642" s="44"/>
    </row>
    <row r="643" spans="8:17" x14ac:dyDescent="0.25">
      <c r="H643" s="44"/>
      <c r="I643" s="44"/>
      <c r="J643" s="45"/>
      <c r="K643" s="45"/>
      <c r="L643" s="45"/>
      <c r="M643" s="44"/>
      <c r="N643" s="44"/>
      <c r="O643" s="44"/>
      <c r="P643" s="44"/>
      <c r="Q643" s="44"/>
    </row>
    <row r="644" spans="8:17" x14ac:dyDescent="0.25">
      <c r="H644" s="44"/>
      <c r="I644" s="44"/>
      <c r="J644" s="45"/>
      <c r="K644" s="45"/>
      <c r="L644" s="45"/>
      <c r="M644" s="44"/>
      <c r="N644" s="44"/>
      <c r="O644" s="44"/>
      <c r="P644" s="44"/>
      <c r="Q644" s="44"/>
    </row>
    <row r="645" spans="8:17" x14ac:dyDescent="0.25">
      <c r="H645" s="44"/>
      <c r="I645" s="44"/>
      <c r="J645" s="45"/>
      <c r="K645" s="45"/>
      <c r="L645" s="45"/>
      <c r="M645" s="44"/>
      <c r="N645" s="44"/>
      <c r="O645" s="44"/>
      <c r="P645" s="44"/>
      <c r="Q645" s="44"/>
    </row>
    <row r="646" spans="8:17" x14ac:dyDescent="0.25">
      <c r="H646" s="44"/>
      <c r="I646" s="44"/>
      <c r="J646" s="45"/>
      <c r="K646" s="45"/>
      <c r="L646" s="45"/>
      <c r="M646" s="44"/>
      <c r="N646" s="44"/>
      <c r="O646" s="44"/>
      <c r="P646" s="44"/>
      <c r="Q646" s="44"/>
    </row>
    <row r="647" spans="8:17" x14ac:dyDescent="0.25">
      <c r="H647" s="44"/>
      <c r="I647" s="44"/>
      <c r="J647" s="45"/>
      <c r="K647" s="45"/>
      <c r="L647" s="45"/>
      <c r="M647" s="44"/>
      <c r="N647" s="44"/>
      <c r="O647" s="44"/>
      <c r="P647" s="44"/>
      <c r="Q647" s="44"/>
    </row>
    <row r="648" spans="8:17" x14ac:dyDescent="0.25">
      <c r="H648" s="44"/>
      <c r="I648" s="44"/>
      <c r="J648" s="45"/>
      <c r="K648" s="45"/>
      <c r="L648" s="45"/>
      <c r="M648" s="44"/>
      <c r="N648" s="44"/>
      <c r="O648" s="44"/>
      <c r="P648" s="44"/>
      <c r="Q648" s="44"/>
    </row>
    <row r="649" spans="8:17" x14ac:dyDescent="0.25">
      <c r="H649" s="44"/>
      <c r="I649" s="44"/>
      <c r="J649" s="45"/>
      <c r="K649" s="45"/>
      <c r="L649" s="45"/>
      <c r="M649" s="44"/>
      <c r="N649" s="44"/>
      <c r="O649" s="44"/>
      <c r="P649" s="44"/>
      <c r="Q649" s="44"/>
    </row>
    <row r="650" spans="8:17" x14ac:dyDescent="0.25">
      <c r="H650" s="44"/>
      <c r="I650" s="44"/>
      <c r="J650" s="45"/>
      <c r="K650" s="45"/>
      <c r="L650" s="45"/>
      <c r="M650" s="44"/>
      <c r="N650" s="44"/>
      <c r="O650" s="44"/>
      <c r="P650" s="44"/>
      <c r="Q650" s="44"/>
    </row>
    <row r="651" spans="8:17" x14ac:dyDescent="0.25">
      <c r="H651" s="44"/>
      <c r="I651" s="44"/>
      <c r="J651" s="45"/>
      <c r="K651" s="45"/>
      <c r="L651" s="45"/>
      <c r="M651" s="44"/>
      <c r="N651" s="44"/>
      <c r="O651" s="44"/>
      <c r="P651" s="44"/>
      <c r="Q651" s="44"/>
    </row>
    <row r="652" spans="8:17" x14ac:dyDescent="0.25">
      <c r="H652" s="44"/>
      <c r="I652" s="44"/>
      <c r="J652" s="45"/>
      <c r="K652" s="45"/>
      <c r="L652" s="45"/>
      <c r="M652" s="44"/>
      <c r="N652" s="44"/>
      <c r="O652" s="44"/>
      <c r="P652" s="44"/>
      <c r="Q652" s="44"/>
    </row>
    <row r="653" spans="8:17" x14ac:dyDescent="0.25">
      <c r="H653" s="44"/>
      <c r="I653" s="44"/>
      <c r="J653" s="45"/>
      <c r="K653" s="45"/>
      <c r="L653" s="45"/>
      <c r="M653" s="44"/>
      <c r="N653" s="44"/>
      <c r="O653" s="44"/>
      <c r="P653" s="44"/>
      <c r="Q653" s="44"/>
    </row>
    <row r="654" spans="8:17" x14ac:dyDescent="0.25">
      <c r="H654" s="44"/>
      <c r="I654" s="44"/>
      <c r="J654" s="45"/>
      <c r="K654" s="45"/>
      <c r="L654" s="45"/>
      <c r="M654" s="44"/>
      <c r="N654" s="44"/>
      <c r="O654" s="44"/>
      <c r="P654" s="44"/>
      <c r="Q654" s="44"/>
    </row>
    <row r="655" spans="8:17" x14ac:dyDescent="0.25">
      <c r="H655" s="44"/>
      <c r="I655" s="44"/>
      <c r="J655" s="45"/>
      <c r="K655" s="45"/>
      <c r="L655" s="45"/>
      <c r="M655" s="44"/>
      <c r="N655" s="44"/>
      <c r="O655" s="44"/>
      <c r="P655" s="44"/>
      <c r="Q655" s="44"/>
    </row>
    <row r="656" spans="8:17" x14ac:dyDescent="0.25">
      <c r="H656" s="44"/>
      <c r="I656" s="44"/>
      <c r="J656" s="45"/>
      <c r="K656" s="45"/>
      <c r="L656" s="45"/>
      <c r="M656" s="44"/>
      <c r="N656" s="44"/>
      <c r="O656" s="44"/>
      <c r="P656" s="44"/>
      <c r="Q656" s="44"/>
    </row>
    <row r="657" spans="8:17" x14ac:dyDescent="0.25">
      <c r="H657" s="44"/>
      <c r="I657" s="44"/>
      <c r="J657" s="45"/>
      <c r="K657" s="45"/>
      <c r="L657" s="45"/>
      <c r="M657" s="44"/>
      <c r="N657" s="44"/>
      <c r="O657" s="44"/>
      <c r="P657" s="44"/>
      <c r="Q657" s="44"/>
    </row>
    <row r="658" spans="8:17" x14ac:dyDescent="0.25">
      <c r="H658" s="44"/>
      <c r="I658" s="44"/>
      <c r="J658" s="45"/>
      <c r="K658" s="45"/>
      <c r="L658" s="45"/>
      <c r="M658" s="44"/>
      <c r="N658" s="44"/>
      <c r="O658" s="44"/>
      <c r="P658" s="44"/>
      <c r="Q658" s="44"/>
    </row>
    <row r="659" spans="8:17" x14ac:dyDescent="0.25">
      <c r="H659" s="44"/>
      <c r="I659" s="44"/>
      <c r="J659" s="45"/>
      <c r="K659" s="45"/>
      <c r="L659" s="45"/>
      <c r="M659" s="44"/>
      <c r="N659" s="44"/>
      <c r="O659" s="44"/>
      <c r="P659" s="44"/>
      <c r="Q659" s="44"/>
    </row>
    <row r="660" spans="8:17" x14ac:dyDescent="0.25">
      <c r="H660" s="44"/>
      <c r="I660" s="44"/>
      <c r="J660" s="45"/>
      <c r="K660" s="45"/>
      <c r="L660" s="45"/>
      <c r="M660" s="44"/>
      <c r="N660" s="44"/>
      <c r="O660" s="44"/>
      <c r="P660" s="44"/>
      <c r="Q660" s="44"/>
    </row>
    <row r="661" spans="8:17" x14ac:dyDescent="0.25">
      <c r="H661" s="44"/>
      <c r="I661" s="44"/>
      <c r="J661" s="45"/>
      <c r="K661" s="45"/>
      <c r="L661" s="45"/>
      <c r="M661" s="44"/>
      <c r="N661" s="44"/>
      <c r="O661" s="44"/>
      <c r="P661" s="44"/>
      <c r="Q661" s="44"/>
    </row>
    <row r="662" spans="8:17" x14ac:dyDescent="0.25">
      <c r="H662" s="44"/>
      <c r="I662" s="44"/>
      <c r="J662" s="45"/>
      <c r="K662" s="45"/>
      <c r="L662" s="45"/>
      <c r="M662" s="44"/>
      <c r="N662" s="44"/>
      <c r="O662" s="44"/>
      <c r="P662" s="44"/>
      <c r="Q662" s="44"/>
    </row>
    <row r="663" spans="8:17" x14ac:dyDescent="0.25">
      <c r="H663" s="44"/>
      <c r="I663" s="44"/>
      <c r="J663" s="45"/>
      <c r="K663" s="45"/>
      <c r="L663" s="45"/>
      <c r="M663" s="44"/>
      <c r="N663" s="44"/>
      <c r="O663" s="44"/>
      <c r="P663" s="44"/>
      <c r="Q663" s="44"/>
    </row>
    <row r="664" spans="8:17" x14ac:dyDescent="0.25">
      <c r="H664" s="44"/>
      <c r="I664" s="44"/>
      <c r="J664" s="45"/>
      <c r="K664" s="45"/>
      <c r="L664" s="45"/>
      <c r="M664" s="44"/>
      <c r="N664" s="44"/>
      <c r="O664" s="44"/>
      <c r="P664" s="44"/>
      <c r="Q664" s="44"/>
    </row>
    <row r="665" spans="8:17" x14ac:dyDescent="0.25">
      <c r="H665" s="44"/>
      <c r="I665" s="44"/>
      <c r="J665" s="45"/>
      <c r="K665" s="45"/>
      <c r="L665" s="45"/>
      <c r="M665" s="44"/>
      <c r="N665" s="44"/>
      <c r="O665" s="44"/>
      <c r="P665" s="44"/>
      <c r="Q665" s="44"/>
    </row>
    <row r="666" spans="8:17" x14ac:dyDescent="0.25">
      <c r="H666" s="44"/>
      <c r="I666" s="44"/>
      <c r="J666" s="45"/>
      <c r="K666" s="45"/>
      <c r="L666" s="45"/>
      <c r="M666" s="44"/>
      <c r="N666" s="44"/>
      <c r="O666" s="44"/>
      <c r="P666" s="44"/>
      <c r="Q666" s="44"/>
    </row>
    <row r="667" spans="8:17" x14ac:dyDescent="0.25">
      <c r="H667" s="44"/>
      <c r="I667" s="44"/>
      <c r="J667" s="45"/>
      <c r="K667" s="45"/>
      <c r="L667" s="45"/>
      <c r="M667" s="44"/>
      <c r="N667" s="44"/>
      <c r="O667" s="44"/>
      <c r="P667" s="44"/>
      <c r="Q667" s="44"/>
    </row>
    <row r="668" spans="8:17" x14ac:dyDescent="0.25">
      <c r="H668" s="44"/>
      <c r="I668" s="44"/>
      <c r="J668" s="45"/>
      <c r="K668" s="45"/>
      <c r="L668" s="45"/>
      <c r="M668" s="44"/>
      <c r="N668" s="44"/>
      <c r="O668" s="44"/>
      <c r="P668" s="44"/>
      <c r="Q668" s="44"/>
    </row>
    <row r="669" spans="8:17" x14ac:dyDescent="0.25">
      <c r="H669" s="44"/>
      <c r="I669" s="44"/>
      <c r="J669" s="45"/>
      <c r="K669" s="45"/>
      <c r="L669" s="45"/>
      <c r="M669" s="44"/>
      <c r="N669" s="44"/>
      <c r="O669" s="44"/>
      <c r="P669" s="44"/>
      <c r="Q669" s="44"/>
    </row>
    <row r="670" spans="8:17" x14ac:dyDescent="0.25">
      <c r="H670" s="44"/>
      <c r="I670" s="44"/>
      <c r="J670" s="45"/>
      <c r="K670" s="45"/>
      <c r="L670" s="45"/>
      <c r="M670" s="44"/>
      <c r="N670" s="44"/>
      <c r="O670" s="44"/>
      <c r="P670" s="44"/>
      <c r="Q670" s="44"/>
    </row>
    <row r="671" spans="8:17" x14ac:dyDescent="0.25">
      <c r="H671" s="44"/>
      <c r="I671" s="44"/>
      <c r="J671" s="45"/>
      <c r="K671" s="45"/>
      <c r="L671" s="45"/>
      <c r="M671" s="44"/>
      <c r="N671" s="44"/>
      <c r="O671" s="44"/>
      <c r="P671" s="44"/>
      <c r="Q671" s="44"/>
    </row>
    <row r="672" spans="8:17" x14ac:dyDescent="0.25">
      <c r="H672" s="44"/>
      <c r="I672" s="44"/>
      <c r="J672" s="45"/>
      <c r="K672" s="45"/>
      <c r="L672" s="45"/>
      <c r="M672" s="44"/>
      <c r="N672" s="44"/>
      <c r="O672" s="44"/>
      <c r="P672" s="44"/>
      <c r="Q672" s="44"/>
    </row>
    <row r="673" spans="8:17" x14ac:dyDescent="0.25">
      <c r="H673" s="44"/>
      <c r="I673" s="44"/>
      <c r="J673" s="45"/>
      <c r="K673" s="45"/>
      <c r="L673" s="45"/>
      <c r="M673" s="44"/>
      <c r="N673" s="44"/>
      <c r="O673" s="44"/>
      <c r="P673" s="44"/>
      <c r="Q673" s="44"/>
    </row>
    <row r="674" spans="8:17" x14ac:dyDescent="0.25">
      <c r="H674" s="44"/>
      <c r="I674" s="44"/>
      <c r="J674" s="45"/>
      <c r="K674" s="45"/>
      <c r="L674" s="45"/>
      <c r="M674" s="44"/>
      <c r="N674" s="44"/>
      <c r="O674" s="44"/>
      <c r="P674" s="44"/>
      <c r="Q674" s="44"/>
    </row>
    <row r="675" spans="8:17" x14ac:dyDescent="0.25">
      <c r="H675" s="44"/>
      <c r="I675" s="44"/>
      <c r="J675" s="45"/>
      <c r="K675" s="45"/>
      <c r="L675" s="45"/>
      <c r="M675" s="44"/>
      <c r="N675" s="44"/>
      <c r="O675" s="44"/>
      <c r="P675" s="44"/>
      <c r="Q675" s="44"/>
    </row>
    <row r="676" spans="8:17" x14ac:dyDescent="0.25">
      <c r="H676" s="44"/>
      <c r="I676" s="44"/>
      <c r="J676" s="45"/>
      <c r="K676" s="45"/>
      <c r="L676" s="45"/>
      <c r="M676" s="44"/>
      <c r="N676" s="44"/>
      <c r="O676" s="44"/>
      <c r="P676" s="44"/>
      <c r="Q676" s="44"/>
    </row>
    <row r="677" spans="8:17" x14ac:dyDescent="0.25">
      <c r="H677" s="44"/>
      <c r="I677" s="44"/>
      <c r="J677" s="45"/>
      <c r="K677" s="45"/>
      <c r="L677" s="45"/>
      <c r="M677" s="44"/>
      <c r="N677" s="44"/>
      <c r="O677" s="44"/>
      <c r="P677" s="44"/>
      <c r="Q677" s="44"/>
    </row>
    <row r="678" spans="8:17" x14ac:dyDescent="0.25">
      <c r="H678" s="44"/>
      <c r="I678" s="44"/>
      <c r="J678" s="45"/>
      <c r="K678" s="45"/>
      <c r="L678" s="45"/>
      <c r="M678" s="44"/>
      <c r="N678" s="44"/>
      <c r="O678" s="44"/>
      <c r="P678" s="44"/>
      <c r="Q678" s="44"/>
    </row>
    <row r="679" spans="8:17" x14ac:dyDescent="0.25">
      <c r="H679" s="44"/>
      <c r="I679" s="44"/>
      <c r="J679" s="45"/>
      <c r="K679" s="45"/>
      <c r="L679" s="45"/>
      <c r="M679" s="44"/>
      <c r="N679" s="44"/>
      <c r="O679" s="44"/>
      <c r="P679" s="44"/>
      <c r="Q679" s="44"/>
    </row>
    <row r="680" spans="8:17" x14ac:dyDescent="0.25">
      <c r="H680" s="44"/>
      <c r="I680" s="44"/>
      <c r="J680" s="45"/>
      <c r="K680" s="45"/>
      <c r="L680" s="45"/>
      <c r="M680" s="44"/>
      <c r="N680" s="44"/>
      <c r="O680" s="44"/>
      <c r="P680" s="44"/>
      <c r="Q680" s="44"/>
    </row>
    <row r="681" spans="8:17" x14ac:dyDescent="0.25">
      <c r="H681" s="44"/>
      <c r="I681" s="44"/>
      <c r="J681" s="45"/>
      <c r="K681" s="45"/>
      <c r="L681" s="45"/>
      <c r="M681" s="44"/>
      <c r="N681" s="44"/>
      <c r="O681" s="44"/>
      <c r="P681" s="44"/>
      <c r="Q681" s="44"/>
    </row>
    <row r="682" spans="8:17" x14ac:dyDescent="0.25">
      <c r="H682" s="44"/>
      <c r="I682" s="44"/>
      <c r="J682" s="45"/>
      <c r="K682" s="45"/>
      <c r="L682" s="45"/>
      <c r="M682" s="44"/>
      <c r="N682" s="44"/>
      <c r="O682" s="44"/>
      <c r="P682" s="44"/>
      <c r="Q682" s="44"/>
    </row>
    <row r="683" spans="8:17" x14ac:dyDescent="0.25">
      <c r="H683" s="44"/>
      <c r="I683" s="44"/>
      <c r="J683" s="45"/>
      <c r="K683" s="45"/>
      <c r="L683" s="45"/>
      <c r="M683" s="44"/>
      <c r="N683" s="44"/>
      <c r="O683" s="44"/>
      <c r="P683" s="44"/>
      <c r="Q683" s="44"/>
    </row>
    <row r="684" spans="8:17" x14ac:dyDescent="0.25">
      <c r="H684" s="44"/>
      <c r="I684" s="44"/>
      <c r="J684" s="45"/>
      <c r="K684" s="45"/>
      <c r="L684" s="45"/>
      <c r="M684" s="44"/>
      <c r="N684" s="44"/>
      <c r="O684" s="44"/>
      <c r="P684" s="44"/>
      <c r="Q684" s="44"/>
    </row>
    <row r="685" spans="8:17" x14ac:dyDescent="0.25">
      <c r="H685" s="44"/>
      <c r="I685" s="44"/>
      <c r="J685" s="45"/>
      <c r="K685" s="45"/>
      <c r="L685" s="45"/>
      <c r="M685" s="44"/>
      <c r="N685" s="44"/>
      <c r="O685" s="44"/>
      <c r="P685" s="44"/>
      <c r="Q685" s="44"/>
    </row>
    <row r="686" spans="8:17" x14ac:dyDescent="0.25">
      <c r="H686" s="44"/>
      <c r="I686" s="44"/>
      <c r="J686" s="45"/>
      <c r="K686" s="45"/>
      <c r="L686" s="45"/>
      <c r="M686" s="44"/>
      <c r="N686" s="44"/>
      <c r="O686" s="44"/>
      <c r="P686" s="44"/>
      <c r="Q686" s="44"/>
    </row>
    <row r="687" spans="8:17" x14ac:dyDescent="0.25">
      <c r="H687" s="44"/>
      <c r="I687" s="44"/>
      <c r="J687" s="45"/>
      <c r="K687" s="45"/>
      <c r="L687" s="45"/>
      <c r="M687" s="44"/>
      <c r="N687" s="44"/>
      <c r="O687" s="44"/>
      <c r="P687" s="44"/>
      <c r="Q687" s="44"/>
    </row>
    <row r="688" spans="8:17" x14ac:dyDescent="0.25">
      <c r="H688" s="44"/>
      <c r="I688" s="44"/>
      <c r="J688" s="45"/>
      <c r="K688" s="45"/>
      <c r="L688" s="45"/>
      <c r="M688" s="44"/>
      <c r="N688" s="44"/>
      <c r="O688" s="44"/>
      <c r="P688" s="44"/>
      <c r="Q688" s="44"/>
    </row>
    <row r="689" spans="8:17" x14ac:dyDescent="0.25">
      <c r="H689" s="44"/>
      <c r="I689" s="44"/>
      <c r="J689" s="45"/>
      <c r="K689" s="45"/>
      <c r="L689" s="45"/>
      <c r="M689" s="44"/>
      <c r="N689" s="44"/>
      <c r="O689" s="44"/>
      <c r="P689" s="44"/>
      <c r="Q689" s="44"/>
    </row>
    <row r="690" spans="8:17" x14ac:dyDescent="0.25">
      <c r="H690" s="44"/>
      <c r="I690" s="44"/>
      <c r="J690" s="45"/>
      <c r="K690" s="45"/>
      <c r="L690" s="45"/>
      <c r="M690" s="44"/>
      <c r="N690" s="44"/>
      <c r="O690" s="44"/>
      <c r="P690" s="44"/>
      <c r="Q690" s="44"/>
    </row>
    <row r="691" spans="8:17" x14ac:dyDescent="0.25">
      <c r="H691" s="44"/>
      <c r="I691" s="44"/>
      <c r="J691" s="45"/>
      <c r="K691" s="45"/>
      <c r="L691" s="45"/>
      <c r="M691" s="44"/>
      <c r="N691" s="44"/>
      <c r="O691" s="44"/>
      <c r="P691" s="44"/>
      <c r="Q691" s="44"/>
    </row>
    <row r="692" spans="8:17" x14ac:dyDescent="0.25">
      <c r="H692" s="44"/>
      <c r="I692" s="44"/>
      <c r="J692" s="45"/>
      <c r="K692" s="45"/>
      <c r="L692" s="45"/>
      <c r="M692" s="44"/>
      <c r="N692" s="44"/>
      <c r="O692" s="44"/>
      <c r="P692" s="44"/>
      <c r="Q692" s="44"/>
    </row>
    <row r="693" spans="8:17" x14ac:dyDescent="0.25">
      <c r="H693" s="44"/>
      <c r="I693" s="44"/>
      <c r="J693" s="45"/>
      <c r="K693" s="45"/>
      <c r="L693" s="45"/>
      <c r="M693" s="44"/>
      <c r="N693" s="44"/>
      <c r="O693" s="44"/>
      <c r="P693" s="44"/>
      <c r="Q693" s="44"/>
    </row>
    <row r="694" spans="8:17" x14ac:dyDescent="0.25">
      <c r="H694" s="44"/>
      <c r="I694" s="44"/>
      <c r="J694" s="45"/>
      <c r="K694" s="45"/>
      <c r="L694" s="45"/>
      <c r="M694" s="44"/>
      <c r="N694" s="44"/>
      <c r="O694" s="44"/>
      <c r="P694" s="44"/>
      <c r="Q694" s="44"/>
    </row>
    <row r="695" spans="8:17" x14ac:dyDescent="0.25">
      <c r="H695" s="44"/>
      <c r="I695" s="44"/>
      <c r="J695" s="45"/>
      <c r="K695" s="45"/>
      <c r="L695" s="45"/>
      <c r="M695" s="44"/>
      <c r="N695" s="44"/>
      <c r="O695" s="44"/>
      <c r="P695" s="44"/>
      <c r="Q695" s="44"/>
    </row>
    <row r="696" spans="8:17" x14ac:dyDescent="0.25">
      <c r="H696" s="44"/>
      <c r="I696" s="44"/>
      <c r="J696" s="45"/>
      <c r="K696" s="45"/>
      <c r="L696" s="45"/>
      <c r="M696" s="44"/>
      <c r="N696" s="44"/>
      <c r="O696" s="44"/>
      <c r="P696" s="44"/>
      <c r="Q696" s="44"/>
    </row>
    <row r="697" spans="8:17" x14ac:dyDescent="0.25">
      <c r="H697" s="44"/>
      <c r="I697" s="44"/>
      <c r="J697" s="45"/>
      <c r="K697" s="45"/>
      <c r="L697" s="45"/>
      <c r="M697" s="44"/>
      <c r="N697" s="44"/>
      <c r="O697" s="44"/>
      <c r="P697" s="44"/>
      <c r="Q697" s="44"/>
    </row>
    <row r="698" spans="8:17" x14ac:dyDescent="0.25">
      <c r="H698" s="44"/>
      <c r="I698" s="44"/>
      <c r="J698" s="45"/>
      <c r="K698" s="45"/>
      <c r="L698" s="45"/>
      <c r="M698" s="44"/>
      <c r="N698" s="44"/>
      <c r="O698" s="44"/>
      <c r="P698" s="44"/>
      <c r="Q698" s="44"/>
    </row>
    <row r="699" spans="8:17" x14ac:dyDescent="0.25">
      <c r="H699" s="44"/>
      <c r="I699" s="44"/>
      <c r="J699" s="45"/>
      <c r="K699" s="45"/>
      <c r="L699" s="45"/>
      <c r="M699" s="44"/>
      <c r="N699" s="44"/>
      <c r="O699" s="44"/>
      <c r="P699" s="44"/>
      <c r="Q699" s="44"/>
    </row>
    <row r="700" spans="8:17" x14ac:dyDescent="0.25">
      <c r="H700" s="44"/>
      <c r="I700" s="44"/>
      <c r="J700" s="45"/>
      <c r="K700" s="45"/>
      <c r="L700" s="45"/>
      <c r="M700" s="44"/>
      <c r="N700" s="44"/>
      <c r="O700" s="44"/>
      <c r="P700" s="44"/>
      <c r="Q700" s="44"/>
    </row>
    <row r="701" spans="8:17" x14ac:dyDescent="0.25">
      <c r="H701" s="44"/>
      <c r="I701" s="44"/>
      <c r="J701" s="45"/>
      <c r="K701" s="45"/>
      <c r="L701" s="45"/>
      <c r="M701" s="44"/>
      <c r="N701" s="44"/>
      <c r="O701" s="44"/>
      <c r="P701" s="44"/>
      <c r="Q701" s="44"/>
    </row>
    <row r="702" spans="8:17" x14ac:dyDescent="0.25">
      <c r="H702" s="44"/>
      <c r="I702" s="44"/>
      <c r="J702" s="45"/>
      <c r="K702" s="45"/>
      <c r="L702" s="45"/>
      <c r="M702" s="44"/>
      <c r="N702" s="44"/>
      <c r="O702" s="44"/>
      <c r="P702" s="44"/>
      <c r="Q702" s="44"/>
    </row>
    <row r="703" spans="8:17" x14ac:dyDescent="0.25">
      <c r="H703" s="44"/>
      <c r="I703" s="44"/>
      <c r="J703" s="45"/>
      <c r="K703" s="45"/>
      <c r="L703" s="45"/>
      <c r="M703" s="44"/>
      <c r="N703" s="44"/>
      <c r="O703" s="44"/>
      <c r="P703" s="44"/>
      <c r="Q703" s="44"/>
    </row>
    <row r="704" spans="8:17" x14ac:dyDescent="0.25">
      <c r="H704" s="44"/>
      <c r="I704" s="44"/>
      <c r="J704" s="45"/>
      <c r="K704" s="45"/>
      <c r="L704" s="45"/>
      <c r="M704" s="44"/>
      <c r="N704" s="44"/>
      <c r="O704" s="44"/>
      <c r="P704" s="44"/>
      <c r="Q704" s="44"/>
    </row>
    <row r="705" spans="8:17" x14ac:dyDescent="0.25">
      <c r="H705" s="44"/>
      <c r="I705" s="44"/>
      <c r="J705" s="45"/>
      <c r="K705" s="45"/>
      <c r="L705" s="45"/>
      <c r="M705" s="44"/>
      <c r="N705" s="44"/>
      <c r="O705" s="44"/>
      <c r="P705" s="44"/>
      <c r="Q705" s="44"/>
    </row>
    <row r="706" spans="8:17" x14ac:dyDescent="0.25">
      <c r="H706" s="44"/>
      <c r="I706" s="44"/>
      <c r="J706" s="45"/>
      <c r="K706" s="45"/>
      <c r="L706" s="45"/>
      <c r="M706" s="44"/>
      <c r="N706" s="44"/>
      <c r="O706" s="44"/>
      <c r="P706" s="44"/>
      <c r="Q706" s="44"/>
    </row>
    <row r="707" spans="8:17" x14ac:dyDescent="0.25">
      <c r="H707" s="44"/>
      <c r="I707" s="44"/>
      <c r="J707" s="45"/>
      <c r="K707" s="45"/>
      <c r="L707" s="45"/>
      <c r="M707" s="44"/>
      <c r="N707" s="44"/>
      <c r="O707" s="44"/>
      <c r="P707" s="44"/>
      <c r="Q707" s="44"/>
    </row>
    <row r="708" spans="8:17" x14ac:dyDescent="0.25">
      <c r="H708" s="44"/>
      <c r="I708" s="44"/>
      <c r="J708" s="45"/>
      <c r="K708" s="45"/>
      <c r="L708" s="45"/>
      <c r="M708" s="44"/>
      <c r="N708" s="44"/>
      <c r="O708" s="44"/>
      <c r="P708" s="44"/>
      <c r="Q708" s="44"/>
    </row>
    <row r="709" spans="8:17" x14ac:dyDescent="0.25">
      <c r="H709" s="44"/>
      <c r="I709" s="44"/>
      <c r="J709" s="45"/>
      <c r="K709" s="45"/>
      <c r="L709" s="45"/>
      <c r="M709" s="44"/>
      <c r="N709" s="44"/>
      <c r="O709" s="44"/>
      <c r="P709" s="44"/>
      <c r="Q709" s="44"/>
    </row>
    <row r="710" spans="8:17" x14ac:dyDescent="0.25">
      <c r="H710" s="44"/>
      <c r="I710" s="44"/>
      <c r="J710" s="45"/>
      <c r="K710" s="45"/>
      <c r="L710" s="45"/>
      <c r="M710" s="44"/>
      <c r="N710" s="44"/>
      <c r="O710" s="44"/>
      <c r="P710" s="44"/>
      <c r="Q710" s="44"/>
    </row>
    <row r="711" spans="8:17" x14ac:dyDescent="0.25">
      <c r="H711" s="44"/>
      <c r="I711" s="44"/>
      <c r="J711" s="45"/>
      <c r="K711" s="45"/>
      <c r="L711" s="45"/>
      <c r="M711" s="44"/>
      <c r="N711" s="44"/>
      <c r="O711" s="44"/>
      <c r="P711" s="44"/>
      <c r="Q711" s="44"/>
    </row>
    <row r="712" spans="8:17" x14ac:dyDescent="0.25">
      <c r="H712" s="44"/>
      <c r="I712" s="44"/>
      <c r="J712" s="45"/>
      <c r="K712" s="45"/>
      <c r="L712" s="45"/>
      <c r="M712" s="44"/>
      <c r="N712" s="44"/>
      <c r="O712" s="44"/>
      <c r="P712" s="44"/>
      <c r="Q712" s="44"/>
    </row>
    <row r="713" spans="8:17" x14ac:dyDescent="0.25">
      <c r="H713" s="44"/>
      <c r="I713" s="44"/>
      <c r="J713" s="45"/>
      <c r="K713" s="45"/>
      <c r="L713" s="45"/>
      <c r="M713" s="44"/>
      <c r="N713" s="44"/>
      <c r="O713" s="44"/>
      <c r="P713" s="44"/>
      <c r="Q713" s="44"/>
    </row>
    <row r="714" spans="8:17" x14ac:dyDescent="0.25">
      <c r="H714" s="44"/>
      <c r="I714" s="44"/>
      <c r="J714" s="45"/>
      <c r="K714" s="45"/>
      <c r="L714" s="45"/>
      <c r="M714" s="44"/>
      <c r="N714" s="44"/>
      <c r="O714" s="44"/>
      <c r="P714" s="44"/>
      <c r="Q714" s="44"/>
    </row>
    <row r="715" spans="8:17" x14ac:dyDescent="0.25">
      <c r="H715" s="44"/>
      <c r="I715" s="44"/>
      <c r="J715" s="45"/>
      <c r="K715" s="45"/>
      <c r="L715" s="45"/>
      <c r="M715" s="44"/>
      <c r="N715" s="44"/>
      <c r="O715" s="44"/>
      <c r="P715" s="44"/>
      <c r="Q715" s="44"/>
    </row>
    <row r="716" spans="8:17" x14ac:dyDescent="0.25">
      <c r="H716" s="44"/>
      <c r="I716" s="44"/>
      <c r="J716" s="45"/>
      <c r="K716" s="45"/>
      <c r="L716" s="45"/>
      <c r="M716" s="44"/>
      <c r="N716" s="44"/>
      <c r="O716" s="44"/>
      <c r="P716" s="44"/>
      <c r="Q716" s="44"/>
    </row>
    <row r="717" spans="8:17" x14ac:dyDescent="0.25">
      <c r="H717" s="44"/>
      <c r="I717" s="44"/>
      <c r="J717" s="45"/>
      <c r="K717" s="45"/>
      <c r="L717" s="45"/>
      <c r="M717" s="44"/>
      <c r="N717" s="44"/>
      <c r="O717" s="44"/>
      <c r="P717" s="44"/>
      <c r="Q717" s="44"/>
    </row>
    <row r="718" spans="8:17" x14ac:dyDescent="0.25">
      <c r="H718" s="44"/>
      <c r="I718" s="44"/>
      <c r="J718" s="45"/>
      <c r="K718" s="45"/>
      <c r="L718" s="45"/>
      <c r="M718" s="44"/>
      <c r="N718" s="44"/>
      <c r="O718" s="44"/>
      <c r="P718" s="44"/>
      <c r="Q718" s="44"/>
    </row>
    <row r="719" spans="8:17" x14ac:dyDescent="0.25">
      <c r="H719" s="44"/>
      <c r="I719" s="44"/>
      <c r="J719" s="45"/>
      <c r="K719" s="45"/>
      <c r="L719" s="45"/>
      <c r="M719" s="44"/>
      <c r="N719" s="44"/>
      <c r="O719" s="44"/>
      <c r="P719" s="44"/>
      <c r="Q719" s="44"/>
    </row>
    <row r="720" spans="8:17" x14ac:dyDescent="0.25">
      <c r="H720" s="44"/>
      <c r="I720" s="44"/>
      <c r="J720" s="45"/>
      <c r="K720" s="45"/>
      <c r="L720" s="45"/>
      <c r="M720" s="44"/>
      <c r="N720" s="44"/>
      <c r="O720" s="44"/>
      <c r="P720" s="44"/>
      <c r="Q720" s="44"/>
    </row>
    <row r="721" spans="8:17" x14ac:dyDescent="0.25">
      <c r="H721" s="44"/>
      <c r="I721" s="44"/>
      <c r="J721" s="45"/>
      <c r="K721" s="45"/>
      <c r="L721" s="45"/>
      <c r="M721" s="44"/>
      <c r="N721" s="44"/>
      <c r="O721" s="44"/>
      <c r="P721" s="44"/>
      <c r="Q721" s="44"/>
    </row>
    <row r="722" spans="8:17" x14ac:dyDescent="0.25">
      <c r="H722" s="44"/>
      <c r="I722" s="44"/>
      <c r="J722" s="45"/>
      <c r="K722" s="45"/>
      <c r="L722" s="45"/>
      <c r="M722" s="44"/>
      <c r="N722" s="44"/>
      <c r="O722" s="44"/>
      <c r="P722" s="44"/>
      <c r="Q722" s="44"/>
    </row>
    <row r="723" spans="8:17" x14ac:dyDescent="0.25">
      <c r="H723" s="44"/>
      <c r="I723" s="44"/>
      <c r="J723" s="45"/>
      <c r="K723" s="45"/>
      <c r="L723" s="45"/>
      <c r="M723" s="44"/>
      <c r="N723" s="44"/>
      <c r="O723" s="44"/>
      <c r="P723" s="44"/>
      <c r="Q723" s="44"/>
    </row>
    <row r="724" spans="8:17" x14ac:dyDescent="0.25">
      <c r="H724" s="44"/>
      <c r="I724" s="44"/>
      <c r="J724" s="45"/>
      <c r="K724" s="45"/>
      <c r="L724" s="45"/>
      <c r="M724" s="44"/>
      <c r="N724" s="44"/>
      <c r="O724" s="44"/>
      <c r="P724" s="44"/>
      <c r="Q724" s="44"/>
    </row>
    <row r="725" spans="8:17" x14ac:dyDescent="0.25">
      <c r="H725" s="44"/>
      <c r="I725" s="44"/>
      <c r="J725" s="45"/>
      <c r="K725" s="45"/>
      <c r="L725" s="45"/>
      <c r="M725" s="44"/>
      <c r="N725" s="44"/>
      <c r="O725" s="44"/>
      <c r="P725" s="44"/>
      <c r="Q725" s="44"/>
    </row>
    <row r="726" spans="8:17" x14ac:dyDescent="0.25">
      <c r="H726" s="44"/>
      <c r="I726" s="44"/>
      <c r="J726" s="45"/>
      <c r="K726" s="45"/>
      <c r="L726" s="45"/>
      <c r="M726" s="44"/>
      <c r="N726" s="44"/>
      <c r="O726" s="44"/>
      <c r="P726" s="44"/>
      <c r="Q726" s="44"/>
    </row>
    <row r="727" spans="8:17" x14ac:dyDescent="0.25">
      <c r="H727" s="44"/>
      <c r="I727" s="44"/>
      <c r="J727" s="45"/>
      <c r="K727" s="45"/>
      <c r="L727" s="45"/>
      <c r="M727" s="44"/>
      <c r="N727" s="44"/>
      <c r="O727" s="44"/>
      <c r="P727" s="44"/>
      <c r="Q727" s="44"/>
    </row>
    <row r="728" spans="8:17" x14ac:dyDescent="0.25">
      <c r="H728" s="44"/>
      <c r="I728" s="44"/>
      <c r="J728" s="45"/>
      <c r="K728" s="45"/>
      <c r="L728" s="45"/>
      <c r="M728" s="44"/>
      <c r="N728" s="44"/>
      <c r="O728" s="44"/>
      <c r="P728" s="44"/>
      <c r="Q728" s="44"/>
    </row>
    <row r="729" spans="8:17" x14ac:dyDescent="0.25">
      <c r="H729" s="44"/>
      <c r="I729" s="44"/>
      <c r="J729" s="45"/>
      <c r="K729" s="45"/>
      <c r="L729" s="45"/>
      <c r="M729" s="44"/>
      <c r="N729" s="44"/>
      <c r="O729" s="44"/>
      <c r="P729" s="44"/>
      <c r="Q729" s="44"/>
    </row>
    <row r="730" spans="8:17" x14ac:dyDescent="0.25">
      <c r="H730" s="44"/>
      <c r="I730" s="44"/>
      <c r="J730" s="45"/>
      <c r="K730" s="45"/>
      <c r="L730" s="45"/>
      <c r="M730" s="44"/>
      <c r="N730" s="44"/>
      <c r="O730" s="44"/>
      <c r="P730" s="44"/>
      <c r="Q730" s="44"/>
    </row>
    <row r="731" spans="8:17" x14ac:dyDescent="0.25">
      <c r="H731" s="44"/>
      <c r="I731" s="44"/>
      <c r="J731" s="45"/>
      <c r="K731" s="45"/>
      <c r="L731" s="45"/>
      <c r="M731" s="44"/>
      <c r="N731" s="44"/>
      <c r="O731" s="44"/>
      <c r="P731" s="44"/>
      <c r="Q731" s="44"/>
    </row>
    <row r="732" spans="8:17" x14ac:dyDescent="0.25">
      <c r="H732" s="44"/>
      <c r="I732" s="44"/>
      <c r="J732" s="45"/>
      <c r="K732" s="45"/>
      <c r="L732" s="45"/>
      <c r="M732" s="44"/>
      <c r="N732" s="44"/>
      <c r="O732" s="44"/>
      <c r="P732" s="44"/>
      <c r="Q732" s="44"/>
    </row>
    <row r="733" spans="8:17" x14ac:dyDescent="0.25">
      <c r="H733" s="44"/>
      <c r="I733" s="44"/>
      <c r="J733" s="45"/>
      <c r="K733" s="45"/>
      <c r="L733" s="45"/>
      <c r="M733" s="44"/>
      <c r="N733" s="44"/>
      <c r="O733" s="44"/>
      <c r="P733" s="44"/>
      <c r="Q733" s="44"/>
    </row>
    <row r="734" spans="8:17" x14ac:dyDescent="0.25">
      <c r="H734" s="44"/>
      <c r="I734" s="44"/>
      <c r="J734" s="45"/>
      <c r="K734" s="45"/>
      <c r="L734" s="45"/>
      <c r="M734" s="44"/>
      <c r="N734" s="44"/>
      <c r="O734" s="44"/>
      <c r="P734" s="44"/>
      <c r="Q734" s="44"/>
    </row>
    <row r="735" spans="8:17" x14ac:dyDescent="0.25">
      <c r="H735" s="44"/>
      <c r="I735" s="44"/>
      <c r="J735" s="45"/>
      <c r="K735" s="45"/>
      <c r="L735" s="45"/>
      <c r="M735" s="44"/>
      <c r="N735" s="44"/>
      <c r="O735" s="44"/>
      <c r="P735" s="44"/>
      <c r="Q735" s="44"/>
    </row>
    <row r="736" spans="8:17" x14ac:dyDescent="0.25">
      <c r="H736" s="44"/>
      <c r="I736" s="44"/>
      <c r="J736" s="45"/>
      <c r="K736" s="45"/>
      <c r="L736" s="45"/>
      <c r="M736" s="44"/>
      <c r="N736" s="44"/>
      <c r="O736" s="44"/>
      <c r="P736" s="44"/>
      <c r="Q736" s="44"/>
    </row>
    <row r="737" spans="8:17" x14ac:dyDescent="0.25">
      <c r="H737" s="44"/>
      <c r="I737" s="44"/>
      <c r="J737" s="45"/>
      <c r="K737" s="45"/>
      <c r="L737" s="45"/>
      <c r="M737" s="44"/>
      <c r="N737" s="44"/>
      <c r="O737" s="44"/>
      <c r="P737" s="44"/>
      <c r="Q737" s="44"/>
    </row>
    <row r="738" spans="8:17" x14ac:dyDescent="0.25">
      <c r="H738" s="44"/>
      <c r="I738" s="44"/>
      <c r="J738" s="45"/>
      <c r="K738" s="45"/>
      <c r="L738" s="45"/>
      <c r="M738" s="44"/>
      <c r="N738" s="44"/>
      <c r="O738" s="44"/>
      <c r="P738" s="44"/>
      <c r="Q738" s="44"/>
    </row>
    <row r="739" spans="8:17" x14ac:dyDescent="0.25">
      <c r="H739" s="44"/>
      <c r="I739" s="44"/>
      <c r="J739" s="45"/>
      <c r="K739" s="45"/>
      <c r="L739" s="45"/>
      <c r="M739" s="44"/>
      <c r="N739" s="44"/>
      <c r="O739" s="44"/>
      <c r="P739" s="44"/>
      <c r="Q739" s="44"/>
    </row>
    <row r="740" spans="8:17" x14ac:dyDescent="0.25">
      <c r="H740" s="44"/>
      <c r="I740" s="44"/>
      <c r="J740" s="45"/>
      <c r="K740" s="45"/>
      <c r="L740" s="45"/>
      <c r="M740" s="44"/>
      <c r="N740" s="44"/>
      <c r="O740" s="44"/>
      <c r="P740" s="44"/>
      <c r="Q740" s="44"/>
    </row>
    <row r="741" spans="8:17" x14ac:dyDescent="0.25">
      <c r="H741" s="44"/>
      <c r="I741" s="44"/>
      <c r="J741" s="45"/>
      <c r="K741" s="45"/>
      <c r="L741" s="45"/>
      <c r="M741" s="44"/>
      <c r="N741" s="44"/>
      <c r="O741" s="44"/>
      <c r="P741" s="44"/>
      <c r="Q741" s="44"/>
    </row>
    <row r="742" spans="8:17" x14ac:dyDescent="0.25">
      <c r="H742" s="44"/>
      <c r="I742" s="44"/>
      <c r="J742" s="45"/>
      <c r="K742" s="45"/>
      <c r="L742" s="45"/>
      <c r="M742" s="44"/>
      <c r="N742" s="44"/>
      <c r="O742" s="44"/>
      <c r="P742" s="44"/>
      <c r="Q742" s="44"/>
    </row>
    <row r="743" spans="8:17" x14ac:dyDescent="0.25">
      <c r="H743" s="44"/>
      <c r="I743" s="44"/>
      <c r="J743" s="45"/>
      <c r="K743" s="45"/>
      <c r="L743" s="45"/>
      <c r="M743" s="44"/>
      <c r="N743" s="44"/>
      <c r="O743" s="44"/>
      <c r="P743" s="44"/>
      <c r="Q743" s="44"/>
    </row>
    <row r="744" spans="8:17" x14ac:dyDescent="0.25">
      <c r="H744" s="44"/>
      <c r="I744" s="44"/>
      <c r="J744" s="45"/>
      <c r="K744" s="45"/>
      <c r="L744" s="45"/>
      <c r="M744" s="44"/>
      <c r="N744" s="44"/>
      <c r="O744" s="44"/>
      <c r="P744" s="44"/>
      <c r="Q744" s="44"/>
    </row>
    <row r="745" spans="8:17" x14ac:dyDescent="0.25">
      <c r="H745" s="44"/>
      <c r="I745" s="44"/>
      <c r="J745" s="45"/>
      <c r="K745" s="45"/>
      <c r="L745" s="45"/>
      <c r="M745" s="44"/>
      <c r="N745" s="44"/>
      <c r="O745" s="44"/>
      <c r="P745" s="44"/>
      <c r="Q745" s="44"/>
    </row>
    <row r="746" spans="8:17" x14ac:dyDescent="0.25">
      <c r="H746" s="44"/>
      <c r="I746" s="44"/>
      <c r="J746" s="45"/>
      <c r="K746" s="45"/>
      <c r="L746" s="45"/>
      <c r="M746" s="44"/>
      <c r="N746" s="44"/>
      <c r="O746" s="44"/>
      <c r="P746" s="44"/>
      <c r="Q746" s="44"/>
    </row>
    <row r="747" spans="8:17" x14ac:dyDescent="0.25">
      <c r="H747" s="44"/>
      <c r="I747" s="44"/>
      <c r="J747" s="45"/>
      <c r="K747" s="45"/>
      <c r="L747" s="45"/>
      <c r="M747" s="44"/>
      <c r="N747" s="44"/>
      <c r="O747" s="44"/>
      <c r="P747" s="44"/>
      <c r="Q747" s="44"/>
    </row>
    <row r="748" spans="8:17" x14ac:dyDescent="0.25">
      <c r="H748" s="44"/>
      <c r="I748" s="44"/>
      <c r="J748" s="45"/>
      <c r="K748" s="45"/>
      <c r="L748" s="45"/>
      <c r="M748" s="44"/>
      <c r="N748" s="44"/>
      <c r="O748" s="44"/>
      <c r="P748" s="44"/>
      <c r="Q748" s="44"/>
    </row>
    <row r="749" spans="8:17" x14ac:dyDescent="0.25">
      <c r="H749" s="44"/>
      <c r="I749" s="44"/>
      <c r="J749" s="45"/>
      <c r="K749" s="45"/>
      <c r="L749" s="45"/>
      <c r="M749" s="44"/>
      <c r="N749" s="44"/>
      <c r="O749" s="44"/>
      <c r="P749" s="44"/>
      <c r="Q749" s="44"/>
    </row>
    <row r="750" spans="8:17" x14ac:dyDescent="0.25">
      <c r="H750" s="44"/>
      <c r="I750" s="44"/>
      <c r="J750" s="45"/>
      <c r="K750" s="45"/>
      <c r="L750" s="45"/>
      <c r="M750" s="44"/>
      <c r="N750" s="44"/>
      <c r="O750" s="44"/>
      <c r="P750" s="44"/>
      <c r="Q750" s="44"/>
    </row>
    <row r="751" spans="8:17" x14ac:dyDescent="0.25">
      <c r="H751" s="44"/>
      <c r="I751" s="44"/>
      <c r="J751" s="45"/>
      <c r="K751" s="45"/>
      <c r="L751" s="45"/>
      <c r="M751" s="44"/>
      <c r="N751" s="44"/>
      <c r="O751" s="44"/>
      <c r="P751" s="44"/>
      <c r="Q751" s="44"/>
    </row>
    <row r="752" spans="8:17" x14ac:dyDescent="0.25">
      <c r="H752" s="44"/>
      <c r="I752" s="44"/>
      <c r="J752" s="45"/>
      <c r="K752" s="45"/>
      <c r="L752" s="45"/>
      <c r="M752" s="44"/>
      <c r="N752" s="44"/>
      <c r="O752" s="44"/>
      <c r="P752" s="44"/>
      <c r="Q752" s="44"/>
    </row>
    <row r="753" spans="8:17" x14ac:dyDescent="0.25">
      <c r="H753" s="44"/>
      <c r="I753" s="44"/>
      <c r="J753" s="45"/>
      <c r="K753" s="45"/>
      <c r="L753" s="45"/>
      <c r="M753" s="44"/>
      <c r="N753" s="44"/>
      <c r="O753" s="44"/>
      <c r="P753" s="44"/>
      <c r="Q753" s="44"/>
    </row>
    <row r="754" spans="8:17" x14ac:dyDescent="0.25">
      <c r="H754" s="44"/>
      <c r="I754" s="44"/>
      <c r="J754" s="45"/>
      <c r="K754" s="45"/>
      <c r="L754" s="45"/>
      <c r="M754" s="44"/>
      <c r="N754" s="44"/>
      <c r="O754" s="44"/>
      <c r="P754" s="44"/>
      <c r="Q754" s="44"/>
    </row>
    <row r="755" spans="8:17" x14ac:dyDescent="0.25">
      <c r="H755" s="44"/>
      <c r="I755" s="44"/>
      <c r="J755" s="45"/>
      <c r="K755" s="45"/>
      <c r="L755" s="45"/>
      <c r="M755" s="44"/>
      <c r="N755" s="44"/>
      <c r="O755" s="44"/>
      <c r="P755" s="44"/>
      <c r="Q755" s="44"/>
    </row>
    <row r="756" spans="8:17" x14ac:dyDescent="0.25">
      <c r="H756" s="44"/>
      <c r="I756" s="44"/>
      <c r="J756" s="45"/>
      <c r="K756" s="45"/>
      <c r="L756" s="45"/>
      <c r="M756" s="44"/>
      <c r="N756" s="44"/>
      <c r="O756" s="44"/>
      <c r="P756" s="44"/>
      <c r="Q756" s="44"/>
    </row>
    <row r="757" spans="8:17" x14ac:dyDescent="0.25">
      <c r="H757" s="44"/>
      <c r="I757" s="44"/>
      <c r="J757" s="45"/>
      <c r="K757" s="45"/>
      <c r="L757" s="45"/>
      <c r="M757" s="44"/>
      <c r="N757" s="44"/>
      <c r="O757" s="44"/>
      <c r="P757" s="44"/>
      <c r="Q757" s="44"/>
    </row>
    <row r="758" spans="8:17" x14ac:dyDescent="0.25">
      <c r="H758" s="44"/>
      <c r="I758" s="44"/>
      <c r="J758" s="45"/>
      <c r="K758" s="45"/>
      <c r="L758" s="45"/>
      <c r="M758" s="44"/>
      <c r="N758" s="44"/>
      <c r="O758" s="44"/>
      <c r="P758" s="44"/>
      <c r="Q758" s="44"/>
    </row>
    <row r="759" spans="8:17" x14ac:dyDescent="0.25">
      <c r="H759" s="44"/>
      <c r="I759" s="44"/>
      <c r="J759" s="45"/>
      <c r="K759" s="45"/>
      <c r="L759" s="45"/>
      <c r="M759" s="44"/>
      <c r="N759" s="44"/>
      <c r="O759" s="44"/>
      <c r="P759" s="44"/>
      <c r="Q759" s="44"/>
    </row>
    <row r="760" spans="8:17" x14ac:dyDescent="0.25">
      <c r="H760" s="44"/>
      <c r="I760" s="44"/>
      <c r="J760" s="45"/>
      <c r="K760" s="45"/>
      <c r="L760" s="45"/>
      <c r="M760" s="44"/>
      <c r="N760" s="44"/>
      <c r="O760" s="44"/>
      <c r="P760" s="44"/>
      <c r="Q760" s="44"/>
    </row>
    <row r="761" spans="8:17" x14ac:dyDescent="0.25">
      <c r="H761" s="44"/>
      <c r="I761" s="44"/>
      <c r="J761" s="45"/>
      <c r="K761" s="45"/>
      <c r="L761" s="45"/>
      <c r="M761" s="44"/>
      <c r="N761" s="44"/>
      <c r="O761" s="44"/>
      <c r="P761" s="44"/>
      <c r="Q761" s="44"/>
    </row>
    <row r="762" spans="8:17" x14ac:dyDescent="0.25">
      <c r="H762" s="44"/>
      <c r="I762" s="44"/>
      <c r="J762" s="45"/>
      <c r="K762" s="45"/>
      <c r="L762" s="45"/>
      <c r="M762" s="44"/>
      <c r="N762" s="44"/>
      <c r="O762" s="44"/>
      <c r="P762" s="44"/>
      <c r="Q762" s="44"/>
    </row>
    <row r="763" spans="8:17" x14ac:dyDescent="0.25">
      <c r="H763" s="44"/>
      <c r="I763" s="44"/>
      <c r="J763" s="45"/>
      <c r="K763" s="45"/>
      <c r="L763" s="45"/>
      <c r="M763" s="44"/>
      <c r="N763" s="44"/>
      <c r="O763" s="44"/>
      <c r="P763" s="44"/>
      <c r="Q763" s="44"/>
    </row>
    <row r="764" spans="8:17" x14ac:dyDescent="0.25">
      <c r="H764" s="44"/>
      <c r="I764" s="44"/>
      <c r="J764" s="45"/>
      <c r="K764" s="45"/>
      <c r="L764" s="45"/>
      <c r="M764" s="44"/>
      <c r="N764" s="44"/>
      <c r="O764" s="44"/>
      <c r="P764" s="44"/>
      <c r="Q764" s="44"/>
    </row>
    <row r="765" spans="8:17" x14ac:dyDescent="0.25">
      <c r="H765" s="44"/>
      <c r="I765" s="44"/>
      <c r="J765" s="45"/>
      <c r="K765" s="45"/>
      <c r="L765" s="45"/>
      <c r="M765" s="44"/>
      <c r="N765" s="44"/>
      <c r="O765" s="44"/>
      <c r="P765" s="44"/>
      <c r="Q765" s="44"/>
    </row>
    <row r="766" spans="8:17" x14ac:dyDescent="0.25">
      <c r="H766" s="44"/>
      <c r="I766" s="44"/>
      <c r="J766" s="45"/>
      <c r="K766" s="45"/>
      <c r="L766" s="45"/>
      <c r="M766" s="44"/>
      <c r="N766" s="44"/>
      <c r="O766" s="44"/>
      <c r="P766" s="44"/>
      <c r="Q766" s="44"/>
    </row>
    <row r="767" spans="8:17" x14ac:dyDescent="0.25">
      <c r="H767" s="44"/>
      <c r="I767" s="44"/>
      <c r="J767" s="45"/>
      <c r="K767" s="45"/>
      <c r="L767" s="45"/>
      <c r="M767" s="44"/>
      <c r="N767" s="44"/>
      <c r="O767" s="44"/>
      <c r="P767" s="44"/>
      <c r="Q767" s="44"/>
    </row>
    <row r="768" spans="8:17" x14ac:dyDescent="0.25">
      <c r="H768" s="44"/>
      <c r="I768" s="44"/>
      <c r="J768" s="45"/>
      <c r="K768" s="45"/>
      <c r="L768" s="45"/>
      <c r="M768" s="44"/>
      <c r="N768" s="44"/>
      <c r="O768" s="44"/>
      <c r="P768" s="44"/>
      <c r="Q768" s="44"/>
    </row>
    <row r="769" spans="8:17" x14ac:dyDescent="0.25">
      <c r="H769" s="44"/>
      <c r="I769" s="44"/>
      <c r="J769" s="45"/>
      <c r="K769" s="45"/>
      <c r="L769" s="45"/>
      <c r="M769" s="44"/>
      <c r="N769" s="44"/>
      <c r="O769" s="44"/>
      <c r="P769" s="44"/>
      <c r="Q769" s="44"/>
    </row>
    <row r="770" spans="8:17" x14ac:dyDescent="0.25">
      <c r="H770" s="44"/>
      <c r="I770" s="44"/>
      <c r="J770" s="45"/>
      <c r="K770" s="45"/>
      <c r="L770" s="45"/>
      <c r="M770" s="44"/>
      <c r="N770" s="44"/>
      <c r="O770" s="44"/>
      <c r="P770" s="44"/>
      <c r="Q770" s="44"/>
    </row>
    <row r="771" spans="8:17" x14ac:dyDescent="0.25">
      <c r="H771" s="44"/>
      <c r="I771" s="44"/>
      <c r="J771" s="45"/>
      <c r="K771" s="45"/>
      <c r="L771" s="45"/>
      <c r="M771" s="44"/>
      <c r="N771" s="44"/>
      <c r="O771" s="44"/>
      <c r="P771" s="44"/>
      <c r="Q771" s="44"/>
    </row>
    <row r="772" spans="8:17" x14ac:dyDescent="0.25">
      <c r="H772" s="44"/>
      <c r="I772" s="44"/>
      <c r="J772" s="45"/>
      <c r="K772" s="45"/>
      <c r="L772" s="45"/>
      <c r="M772" s="44"/>
      <c r="N772" s="44"/>
      <c r="O772" s="44"/>
      <c r="P772" s="44"/>
      <c r="Q772" s="44"/>
    </row>
    <row r="773" spans="8:17" x14ac:dyDescent="0.25">
      <c r="H773" s="44"/>
      <c r="I773" s="44"/>
      <c r="J773" s="45"/>
      <c r="K773" s="45"/>
      <c r="L773" s="45"/>
      <c r="M773" s="44"/>
      <c r="N773" s="44"/>
      <c r="O773" s="44"/>
      <c r="P773" s="44"/>
      <c r="Q773" s="44"/>
    </row>
    <row r="774" spans="8:17" x14ac:dyDescent="0.25">
      <c r="H774" s="44"/>
      <c r="I774" s="44"/>
      <c r="J774" s="45"/>
      <c r="K774" s="45"/>
      <c r="L774" s="45"/>
      <c r="M774" s="44"/>
      <c r="N774" s="44"/>
      <c r="O774" s="44"/>
      <c r="P774" s="44"/>
      <c r="Q774" s="44"/>
    </row>
    <row r="775" spans="8:17" x14ac:dyDescent="0.25">
      <c r="H775" s="44"/>
      <c r="I775" s="44"/>
      <c r="J775" s="45"/>
      <c r="K775" s="45"/>
      <c r="L775" s="45"/>
      <c r="M775" s="44"/>
      <c r="N775" s="44"/>
      <c r="O775" s="44"/>
      <c r="P775" s="44"/>
      <c r="Q775" s="44"/>
    </row>
    <row r="776" spans="8:17" x14ac:dyDescent="0.25">
      <c r="H776" s="44"/>
      <c r="I776" s="44"/>
      <c r="J776" s="45"/>
      <c r="K776" s="45"/>
      <c r="L776" s="45"/>
      <c r="M776" s="44"/>
      <c r="N776" s="44"/>
      <c r="O776" s="44"/>
      <c r="P776" s="44"/>
      <c r="Q776" s="44"/>
    </row>
    <row r="777" spans="8:17" x14ac:dyDescent="0.25">
      <c r="H777" s="44"/>
      <c r="I777" s="44"/>
      <c r="J777" s="45"/>
      <c r="K777" s="45"/>
      <c r="L777" s="45"/>
      <c r="M777" s="44"/>
      <c r="N777" s="44"/>
      <c r="O777" s="44"/>
      <c r="P777" s="44"/>
      <c r="Q777" s="44"/>
    </row>
    <row r="778" spans="8:17" x14ac:dyDescent="0.25">
      <c r="H778" s="44"/>
      <c r="I778" s="44"/>
      <c r="J778" s="45"/>
      <c r="K778" s="45"/>
      <c r="L778" s="45"/>
      <c r="M778" s="44"/>
      <c r="N778" s="44"/>
      <c r="O778" s="44"/>
      <c r="P778" s="44"/>
      <c r="Q778" s="44"/>
    </row>
    <row r="779" spans="8:17" x14ac:dyDescent="0.25">
      <c r="H779" s="44"/>
      <c r="I779" s="44"/>
      <c r="J779" s="45"/>
      <c r="K779" s="45"/>
      <c r="L779" s="45"/>
      <c r="M779" s="44"/>
      <c r="N779" s="44"/>
      <c r="O779" s="44"/>
      <c r="P779" s="44"/>
      <c r="Q779" s="44"/>
    </row>
    <row r="780" spans="8:17" x14ac:dyDescent="0.25">
      <c r="H780" s="44"/>
      <c r="I780" s="44"/>
      <c r="J780" s="45"/>
      <c r="K780" s="45"/>
      <c r="L780" s="45"/>
      <c r="M780" s="44"/>
      <c r="N780" s="44"/>
      <c r="O780" s="44"/>
      <c r="P780" s="44"/>
      <c r="Q780" s="44"/>
    </row>
    <row r="781" spans="8:17" x14ac:dyDescent="0.25">
      <c r="H781" s="44"/>
      <c r="I781" s="44"/>
      <c r="J781" s="45"/>
      <c r="K781" s="45"/>
      <c r="L781" s="45"/>
      <c r="M781" s="44"/>
      <c r="N781" s="44"/>
      <c r="O781" s="44"/>
      <c r="P781" s="44"/>
      <c r="Q781" s="44"/>
    </row>
    <row r="782" spans="8:17" x14ac:dyDescent="0.25">
      <c r="H782" s="44"/>
      <c r="I782" s="44"/>
      <c r="J782" s="45"/>
      <c r="K782" s="45"/>
      <c r="L782" s="45"/>
      <c r="M782" s="44"/>
      <c r="N782" s="44"/>
      <c r="O782" s="44"/>
      <c r="P782" s="44"/>
      <c r="Q782" s="44"/>
    </row>
    <row r="783" spans="8:17" x14ac:dyDescent="0.25">
      <c r="H783" s="44"/>
      <c r="I783" s="44"/>
      <c r="J783" s="45"/>
      <c r="K783" s="45"/>
      <c r="L783" s="45"/>
      <c r="M783" s="44"/>
      <c r="N783" s="44"/>
      <c r="O783" s="44"/>
      <c r="P783" s="44"/>
      <c r="Q783" s="44"/>
    </row>
    <row r="784" spans="8:17" x14ac:dyDescent="0.25">
      <c r="H784" s="44"/>
      <c r="I784" s="44"/>
      <c r="J784" s="45"/>
      <c r="K784" s="45"/>
      <c r="L784" s="45"/>
      <c r="M784" s="44"/>
      <c r="N784" s="44"/>
      <c r="O784" s="44"/>
      <c r="P784" s="44"/>
      <c r="Q784" s="44"/>
    </row>
    <row r="785" spans="8:17" x14ac:dyDescent="0.25">
      <c r="H785" s="44"/>
      <c r="I785" s="44"/>
      <c r="J785" s="45"/>
      <c r="K785" s="45"/>
      <c r="L785" s="45"/>
      <c r="M785" s="44"/>
      <c r="N785" s="44"/>
      <c r="O785" s="44"/>
      <c r="P785" s="44"/>
      <c r="Q785" s="44"/>
    </row>
    <row r="786" spans="8:17" x14ac:dyDescent="0.25">
      <c r="H786" s="44"/>
      <c r="I786" s="44"/>
      <c r="J786" s="45"/>
      <c r="K786" s="45"/>
      <c r="L786" s="45"/>
      <c r="M786" s="44"/>
      <c r="N786" s="44"/>
      <c r="O786" s="44"/>
      <c r="P786" s="44"/>
      <c r="Q786" s="44"/>
    </row>
    <row r="787" spans="8:17" x14ac:dyDescent="0.25">
      <c r="H787" s="44"/>
      <c r="I787" s="44"/>
      <c r="J787" s="45"/>
      <c r="K787" s="45"/>
      <c r="L787" s="45"/>
      <c r="M787" s="44"/>
      <c r="N787" s="44"/>
      <c r="O787" s="44"/>
      <c r="P787" s="44"/>
      <c r="Q787" s="44"/>
    </row>
    <row r="788" spans="8:17" x14ac:dyDescent="0.25">
      <c r="H788" s="44"/>
      <c r="I788" s="44"/>
      <c r="J788" s="45"/>
      <c r="K788" s="45"/>
      <c r="L788" s="45"/>
      <c r="M788" s="44"/>
      <c r="N788" s="44"/>
      <c r="O788" s="44"/>
      <c r="P788" s="44"/>
      <c r="Q788" s="44"/>
    </row>
    <row r="789" spans="8:17" x14ac:dyDescent="0.25">
      <c r="H789" s="44"/>
      <c r="I789" s="44"/>
      <c r="J789" s="45"/>
      <c r="K789" s="45"/>
      <c r="L789" s="45"/>
      <c r="M789" s="44"/>
      <c r="N789" s="44"/>
      <c r="O789" s="44"/>
      <c r="P789" s="44"/>
      <c r="Q789" s="44"/>
    </row>
    <row r="790" spans="8:17" x14ac:dyDescent="0.25">
      <c r="H790" s="44"/>
      <c r="I790" s="44"/>
      <c r="J790" s="45"/>
      <c r="K790" s="45"/>
      <c r="L790" s="45"/>
      <c r="M790" s="44"/>
      <c r="N790" s="44"/>
      <c r="O790" s="44"/>
      <c r="P790" s="44"/>
      <c r="Q790" s="44"/>
    </row>
    <row r="791" spans="8:17" x14ac:dyDescent="0.25">
      <c r="H791" s="44"/>
      <c r="I791" s="44"/>
      <c r="J791" s="45"/>
      <c r="K791" s="45"/>
      <c r="L791" s="45"/>
      <c r="M791" s="44"/>
      <c r="N791" s="44"/>
      <c r="O791" s="44"/>
      <c r="P791" s="44"/>
      <c r="Q791" s="44"/>
    </row>
    <row r="792" spans="8:17" x14ac:dyDescent="0.25">
      <c r="H792" s="44"/>
      <c r="I792" s="44"/>
      <c r="J792" s="45"/>
      <c r="K792" s="45"/>
      <c r="L792" s="45"/>
      <c r="M792" s="44"/>
      <c r="N792" s="44"/>
      <c r="O792" s="44"/>
      <c r="P792" s="44"/>
      <c r="Q792" s="44"/>
    </row>
    <row r="793" spans="8:17" x14ac:dyDescent="0.25">
      <c r="H793" s="44"/>
      <c r="I793" s="44"/>
      <c r="J793" s="45"/>
      <c r="K793" s="45"/>
      <c r="L793" s="45"/>
      <c r="M793" s="44"/>
      <c r="N793" s="44"/>
      <c r="O793" s="44"/>
      <c r="P793" s="44"/>
      <c r="Q793" s="44"/>
    </row>
    <row r="794" spans="8:17" x14ac:dyDescent="0.25">
      <c r="H794" s="44"/>
      <c r="I794" s="44"/>
      <c r="J794" s="45"/>
      <c r="K794" s="45"/>
      <c r="L794" s="45"/>
      <c r="M794" s="44"/>
      <c r="N794" s="44"/>
      <c r="O794" s="44"/>
      <c r="P794" s="44"/>
      <c r="Q794" s="44"/>
    </row>
    <row r="795" spans="8:17" x14ac:dyDescent="0.25">
      <c r="H795" s="44"/>
      <c r="I795" s="44"/>
      <c r="J795" s="45"/>
      <c r="K795" s="45"/>
      <c r="L795" s="45"/>
      <c r="M795" s="44"/>
      <c r="N795" s="44"/>
      <c r="O795" s="44"/>
      <c r="P795" s="44"/>
      <c r="Q795" s="44"/>
    </row>
    <row r="796" spans="8:17" x14ac:dyDescent="0.25">
      <c r="H796" s="44"/>
      <c r="I796" s="44"/>
      <c r="J796" s="45"/>
      <c r="K796" s="45"/>
      <c r="L796" s="45"/>
      <c r="M796" s="44"/>
      <c r="N796" s="44"/>
      <c r="O796" s="44"/>
      <c r="P796" s="44"/>
      <c r="Q796" s="44"/>
    </row>
    <row r="797" spans="8:17" x14ac:dyDescent="0.25">
      <c r="H797" s="44"/>
      <c r="I797" s="44"/>
      <c r="J797" s="45"/>
      <c r="K797" s="45"/>
      <c r="L797" s="45"/>
      <c r="M797" s="44"/>
      <c r="N797" s="44"/>
      <c r="O797" s="44"/>
      <c r="P797" s="44"/>
      <c r="Q797" s="44"/>
    </row>
    <row r="798" spans="8:17" x14ac:dyDescent="0.25">
      <c r="H798" s="44"/>
      <c r="I798" s="44"/>
      <c r="J798" s="45"/>
      <c r="K798" s="45"/>
      <c r="L798" s="45"/>
      <c r="M798" s="44"/>
      <c r="N798" s="44"/>
      <c r="O798" s="44"/>
      <c r="P798" s="44"/>
      <c r="Q798" s="44"/>
    </row>
    <row r="799" spans="8:17" x14ac:dyDescent="0.25">
      <c r="H799" s="44"/>
      <c r="I799" s="44"/>
      <c r="J799" s="45"/>
      <c r="K799" s="45"/>
      <c r="L799" s="45"/>
      <c r="M799" s="44"/>
      <c r="N799" s="44"/>
      <c r="O799" s="44"/>
      <c r="P799" s="44"/>
      <c r="Q799" s="44"/>
    </row>
    <row r="800" spans="8:17" x14ac:dyDescent="0.25">
      <c r="H800" s="44"/>
      <c r="I800" s="44"/>
      <c r="J800" s="45"/>
      <c r="K800" s="45"/>
      <c r="L800" s="45"/>
      <c r="M800" s="44"/>
      <c r="N800" s="44"/>
      <c r="O800" s="44"/>
      <c r="P800" s="44"/>
      <c r="Q800" s="44"/>
    </row>
    <row r="801" spans="8:17" x14ac:dyDescent="0.25">
      <c r="H801" s="44"/>
      <c r="I801" s="44"/>
      <c r="J801" s="45"/>
      <c r="K801" s="45"/>
      <c r="L801" s="45"/>
      <c r="M801" s="44"/>
      <c r="N801" s="44"/>
      <c r="O801" s="44"/>
      <c r="P801" s="44"/>
      <c r="Q801" s="44"/>
    </row>
    <row r="802" spans="8:17" x14ac:dyDescent="0.25">
      <c r="H802" s="44"/>
      <c r="I802" s="44"/>
      <c r="J802" s="45"/>
      <c r="K802" s="45"/>
      <c r="L802" s="45"/>
      <c r="M802" s="44"/>
      <c r="N802" s="44"/>
      <c r="O802" s="44"/>
      <c r="P802" s="44"/>
      <c r="Q802" s="44"/>
    </row>
    <row r="803" spans="8:17" x14ac:dyDescent="0.25">
      <c r="H803" s="44"/>
      <c r="I803" s="44"/>
      <c r="J803" s="45"/>
      <c r="K803" s="45"/>
      <c r="L803" s="45"/>
      <c r="M803" s="44"/>
      <c r="N803" s="44"/>
      <c r="O803" s="44"/>
      <c r="P803" s="44"/>
      <c r="Q803" s="44"/>
    </row>
    <row r="804" spans="8:17" x14ac:dyDescent="0.25">
      <c r="H804" s="44"/>
      <c r="I804" s="44"/>
      <c r="J804" s="45"/>
      <c r="K804" s="45"/>
      <c r="L804" s="45"/>
      <c r="M804" s="44"/>
      <c r="N804" s="44"/>
      <c r="O804" s="44"/>
      <c r="P804" s="44"/>
      <c r="Q804" s="44"/>
    </row>
    <row r="805" spans="8:17" x14ac:dyDescent="0.25">
      <c r="H805" s="44"/>
      <c r="I805" s="44"/>
      <c r="J805" s="45"/>
      <c r="K805" s="45"/>
      <c r="L805" s="45"/>
      <c r="M805" s="44"/>
      <c r="N805" s="44"/>
      <c r="O805" s="44"/>
      <c r="P805" s="44"/>
      <c r="Q805" s="44"/>
    </row>
    <row r="806" spans="8:17" x14ac:dyDescent="0.25">
      <c r="H806" s="44"/>
      <c r="I806" s="44"/>
      <c r="J806" s="45"/>
      <c r="K806" s="45"/>
      <c r="L806" s="45"/>
      <c r="M806" s="44"/>
      <c r="N806" s="44"/>
      <c r="O806" s="44"/>
      <c r="P806" s="44"/>
      <c r="Q806" s="44"/>
    </row>
    <row r="807" spans="8:17" x14ac:dyDescent="0.25">
      <c r="H807" s="44"/>
      <c r="I807" s="44"/>
      <c r="J807" s="45"/>
      <c r="K807" s="45"/>
      <c r="L807" s="45"/>
      <c r="M807" s="44"/>
      <c r="N807" s="44"/>
      <c r="O807" s="44"/>
      <c r="P807" s="44"/>
      <c r="Q807" s="44"/>
    </row>
    <row r="808" spans="8:17" x14ac:dyDescent="0.25">
      <c r="H808" s="44"/>
      <c r="I808" s="44"/>
      <c r="J808" s="45"/>
      <c r="K808" s="45"/>
      <c r="L808" s="45"/>
      <c r="M808" s="44"/>
      <c r="N808" s="44"/>
      <c r="O808" s="44"/>
      <c r="P808" s="44"/>
      <c r="Q808" s="44"/>
    </row>
    <row r="809" spans="8:17" x14ac:dyDescent="0.25">
      <c r="H809" s="44"/>
      <c r="I809" s="44"/>
      <c r="J809" s="45"/>
      <c r="K809" s="45"/>
      <c r="L809" s="45"/>
      <c r="M809" s="44"/>
      <c r="N809" s="44"/>
      <c r="O809" s="44"/>
      <c r="P809" s="44"/>
      <c r="Q809" s="44"/>
    </row>
    <row r="810" spans="8:17" x14ac:dyDescent="0.25">
      <c r="H810" s="44"/>
      <c r="I810" s="44"/>
      <c r="J810" s="45"/>
      <c r="K810" s="45"/>
      <c r="L810" s="45"/>
      <c r="M810" s="44"/>
      <c r="N810" s="44"/>
      <c r="O810" s="44"/>
      <c r="P810" s="44"/>
      <c r="Q810" s="44"/>
    </row>
    <row r="811" spans="8:17" x14ac:dyDescent="0.25">
      <c r="H811" s="44"/>
      <c r="I811" s="44"/>
      <c r="J811" s="45"/>
      <c r="K811" s="45"/>
      <c r="L811" s="45"/>
      <c r="M811" s="44"/>
      <c r="N811" s="44"/>
      <c r="O811" s="44"/>
      <c r="P811" s="44"/>
      <c r="Q811" s="44"/>
    </row>
    <row r="812" spans="8:17" x14ac:dyDescent="0.25">
      <c r="H812" s="44"/>
      <c r="I812" s="44"/>
      <c r="J812" s="45"/>
      <c r="K812" s="45"/>
      <c r="L812" s="45"/>
      <c r="M812" s="44"/>
      <c r="N812" s="44"/>
      <c r="O812" s="44"/>
      <c r="P812" s="44"/>
      <c r="Q812" s="44"/>
    </row>
    <row r="813" spans="8:17" x14ac:dyDescent="0.25">
      <c r="H813" s="44"/>
      <c r="I813" s="44"/>
      <c r="J813" s="45"/>
      <c r="K813" s="45"/>
      <c r="L813" s="45"/>
      <c r="M813" s="44"/>
      <c r="N813" s="44"/>
      <c r="O813" s="44"/>
      <c r="P813" s="44"/>
      <c r="Q813" s="44"/>
    </row>
    <row r="814" spans="8:17" x14ac:dyDescent="0.25">
      <c r="H814" s="44"/>
      <c r="I814" s="44"/>
      <c r="J814" s="45"/>
      <c r="K814" s="45"/>
      <c r="L814" s="45"/>
      <c r="M814" s="44"/>
      <c r="N814" s="44"/>
      <c r="O814" s="44"/>
      <c r="P814" s="44"/>
      <c r="Q814" s="44"/>
    </row>
    <row r="815" spans="8:17" x14ac:dyDescent="0.25">
      <c r="H815" s="44"/>
      <c r="I815" s="44"/>
      <c r="J815" s="45"/>
      <c r="K815" s="45"/>
      <c r="L815" s="45"/>
      <c r="M815" s="44"/>
      <c r="N815" s="44"/>
      <c r="O815" s="44"/>
      <c r="P815" s="44"/>
      <c r="Q815" s="44"/>
    </row>
    <row r="816" spans="8:17" x14ac:dyDescent="0.25">
      <c r="H816" s="44"/>
      <c r="I816" s="44"/>
      <c r="J816" s="45"/>
      <c r="K816" s="45"/>
      <c r="L816" s="45"/>
      <c r="M816" s="44"/>
      <c r="N816" s="44"/>
      <c r="O816" s="44"/>
      <c r="P816" s="44"/>
      <c r="Q816" s="44"/>
    </row>
    <row r="817" spans="8:17" x14ac:dyDescent="0.25">
      <c r="H817" s="44"/>
      <c r="I817" s="44"/>
      <c r="J817" s="45"/>
      <c r="K817" s="45"/>
      <c r="L817" s="45"/>
      <c r="M817" s="44"/>
      <c r="N817" s="44"/>
      <c r="O817" s="44"/>
      <c r="P817" s="44"/>
      <c r="Q817" s="44"/>
    </row>
    <row r="818" spans="8:17" x14ac:dyDescent="0.25">
      <c r="H818" s="44"/>
      <c r="I818" s="44"/>
      <c r="J818" s="45"/>
      <c r="K818" s="45"/>
      <c r="L818" s="45"/>
      <c r="M818" s="44"/>
      <c r="N818" s="44"/>
      <c r="O818" s="44"/>
      <c r="P818" s="44"/>
      <c r="Q818" s="44"/>
    </row>
    <row r="819" spans="8:17" x14ac:dyDescent="0.25">
      <c r="H819" s="44"/>
      <c r="I819" s="44"/>
      <c r="J819" s="45"/>
      <c r="K819" s="45"/>
      <c r="L819" s="45"/>
      <c r="M819" s="44"/>
      <c r="N819" s="44"/>
      <c r="O819" s="44"/>
      <c r="P819" s="44"/>
      <c r="Q819" s="44"/>
    </row>
    <row r="820" spans="8:17" x14ac:dyDescent="0.25">
      <c r="H820" s="44"/>
      <c r="I820" s="44"/>
      <c r="J820" s="45"/>
      <c r="K820" s="45"/>
      <c r="L820" s="45"/>
      <c r="M820" s="44"/>
      <c r="N820" s="44"/>
      <c r="O820" s="44"/>
      <c r="P820" s="44"/>
      <c r="Q820" s="44"/>
    </row>
    <row r="821" spans="8:17" x14ac:dyDescent="0.25">
      <c r="H821" s="44"/>
      <c r="I821" s="44"/>
      <c r="J821" s="45"/>
      <c r="K821" s="45"/>
      <c r="L821" s="45"/>
      <c r="M821" s="44"/>
      <c r="N821" s="44"/>
      <c r="O821" s="44"/>
      <c r="P821" s="44"/>
      <c r="Q821" s="44"/>
    </row>
    <row r="822" spans="8:17" x14ac:dyDescent="0.25">
      <c r="H822" s="44"/>
      <c r="I822" s="44"/>
      <c r="J822" s="45"/>
      <c r="K822" s="45"/>
      <c r="L822" s="45"/>
      <c r="M822" s="44"/>
      <c r="N822" s="44"/>
      <c r="O822" s="44"/>
      <c r="P822" s="44"/>
      <c r="Q822" s="44"/>
    </row>
    <row r="823" spans="8:17" x14ac:dyDescent="0.25">
      <c r="H823" s="44"/>
      <c r="I823" s="44"/>
      <c r="J823" s="45"/>
      <c r="K823" s="45"/>
      <c r="L823" s="45"/>
      <c r="M823" s="44"/>
      <c r="N823" s="44"/>
      <c r="O823" s="44"/>
      <c r="P823" s="44"/>
      <c r="Q823" s="44"/>
    </row>
    <row r="824" spans="8:17" x14ac:dyDescent="0.25">
      <c r="H824" s="44"/>
      <c r="I824" s="44"/>
      <c r="J824" s="45"/>
      <c r="K824" s="45"/>
      <c r="L824" s="45"/>
      <c r="M824" s="44"/>
      <c r="N824" s="44"/>
      <c r="O824" s="44"/>
      <c r="P824" s="44"/>
      <c r="Q824" s="44"/>
    </row>
    <row r="825" spans="8:17" x14ac:dyDescent="0.25">
      <c r="H825" s="44"/>
      <c r="I825" s="44"/>
      <c r="J825" s="45"/>
      <c r="K825" s="45"/>
      <c r="L825" s="45"/>
      <c r="M825" s="44"/>
      <c r="N825" s="44"/>
      <c r="O825" s="44"/>
      <c r="P825" s="44"/>
      <c r="Q825" s="44"/>
    </row>
    <row r="826" spans="8:17" x14ac:dyDescent="0.25">
      <c r="H826" s="44"/>
      <c r="I826" s="44"/>
      <c r="J826" s="45"/>
      <c r="K826" s="45"/>
      <c r="L826" s="45"/>
      <c r="M826" s="44"/>
      <c r="N826" s="44"/>
      <c r="O826" s="44"/>
      <c r="P826" s="44"/>
      <c r="Q826" s="44"/>
    </row>
    <row r="827" spans="8:17" x14ac:dyDescent="0.25">
      <c r="H827" s="44"/>
      <c r="I827" s="44"/>
      <c r="J827" s="45"/>
      <c r="K827" s="45"/>
      <c r="L827" s="45"/>
      <c r="M827" s="44"/>
      <c r="N827" s="44"/>
      <c r="O827" s="44"/>
      <c r="P827" s="44"/>
      <c r="Q827" s="44"/>
    </row>
    <row r="828" spans="8:17" x14ac:dyDescent="0.25">
      <c r="H828" s="44"/>
      <c r="I828" s="44"/>
      <c r="J828" s="45"/>
      <c r="K828" s="45"/>
      <c r="L828" s="45"/>
      <c r="M828" s="44"/>
      <c r="N828" s="44"/>
      <c r="O828" s="44"/>
      <c r="P828" s="44"/>
      <c r="Q828" s="44"/>
    </row>
    <row r="829" spans="8:17" x14ac:dyDescent="0.25">
      <c r="H829" s="44"/>
      <c r="I829" s="44"/>
      <c r="J829" s="45"/>
      <c r="K829" s="45"/>
      <c r="L829" s="45"/>
      <c r="M829" s="44"/>
      <c r="N829" s="44"/>
      <c r="O829" s="44"/>
      <c r="P829" s="44"/>
      <c r="Q829" s="44"/>
    </row>
    <row r="830" spans="8:17" x14ac:dyDescent="0.25">
      <c r="H830" s="44"/>
      <c r="I830" s="44"/>
      <c r="J830" s="45"/>
      <c r="K830" s="45"/>
      <c r="L830" s="45"/>
      <c r="M830" s="44"/>
      <c r="N830" s="44"/>
      <c r="O830" s="44"/>
      <c r="P830" s="44"/>
      <c r="Q830" s="44"/>
    </row>
    <row r="831" spans="8:17" x14ac:dyDescent="0.25">
      <c r="H831" s="44"/>
      <c r="I831" s="44"/>
      <c r="J831" s="45"/>
      <c r="K831" s="45"/>
      <c r="L831" s="45"/>
      <c r="M831" s="44"/>
      <c r="N831" s="44"/>
      <c r="O831" s="44"/>
      <c r="P831" s="44"/>
      <c r="Q831" s="44"/>
    </row>
    <row r="832" spans="8:17" x14ac:dyDescent="0.25">
      <c r="H832" s="44"/>
      <c r="I832" s="44"/>
      <c r="J832" s="45"/>
      <c r="K832" s="45"/>
      <c r="L832" s="45"/>
      <c r="M832" s="44"/>
      <c r="N832" s="44"/>
      <c r="O832" s="44"/>
      <c r="P832" s="44"/>
      <c r="Q832" s="44"/>
    </row>
    <row r="833" spans="8:17" x14ac:dyDescent="0.25">
      <c r="H833" s="44"/>
      <c r="I833" s="44"/>
      <c r="J833" s="45"/>
      <c r="K833" s="45"/>
      <c r="L833" s="45"/>
      <c r="M833" s="44"/>
      <c r="N833" s="44"/>
      <c r="O833" s="44"/>
      <c r="P833" s="44"/>
      <c r="Q833" s="44"/>
    </row>
    <row r="834" spans="8:17" x14ac:dyDescent="0.25">
      <c r="H834" s="44"/>
      <c r="I834" s="44"/>
      <c r="J834" s="45"/>
      <c r="K834" s="45"/>
      <c r="L834" s="45"/>
      <c r="M834" s="44"/>
      <c r="N834" s="44"/>
      <c r="O834" s="44"/>
      <c r="P834" s="44"/>
      <c r="Q834" s="44"/>
    </row>
    <row r="835" spans="8:17" x14ac:dyDescent="0.25">
      <c r="H835" s="44"/>
      <c r="I835" s="44"/>
      <c r="J835" s="45"/>
      <c r="K835" s="45"/>
      <c r="L835" s="45"/>
      <c r="M835" s="44"/>
      <c r="N835" s="44"/>
      <c r="O835" s="44"/>
      <c r="P835" s="44"/>
      <c r="Q835" s="44"/>
    </row>
    <row r="836" spans="8:17" x14ac:dyDescent="0.25">
      <c r="H836" s="44"/>
      <c r="I836" s="44"/>
      <c r="J836" s="45"/>
      <c r="K836" s="45"/>
      <c r="L836" s="45"/>
      <c r="M836" s="44"/>
      <c r="N836" s="44"/>
      <c r="O836" s="44"/>
      <c r="P836" s="44"/>
      <c r="Q836" s="44"/>
    </row>
    <row r="837" spans="8:17" x14ac:dyDescent="0.25">
      <c r="H837" s="44"/>
      <c r="I837" s="44"/>
      <c r="J837" s="45"/>
      <c r="K837" s="45"/>
      <c r="L837" s="45"/>
      <c r="M837" s="44"/>
      <c r="N837" s="44"/>
      <c r="O837" s="44"/>
      <c r="P837" s="44"/>
      <c r="Q837" s="44"/>
    </row>
    <row r="838" spans="8:17" x14ac:dyDescent="0.25">
      <c r="H838" s="44"/>
      <c r="I838" s="44"/>
      <c r="J838" s="45"/>
      <c r="K838" s="45"/>
      <c r="L838" s="45"/>
      <c r="M838" s="44"/>
      <c r="N838" s="44"/>
      <c r="O838" s="44"/>
      <c r="P838" s="44"/>
      <c r="Q838" s="44"/>
    </row>
    <row r="839" spans="8:17" x14ac:dyDescent="0.25">
      <c r="H839" s="44"/>
      <c r="I839" s="44"/>
      <c r="J839" s="45"/>
      <c r="K839" s="45"/>
      <c r="L839" s="45"/>
      <c r="M839" s="44"/>
      <c r="N839" s="44"/>
      <c r="O839" s="44"/>
      <c r="P839" s="44"/>
      <c r="Q839" s="44"/>
    </row>
    <row r="840" spans="8:17" x14ac:dyDescent="0.25">
      <c r="H840" s="44"/>
      <c r="I840" s="44"/>
      <c r="J840" s="45"/>
      <c r="K840" s="45"/>
      <c r="L840" s="45"/>
      <c r="M840" s="44"/>
      <c r="N840" s="44"/>
      <c r="O840" s="44"/>
      <c r="P840" s="44"/>
      <c r="Q840" s="44"/>
    </row>
    <row r="841" spans="8:17" x14ac:dyDescent="0.25">
      <c r="H841" s="44"/>
      <c r="I841" s="44"/>
      <c r="J841" s="45"/>
      <c r="K841" s="45"/>
      <c r="L841" s="45"/>
      <c r="M841" s="44"/>
      <c r="N841" s="44"/>
      <c r="O841" s="44"/>
      <c r="P841" s="44"/>
      <c r="Q841" s="44"/>
    </row>
    <row r="842" spans="8:17" x14ac:dyDescent="0.25">
      <c r="H842" s="44"/>
      <c r="I842" s="44"/>
      <c r="J842" s="45"/>
      <c r="K842" s="45"/>
      <c r="L842" s="45"/>
      <c r="M842" s="44"/>
      <c r="N842" s="44"/>
      <c r="O842" s="44"/>
      <c r="P842" s="44"/>
      <c r="Q842" s="44"/>
    </row>
    <row r="843" spans="8:17" x14ac:dyDescent="0.25">
      <c r="H843" s="44"/>
      <c r="I843" s="44"/>
      <c r="J843" s="45"/>
      <c r="K843" s="45"/>
      <c r="L843" s="45"/>
      <c r="M843" s="44"/>
      <c r="N843" s="44"/>
      <c r="O843" s="44"/>
      <c r="P843" s="44"/>
      <c r="Q843" s="44"/>
    </row>
    <row r="844" spans="8:17" x14ac:dyDescent="0.25">
      <c r="H844" s="44"/>
      <c r="I844" s="44"/>
      <c r="J844" s="45"/>
      <c r="K844" s="45"/>
      <c r="L844" s="45"/>
      <c r="M844" s="44"/>
      <c r="N844" s="44"/>
      <c r="O844" s="44"/>
      <c r="P844" s="44"/>
      <c r="Q844" s="44"/>
    </row>
    <row r="845" spans="8:17" x14ac:dyDescent="0.25">
      <c r="H845" s="44"/>
      <c r="I845" s="44"/>
      <c r="J845" s="45"/>
      <c r="K845" s="45"/>
      <c r="L845" s="45"/>
      <c r="M845" s="44"/>
      <c r="N845" s="44"/>
      <c r="O845" s="44"/>
      <c r="P845" s="44"/>
      <c r="Q845" s="44"/>
    </row>
    <row r="846" spans="8:17" x14ac:dyDescent="0.25">
      <c r="H846" s="44"/>
      <c r="I846" s="44"/>
      <c r="J846" s="45"/>
      <c r="K846" s="45"/>
      <c r="L846" s="45"/>
      <c r="M846" s="44"/>
      <c r="N846" s="44"/>
      <c r="O846" s="44"/>
      <c r="P846" s="44"/>
      <c r="Q846" s="44"/>
    </row>
    <row r="847" spans="8:17" x14ac:dyDescent="0.25">
      <c r="H847" s="44"/>
      <c r="I847" s="44"/>
      <c r="J847" s="45"/>
      <c r="K847" s="45"/>
      <c r="L847" s="45"/>
      <c r="M847" s="44"/>
      <c r="N847" s="44"/>
      <c r="O847" s="44"/>
      <c r="P847" s="44"/>
      <c r="Q847" s="44"/>
    </row>
    <row r="848" spans="8:17" x14ac:dyDescent="0.25">
      <c r="H848" s="44"/>
      <c r="I848" s="44"/>
      <c r="J848" s="45"/>
      <c r="K848" s="45"/>
      <c r="L848" s="45"/>
      <c r="M848" s="44"/>
      <c r="N848" s="44"/>
      <c r="O848" s="44"/>
      <c r="P848" s="44"/>
      <c r="Q848" s="44"/>
    </row>
    <row r="849" spans="8:17" x14ac:dyDescent="0.25">
      <c r="H849" s="44"/>
      <c r="I849" s="44"/>
      <c r="J849" s="45"/>
      <c r="K849" s="45"/>
      <c r="L849" s="45"/>
      <c r="M849" s="44"/>
      <c r="N849" s="44"/>
      <c r="O849" s="44"/>
      <c r="P849" s="44"/>
      <c r="Q849" s="44"/>
    </row>
    <row r="850" spans="8:17" x14ac:dyDescent="0.25">
      <c r="H850" s="44"/>
      <c r="I850" s="44"/>
      <c r="J850" s="45"/>
      <c r="K850" s="45"/>
      <c r="L850" s="45"/>
      <c r="M850" s="44"/>
      <c r="N850" s="44"/>
      <c r="O850" s="44"/>
      <c r="P850" s="44"/>
      <c r="Q850" s="44"/>
    </row>
    <row r="851" spans="8:17" x14ac:dyDescent="0.25">
      <c r="H851" s="44"/>
      <c r="I851" s="44"/>
      <c r="J851" s="45"/>
      <c r="K851" s="45"/>
      <c r="L851" s="45"/>
      <c r="M851" s="44"/>
      <c r="N851" s="44"/>
      <c r="O851" s="44"/>
      <c r="P851" s="44"/>
      <c r="Q851" s="44"/>
    </row>
    <row r="852" spans="8:17" x14ac:dyDescent="0.25">
      <c r="H852" s="44"/>
      <c r="I852" s="44"/>
      <c r="J852" s="45"/>
      <c r="K852" s="45"/>
      <c r="L852" s="45"/>
      <c r="M852" s="44"/>
      <c r="N852" s="44"/>
      <c r="O852" s="44"/>
      <c r="P852" s="44"/>
      <c r="Q852" s="44"/>
    </row>
    <row r="853" spans="8:17" x14ac:dyDescent="0.25">
      <c r="H853" s="44"/>
      <c r="I853" s="44"/>
      <c r="J853" s="45"/>
      <c r="K853" s="45"/>
      <c r="L853" s="45"/>
      <c r="M853" s="44"/>
      <c r="N853" s="44"/>
      <c r="O853" s="44"/>
      <c r="P853" s="44"/>
      <c r="Q853" s="44"/>
    </row>
    <row r="854" spans="8:17" x14ac:dyDescent="0.25">
      <c r="H854" s="44"/>
      <c r="I854" s="44"/>
      <c r="J854" s="45"/>
      <c r="K854" s="45"/>
      <c r="L854" s="45"/>
      <c r="M854" s="44"/>
      <c r="N854" s="44"/>
      <c r="O854" s="44"/>
      <c r="P854" s="44"/>
      <c r="Q854" s="44"/>
    </row>
    <row r="855" spans="8:17" x14ac:dyDescent="0.25">
      <c r="H855" s="44"/>
      <c r="I855" s="44"/>
      <c r="J855" s="45"/>
      <c r="K855" s="45"/>
      <c r="L855" s="45"/>
      <c r="M855" s="44"/>
      <c r="N855" s="44"/>
      <c r="O855" s="44"/>
      <c r="P855" s="44"/>
      <c r="Q855" s="44"/>
    </row>
    <row r="856" spans="8:17" x14ac:dyDescent="0.25">
      <c r="H856" s="44"/>
      <c r="I856" s="44"/>
      <c r="J856" s="45"/>
      <c r="K856" s="45"/>
      <c r="L856" s="45"/>
      <c r="M856" s="44"/>
      <c r="N856" s="44"/>
      <c r="O856" s="44"/>
      <c r="P856" s="44"/>
      <c r="Q856" s="44"/>
    </row>
    <row r="857" spans="8:17" x14ac:dyDescent="0.25">
      <c r="H857" s="44"/>
      <c r="I857" s="44"/>
      <c r="J857" s="45"/>
      <c r="K857" s="45"/>
      <c r="L857" s="45"/>
      <c r="M857" s="44"/>
      <c r="N857" s="44"/>
      <c r="O857" s="44"/>
      <c r="P857" s="44"/>
      <c r="Q857" s="44"/>
    </row>
    <row r="858" spans="8:17" x14ac:dyDescent="0.25">
      <c r="H858" s="44"/>
      <c r="I858" s="44"/>
      <c r="J858" s="45"/>
      <c r="K858" s="45"/>
      <c r="L858" s="45"/>
      <c r="M858" s="44"/>
      <c r="N858" s="44"/>
      <c r="O858" s="44"/>
      <c r="P858" s="44"/>
      <c r="Q858" s="44"/>
    </row>
    <row r="859" spans="8:17" x14ac:dyDescent="0.25">
      <c r="H859" s="44"/>
      <c r="I859" s="44"/>
      <c r="J859" s="45"/>
      <c r="K859" s="45"/>
      <c r="L859" s="45"/>
      <c r="M859" s="44"/>
      <c r="N859" s="44"/>
      <c r="O859" s="44"/>
      <c r="P859" s="44"/>
      <c r="Q859" s="44"/>
    </row>
    <row r="860" spans="8:17" x14ac:dyDescent="0.25">
      <c r="H860" s="44"/>
      <c r="I860" s="44"/>
      <c r="J860" s="45"/>
      <c r="K860" s="45"/>
      <c r="L860" s="45"/>
      <c r="M860" s="44"/>
      <c r="N860" s="44"/>
      <c r="O860" s="44"/>
      <c r="P860" s="44"/>
      <c r="Q860" s="44"/>
    </row>
    <row r="861" spans="8:17" x14ac:dyDescent="0.25">
      <c r="H861" s="44"/>
      <c r="I861" s="44"/>
      <c r="J861" s="45"/>
      <c r="K861" s="45"/>
      <c r="L861" s="45"/>
      <c r="M861" s="44"/>
      <c r="N861" s="44"/>
      <c r="O861" s="44"/>
      <c r="P861" s="44"/>
      <c r="Q861" s="44"/>
    </row>
    <row r="862" spans="8:17" x14ac:dyDescent="0.25">
      <c r="H862" s="44"/>
      <c r="I862" s="44"/>
      <c r="J862" s="45"/>
      <c r="K862" s="45"/>
      <c r="L862" s="45"/>
      <c r="M862" s="44"/>
      <c r="N862" s="44"/>
      <c r="O862" s="44"/>
      <c r="P862" s="44"/>
      <c r="Q862" s="44"/>
    </row>
    <row r="863" spans="8:17" x14ac:dyDescent="0.25">
      <c r="H863" s="44"/>
      <c r="I863" s="44"/>
      <c r="J863" s="45"/>
      <c r="K863" s="45"/>
      <c r="L863" s="45"/>
      <c r="M863" s="44"/>
      <c r="N863" s="44"/>
      <c r="O863" s="44"/>
      <c r="P863" s="44"/>
      <c r="Q863" s="44"/>
    </row>
    <row r="864" spans="8:17" x14ac:dyDescent="0.25">
      <c r="H864" s="44"/>
      <c r="I864" s="44"/>
      <c r="J864" s="45"/>
      <c r="K864" s="45"/>
      <c r="L864" s="45"/>
      <c r="M864" s="44"/>
      <c r="N864" s="44"/>
      <c r="O864" s="44"/>
      <c r="P864" s="44"/>
      <c r="Q864" s="44"/>
    </row>
    <row r="865" spans="8:17" x14ac:dyDescent="0.25">
      <c r="H865" s="44"/>
      <c r="I865" s="44"/>
      <c r="J865" s="45"/>
      <c r="K865" s="45"/>
      <c r="L865" s="45"/>
      <c r="M865" s="44"/>
      <c r="N865" s="44"/>
      <c r="O865" s="44"/>
      <c r="P865" s="44"/>
      <c r="Q865" s="44"/>
    </row>
    <row r="866" spans="8:17" x14ac:dyDescent="0.25">
      <c r="H866" s="44"/>
      <c r="I866" s="44"/>
      <c r="J866" s="45"/>
      <c r="K866" s="45"/>
      <c r="L866" s="45"/>
      <c r="M866" s="44"/>
      <c r="N866" s="44"/>
      <c r="O866" s="44"/>
      <c r="P866" s="44"/>
      <c r="Q866" s="44"/>
    </row>
    <row r="867" spans="8:17" x14ac:dyDescent="0.25">
      <c r="H867" s="44"/>
      <c r="I867" s="44"/>
      <c r="J867" s="45"/>
      <c r="K867" s="45"/>
      <c r="L867" s="45"/>
      <c r="M867" s="44"/>
      <c r="N867" s="44"/>
      <c r="O867" s="44"/>
      <c r="P867" s="44"/>
      <c r="Q867" s="44"/>
    </row>
    <row r="868" spans="8:17" x14ac:dyDescent="0.25">
      <c r="H868" s="44"/>
      <c r="I868" s="44"/>
      <c r="J868" s="45"/>
      <c r="K868" s="45"/>
      <c r="L868" s="45"/>
      <c r="M868" s="44"/>
      <c r="N868" s="44"/>
      <c r="O868" s="44"/>
      <c r="P868" s="44"/>
      <c r="Q868" s="44"/>
    </row>
    <row r="869" spans="8:17" x14ac:dyDescent="0.25">
      <c r="H869" s="44"/>
      <c r="I869" s="44"/>
      <c r="J869" s="45"/>
      <c r="K869" s="45"/>
      <c r="L869" s="45"/>
      <c r="M869" s="44"/>
      <c r="N869" s="44"/>
      <c r="O869" s="44"/>
      <c r="P869" s="44"/>
      <c r="Q869" s="44"/>
    </row>
    <row r="870" spans="8:17" x14ac:dyDescent="0.25">
      <c r="H870" s="44"/>
      <c r="I870" s="44"/>
      <c r="J870" s="45"/>
      <c r="K870" s="45"/>
      <c r="L870" s="45"/>
      <c r="M870" s="44"/>
      <c r="N870" s="44"/>
      <c r="O870" s="44"/>
      <c r="P870" s="44"/>
      <c r="Q870" s="44"/>
    </row>
    <row r="871" spans="8:17" x14ac:dyDescent="0.25">
      <c r="H871" s="44"/>
      <c r="I871" s="44"/>
      <c r="J871" s="45"/>
      <c r="K871" s="45"/>
      <c r="L871" s="45"/>
      <c r="M871" s="44"/>
      <c r="N871" s="44"/>
      <c r="O871" s="44"/>
      <c r="P871" s="44"/>
      <c r="Q871" s="44"/>
    </row>
    <row r="872" spans="8:17" x14ac:dyDescent="0.25">
      <c r="H872" s="44"/>
      <c r="I872" s="44"/>
      <c r="J872" s="45"/>
      <c r="K872" s="45"/>
      <c r="L872" s="45"/>
      <c r="M872" s="44"/>
      <c r="N872" s="44"/>
      <c r="O872" s="44"/>
      <c r="P872" s="44"/>
      <c r="Q872" s="44"/>
    </row>
    <row r="873" spans="8:17" x14ac:dyDescent="0.25">
      <c r="H873" s="44"/>
      <c r="I873" s="44"/>
      <c r="J873" s="45"/>
      <c r="K873" s="45"/>
      <c r="L873" s="45"/>
      <c r="M873" s="44"/>
      <c r="N873" s="44"/>
      <c r="O873" s="44"/>
      <c r="P873" s="44"/>
      <c r="Q873" s="44"/>
    </row>
    <row r="874" spans="8:17" x14ac:dyDescent="0.25">
      <c r="H874" s="44"/>
      <c r="I874" s="44"/>
      <c r="J874" s="45"/>
      <c r="K874" s="45"/>
      <c r="L874" s="45"/>
      <c r="M874" s="44"/>
      <c r="N874" s="44"/>
      <c r="O874" s="44"/>
      <c r="P874" s="44"/>
      <c r="Q874" s="44"/>
    </row>
    <row r="875" spans="8:17" x14ac:dyDescent="0.25">
      <c r="H875" s="44"/>
      <c r="I875" s="44"/>
      <c r="J875" s="45"/>
      <c r="K875" s="45"/>
      <c r="L875" s="45"/>
      <c r="M875" s="44"/>
      <c r="N875" s="44"/>
      <c r="O875" s="44"/>
      <c r="P875" s="44"/>
      <c r="Q875" s="44"/>
    </row>
    <row r="876" spans="8:17" x14ac:dyDescent="0.25">
      <c r="H876" s="44"/>
      <c r="I876" s="44"/>
      <c r="J876" s="45"/>
      <c r="K876" s="45"/>
      <c r="L876" s="45"/>
      <c r="M876" s="44"/>
      <c r="N876" s="44"/>
      <c r="O876" s="44"/>
      <c r="P876" s="44"/>
      <c r="Q876" s="44"/>
    </row>
    <row r="877" spans="8:17" x14ac:dyDescent="0.25">
      <c r="H877" s="44"/>
      <c r="I877" s="44"/>
      <c r="J877" s="45"/>
      <c r="K877" s="45"/>
      <c r="L877" s="45"/>
      <c r="M877" s="44"/>
      <c r="N877" s="44"/>
      <c r="O877" s="44"/>
      <c r="P877" s="44"/>
      <c r="Q877" s="44"/>
    </row>
    <row r="878" spans="8:17" x14ac:dyDescent="0.25">
      <c r="H878" s="44"/>
      <c r="I878" s="44"/>
      <c r="J878" s="45"/>
      <c r="K878" s="45"/>
      <c r="L878" s="45"/>
      <c r="M878" s="44"/>
      <c r="N878" s="44"/>
      <c r="O878" s="44"/>
      <c r="P878" s="44"/>
      <c r="Q878" s="44"/>
    </row>
    <row r="879" spans="8:17" x14ac:dyDescent="0.25">
      <c r="H879" s="44"/>
      <c r="I879" s="44"/>
      <c r="J879" s="45"/>
      <c r="K879" s="45"/>
      <c r="L879" s="45"/>
      <c r="M879" s="44"/>
      <c r="N879" s="44"/>
      <c r="O879" s="44"/>
      <c r="P879" s="44"/>
      <c r="Q879" s="44"/>
    </row>
    <row r="880" spans="8:17" x14ac:dyDescent="0.25">
      <c r="H880" s="44"/>
      <c r="I880" s="44"/>
      <c r="J880" s="45"/>
      <c r="K880" s="45"/>
      <c r="L880" s="45"/>
      <c r="M880" s="44"/>
      <c r="N880" s="44"/>
      <c r="O880" s="44"/>
      <c r="P880" s="44"/>
      <c r="Q880" s="44"/>
    </row>
    <row r="881" spans="8:17" x14ac:dyDescent="0.25">
      <c r="H881" s="44"/>
      <c r="I881" s="44"/>
      <c r="J881" s="45"/>
      <c r="K881" s="45"/>
      <c r="L881" s="45"/>
      <c r="M881" s="44"/>
      <c r="N881" s="44"/>
      <c r="O881" s="44"/>
      <c r="P881" s="44"/>
      <c r="Q881" s="44"/>
    </row>
    <row r="882" spans="8:17" x14ac:dyDescent="0.25">
      <c r="H882" s="44"/>
      <c r="I882" s="44"/>
      <c r="J882" s="45"/>
      <c r="K882" s="45"/>
      <c r="L882" s="45"/>
      <c r="M882" s="44"/>
      <c r="N882" s="44"/>
      <c r="O882" s="44"/>
      <c r="P882" s="44"/>
      <c r="Q882" s="44"/>
    </row>
    <row r="883" spans="8:17" x14ac:dyDescent="0.25">
      <c r="H883" s="44"/>
      <c r="I883" s="44"/>
      <c r="J883" s="45"/>
      <c r="K883" s="45"/>
      <c r="L883" s="45"/>
      <c r="M883" s="44"/>
      <c r="N883" s="44"/>
      <c r="O883" s="44"/>
      <c r="P883" s="44"/>
      <c r="Q883" s="44"/>
    </row>
    <row r="884" spans="8:17" x14ac:dyDescent="0.25">
      <c r="H884" s="44"/>
      <c r="I884" s="44"/>
      <c r="J884" s="45"/>
      <c r="K884" s="45"/>
      <c r="L884" s="45"/>
      <c r="M884" s="44"/>
      <c r="N884" s="44"/>
      <c r="O884" s="44"/>
      <c r="P884" s="44"/>
      <c r="Q884" s="44"/>
    </row>
    <row r="885" spans="8:17" x14ac:dyDescent="0.25">
      <c r="H885" s="44"/>
      <c r="I885" s="44"/>
      <c r="J885" s="45"/>
      <c r="K885" s="45"/>
      <c r="L885" s="45"/>
      <c r="M885" s="44"/>
      <c r="N885" s="44"/>
      <c r="O885" s="44"/>
      <c r="P885" s="44"/>
      <c r="Q885" s="44"/>
    </row>
    <row r="886" spans="8:17" x14ac:dyDescent="0.25">
      <c r="H886" s="44"/>
      <c r="I886" s="44"/>
      <c r="J886" s="45"/>
      <c r="K886" s="45"/>
      <c r="L886" s="45"/>
      <c r="M886" s="44"/>
      <c r="N886" s="44"/>
      <c r="O886" s="44"/>
      <c r="P886" s="44"/>
      <c r="Q886" s="44"/>
    </row>
    <row r="887" spans="8:17" x14ac:dyDescent="0.25">
      <c r="H887" s="44"/>
      <c r="I887" s="44"/>
      <c r="J887" s="45"/>
      <c r="K887" s="45"/>
      <c r="L887" s="45"/>
      <c r="M887" s="44"/>
      <c r="N887" s="44"/>
      <c r="O887" s="44"/>
      <c r="P887" s="44"/>
      <c r="Q887" s="44"/>
    </row>
    <row r="888" spans="8:17" x14ac:dyDescent="0.25">
      <c r="H888" s="44"/>
      <c r="I888" s="44"/>
      <c r="J888" s="45"/>
      <c r="K888" s="45"/>
      <c r="L888" s="45"/>
      <c r="M888" s="44"/>
      <c r="N888" s="44"/>
      <c r="O888" s="44"/>
      <c r="P888" s="44"/>
      <c r="Q888" s="44"/>
    </row>
    <row r="889" spans="8:17" x14ac:dyDescent="0.25">
      <c r="H889" s="44"/>
      <c r="I889" s="44"/>
      <c r="J889" s="45"/>
      <c r="K889" s="45"/>
      <c r="L889" s="45"/>
      <c r="M889" s="44"/>
      <c r="N889" s="44"/>
      <c r="O889" s="44"/>
      <c r="P889" s="44"/>
      <c r="Q889" s="44"/>
    </row>
    <row r="890" spans="8:17" x14ac:dyDescent="0.25">
      <c r="H890" s="44"/>
      <c r="I890" s="44"/>
      <c r="J890" s="45"/>
      <c r="K890" s="45"/>
      <c r="L890" s="45"/>
      <c r="M890" s="44"/>
      <c r="N890" s="44"/>
      <c r="O890" s="44"/>
      <c r="P890" s="44"/>
      <c r="Q890" s="44"/>
    </row>
    <row r="891" spans="8:17" x14ac:dyDescent="0.25">
      <c r="H891" s="44"/>
      <c r="I891" s="44"/>
      <c r="J891" s="45"/>
      <c r="K891" s="45"/>
      <c r="L891" s="45"/>
      <c r="M891" s="44"/>
      <c r="N891" s="44"/>
      <c r="O891" s="44"/>
      <c r="P891" s="44"/>
      <c r="Q891" s="44"/>
    </row>
    <row r="892" spans="8:17" x14ac:dyDescent="0.25">
      <c r="H892" s="44"/>
      <c r="I892" s="44"/>
      <c r="J892" s="45"/>
      <c r="K892" s="45"/>
      <c r="L892" s="45"/>
      <c r="M892" s="44"/>
      <c r="N892" s="44"/>
      <c r="O892" s="44"/>
      <c r="P892" s="44"/>
      <c r="Q892" s="44"/>
    </row>
    <row r="893" spans="8:17" x14ac:dyDescent="0.25">
      <c r="H893" s="44"/>
      <c r="I893" s="44"/>
      <c r="J893" s="45"/>
      <c r="K893" s="45"/>
      <c r="L893" s="45"/>
      <c r="M893" s="44"/>
      <c r="N893" s="44"/>
      <c r="O893" s="44"/>
      <c r="P893" s="44"/>
      <c r="Q893" s="44"/>
    </row>
    <row r="894" spans="8:17" x14ac:dyDescent="0.25">
      <c r="H894" s="44"/>
      <c r="I894" s="44"/>
      <c r="J894" s="45"/>
      <c r="K894" s="45"/>
      <c r="L894" s="45"/>
      <c r="M894" s="44"/>
      <c r="N894" s="44"/>
      <c r="O894" s="44"/>
      <c r="P894" s="44"/>
      <c r="Q894" s="44"/>
    </row>
    <row r="895" spans="8:17" x14ac:dyDescent="0.25">
      <c r="H895" s="44"/>
      <c r="I895" s="44"/>
      <c r="J895" s="45"/>
      <c r="K895" s="45"/>
      <c r="L895" s="45"/>
      <c r="M895" s="44"/>
      <c r="N895" s="44"/>
      <c r="O895" s="44"/>
      <c r="P895" s="44"/>
      <c r="Q895" s="44"/>
    </row>
    <row r="896" spans="8:17" x14ac:dyDescent="0.25">
      <c r="H896" s="44"/>
      <c r="I896" s="44"/>
      <c r="J896" s="45"/>
      <c r="K896" s="45"/>
      <c r="L896" s="45"/>
      <c r="M896" s="44"/>
      <c r="N896" s="44"/>
      <c r="O896" s="44"/>
      <c r="P896" s="44"/>
      <c r="Q896" s="44"/>
    </row>
    <row r="897" spans="8:17" x14ac:dyDescent="0.25">
      <c r="H897" s="44"/>
      <c r="I897" s="44"/>
      <c r="J897" s="45"/>
      <c r="K897" s="45"/>
      <c r="L897" s="45"/>
      <c r="M897" s="44"/>
      <c r="N897" s="44"/>
      <c r="O897" s="44"/>
      <c r="P897" s="44"/>
      <c r="Q897" s="44"/>
    </row>
    <row r="898" spans="8:17" x14ac:dyDescent="0.25">
      <c r="H898" s="44"/>
      <c r="I898" s="44"/>
      <c r="J898" s="45"/>
      <c r="K898" s="45"/>
      <c r="L898" s="45"/>
      <c r="M898" s="44"/>
      <c r="N898" s="44"/>
      <c r="O898" s="44"/>
      <c r="P898" s="44"/>
      <c r="Q898" s="44"/>
    </row>
    <row r="899" spans="8:17" x14ac:dyDescent="0.25">
      <c r="H899" s="44"/>
      <c r="I899" s="44"/>
      <c r="J899" s="45"/>
      <c r="K899" s="45"/>
      <c r="L899" s="45"/>
      <c r="M899" s="44"/>
      <c r="N899" s="44"/>
      <c r="O899" s="44"/>
      <c r="P899" s="44"/>
      <c r="Q899" s="44"/>
    </row>
    <row r="900" spans="8:17" x14ac:dyDescent="0.25">
      <c r="H900" s="44"/>
      <c r="I900" s="44"/>
      <c r="J900" s="45"/>
      <c r="K900" s="45"/>
      <c r="L900" s="45"/>
      <c r="M900" s="44"/>
      <c r="N900" s="44"/>
      <c r="O900" s="44"/>
      <c r="P900" s="44"/>
      <c r="Q900" s="44"/>
    </row>
    <row r="901" spans="8:17" x14ac:dyDescent="0.25">
      <c r="H901" s="44"/>
      <c r="I901" s="44"/>
      <c r="J901" s="45"/>
      <c r="K901" s="45"/>
      <c r="L901" s="45"/>
      <c r="M901" s="44"/>
      <c r="N901" s="44"/>
      <c r="O901" s="44"/>
      <c r="P901" s="44"/>
      <c r="Q901" s="44"/>
    </row>
    <row r="902" spans="8:17" x14ac:dyDescent="0.25">
      <c r="H902" s="44"/>
      <c r="I902" s="44"/>
      <c r="J902" s="45"/>
      <c r="K902" s="45"/>
      <c r="L902" s="45"/>
      <c r="M902" s="44"/>
      <c r="N902" s="44"/>
      <c r="O902" s="44"/>
      <c r="P902" s="44"/>
      <c r="Q902" s="44"/>
    </row>
    <row r="903" spans="8:17" x14ac:dyDescent="0.25">
      <c r="H903" s="44"/>
      <c r="I903" s="44"/>
      <c r="J903" s="45"/>
      <c r="K903" s="45"/>
      <c r="L903" s="45"/>
      <c r="M903" s="44"/>
      <c r="N903" s="44"/>
      <c r="O903" s="44"/>
      <c r="P903" s="44"/>
      <c r="Q903" s="44"/>
    </row>
    <row r="904" spans="8:17" x14ac:dyDescent="0.25">
      <c r="H904" s="44"/>
      <c r="I904" s="44"/>
      <c r="J904" s="45"/>
      <c r="K904" s="45"/>
      <c r="L904" s="45"/>
      <c r="M904" s="44"/>
      <c r="N904" s="44"/>
      <c r="O904" s="44"/>
      <c r="P904" s="44"/>
      <c r="Q904" s="44"/>
    </row>
    <row r="905" spans="8:17" x14ac:dyDescent="0.25">
      <c r="H905" s="44"/>
      <c r="I905" s="44"/>
      <c r="J905" s="45"/>
      <c r="K905" s="45"/>
      <c r="L905" s="45"/>
      <c r="M905" s="44"/>
      <c r="N905" s="44"/>
      <c r="O905" s="44"/>
      <c r="P905" s="44"/>
      <c r="Q905" s="44"/>
    </row>
    <row r="906" spans="8:17" x14ac:dyDescent="0.25">
      <c r="H906" s="44"/>
      <c r="I906" s="44"/>
      <c r="J906" s="45"/>
      <c r="K906" s="45"/>
      <c r="L906" s="45"/>
      <c r="M906" s="44"/>
      <c r="N906" s="44"/>
      <c r="O906" s="44"/>
      <c r="P906" s="44"/>
      <c r="Q906" s="44"/>
    </row>
    <row r="907" spans="8:17" x14ac:dyDescent="0.25">
      <c r="H907" s="44"/>
      <c r="I907" s="44"/>
      <c r="J907" s="45"/>
      <c r="K907" s="45"/>
      <c r="L907" s="45"/>
      <c r="M907" s="44"/>
      <c r="N907" s="44"/>
      <c r="O907" s="44"/>
      <c r="P907" s="44"/>
      <c r="Q907" s="44"/>
    </row>
    <row r="908" spans="8:17" x14ac:dyDescent="0.25">
      <c r="H908" s="44"/>
      <c r="I908" s="44"/>
      <c r="J908" s="45"/>
      <c r="K908" s="45"/>
      <c r="L908" s="45"/>
      <c r="M908" s="44"/>
      <c r="N908" s="44"/>
      <c r="O908" s="44"/>
      <c r="P908" s="44"/>
      <c r="Q908" s="44"/>
    </row>
    <row r="909" spans="8:17" x14ac:dyDescent="0.25">
      <c r="H909" s="44"/>
      <c r="I909" s="44"/>
      <c r="J909" s="45"/>
      <c r="K909" s="45"/>
      <c r="L909" s="45"/>
      <c r="M909" s="44"/>
      <c r="N909" s="44"/>
      <c r="O909" s="44"/>
      <c r="P909" s="44"/>
      <c r="Q909" s="44"/>
    </row>
    <row r="910" spans="8:17" x14ac:dyDescent="0.25">
      <c r="H910" s="44"/>
      <c r="I910" s="44"/>
      <c r="J910" s="45"/>
      <c r="K910" s="45"/>
      <c r="L910" s="45"/>
      <c r="M910" s="44"/>
      <c r="N910" s="44"/>
      <c r="O910" s="44"/>
      <c r="P910" s="44"/>
      <c r="Q910" s="44"/>
    </row>
    <row r="911" spans="8:17" x14ac:dyDescent="0.25">
      <c r="H911" s="44"/>
      <c r="I911" s="44"/>
      <c r="J911" s="45"/>
      <c r="K911" s="45"/>
      <c r="L911" s="45"/>
      <c r="M911" s="44"/>
      <c r="N911" s="44"/>
      <c r="O911" s="44"/>
      <c r="P911" s="44"/>
      <c r="Q911" s="44"/>
    </row>
    <row r="912" spans="8:17" x14ac:dyDescent="0.25">
      <c r="H912" s="44"/>
      <c r="I912" s="44"/>
      <c r="J912" s="45"/>
      <c r="K912" s="45"/>
      <c r="L912" s="45"/>
      <c r="M912" s="44"/>
      <c r="N912" s="44"/>
      <c r="O912" s="44"/>
      <c r="P912" s="44"/>
      <c r="Q912" s="44"/>
    </row>
    <row r="913" spans="8:17" x14ac:dyDescent="0.25">
      <c r="H913" s="44"/>
      <c r="I913" s="44"/>
      <c r="J913" s="45"/>
      <c r="K913" s="45"/>
      <c r="L913" s="45"/>
      <c r="M913" s="44"/>
      <c r="N913" s="44"/>
      <c r="O913" s="44"/>
      <c r="P913" s="44"/>
      <c r="Q913" s="44"/>
    </row>
    <row r="914" spans="8:17" x14ac:dyDescent="0.25">
      <c r="H914" s="44"/>
      <c r="I914" s="44"/>
      <c r="J914" s="45"/>
      <c r="K914" s="45"/>
      <c r="L914" s="45"/>
      <c r="M914" s="44"/>
      <c r="N914" s="44"/>
      <c r="O914" s="44"/>
      <c r="P914" s="44"/>
      <c r="Q914" s="44"/>
    </row>
    <row r="915" spans="8:17" x14ac:dyDescent="0.25">
      <c r="H915" s="44"/>
      <c r="I915" s="44"/>
      <c r="J915" s="45"/>
      <c r="K915" s="45"/>
      <c r="L915" s="45"/>
      <c r="M915" s="44"/>
      <c r="N915" s="44"/>
      <c r="O915" s="44"/>
      <c r="P915" s="44"/>
      <c r="Q915" s="44"/>
    </row>
    <row r="916" spans="8:17" x14ac:dyDescent="0.25">
      <c r="H916" s="44"/>
      <c r="I916" s="44"/>
      <c r="J916" s="45"/>
      <c r="K916" s="45"/>
      <c r="L916" s="45"/>
      <c r="M916" s="44"/>
      <c r="N916" s="44"/>
      <c r="O916" s="44"/>
      <c r="P916" s="44"/>
      <c r="Q916" s="44"/>
    </row>
    <row r="917" spans="8:17" x14ac:dyDescent="0.25">
      <c r="H917" s="44"/>
      <c r="I917" s="44"/>
      <c r="J917" s="45"/>
      <c r="K917" s="45"/>
      <c r="L917" s="45"/>
      <c r="M917" s="44"/>
      <c r="N917" s="44"/>
      <c r="O917" s="44"/>
      <c r="P917" s="44"/>
      <c r="Q917" s="44"/>
    </row>
    <row r="918" spans="8:17" x14ac:dyDescent="0.25">
      <c r="H918" s="44"/>
      <c r="I918" s="44"/>
      <c r="J918" s="45"/>
      <c r="K918" s="45"/>
      <c r="L918" s="45"/>
      <c r="M918" s="44"/>
      <c r="N918" s="44"/>
      <c r="O918" s="44"/>
      <c r="P918" s="44"/>
      <c r="Q918" s="44"/>
    </row>
    <row r="919" spans="8:17" x14ac:dyDescent="0.25">
      <c r="H919" s="44"/>
      <c r="I919" s="44"/>
      <c r="J919" s="45"/>
      <c r="K919" s="45"/>
      <c r="L919" s="45"/>
      <c r="M919" s="44"/>
      <c r="N919" s="44"/>
      <c r="O919" s="44"/>
      <c r="P919" s="44"/>
      <c r="Q919" s="44"/>
    </row>
    <row r="920" spans="8:17" x14ac:dyDescent="0.25">
      <c r="H920" s="44"/>
      <c r="I920" s="44"/>
      <c r="J920" s="45"/>
      <c r="K920" s="45"/>
      <c r="L920" s="45"/>
      <c r="M920" s="44"/>
      <c r="N920" s="44"/>
      <c r="O920" s="44"/>
      <c r="P920" s="44"/>
      <c r="Q920" s="44"/>
    </row>
    <row r="921" spans="8:17" x14ac:dyDescent="0.25">
      <c r="H921" s="44"/>
      <c r="I921" s="44"/>
      <c r="J921" s="45"/>
      <c r="K921" s="45"/>
      <c r="L921" s="45"/>
      <c r="M921" s="44"/>
      <c r="N921" s="44"/>
      <c r="O921" s="44"/>
      <c r="P921" s="44"/>
      <c r="Q921" s="44"/>
    </row>
    <row r="922" spans="8:17" x14ac:dyDescent="0.25">
      <c r="H922" s="44"/>
      <c r="I922" s="44"/>
      <c r="J922" s="45"/>
      <c r="K922" s="45"/>
      <c r="L922" s="45"/>
      <c r="M922" s="44"/>
      <c r="N922" s="44"/>
      <c r="O922" s="44"/>
      <c r="P922" s="44"/>
      <c r="Q922" s="44"/>
    </row>
    <row r="923" spans="8:17" x14ac:dyDescent="0.25">
      <c r="H923" s="44"/>
      <c r="I923" s="44"/>
      <c r="J923" s="45"/>
      <c r="K923" s="45"/>
      <c r="L923" s="45"/>
      <c r="M923" s="44"/>
      <c r="N923" s="44"/>
      <c r="O923" s="44"/>
      <c r="P923" s="44"/>
      <c r="Q923" s="44"/>
    </row>
    <row r="924" spans="8:17" x14ac:dyDescent="0.25">
      <c r="H924" s="44"/>
      <c r="I924" s="44"/>
      <c r="J924" s="45"/>
      <c r="K924" s="45"/>
      <c r="L924" s="45"/>
      <c r="M924" s="44"/>
      <c r="N924" s="44"/>
      <c r="O924" s="44"/>
      <c r="P924" s="44"/>
      <c r="Q924" s="44"/>
    </row>
    <row r="925" spans="8:17" x14ac:dyDescent="0.25">
      <c r="H925" s="44"/>
      <c r="I925" s="44"/>
      <c r="J925" s="45"/>
      <c r="K925" s="45"/>
      <c r="L925" s="45"/>
      <c r="M925" s="44"/>
      <c r="N925" s="44"/>
      <c r="O925" s="44"/>
      <c r="P925" s="44"/>
      <c r="Q925" s="44"/>
    </row>
    <row r="926" spans="8:17" x14ac:dyDescent="0.25">
      <c r="H926" s="44"/>
      <c r="I926" s="44"/>
      <c r="J926" s="45"/>
      <c r="K926" s="45"/>
      <c r="L926" s="45"/>
      <c r="M926" s="44"/>
      <c r="N926" s="44"/>
      <c r="O926" s="44"/>
      <c r="P926" s="44"/>
      <c r="Q926" s="44"/>
    </row>
    <row r="927" spans="8:17" x14ac:dyDescent="0.25">
      <c r="H927" s="44"/>
      <c r="I927" s="44"/>
      <c r="J927" s="45"/>
      <c r="K927" s="45"/>
      <c r="L927" s="45"/>
      <c r="M927" s="44"/>
      <c r="N927" s="44"/>
      <c r="O927" s="44"/>
      <c r="P927" s="44"/>
      <c r="Q927" s="44"/>
    </row>
    <row r="928" spans="8:17" x14ac:dyDescent="0.25">
      <c r="H928" s="44"/>
      <c r="I928" s="44"/>
      <c r="J928" s="45"/>
      <c r="K928" s="45"/>
      <c r="L928" s="45"/>
      <c r="M928" s="44"/>
      <c r="N928" s="44"/>
      <c r="O928" s="44"/>
      <c r="P928" s="44"/>
      <c r="Q928" s="44"/>
    </row>
    <row r="929" spans="8:17" x14ac:dyDescent="0.25">
      <c r="H929" s="44"/>
      <c r="I929" s="44"/>
      <c r="J929" s="45"/>
      <c r="K929" s="45"/>
      <c r="L929" s="45"/>
      <c r="M929" s="44"/>
      <c r="N929" s="44"/>
      <c r="O929" s="44"/>
      <c r="P929" s="44"/>
      <c r="Q929" s="44"/>
    </row>
    <row r="930" spans="8:17" x14ac:dyDescent="0.25">
      <c r="H930" s="44"/>
      <c r="I930" s="44"/>
      <c r="J930" s="45"/>
      <c r="K930" s="45"/>
      <c r="L930" s="45"/>
      <c r="M930" s="44"/>
      <c r="N930" s="44"/>
      <c r="O930" s="44"/>
      <c r="P930" s="44"/>
      <c r="Q930" s="44"/>
    </row>
    <row r="931" spans="8:17" x14ac:dyDescent="0.25">
      <c r="H931" s="44"/>
      <c r="I931" s="44"/>
      <c r="J931" s="45"/>
      <c r="K931" s="45"/>
      <c r="L931" s="45"/>
      <c r="M931" s="44"/>
      <c r="N931" s="44"/>
      <c r="O931" s="44"/>
      <c r="P931" s="44"/>
      <c r="Q931" s="44"/>
    </row>
    <row r="932" spans="8:17" x14ac:dyDescent="0.25">
      <c r="H932" s="44"/>
      <c r="I932" s="44"/>
      <c r="J932" s="45"/>
      <c r="K932" s="45"/>
      <c r="L932" s="45"/>
      <c r="M932" s="44"/>
      <c r="N932" s="44"/>
      <c r="O932" s="44"/>
      <c r="P932" s="44"/>
      <c r="Q932" s="44"/>
    </row>
    <row r="933" spans="8:17" x14ac:dyDescent="0.25">
      <c r="H933" s="44"/>
      <c r="I933" s="44"/>
      <c r="J933" s="45"/>
      <c r="K933" s="45"/>
      <c r="L933" s="45"/>
      <c r="M933" s="44"/>
      <c r="N933" s="44"/>
      <c r="O933" s="44"/>
      <c r="P933" s="44"/>
      <c r="Q933" s="44"/>
    </row>
    <row r="934" spans="8:17" x14ac:dyDescent="0.25">
      <c r="H934" s="44"/>
      <c r="I934" s="44"/>
      <c r="J934" s="45"/>
      <c r="K934" s="45"/>
      <c r="L934" s="45"/>
      <c r="M934" s="44"/>
      <c r="N934" s="44"/>
      <c r="O934" s="44"/>
      <c r="P934" s="44"/>
      <c r="Q934" s="44"/>
    </row>
    <row r="935" spans="8:17" x14ac:dyDescent="0.25">
      <c r="H935" s="44"/>
      <c r="I935" s="44"/>
      <c r="J935" s="45"/>
      <c r="K935" s="45"/>
      <c r="L935" s="45"/>
      <c r="M935" s="44"/>
      <c r="N935" s="44"/>
      <c r="O935" s="44"/>
      <c r="P935" s="44"/>
      <c r="Q935" s="44"/>
    </row>
    <row r="936" spans="8:17" x14ac:dyDescent="0.25">
      <c r="H936" s="44"/>
      <c r="I936" s="44"/>
      <c r="J936" s="45"/>
      <c r="K936" s="45"/>
      <c r="L936" s="45"/>
      <c r="M936" s="44"/>
      <c r="N936" s="44"/>
      <c r="O936" s="44"/>
      <c r="P936" s="44"/>
      <c r="Q936" s="44"/>
    </row>
    <row r="937" spans="8:17" x14ac:dyDescent="0.25">
      <c r="H937" s="44"/>
      <c r="I937" s="44"/>
      <c r="J937" s="45"/>
      <c r="K937" s="45"/>
      <c r="L937" s="45"/>
      <c r="M937" s="44"/>
      <c r="N937" s="44"/>
      <c r="O937" s="44"/>
      <c r="P937" s="44"/>
      <c r="Q937" s="44"/>
    </row>
    <row r="938" spans="8:17" x14ac:dyDescent="0.25">
      <c r="H938" s="44"/>
      <c r="I938" s="44"/>
      <c r="J938" s="45"/>
      <c r="K938" s="45"/>
      <c r="L938" s="45"/>
      <c r="M938" s="44"/>
      <c r="N938" s="44"/>
      <c r="O938" s="44"/>
      <c r="P938" s="44"/>
      <c r="Q938" s="44"/>
    </row>
    <row r="939" spans="8:17" x14ac:dyDescent="0.25">
      <c r="H939" s="44"/>
      <c r="I939" s="44"/>
      <c r="J939" s="45"/>
      <c r="K939" s="45"/>
      <c r="L939" s="45"/>
      <c r="M939" s="44"/>
      <c r="N939" s="44"/>
      <c r="O939" s="44"/>
      <c r="P939" s="44"/>
      <c r="Q939" s="44"/>
    </row>
    <row r="940" spans="8:17" x14ac:dyDescent="0.25">
      <c r="H940" s="44"/>
      <c r="I940" s="44"/>
      <c r="J940" s="45"/>
      <c r="K940" s="45"/>
      <c r="L940" s="45"/>
      <c r="M940" s="44"/>
      <c r="N940" s="44"/>
      <c r="O940" s="44"/>
      <c r="P940" s="44"/>
      <c r="Q940" s="44"/>
    </row>
    <row r="941" spans="8:17" x14ac:dyDescent="0.25">
      <c r="H941" s="44"/>
      <c r="I941" s="44"/>
      <c r="J941" s="45"/>
      <c r="K941" s="45"/>
      <c r="L941" s="45"/>
      <c r="M941" s="44"/>
      <c r="N941" s="44"/>
      <c r="O941" s="44"/>
      <c r="P941" s="44"/>
      <c r="Q941" s="44"/>
    </row>
    <row r="942" spans="8:17" x14ac:dyDescent="0.25">
      <c r="H942" s="44"/>
      <c r="I942" s="44"/>
      <c r="J942" s="45"/>
      <c r="K942" s="45"/>
      <c r="L942" s="45"/>
      <c r="M942" s="44"/>
      <c r="N942" s="44"/>
      <c r="O942" s="44"/>
      <c r="P942" s="44"/>
      <c r="Q942" s="44"/>
    </row>
    <row r="943" spans="8:17" x14ac:dyDescent="0.25">
      <c r="H943" s="44"/>
      <c r="I943" s="44"/>
      <c r="J943" s="45"/>
      <c r="K943" s="45"/>
      <c r="L943" s="45"/>
      <c r="M943" s="44"/>
      <c r="N943" s="44"/>
      <c r="O943" s="44"/>
      <c r="P943" s="44"/>
      <c r="Q943" s="44"/>
    </row>
    <row r="944" spans="8:17" x14ac:dyDescent="0.25">
      <c r="H944" s="44"/>
      <c r="I944" s="44"/>
      <c r="J944" s="45"/>
      <c r="K944" s="45"/>
      <c r="L944" s="45"/>
      <c r="M944" s="44"/>
      <c r="N944" s="44"/>
      <c r="O944" s="44"/>
      <c r="P944" s="44"/>
      <c r="Q944" s="44"/>
    </row>
    <row r="945" spans="8:17" x14ac:dyDescent="0.25">
      <c r="H945" s="44"/>
      <c r="I945" s="44"/>
      <c r="J945" s="45"/>
      <c r="K945" s="45"/>
      <c r="L945" s="45"/>
      <c r="M945" s="44"/>
      <c r="N945" s="44"/>
      <c r="O945" s="44"/>
      <c r="P945" s="44"/>
      <c r="Q945" s="44"/>
    </row>
    <row r="946" spans="8:17" x14ac:dyDescent="0.25">
      <c r="H946" s="44"/>
      <c r="I946" s="44"/>
      <c r="J946" s="45"/>
      <c r="K946" s="45"/>
      <c r="L946" s="45"/>
      <c r="M946" s="44"/>
      <c r="N946" s="44"/>
      <c r="O946" s="44"/>
      <c r="P946" s="44"/>
      <c r="Q946" s="44"/>
    </row>
    <row r="947" spans="8:17" x14ac:dyDescent="0.25">
      <c r="H947" s="44"/>
      <c r="I947" s="44"/>
      <c r="J947" s="45"/>
      <c r="K947" s="45"/>
      <c r="L947" s="45"/>
      <c r="M947" s="44"/>
      <c r="N947" s="44"/>
      <c r="O947" s="44"/>
      <c r="P947" s="44"/>
      <c r="Q947" s="44"/>
    </row>
    <row r="948" spans="8:17" x14ac:dyDescent="0.25">
      <c r="H948" s="44"/>
      <c r="I948" s="44"/>
      <c r="J948" s="45"/>
      <c r="K948" s="45"/>
      <c r="L948" s="45"/>
      <c r="M948" s="44"/>
      <c r="N948" s="44"/>
      <c r="O948" s="44"/>
      <c r="P948" s="44"/>
      <c r="Q948" s="44"/>
    </row>
    <row r="949" spans="8:17" x14ac:dyDescent="0.25">
      <c r="H949" s="44"/>
      <c r="I949" s="44"/>
      <c r="J949" s="45"/>
      <c r="K949" s="45"/>
      <c r="L949" s="45"/>
      <c r="M949" s="44"/>
      <c r="N949" s="44"/>
      <c r="O949" s="44"/>
      <c r="P949" s="44"/>
      <c r="Q949" s="44"/>
    </row>
    <row r="950" spans="8:17" x14ac:dyDescent="0.25">
      <c r="H950" s="44"/>
      <c r="I950" s="44"/>
      <c r="J950" s="45"/>
      <c r="K950" s="45"/>
      <c r="L950" s="45"/>
      <c r="M950" s="44"/>
      <c r="N950" s="44"/>
      <c r="O950" s="44"/>
      <c r="P950" s="44"/>
      <c r="Q950" s="44"/>
    </row>
    <row r="951" spans="8:17" x14ac:dyDescent="0.25">
      <c r="H951" s="44"/>
      <c r="I951" s="44"/>
      <c r="J951" s="45"/>
      <c r="K951" s="45"/>
      <c r="L951" s="45"/>
      <c r="M951" s="44"/>
      <c r="N951" s="44"/>
      <c r="O951" s="44"/>
      <c r="P951" s="44"/>
      <c r="Q951" s="44"/>
    </row>
    <row r="952" spans="8:17" x14ac:dyDescent="0.25">
      <c r="H952" s="44"/>
      <c r="I952" s="44"/>
      <c r="J952" s="45"/>
      <c r="K952" s="45"/>
      <c r="L952" s="45"/>
      <c r="M952" s="44"/>
      <c r="N952" s="44"/>
      <c r="O952" s="44"/>
      <c r="P952" s="44"/>
      <c r="Q952" s="44"/>
    </row>
    <row r="953" spans="8:17" x14ac:dyDescent="0.25">
      <c r="H953" s="44"/>
      <c r="I953" s="44"/>
      <c r="J953" s="45"/>
      <c r="K953" s="45"/>
      <c r="L953" s="45"/>
      <c r="M953" s="44"/>
      <c r="N953" s="44"/>
      <c r="O953" s="44"/>
      <c r="P953" s="44"/>
      <c r="Q953" s="44"/>
    </row>
    <row r="954" spans="8:17" x14ac:dyDescent="0.25">
      <c r="H954" s="44"/>
      <c r="I954" s="44"/>
      <c r="J954" s="45"/>
      <c r="K954" s="45"/>
      <c r="L954" s="45"/>
      <c r="M954" s="44"/>
      <c r="N954" s="44"/>
      <c r="O954" s="44"/>
      <c r="P954" s="44"/>
      <c r="Q954" s="44"/>
    </row>
    <row r="955" spans="8:17" x14ac:dyDescent="0.25">
      <c r="H955" s="44"/>
      <c r="I955" s="44"/>
      <c r="J955" s="45"/>
      <c r="K955" s="45"/>
      <c r="L955" s="45"/>
      <c r="M955" s="44"/>
      <c r="N955" s="44"/>
      <c r="O955" s="44"/>
      <c r="P955" s="44"/>
      <c r="Q955" s="44"/>
    </row>
    <row r="956" spans="8:17" x14ac:dyDescent="0.25">
      <c r="H956" s="44"/>
      <c r="I956" s="44"/>
      <c r="J956" s="45"/>
      <c r="K956" s="45"/>
      <c r="L956" s="45"/>
      <c r="M956" s="44"/>
      <c r="N956" s="44"/>
      <c r="O956" s="44"/>
      <c r="P956" s="44"/>
      <c r="Q956" s="44"/>
    </row>
    <row r="957" spans="8:17" x14ac:dyDescent="0.25">
      <c r="H957" s="44"/>
      <c r="I957" s="44"/>
      <c r="J957" s="45"/>
      <c r="K957" s="45"/>
      <c r="L957" s="45"/>
      <c r="M957" s="44"/>
      <c r="N957" s="44"/>
      <c r="O957" s="44"/>
      <c r="P957" s="44"/>
      <c r="Q957" s="44"/>
    </row>
    <row r="958" spans="8:17" x14ac:dyDescent="0.25">
      <c r="H958" s="44"/>
      <c r="I958" s="44"/>
      <c r="J958" s="45"/>
      <c r="K958" s="45"/>
      <c r="L958" s="45"/>
      <c r="M958" s="44"/>
      <c r="N958" s="44"/>
      <c r="O958" s="44"/>
      <c r="P958" s="44"/>
      <c r="Q958" s="44"/>
    </row>
    <row r="959" spans="8:17" x14ac:dyDescent="0.25">
      <c r="H959" s="44"/>
      <c r="I959" s="44"/>
      <c r="J959" s="45"/>
      <c r="K959" s="45"/>
      <c r="L959" s="45"/>
      <c r="M959" s="44"/>
      <c r="N959" s="44"/>
      <c r="O959" s="44"/>
      <c r="P959" s="44"/>
      <c r="Q959" s="44"/>
    </row>
    <row r="960" spans="8:17" x14ac:dyDescent="0.25">
      <c r="H960" s="44"/>
      <c r="I960" s="44"/>
      <c r="J960" s="45"/>
      <c r="K960" s="45"/>
      <c r="L960" s="45"/>
      <c r="M960" s="44"/>
      <c r="N960" s="44"/>
      <c r="O960" s="44"/>
      <c r="P960" s="44"/>
      <c r="Q960" s="44"/>
    </row>
    <row r="961" spans="8:17" x14ac:dyDescent="0.25">
      <c r="H961" s="44"/>
      <c r="I961" s="44"/>
      <c r="J961" s="45"/>
      <c r="K961" s="45"/>
      <c r="L961" s="45"/>
      <c r="M961" s="44"/>
      <c r="N961" s="44"/>
      <c r="O961" s="44"/>
      <c r="P961" s="44"/>
      <c r="Q961" s="44"/>
    </row>
    <row r="962" spans="8:17" x14ac:dyDescent="0.25">
      <c r="H962" s="44"/>
      <c r="I962" s="44"/>
      <c r="J962" s="45"/>
      <c r="K962" s="45"/>
      <c r="L962" s="45"/>
      <c r="M962" s="44"/>
      <c r="N962" s="44"/>
      <c r="O962" s="44"/>
      <c r="P962" s="44"/>
      <c r="Q962" s="44"/>
    </row>
    <row r="963" spans="8:17" x14ac:dyDescent="0.25">
      <c r="H963" s="44"/>
      <c r="I963" s="44"/>
      <c r="J963" s="45"/>
      <c r="K963" s="45"/>
      <c r="L963" s="45"/>
      <c r="M963" s="44"/>
      <c r="N963" s="44"/>
      <c r="O963" s="44"/>
      <c r="P963" s="44"/>
      <c r="Q963" s="44"/>
    </row>
    <row r="964" spans="8:17" x14ac:dyDescent="0.25">
      <c r="H964" s="44"/>
      <c r="I964" s="44"/>
      <c r="J964" s="45"/>
      <c r="K964" s="45"/>
      <c r="L964" s="45"/>
      <c r="M964" s="44"/>
      <c r="N964" s="44"/>
      <c r="O964" s="44"/>
      <c r="P964" s="44"/>
      <c r="Q964" s="44"/>
    </row>
    <row r="965" spans="8:17" x14ac:dyDescent="0.25">
      <c r="H965" s="44"/>
      <c r="I965" s="44"/>
      <c r="J965" s="45"/>
      <c r="K965" s="45"/>
      <c r="L965" s="45"/>
      <c r="M965" s="44"/>
      <c r="N965" s="44"/>
      <c r="O965" s="44"/>
      <c r="P965" s="44"/>
      <c r="Q965" s="44"/>
    </row>
    <row r="966" spans="8:17" x14ac:dyDescent="0.25">
      <c r="H966" s="44"/>
      <c r="I966" s="44"/>
      <c r="J966" s="45"/>
      <c r="K966" s="45"/>
      <c r="L966" s="45"/>
      <c r="M966" s="44"/>
      <c r="N966" s="44"/>
      <c r="O966" s="44"/>
      <c r="P966" s="44"/>
      <c r="Q966" s="44"/>
    </row>
    <row r="967" spans="8:17" x14ac:dyDescent="0.25">
      <c r="H967" s="44"/>
      <c r="I967" s="44"/>
      <c r="J967" s="45"/>
      <c r="K967" s="45"/>
      <c r="L967" s="45"/>
      <c r="M967" s="44"/>
      <c r="N967" s="44"/>
      <c r="O967" s="44"/>
      <c r="P967" s="44"/>
      <c r="Q967" s="44"/>
    </row>
    <row r="968" spans="8:17" x14ac:dyDescent="0.25">
      <c r="H968" s="44"/>
      <c r="I968" s="44"/>
      <c r="J968" s="45"/>
      <c r="K968" s="45"/>
      <c r="L968" s="45"/>
      <c r="M968" s="44"/>
      <c r="N968" s="44"/>
      <c r="O968" s="44"/>
      <c r="P968" s="44"/>
      <c r="Q968" s="44"/>
    </row>
    <row r="969" spans="8:17" x14ac:dyDescent="0.25">
      <c r="H969" s="44"/>
      <c r="I969" s="44"/>
      <c r="J969" s="45"/>
      <c r="K969" s="45"/>
      <c r="L969" s="45"/>
      <c r="M969" s="44"/>
      <c r="N969" s="44"/>
      <c r="O969" s="44"/>
      <c r="P969" s="44"/>
      <c r="Q969" s="44"/>
    </row>
    <row r="970" spans="8:17" x14ac:dyDescent="0.25">
      <c r="H970" s="44"/>
      <c r="I970" s="44"/>
      <c r="J970" s="45"/>
      <c r="K970" s="45"/>
      <c r="L970" s="45"/>
      <c r="M970" s="44"/>
      <c r="N970" s="44"/>
      <c r="O970" s="44"/>
      <c r="P970" s="44"/>
      <c r="Q970" s="44"/>
    </row>
    <row r="971" spans="8:17" x14ac:dyDescent="0.25">
      <c r="H971" s="44"/>
      <c r="I971" s="44"/>
      <c r="J971" s="45"/>
      <c r="K971" s="45"/>
      <c r="L971" s="45"/>
      <c r="M971" s="44"/>
      <c r="N971" s="44"/>
      <c r="O971" s="44"/>
      <c r="P971" s="44"/>
      <c r="Q971" s="44"/>
    </row>
    <row r="972" spans="8:17" x14ac:dyDescent="0.25">
      <c r="H972" s="44"/>
      <c r="I972" s="44"/>
      <c r="J972" s="45"/>
      <c r="K972" s="45"/>
      <c r="L972" s="45"/>
      <c r="M972" s="44"/>
      <c r="N972" s="44"/>
      <c r="O972" s="44"/>
      <c r="P972" s="44"/>
      <c r="Q972" s="44"/>
    </row>
    <row r="973" spans="8:17" x14ac:dyDescent="0.25">
      <c r="H973" s="44"/>
      <c r="I973" s="44"/>
      <c r="J973" s="45"/>
      <c r="K973" s="45"/>
      <c r="L973" s="45"/>
      <c r="M973" s="44"/>
      <c r="N973" s="44"/>
      <c r="O973" s="44"/>
      <c r="P973" s="44"/>
      <c r="Q973" s="44"/>
    </row>
    <row r="974" spans="8:17" x14ac:dyDescent="0.25">
      <c r="H974" s="44"/>
      <c r="I974" s="44"/>
      <c r="J974" s="45"/>
      <c r="K974" s="45"/>
      <c r="L974" s="45"/>
      <c r="M974" s="44"/>
      <c r="N974" s="44"/>
      <c r="O974" s="44"/>
      <c r="P974" s="44"/>
      <c r="Q974" s="44"/>
    </row>
    <row r="975" spans="8:17" x14ac:dyDescent="0.25">
      <c r="H975" s="44"/>
      <c r="I975" s="44"/>
      <c r="J975" s="45"/>
      <c r="K975" s="45"/>
      <c r="L975" s="45"/>
      <c r="M975" s="44"/>
      <c r="N975" s="44"/>
      <c r="O975" s="44"/>
      <c r="P975" s="44"/>
      <c r="Q975" s="44"/>
    </row>
    <row r="976" spans="8:17" x14ac:dyDescent="0.25">
      <c r="H976" s="44"/>
      <c r="I976" s="44"/>
      <c r="J976" s="45"/>
      <c r="K976" s="45"/>
      <c r="L976" s="45"/>
      <c r="M976" s="44"/>
      <c r="N976" s="44"/>
      <c r="O976" s="44"/>
      <c r="P976" s="44"/>
      <c r="Q976" s="44"/>
    </row>
    <row r="977" spans="8:17" x14ac:dyDescent="0.25">
      <c r="H977" s="44"/>
      <c r="I977" s="44"/>
      <c r="J977" s="45"/>
      <c r="K977" s="45"/>
      <c r="L977" s="45"/>
      <c r="M977" s="44"/>
      <c r="N977" s="44"/>
      <c r="O977" s="44"/>
      <c r="P977" s="44"/>
      <c r="Q977" s="44"/>
    </row>
    <row r="978" spans="8:17" x14ac:dyDescent="0.25">
      <c r="H978" s="44"/>
      <c r="I978" s="44"/>
      <c r="J978" s="45"/>
      <c r="K978" s="45"/>
      <c r="L978" s="45"/>
      <c r="M978" s="44"/>
      <c r="N978" s="44"/>
      <c r="O978" s="44"/>
      <c r="P978" s="44"/>
      <c r="Q978" s="44"/>
    </row>
    <row r="979" spans="8:17" x14ac:dyDescent="0.25">
      <c r="H979" s="44"/>
      <c r="I979" s="44"/>
      <c r="J979" s="45"/>
      <c r="K979" s="45"/>
      <c r="L979" s="45"/>
      <c r="M979" s="44"/>
      <c r="N979" s="44"/>
      <c r="O979" s="44"/>
      <c r="P979" s="44"/>
      <c r="Q979" s="44"/>
    </row>
    <row r="980" spans="8:17" x14ac:dyDescent="0.25">
      <c r="H980" s="44"/>
      <c r="I980" s="44"/>
      <c r="J980" s="45"/>
      <c r="K980" s="45"/>
      <c r="L980" s="45"/>
      <c r="M980" s="44"/>
      <c r="N980" s="44"/>
      <c r="O980" s="44"/>
      <c r="P980" s="44"/>
      <c r="Q980" s="44"/>
    </row>
    <row r="981" spans="8:17" x14ac:dyDescent="0.25">
      <c r="H981" s="44"/>
      <c r="I981" s="44"/>
      <c r="J981" s="45"/>
      <c r="K981" s="45"/>
      <c r="L981" s="45"/>
      <c r="M981" s="44"/>
      <c r="N981" s="44"/>
      <c r="O981" s="44"/>
      <c r="P981" s="44"/>
      <c r="Q981" s="44"/>
    </row>
    <row r="982" spans="8:17" x14ac:dyDescent="0.25">
      <c r="H982" s="44"/>
      <c r="I982" s="44"/>
      <c r="J982" s="45"/>
      <c r="K982" s="45"/>
      <c r="L982" s="45"/>
      <c r="M982" s="44"/>
      <c r="N982" s="44"/>
      <c r="O982" s="44"/>
      <c r="P982" s="44"/>
      <c r="Q982" s="44"/>
    </row>
    <row r="983" spans="8:17" x14ac:dyDescent="0.25">
      <c r="H983" s="44"/>
      <c r="I983" s="44"/>
      <c r="J983" s="45"/>
      <c r="K983" s="45"/>
      <c r="L983" s="45"/>
      <c r="M983" s="44"/>
      <c r="N983" s="44"/>
      <c r="O983" s="44"/>
      <c r="P983" s="44"/>
      <c r="Q983" s="44"/>
    </row>
    <row r="984" spans="8:17" x14ac:dyDescent="0.25">
      <c r="H984" s="44"/>
      <c r="I984" s="44"/>
      <c r="J984" s="45"/>
      <c r="K984" s="45"/>
      <c r="L984" s="45"/>
      <c r="M984" s="44"/>
      <c r="N984" s="44"/>
      <c r="O984" s="44"/>
      <c r="P984" s="44"/>
      <c r="Q984" s="44"/>
    </row>
    <row r="985" spans="8:17" x14ac:dyDescent="0.25">
      <c r="H985" s="44"/>
      <c r="I985" s="44"/>
      <c r="J985" s="45"/>
      <c r="K985" s="45"/>
      <c r="L985" s="45"/>
      <c r="M985" s="44"/>
      <c r="N985" s="44"/>
      <c r="O985" s="44"/>
      <c r="P985" s="44"/>
      <c r="Q985" s="44"/>
    </row>
    <row r="986" spans="8:17" x14ac:dyDescent="0.25">
      <c r="H986" s="44"/>
      <c r="I986" s="44"/>
      <c r="J986" s="45"/>
      <c r="K986" s="45"/>
      <c r="L986" s="45"/>
      <c r="M986" s="44"/>
      <c r="N986" s="44"/>
      <c r="O986" s="44"/>
      <c r="P986" s="44"/>
      <c r="Q986" s="44"/>
    </row>
    <row r="987" spans="8:17" x14ac:dyDescent="0.25">
      <c r="H987" s="44"/>
      <c r="I987" s="44"/>
      <c r="J987" s="45"/>
      <c r="K987" s="45"/>
      <c r="L987" s="45"/>
      <c r="M987" s="44"/>
      <c r="N987" s="44"/>
      <c r="O987" s="44"/>
      <c r="P987" s="44"/>
      <c r="Q987" s="44"/>
    </row>
    <row r="988" spans="8:17" x14ac:dyDescent="0.25">
      <c r="H988" s="44"/>
      <c r="I988" s="44"/>
      <c r="J988" s="45"/>
      <c r="K988" s="45"/>
      <c r="L988" s="45"/>
      <c r="M988" s="44"/>
      <c r="N988" s="44"/>
      <c r="O988" s="44"/>
      <c r="P988" s="44"/>
      <c r="Q988" s="44"/>
    </row>
    <row r="989" spans="8:17" x14ac:dyDescent="0.25">
      <c r="H989" s="44"/>
      <c r="I989" s="44"/>
      <c r="J989" s="45"/>
      <c r="K989" s="45"/>
      <c r="L989" s="45"/>
      <c r="M989" s="44"/>
      <c r="N989" s="44"/>
      <c r="O989" s="44"/>
      <c r="P989" s="44"/>
      <c r="Q989" s="44"/>
    </row>
    <row r="990" spans="8:17" x14ac:dyDescent="0.25">
      <c r="H990" s="44"/>
      <c r="I990" s="44"/>
      <c r="J990" s="45"/>
      <c r="K990" s="45"/>
      <c r="L990" s="45"/>
      <c r="M990" s="44"/>
      <c r="N990" s="44"/>
      <c r="O990" s="44"/>
      <c r="P990" s="44"/>
      <c r="Q990" s="44"/>
    </row>
    <row r="991" spans="8:17" x14ac:dyDescent="0.25">
      <c r="H991" s="44"/>
      <c r="I991" s="44"/>
      <c r="J991" s="45"/>
      <c r="K991" s="45"/>
      <c r="L991" s="45"/>
      <c r="M991" s="44"/>
      <c r="N991" s="44"/>
      <c r="O991" s="44"/>
      <c r="P991" s="44"/>
      <c r="Q991" s="44"/>
    </row>
    <row r="992" spans="8:17" x14ac:dyDescent="0.25">
      <c r="H992" s="44"/>
      <c r="I992" s="44"/>
      <c r="J992" s="45"/>
      <c r="K992" s="45"/>
      <c r="L992" s="45"/>
      <c r="M992" s="44"/>
      <c r="N992" s="44"/>
      <c r="O992" s="44"/>
      <c r="P992" s="44"/>
      <c r="Q992" s="44"/>
    </row>
    <row r="993" spans="8:17" x14ac:dyDescent="0.25">
      <c r="H993" s="44"/>
      <c r="I993" s="44"/>
      <c r="J993" s="45"/>
      <c r="K993" s="45"/>
      <c r="L993" s="45"/>
      <c r="M993" s="44"/>
      <c r="N993" s="44"/>
      <c r="O993" s="44"/>
      <c r="P993" s="44"/>
      <c r="Q993" s="44"/>
    </row>
    <row r="994" spans="8:17" x14ac:dyDescent="0.25">
      <c r="H994" s="44"/>
      <c r="I994" s="44"/>
      <c r="J994" s="45"/>
      <c r="K994" s="45"/>
      <c r="L994" s="45"/>
      <c r="M994" s="44"/>
      <c r="N994" s="44"/>
      <c r="O994" s="44"/>
      <c r="P994" s="44"/>
      <c r="Q994" s="44"/>
    </row>
    <row r="995" spans="8:17" x14ac:dyDescent="0.25">
      <c r="H995" s="44"/>
      <c r="I995" s="44"/>
      <c r="J995" s="45"/>
      <c r="K995" s="45"/>
      <c r="L995" s="45"/>
      <c r="M995" s="44"/>
      <c r="N995" s="44"/>
      <c r="O995" s="44"/>
      <c r="P995" s="44"/>
      <c r="Q995" s="44"/>
    </row>
    <row r="996" spans="8:17" x14ac:dyDescent="0.25">
      <c r="H996" s="44"/>
      <c r="I996" s="44"/>
      <c r="J996" s="45"/>
      <c r="K996" s="45"/>
      <c r="L996" s="45"/>
      <c r="M996" s="44"/>
      <c r="N996" s="44"/>
      <c r="O996" s="44"/>
      <c r="P996" s="44"/>
      <c r="Q996" s="44"/>
    </row>
    <row r="997" spans="8:17" x14ac:dyDescent="0.25">
      <c r="H997" s="44"/>
      <c r="I997" s="44"/>
      <c r="J997" s="45"/>
      <c r="K997" s="45"/>
      <c r="L997" s="45"/>
      <c r="M997" s="44"/>
      <c r="N997" s="44"/>
      <c r="O997" s="44"/>
      <c r="P997" s="44"/>
      <c r="Q997" s="44"/>
    </row>
    <row r="998" spans="8:17" x14ac:dyDescent="0.25">
      <c r="H998" s="44"/>
      <c r="I998" s="44"/>
      <c r="J998" s="45"/>
      <c r="K998" s="45"/>
      <c r="L998" s="45"/>
      <c r="M998" s="44"/>
      <c r="N998" s="44"/>
      <c r="O998" s="44"/>
      <c r="P998" s="44"/>
      <c r="Q998" s="44"/>
    </row>
    <row r="999" spans="8:17" x14ac:dyDescent="0.25">
      <c r="H999" s="44"/>
      <c r="I999" s="44"/>
      <c r="J999" s="45"/>
      <c r="K999" s="45"/>
      <c r="L999" s="45"/>
      <c r="M999" s="44"/>
      <c r="N999" s="44"/>
      <c r="O999" s="44"/>
      <c r="P999" s="44"/>
      <c r="Q999" s="44"/>
    </row>
    <row r="1000" spans="8:17" x14ac:dyDescent="0.25">
      <c r="H1000" s="44"/>
      <c r="I1000" s="44"/>
      <c r="J1000" s="45"/>
      <c r="K1000" s="45"/>
      <c r="L1000" s="45"/>
      <c r="M1000" s="44"/>
      <c r="N1000" s="44"/>
      <c r="O1000" s="44"/>
      <c r="P1000" s="44"/>
      <c r="Q1000" s="44"/>
    </row>
    <row r="1001" spans="8:17" x14ac:dyDescent="0.25">
      <c r="H1001" s="44"/>
      <c r="I1001" s="44"/>
      <c r="J1001" s="45"/>
      <c r="K1001" s="45"/>
      <c r="L1001" s="45"/>
      <c r="M1001" s="44"/>
      <c r="N1001" s="44"/>
      <c r="O1001" s="44"/>
      <c r="P1001" s="44"/>
      <c r="Q1001" s="44"/>
    </row>
    <row r="1002" spans="8:17" x14ac:dyDescent="0.25">
      <c r="H1002" s="44"/>
      <c r="I1002" s="44"/>
      <c r="J1002" s="45"/>
      <c r="K1002" s="45"/>
      <c r="L1002" s="45"/>
      <c r="M1002" s="44"/>
      <c r="N1002" s="44"/>
      <c r="O1002" s="44"/>
      <c r="P1002" s="44"/>
      <c r="Q1002" s="44"/>
    </row>
    <row r="1003" spans="8:17" x14ac:dyDescent="0.25">
      <c r="H1003" s="44"/>
      <c r="I1003" s="44"/>
      <c r="J1003" s="45"/>
      <c r="K1003" s="45"/>
      <c r="L1003" s="45"/>
      <c r="M1003" s="44"/>
      <c r="N1003" s="44"/>
      <c r="O1003" s="44"/>
      <c r="P1003" s="44"/>
      <c r="Q1003" s="44"/>
    </row>
    <row r="1004" spans="8:17" x14ac:dyDescent="0.25">
      <c r="H1004" s="44"/>
      <c r="I1004" s="44"/>
      <c r="J1004" s="45"/>
      <c r="K1004" s="45"/>
      <c r="L1004" s="45"/>
      <c r="M1004" s="44"/>
      <c r="N1004" s="44"/>
      <c r="O1004" s="44"/>
      <c r="P1004" s="44"/>
      <c r="Q1004" s="44"/>
    </row>
    <row r="1005" spans="8:17" x14ac:dyDescent="0.25">
      <c r="H1005" s="44"/>
      <c r="I1005" s="44"/>
      <c r="J1005" s="45"/>
      <c r="K1005" s="45"/>
      <c r="L1005" s="45"/>
      <c r="M1005" s="44"/>
      <c r="N1005" s="44"/>
      <c r="O1005" s="44"/>
      <c r="P1005" s="44"/>
      <c r="Q1005" s="44"/>
    </row>
    <row r="1006" spans="8:17" x14ac:dyDescent="0.25">
      <c r="H1006" s="44"/>
      <c r="I1006" s="44"/>
      <c r="J1006" s="45"/>
      <c r="K1006" s="45"/>
      <c r="L1006" s="45"/>
      <c r="M1006" s="44"/>
      <c r="N1006" s="44"/>
      <c r="O1006" s="44"/>
      <c r="P1006" s="44"/>
      <c r="Q1006" s="44"/>
    </row>
    <row r="1007" spans="8:17" x14ac:dyDescent="0.25">
      <c r="H1007" s="44"/>
      <c r="I1007" s="44"/>
      <c r="J1007" s="45"/>
      <c r="K1007" s="45"/>
      <c r="L1007" s="45"/>
      <c r="M1007" s="44"/>
      <c r="N1007" s="44"/>
      <c r="O1007" s="44"/>
      <c r="P1007" s="44"/>
      <c r="Q1007" s="44"/>
    </row>
    <row r="1008" spans="8:17" x14ac:dyDescent="0.25">
      <c r="H1008" s="44"/>
      <c r="I1008" s="44"/>
      <c r="J1008" s="45"/>
      <c r="K1008" s="45"/>
      <c r="L1008" s="45"/>
      <c r="M1008" s="44"/>
      <c r="N1008" s="44"/>
      <c r="O1008" s="44"/>
      <c r="P1008" s="44"/>
      <c r="Q1008" s="44"/>
    </row>
    <row r="1009" spans="8:17" x14ac:dyDescent="0.25">
      <c r="H1009" s="44"/>
      <c r="I1009" s="44"/>
      <c r="J1009" s="45"/>
      <c r="K1009" s="45"/>
      <c r="L1009" s="45"/>
      <c r="M1009" s="44"/>
      <c r="N1009" s="44"/>
      <c r="O1009" s="44"/>
      <c r="P1009" s="44"/>
      <c r="Q1009" s="44"/>
    </row>
    <row r="1010" spans="8:17" x14ac:dyDescent="0.25">
      <c r="H1010" s="44"/>
      <c r="I1010" s="44"/>
      <c r="J1010" s="45"/>
      <c r="K1010" s="45"/>
      <c r="L1010" s="45"/>
      <c r="M1010" s="44"/>
      <c r="N1010" s="44"/>
      <c r="O1010" s="44"/>
      <c r="P1010" s="44"/>
      <c r="Q1010" s="44"/>
    </row>
    <row r="1011" spans="8:17" x14ac:dyDescent="0.25">
      <c r="H1011" s="44"/>
      <c r="I1011" s="44"/>
      <c r="J1011" s="45"/>
      <c r="K1011" s="45"/>
      <c r="L1011" s="45"/>
      <c r="M1011" s="44"/>
      <c r="N1011" s="44"/>
      <c r="O1011" s="44"/>
      <c r="P1011" s="44"/>
      <c r="Q1011" s="44"/>
    </row>
    <row r="1012" spans="8:17" x14ac:dyDescent="0.25">
      <c r="H1012" s="44"/>
      <c r="I1012" s="44"/>
      <c r="J1012" s="45"/>
      <c r="K1012" s="45"/>
      <c r="L1012" s="45"/>
      <c r="M1012" s="44"/>
      <c r="N1012" s="44"/>
      <c r="O1012" s="44"/>
      <c r="P1012" s="44"/>
      <c r="Q1012" s="44"/>
    </row>
    <row r="1013" spans="8:17" x14ac:dyDescent="0.25">
      <c r="H1013" s="44"/>
      <c r="I1013" s="44"/>
      <c r="J1013" s="45"/>
      <c r="K1013" s="45"/>
      <c r="L1013" s="45"/>
      <c r="M1013" s="44"/>
      <c r="N1013" s="44"/>
      <c r="O1013" s="44"/>
      <c r="P1013" s="44"/>
      <c r="Q1013" s="44"/>
    </row>
    <row r="1014" spans="8:17" x14ac:dyDescent="0.25">
      <c r="H1014" s="44"/>
      <c r="I1014" s="44"/>
      <c r="J1014" s="45"/>
      <c r="K1014" s="45"/>
      <c r="L1014" s="45"/>
      <c r="M1014" s="44"/>
      <c r="N1014" s="44"/>
      <c r="O1014" s="44"/>
      <c r="P1014" s="44"/>
      <c r="Q1014" s="44"/>
    </row>
    <row r="1015" spans="8:17" x14ac:dyDescent="0.25">
      <c r="H1015" s="44"/>
      <c r="I1015" s="44"/>
      <c r="J1015" s="45"/>
      <c r="K1015" s="45"/>
      <c r="L1015" s="45"/>
      <c r="M1015" s="44"/>
      <c r="N1015" s="44"/>
      <c r="O1015" s="44"/>
      <c r="P1015" s="44"/>
      <c r="Q1015" s="44"/>
    </row>
    <row r="1016" spans="8:17" x14ac:dyDescent="0.25">
      <c r="H1016" s="44"/>
      <c r="I1016" s="44"/>
      <c r="J1016" s="45"/>
      <c r="K1016" s="45"/>
      <c r="L1016" s="45"/>
      <c r="M1016" s="44"/>
      <c r="N1016" s="44"/>
      <c r="O1016" s="44"/>
      <c r="P1016" s="44"/>
      <c r="Q1016" s="44"/>
    </row>
    <row r="1017" spans="8:17" x14ac:dyDescent="0.25">
      <c r="H1017" s="44"/>
      <c r="I1017" s="44"/>
      <c r="J1017" s="45"/>
      <c r="K1017" s="45"/>
      <c r="L1017" s="45"/>
      <c r="M1017" s="44"/>
      <c r="N1017" s="44"/>
      <c r="O1017" s="44"/>
      <c r="P1017" s="44"/>
      <c r="Q1017" s="44"/>
    </row>
    <row r="1018" spans="8:17" x14ac:dyDescent="0.25">
      <c r="H1018" s="44"/>
      <c r="I1018" s="44"/>
      <c r="J1018" s="45"/>
      <c r="K1018" s="45"/>
      <c r="L1018" s="45"/>
      <c r="M1018" s="44"/>
      <c r="N1018" s="44"/>
      <c r="O1018" s="44"/>
      <c r="P1018" s="44"/>
      <c r="Q1018" s="44"/>
    </row>
    <row r="1019" spans="8:17" x14ac:dyDescent="0.25">
      <c r="H1019" s="44"/>
      <c r="I1019" s="44"/>
      <c r="J1019" s="45"/>
      <c r="K1019" s="45"/>
      <c r="L1019" s="45"/>
      <c r="M1019" s="44"/>
      <c r="N1019" s="44"/>
      <c r="O1019" s="44"/>
      <c r="P1019" s="44"/>
      <c r="Q1019" s="44"/>
    </row>
    <row r="1020" spans="8:17" x14ac:dyDescent="0.25">
      <c r="H1020" s="44"/>
      <c r="I1020" s="44"/>
      <c r="J1020" s="45"/>
      <c r="K1020" s="45"/>
      <c r="L1020" s="45"/>
      <c r="M1020" s="44"/>
      <c r="N1020" s="44"/>
      <c r="O1020" s="44"/>
      <c r="P1020" s="44"/>
      <c r="Q1020" s="44"/>
    </row>
    <row r="1021" spans="8:17" x14ac:dyDescent="0.25">
      <c r="H1021" s="44"/>
      <c r="I1021" s="44"/>
      <c r="J1021" s="45"/>
      <c r="K1021" s="45"/>
      <c r="L1021" s="45"/>
      <c r="M1021" s="44"/>
      <c r="N1021" s="44"/>
      <c r="O1021" s="44"/>
      <c r="P1021" s="44"/>
      <c r="Q1021" s="44"/>
    </row>
    <row r="1022" spans="8:17" x14ac:dyDescent="0.25">
      <c r="H1022" s="44"/>
      <c r="I1022" s="44"/>
      <c r="J1022" s="45"/>
      <c r="K1022" s="45"/>
      <c r="L1022" s="45"/>
      <c r="M1022" s="44"/>
      <c r="N1022" s="44"/>
      <c r="O1022" s="44"/>
      <c r="P1022" s="44"/>
      <c r="Q1022" s="44"/>
    </row>
    <row r="1023" spans="8:17" x14ac:dyDescent="0.25">
      <c r="H1023" s="44"/>
      <c r="I1023" s="44"/>
      <c r="J1023" s="45"/>
      <c r="K1023" s="45"/>
      <c r="L1023" s="45"/>
      <c r="M1023" s="44"/>
      <c r="N1023" s="44"/>
      <c r="O1023" s="44"/>
      <c r="P1023" s="44"/>
      <c r="Q1023" s="44"/>
    </row>
    <row r="1024" spans="8:17" x14ac:dyDescent="0.25">
      <c r="H1024" s="44"/>
      <c r="I1024" s="44"/>
      <c r="J1024" s="45"/>
      <c r="K1024" s="45"/>
      <c r="L1024" s="45"/>
      <c r="M1024" s="44"/>
      <c r="N1024" s="44"/>
      <c r="O1024" s="44"/>
      <c r="P1024" s="44"/>
      <c r="Q1024" s="44"/>
    </row>
    <row r="1025" spans="8:17" x14ac:dyDescent="0.25">
      <c r="H1025" s="44"/>
      <c r="I1025" s="44"/>
      <c r="J1025" s="45"/>
      <c r="K1025" s="45"/>
      <c r="L1025" s="45"/>
      <c r="M1025" s="44"/>
      <c r="N1025" s="44"/>
      <c r="O1025" s="44"/>
      <c r="P1025" s="44"/>
      <c r="Q1025" s="44"/>
    </row>
    <row r="1026" spans="8:17" x14ac:dyDescent="0.25">
      <c r="H1026" s="44"/>
      <c r="I1026" s="44"/>
      <c r="J1026" s="45"/>
      <c r="K1026" s="45"/>
      <c r="L1026" s="45"/>
      <c r="M1026" s="44"/>
      <c r="N1026" s="44"/>
      <c r="O1026" s="44"/>
      <c r="P1026" s="44"/>
      <c r="Q1026" s="44"/>
    </row>
    <row r="1027" spans="8:17" x14ac:dyDescent="0.25">
      <c r="H1027" s="44"/>
      <c r="I1027" s="44"/>
      <c r="J1027" s="45"/>
      <c r="K1027" s="45"/>
      <c r="L1027" s="45"/>
      <c r="M1027" s="44"/>
      <c r="N1027" s="44"/>
      <c r="O1027" s="44"/>
      <c r="P1027" s="44"/>
      <c r="Q1027" s="44"/>
    </row>
    <row r="1028" spans="8:17" x14ac:dyDescent="0.25">
      <c r="H1028" s="44"/>
      <c r="I1028" s="44"/>
      <c r="J1028" s="45"/>
      <c r="K1028" s="45"/>
      <c r="L1028" s="45"/>
      <c r="M1028" s="44"/>
      <c r="N1028" s="44"/>
      <c r="O1028" s="44"/>
      <c r="P1028" s="44"/>
      <c r="Q1028" s="44"/>
    </row>
    <row r="1029" spans="8:17" x14ac:dyDescent="0.25">
      <c r="H1029" s="44"/>
      <c r="I1029" s="44"/>
      <c r="J1029" s="45"/>
      <c r="K1029" s="45"/>
      <c r="L1029" s="45"/>
      <c r="M1029" s="44"/>
      <c r="N1029" s="44"/>
      <c r="O1029" s="44"/>
      <c r="P1029" s="44"/>
      <c r="Q1029" s="44"/>
    </row>
    <row r="1030" spans="8:17" x14ac:dyDescent="0.25">
      <c r="H1030" s="44"/>
      <c r="I1030" s="44"/>
      <c r="J1030" s="45"/>
      <c r="K1030" s="45"/>
      <c r="L1030" s="45"/>
      <c r="M1030" s="44"/>
      <c r="N1030" s="44"/>
      <c r="O1030" s="44"/>
      <c r="P1030" s="44"/>
      <c r="Q1030" s="44"/>
    </row>
    <row r="1031" spans="8:17" x14ac:dyDescent="0.25">
      <c r="H1031" s="44"/>
      <c r="I1031" s="44"/>
      <c r="J1031" s="45"/>
      <c r="K1031" s="45"/>
      <c r="L1031" s="45"/>
      <c r="M1031" s="44"/>
      <c r="N1031" s="44"/>
      <c r="O1031" s="44"/>
      <c r="P1031" s="44"/>
      <c r="Q1031" s="44"/>
    </row>
    <row r="1032" spans="8:17" x14ac:dyDescent="0.25">
      <c r="H1032" s="44"/>
      <c r="I1032" s="44"/>
      <c r="J1032" s="45"/>
      <c r="K1032" s="45"/>
      <c r="L1032" s="45"/>
      <c r="M1032" s="44"/>
      <c r="N1032" s="44"/>
      <c r="O1032" s="44"/>
      <c r="P1032" s="44"/>
      <c r="Q1032" s="44"/>
    </row>
    <row r="1033" spans="8:17" x14ac:dyDescent="0.25">
      <c r="H1033" s="44"/>
      <c r="I1033" s="44"/>
      <c r="J1033" s="45"/>
      <c r="K1033" s="45"/>
      <c r="L1033" s="45"/>
      <c r="M1033" s="44"/>
      <c r="N1033" s="44"/>
      <c r="O1033" s="44"/>
      <c r="P1033" s="44"/>
      <c r="Q1033" s="44"/>
    </row>
    <row r="1034" spans="8:17" x14ac:dyDescent="0.25">
      <c r="H1034" s="44"/>
      <c r="I1034" s="44"/>
      <c r="J1034" s="45"/>
      <c r="K1034" s="45"/>
      <c r="L1034" s="45"/>
      <c r="M1034" s="44"/>
      <c r="N1034" s="44"/>
      <c r="O1034" s="44"/>
      <c r="P1034" s="44"/>
      <c r="Q1034" s="44"/>
    </row>
    <row r="1035" spans="8:17" x14ac:dyDescent="0.25">
      <c r="H1035" s="44"/>
      <c r="I1035" s="44"/>
      <c r="J1035" s="45"/>
      <c r="K1035" s="45"/>
      <c r="L1035" s="45"/>
      <c r="M1035" s="44"/>
      <c r="N1035" s="44"/>
      <c r="O1035" s="44"/>
      <c r="P1035" s="44"/>
      <c r="Q1035" s="44"/>
    </row>
    <row r="1036" spans="8:17" x14ac:dyDescent="0.25">
      <c r="H1036" s="44"/>
      <c r="I1036" s="44"/>
      <c r="J1036" s="45"/>
      <c r="K1036" s="45"/>
      <c r="L1036" s="45"/>
      <c r="M1036" s="44"/>
      <c r="N1036" s="44"/>
      <c r="O1036" s="44"/>
      <c r="P1036" s="44"/>
      <c r="Q1036" s="44"/>
    </row>
    <row r="1037" spans="8:17" x14ac:dyDescent="0.25">
      <c r="H1037" s="44"/>
      <c r="I1037" s="44"/>
      <c r="J1037" s="45"/>
      <c r="K1037" s="45"/>
      <c r="L1037" s="45"/>
      <c r="M1037" s="44"/>
      <c r="N1037" s="44"/>
      <c r="O1037" s="44"/>
      <c r="P1037" s="44"/>
      <c r="Q1037" s="44"/>
    </row>
    <row r="1038" spans="8:17" x14ac:dyDescent="0.25">
      <c r="H1038" s="44"/>
      <c r="I1038" s="44"/>
      <c r="J1038" s="45"/>
      <c r="K1038" s="45"/>
      <c r="L1038" s="45"/>
      <c r="M1038" s="44"/>
      <c r="N1038" s="44"/>
      <c r="O1038" s="44"/>
      <c r="P1038" s="44"/>
      <c r="Q1038" s="44"/>
    </row>
    <row r="1039" spans="8:17" x14ac:dyDescent="0.25">
      <c r="H1039" s="44"/>
      <c r="I1039" s="44"/>
      <c r="J1039" s="45"/>
      <c r="K1039" s="45"/>
      <c r="L1039" s="45"/>
      <c r="M1039" s="44"/>
      <c r="N1039" s="44"/>
      <c r="O1039" s="44"/>
      <c r="P1039" s="44"/>
      <c r="Q1039" s="44"/>
    </row>
    <row r="1040" spans="8:17" x14ac:dyDescent="0.25">
      <c r="H1040" s="44"/>
      <c r="I1040" s="44"/>
      <c r="J1040" s="45"/>
      <c r="K1040" s="45"/>
      <c r="L1040" s="45"/>
      <c r="M1040" s="44"/>
      <c r="N1040" s="44"/>
      <c r="O1040" s="44"/>
      <c r="P1040" s="44"/>
      <c r="Q1040" s="44"/>
    </row>
    <row r="1041" spans="8:17" x14ac:dyDescent="0.25">
      <c r="H1041" s="44"/>
      <c r="I1041" s="44"/>
      <c r="J1041" s="45"/>
      <c r="K1041" s="45"/>
      <c r="L1041" s="45"/>
      <c r="M1041" s="44"/>
      <c r="N1041" s="44"/>
      <c r="O1041" s="44"/>
      <c r="P1041" s="44"/>
      <c r="Q1041" s="44"/>
    </row>
    <row r="1042" spans="8:17" x14ac:dyDescent="0.25">
      <c r="H1042" s="44"/>
      <c r="I1042" s="44"/>
      <c r="J1042" s="45"/>
      <c r="K1042" s="45"/>
      <c r="L1042" s="45"/>
      <c r="M1042" s="44"/>
      <c r="N1042" s="44"/>
      <c r="O1042" s="44"/>
      <c r="P1042" s="44"/>
      <c r="Q1042" s="44"/>
    </row>
    <row r="1043" spans="8:17" x14ac:dyDescent="0.25">
      <c r="H1043" s="44"/>
      <c r="I1043" s="44"/>
      <c r="J1043" s="45"/>
      <c r="K1043" s="45"/>
      <c r="L1043" s="45"/>
      <c r="M1043" s="44"/>
      <c r="N1043" s="44"/>
      <c r="O1043" s="44"/>
      <c r="P1043" s="44"/>
      <c r="Q1043" s="44"/>
    </row>
    <row r="1044" spans="8:17" x14ac:dyDescent="0.25">
      <c r="H1044" s="44"/>
      <c r="I1044" s="44"/>
      <c r="J1044" s="45"/>
      <c r="K1044" s="45"/>
      <c r="L1044" s="45"/>
      <c r="M1044" s="44"/>
      <c r="N1044" s="44"/>
      <c r="O1044" s="44"/>
      <c r="P1044" s="44"/>
      <c r="Q1044" s="44"/>
    </row>
    <row r="1045" spans="8:17" x14ac:dyDescent="0.25">
      <c r="H1045" s="44"/>
      <c r="I1045" s="44"/>
      <c r="J1045" s="45"/>
      <c r="K1045" s="45"/>
      <c r="L1045" s="45"/>
      <c r="M1045" s="44"/>
      <c r="N1045" s="44"/>
      <c r="O1045" s="44"/>
      <c r="P1045" s="44"/>
      <c r="Q1045" s="44"/>
    </row>
    <row r="1046" spans="8:17" x14ac:dyDescent="0.25">
      <c r="H1046" s="44"/>
      <c r="I1046" s="44"/>
      <c r="J1046" s="45"/>
      <c r="K1046" s="45"/>
      <c r="L1046" s="45"/>
      <c r="M1046" s="44"/>
      <c r="N1046" s="44"/>
      <c r="O1046" s="44"/>
      <c r="P1046" s="44"/>
      <c r="Q1046" s="44"/>
    </row>
    <row r="1047" spans="8:17" x14ac:dyDescent="0.25">
      <c r="H1047" s="44"/>
      <c r="I1047" s="44"/>
      <c r="J1047" s="45"/>
      <c r="K1047" s="45"/>
      <c r="L1047" s="45"/>
      <c r="M1047" s="44"/>
      <c r="N1047" s="44"/>
      <c r="O1047" s="44"/>
      <c r="P1047" s="44"/>
      <c r="Q1047" s="44"/>
    </row>
    <row r="1048" spans="8:17" x14ac:dyDescent="0.25">
      <c r="H1048" s="44"/>
      <c r="I1048" s="44"/>
      <c r="J1048" s="45"/>
      <c r="K1048" s="45"/>
      <c r="L1048" s="45"/>
      <c r="M1048" s="44"/>
      <c r="N1048" s="44"/>
      <c r="O1048" s="44"/>
      <c r="P1048" s="44"/>
      <c r="Q1048" s="44"/>
    </row>
    <row r="1049" spans="8:17" x14ac:dyDescent="0.25">
      <c r="H1049" s="44"/>
      <c r="I1049" s="44"/>
      <c r="J1049" s="45"/>
      <c r="K1049" s="45"/>
      <c r="L1049" s="45"/>
      <c r="M1049" s="44"/>
      <c r="N1049" s="44"/>
      <c r="O1049" s="44"/>
      <c r="P1049" s="44"/>
      <c r="Q1049" s="44"/>
    </row>
    <row r="1050" spans="8:17" x14ac:dyDescent="0.25">
      <c r="H1050" s="44"/>
      <c r="I1050" s="44"/>
      <c r="J1050" s="45"/>
      <c r="K1050" s="45"/>
      <c r="L1050" s="45"/>
      <c r="M1050" s="44"/>
      <c r="N1050" s="44"/>
      <c r="O1050" s="44"/>
      <c r="P1050" s="44"/>
      <c r="Q1050" s="44"/>
    </row>
    <row r="1051" spans="8:17" x14ac:dyDescent="0.25">
      <c r="H1051" s="44"/>
      <c r="I1051" s="44"/>
      <c r="J1051" s="45"/>
      <c r="K1051" s="45"/>
      <c r="L1051" s="45"/>
      <c r="M1051" s="44"/>
      <c r="N1051" s="44"/>
      <c r="O1051" s="44"/>
      <c r="P1051" s="44"/>
      <c r="Q1051" s="44"/>
    </row>
    <row r="1052" spans="8:17" x14ac:dyDescent="0.25">
      <c r="H1052" s="44"/>
      <c r="I1052" s="44"/>
      <c r="J1052" s="45"/>
      <c r="K1052" s="45"/>
      <c r="L1052" s="45"/>
      <c r="M1052" s="44"/>
      <c r="N1052" s="44"/>
      <c r="O1052" s="44"/>
      <c r="P1052" s="44"/>
      <c r="Q1052" s="44"/>
    </row>
    <row r="1053" spans="8:17" x14ac:dyDescent="0.25">
      <c r="H1053" s="44"/>
      <c r="I1053" s="44"/>
      <c r="J1053" s="45"/>
      <c r="K1053" s="45"/>
      <c r="L1053" s="45"/>
      <c r="M1053" s="44"/>
      <c r="N1053" s="44"/>
      <c r="O1053" s="44"/>
      <c r="P1053" s="44"/>
      <c r="Q1053" s="44"/>
    </row>
    <row r="1054" spans="8:17" x14ac:dyDescent="0.25">
      <c r="H1054" s="44"/>
      <c r="I1054" s="44"/>
      <c r="J1054" s="45"/>
      <c r="K1054" s="45"/>
      <c r="L1054" s="45"/>
      <c r="M1054" s="44"/>
      <c r="N1054" s="44"/>
      <c r="O1054" s="44"/>
      <c r="P1054" s="44"/>
      <c r="Q1054" s="44"/>
    </row>
    <row r="1055" spans="8:17" x14ac:dyDescent="0.25">
      <c r="H1055" s="44"/>
      <c r="I1055" s="44"/>
      <c r="J1055" s="45"/>
      <c r="K1055" s="45"/>
      <c r="L1055" s="45"/>
      <c r="M1055" s="44"/>
      <c r="N1055" s="44"/>
      <c r="O1055" s="44"/>
      <c r="P1055" s="44"/>
      <c r="Q1055" s="44"/>
    </row>
    <row r="1056" spans="8:17" x14ac:dyDescent="0.25">
      <c r="H1056" s="44"/>
      <c r="I1056" s="44"/>
      <c r="J1056" s="45"/>
      <c r="K1056" s="45"/>
      <c r="L1056" s="45"/>
      <c r="M1056" s="44"/>
      <c r="N1056" s="44"/>
      <c r="O1056" s="44"/>
      <c r="P1056" s="44"/>
      <c r="Q1056" s="44"/>
    </row>
    <row r="1057" spans="8:17" x14ac:dyDescent="0.25">
      <c r="H1057" s="44"/>
      <c r="I1057" s="44"/>
      <c r="J1057" s="45"/>
      <c r="K1057" s="45"/>
      <c r="L1057" s="45"/>
      <c r="M1057" s="44"/>
      <c r="N1057" s="44"/>
      <c r="O1057" s="44"/>
      <c r="P1057" s="44"/>
      <c r="Q1057" s="44"/>
    </row>
    <row r="1058" spans="8:17" x14ac:dyDescent="0.25">
      <c r="H1058" s="44"/>
      <c r="I1058" s="44"/>
      <c r="J1058" s="45"/>
      <c r="K1058" s="45"/>
      <c r="L1058" s="45"/>
      <c r="M1058" s="44"/>
      <c r="N1058" s="44"/>
      <c r="O1058" s="44"/>
      <c r="P1058" s="44"/>
      <c r="Q1058" s="44"/>
    </row>
    <row r="1059" spans="8:17" x14ac:dyDescent="0.25">
      <c r="H1059" s="44"/>
      <c r="I1059" s="44"/>
      <c r="J1059" s="45"/>
      <c r="K1059" s="45"/>
      <c r="L1059" s="45"/>
      <c r="M1059" s="44"/>
      <c r="N1059" s="44"/>
      <c r="O1059" s="44"/>
      <c r="P1059" s="44"/>
      <c r="Q1059" s="44"/>
    </row>
    <row r="1060" spans="8:17" x14ac:dyDescent="0.25">
      <c r="H1060" s="44"/>
      <c r="I1060" s="44"/>
      <c r="J1060" s="45"/>
      <c r="K1060" s="45"/>
      <c r="L1060" s="45"/>
      <c r="M1060" s="44"/>
      <c r="N1060" s="44"/>
      <c r="O1060" s="44"/>
      <c r="P1060" s="44"/>
      <c r="Q1060" s="44"/>
    </row>
    <row r="1061" spans="8:17" x14ac:dyDescent="0.25">
      <c r="H1061" s="44"/>
      <c r="I1061" s="44"/>
      <c r="J1061" s="45"/>
      <c r="K1061" s="45"/>
      <c r="L1061" s="45"/>
      <c r="M1061" s="44"/>
      <c r="N1061" s="44"/>
      <c r="O1061" s="44"/>
      <c r="P1061" s="44"/>
      <c r="Q1061" s="44"/>
    </row>
    <row r="1062" spans="8:17" x14ac:dyDescent="0.25">
      <c r="H1062" s="44"/>
      <c r="I1062" s="44"/>
      <c r="J1062" s="45"/>
      <c r="K1062" s="45"/>
      <c r="L1062" s="45"/>
      <c r="M1062" s="44"/>
      <c r="N1062" s="44"/>
      <c r="O1062" s="44"/>
      <c r="P1062" s="44"/>
      <c r="Q1062" s="44"/>
    </row>
    <row r="1063" spans="8:17" x14ac:dyDescent="0.25">
      <c r="H1063" s="44"/>
      <c r="I1063" s="44"/>
      <c r="J1063" s="45"/>
      <c r="K1063" s="45"/>
      <c r="L1063" s="45"/>
      <c r="M1063" s="44"/>
      <c r="N1063" s="44"/>
      <c r="O1063" s="44"/>
      <c r="P1063" s="44"/>
      <c r="Q1063" s="44"/>
    </row>
    <row r="1064" spans="8:17" x14ac:dyDescent="0.25">
      <c r="H1064" s="44"/>
      <c r="I1064" s="44"/>
      <c r="J1064" s="45"/>
      <c r="K1064" s="45"/>
      <c r="L1064" s="45"/>
      <c r="M1064" s="44"/>
      <c r="N1064" s="44"/>
      <c r="O1064" s="44"/>
      <c r="P1064" s="44"/>
      <c r="Q1064" s="44"/>
    </row>
    <row r="1065" spans="8:17" x14ac:dyDescent="0.25">
      <c r="H1065" s="44"/>
      <c r="I1065" s="44"/>
      <c r="J1065" s="45"/>
      <c r="K1065" s="45"/>
      <c r="L1065" s="45"/>
      <c r="M1065" s="44"/>
      <c r="N1065" s="44"/>
      <c r="O1065" s="44"/>
      <c r="P1065" s="44"/>
      <c r="Q1065" s="44"/>
    </row>
    <row r="1066" spans="8:17" x14ac:dyDescent="0.25">
      <c r="H1066" s="44"/>
      <c r="I1066" s="44"/>
      <c r="J1066" s="45"/>
      <c r="K1066" s="45"/>
      <c r="L1066" s="45"/>
      <c r="M1066" s="44"/>
      <c r="N1066" s="44"/>
      <c r="O1066" s="44"/>
      <c r="P1066" s="44"/>
      <c r="Q1066" s="44"/>
    </row>
    <row r="1067" spans="8:17" x14ac:dyDescent="0.25">
      <c r="H1067" s="44"/>
      <c r="I1067" s="44"/>
      <c r="J1067" s="45"/>
      <c r="K1067" s="45"/>
      <c r="L1067" s="45"/>
      <c r="M1067" s="44"/>
      <c r="N1067" s="44"/>
      <c r="O1067" s="44"/>
      <c r="P1067" s="44"/>
      <c r="Q1067" s="44"/>
    </row>
    <row r="1068" spans="8:17" x14ac:dyDescent="0.25">
      <c r="H1068" s="44"/>
      <c r="I1068" s="44"/>
      <c r="J1068" s="45"/>
      <c r="K1068" s="45"/>
      <c r="L1068" s="45"/>
      <c r="M1068" s="44"/>
      <c r="N1068" s="44"/>
      <c r="O1068" s="44"/>
      <c r="P1068" s="44"/>
      <c r="Q1068" s="44"/>
    </row>
    <row r="1069" spans="8:17" x14ac:dyDescent="0.25">
      <c r="H1069" s="44"/>
      <c r="I1069" s="44"/>
      <c r="J1069" s="45"/>
      <c r="K1069" s="45"/>
      <c r="L1069" s="45"/>
      <c r="M1069" s="44"/>
      <c r="N1069" s="44"/>
      <c r="O1069" s="44"/>
      <c r="P1069" s="44"/>
      <c r="Q1069" s="44"/>
    </row>
    <row r="1070" spans="8:17" x14ac:dyDescent="0.25">
      <c r="H1070" s="44"/>
      <c r="I1070" s="44"/>
      <c r="J1070" s="45"/>
      <c r="K1070" s="45"/>
      <c r="L1070" s="45"/>
      <c r="M1070" s="44"/>
      <c r="N1070" s="44"/>
      <c r="O1070" s="44"/>
      <c r="P1070" s="44"/>
      <c r="Q1070" s="44"/>
    </row>
    <row r="1071" spans="8:17" x14ac:dyDescent="0.25">
      <c r="H1071" s="44"/>
      <c r="I1071" s="44"/>
      <c r="J1071" s="45"/>
      <c r="K1071" s="45"/>
      <c r="L1071" s="45"/>
      <c r="M1071" s="44"/>
      <c r="N1071" s="44"/>
      <c r="O1071" s="44"/>
      <c r="P1071" s="44"/>
      <c r="Q1071" s="44"/>
    </row>
    <row r="1072" spans="8:17" x14ac:dyDescent="0.25">
      <c r="H1072" s="44"/>
      <c r="I1072" s="44"/>
      <c r="J1072" s="45"/>
      <c r="K1072" s="45"/>
      <c r="L1072" s="45"/>
      <c r="M1072" s="44"/>
      <c r="N1072" s="44"/>
      <c r="O1072" s="44"/>
      <c r="P1072" s="44"/>
      <c r="Q1072" s="44"/>
    </row>
    <row r="1073" spans="8:17" x14ac:dyDescent="0.25">
      <c r="H1073" s="44"/>
      <c r="I1073" s="44"/>
      <c r="J1073" s="45"/>
      <c r="K1073" s="45"/>
      <c r="L1073" s="45"/>
      <c r="M1073" s="44"/>
      <c r="N1073" s="44"/>
      <c r="O1073" s="44"/>
      <c r="P1073" s="44"/>
      <c r="Q1073" s="44"/>
    </row>
    <row r="1074" spans="8:17" x14ac:dyDescent="0.25">
      <c r="H1074" s="44"/>
      <c r="I1074" s="44"/>
      <c r="J1074" s="45"/>
      <c r="K1074" s="45"/>
      <c r="L1074" s="45"/>
      <c r="M1074" s="44"/>
      <c r="N1074" s="44"/>
      <c r="O1074" s="44"/>
      <c r="P1074" s="44"/>
      <c r="Q1074" s="44"/>
    </row>
    <row r="1075" spans="8:17" x14ac:dyDescent="0.25">
      <c r="H1075" s="44"/>
      <c r="I1075" s="44"/>
      <c r="J1075" s="45"/>
      <c r="K1075" s="45"/>
      <c r="L1075" s="45"/>
      <c r="M1075" s="44"/>
      <c r="N1075" s="44"/>
      <c r="O1075" s="44"/>
      <c r="P1075" s="44"/>
      <c r="Q1075" s="44"/>
    </row>
    <row r="1076" spans="8:17" x14ac:dyDescent="0.25">
      <c r="H1076" s="44"/>
      <c r="I1076" s="44"/>
      <c r="J1076" s="45"/>
      <c r="K1076" s="45"/>
      <c r="L1076" s="45"/>
      <c r="M1076" s="44"/>
      <c r="N1076" s="44"/>
      <c r="O1076" s="44"/>
      <c r="P1076" s="44"/>
      <c r="Q1076" s="44"/>
    </row>
    <row r="1077" spans="8:17" x14ac:dyDescent="0.25">
      <c r="H1077" s="44"/>
      <c r="I1077" s="44"/>
      <c r="J1077" s="45"/>
      <c r="K1077" s="45"/>
      <c r="L1077" s="45"/>
      <c r="M1077" s="44"/>
      <c r="N1077" s="44"/>
      <c r="O1077" s="44"/>
      <c r="P1077" s="44"/>
      <c r="Q1077" s="44"/>
    </row>
    <row r="1078" spans="8:17" x14ac:dyDescent="0.25">
      <c r="H1078" s="44"/>
      <c r="I1078" s="44"/>
      <c r="J1078" s="45"/>
      <c r="K1078" s="45"/>
      <c r="L1078" s="45"/>
      <c r="M1078" s="44"/>
      <c r="N1078" s="44"/>
      <c r="O1078" s="44"/>
      <c r="P1078" s="44"/>
      <c r="Q1078" s="44"/>
    </row>
    <row r="1079" spans="8:17" x14ac:dyDescent="0.25">
      <c r="H1079" s="44"/>
      <c r="I1079" s="44"/>
      <c r="J1079" s="45"/>
      <c r="K1079" s="45"/>
      <c r="L1079" s="45"/>
      <c r="M1079" s="44"/>
      <c r="N1079" s="44"/>
      <c r="O1079" s="44"/>
      <c r="P1079" s="44"/>
      <c r="Q1079" s="44"/>
    </row>
    <row r="1080" spans="8:17" x14ac:dyDescent="0.25">
      <c r="H1080" s="44"/>
      <c r="I1080" s="44"/>
      <c r="J1080" s="45"/>
      <c r="K1080" s="45"/>
      <c r="L1080" s="45"/>
      <c r="M1080" s="44"/>
      <c r="N1080" s="44"/>
      <c r="O1080" s="44"/>
      <c r="P1080" s="44"/>
      <c r="Q1080" s="44"/>
    </row>
    <row r="1081" spans="8:17" x14ac:dyDescent="0.25">
      <c r="H1081" s="44"/>
      <c r="I1081" s="44"/>
      <c r="J1081" s="45"/>
      <c r="K1081" s="45"/>
      <c r="L1081" s="45"/>
      <c r="M1081" s="44"/>
      <c r="N1081" s="44"/>
      <c r="O1081" s="44"/>
      <c r="P1081" s="44"/>
      <c r="Q1081" s="44"/>
    </row>
    <row r="1082" spans="8:17" x14ac:dyDescent="0.25">
      <c r="H1082" s="44"/>
      <c r="I1082" s="44"/>
      <c r="J1082" s="45"/>
      <c r="K1082" s="45"/>
      <c r="L1082" s="45"/>
      <c r="M1082" s="44"/>
      <c r="N1082" s="44"/>
      <c r="O1082" s="44"/>
      <c r="P1082" s="44"/>
      <c r="Q1082" s="44"/>
    </row>
    <row r="1083" spans="8:17" x14ac:dyDescent="0.25">
      <c r="H1083" s="44"/>
      <c r="I1083" s="44"/>
      <c r="J1083" s="45"/>
      <c r="K1083" s="45"/>
      <c r="L1083" s="45"/>
      <c r="M1083" s="44"/>
      <c r="N1083" s="44"/>
      <c r="O1083" s="44"/>
      <c r="P1083" s="44"/>
      <c r="Q1083" s="44"/>
    </row>
    <row r="1084" spans="8:17" x14ac:dyDescent="0.25">
      <c r="H1084" s="44"/>
      <c r="I1084" s="44"/>
      <c r="J1084" s="45"/>
      <c r="K1084" s="45"/>
      <c r="L1084" s="45"/>
      <c r="M1084" s="44"/>
      <c r="N1084" s="44"/>
      <c r="O1084" s="44"/>
      <c r="P1084" s="44"/>
      <c r="Q1084" s="44"/>
    </row>
    <row r="1085" spans="8:17" x14ac:dyDescent="0.25">
      <c r="H1085" s="44"/>
      <c r="I1085" s="44"/>
      <c r="J1085" s="45"/>
      <c r="K1085" s="45"/>
      <c r="L1085" s="45"/>
      <c r="M1085" s="44"/>
      <c r="N1085" s="44"/>
      <c r="O1085" s="44"/>
      <c r="P1085" s="44"/>
      <c r="Q1085" s="44"/>
    </row>
    <row r="1086" spans="8:17" x14ac:dyDescent="0.25">
      <c r="H1086" s="44"/>
      <c r="I1086" s="44"/>
      <c r="J1086" s="45"/>
      <c r="K1086" s="45"/>
      <c r="L1086" s="45"/>
      <c r="M1086" s="44"/>
      <c r="N1086" s="44"/>
      <c r="O1086" s="44"/>
      <c r="P1086" s="44"/>
      <c r="Q1086" s="44"/>
    </row>
    <row r="1087" spans="8:17" x14ac:dyDescent="0.25">
      <c r="H1087" s="44"/>
      <c r="I1087" s="44"/>
      <c r="J1087" s="45"/>
      <c r="K1087" s="45"/>
      <c r="L1087" s="45"/>
      <c r="M1087" s="44"/>
      <c r="N1087" s="44"/>
      <c r="O1087" s="44"/>
      <c r="P1087" s="44"/>
      <c r="Q1087" s="44"/>
    </row>
    <row r="1088" spans="8:17" x14ac:dyDescent="0.25">
      <c r="H1088" s="44"/>
      <c r="I1088" s="44"/>
      <c r="J1088" s="45"/>
      <c r="K1088" s="45"/>
      <c r="L1088" s="45"/>
      <c r="M1088" s="44"/>
      <c r="N1088" s="44"/>
      <c r="O1088" s="44"/>
      <c r="P1088" s="44"/>
      <c r="Q1088" s="44"/>
    </row>
    <row r="1089" spans="8:17" x14ac:dyDescent="0.25">
      <c r="H1089" s="44"/>
      <c r="I1089" s="44"/>
      <c r="J1089" s="45"/>
      <c r="K1089" s="45"/>
      <c r="L1089" s="45"/>
      <c r="M1089" s="44"/>
      <c r="N1089" s="44"/>
      <c r="O1089" s="44"/>
      <c r="P1089" s="44"/>
      <c r="Q1089" s="44"/>
    </row>
    <row r="1090" spans="8:17" x14ac:dyDescent="0.25">
      <c r="H1090" s="44"/>
      <c r="I1090" s="44"/>
      <c r="J1090" s="45"/>
      <c r="K1090" s="45"/>
      <c r="L1090" s="45"/>
      <c r="M1090" s="44"/>
      <c r="N1090" s="44"/>
      <c r="O1090" s="44"/>
      <c r="P1090" s="44"/>
      <c r="Q1090" s="44"/>
    </row>
    <row r="1091" spans="8:17" x14ac:dyDescent="0.25">
      <c r="H1091" s="44"/>
      <c r="I1091" s="44"/>
      <c r="J1091" s="45"/>
      <c r="K1091" s="45"/>
      <c r="L1091" s="45"/>
      <c r="M1091" s="44"/>
      <c r="N1091" s="44"/>
      <c r="O1091" s="44"/>
      <c r="P1091" s="44"/>
      <c r="Q1091" s="44"/>
    </row>
    <row r="1092" spans="8:17" x14ac:dyDescent="0.25">
      <c r="H1092" s="44"/>
      <c r="I1092" s="44"/>
      <c r="J1092" s="45"/>
      <c r="K1092" s="45"/>
      <c r="L1092" s="45"/>
      <c r="M1092" s="44"/>
      <c r="N1092" s="44"/>
      <c r="O1092" s="44"/>
      <c r="P1092" s="44"/>
      <c r="Q1092" s="44"/>
    </row>
    <row r="1093" spans="8:17" x14ac:dyDescent="0.25">
      <c r="H1093" s="44"/>
      <c r="I1093" s="44"/>
      <c r="J1093" s="45"/>
      <c r="K1093" s="45"/>
      <c r="L1093" s="45"/>
      <c r="M1093" s="44"/>
      <c r="N1093" s="44"/>
      <c r="O1093" s="44"/>
      <c r="P1093" s="44"/>
      <c r="Q1093" s="44"/>
    </row>
    <row r="1094" spans="8:17" x14ac:dyDescent="0.25">
      <c r="H1094" s="44"/>
      <c r="I1094" s="44"/>
      <c r="J1094" s="45"/>
      <c r="K1094" s="45"/>
      <c r="L1094" s="45"/>
      <c r="M1094" s="44"/>
      <c r="N1094" s="44"/>
      <c r="O1094" s="44"/>
      <c r="P1094" s="44"/>
      <c r="Q1094" s="44"/>
    </row>
    <row r="1095" spans="8:17" x14ac:dyDescent="0.25">
      <c r="H1095" s="44"/>
      <c r="I1095" s="44"/>
      <c r="J1095" s="45"/>
      <c r="K1095" s="45"/>
      <c r="L1095" s="45"/>
      <c r="M1095" s="44"/>
      <c r="N1095" s="44"/>
      <c r="O1095" s="44"/>
      <c r="P1095" s="44"/>
      <c r="Q1095" s="44"/>
    </row>
    <row r="1096" spans="8:17" x14ac:dyDescent="0.25">
      <c r="H1096" s="44"/>
      <c r="I1096" s="44"/>
      <c r="J1096" s="45"/>
      <c r="K1096" s="45"/>
      <c r="L1096" s="45"/>
      <c r="M1096" s="44"/>
      <c r="N1096" s="44"/>
      <c r="O1096" s="44"/>
      <c r="P1096" s="44"/>
      <c r="Q1096" s="44"/>
    </row>
    <row r="1097" spans="8:17" x14ac:dyDescent="0.25">
      <c r="H1097" s="44"/>
      <c r="I1097" s="44"/>
      <c r="J1097" s="45"/>
      <c r="K1097" s="45"/>
      <c r="L1097" s="45"/>
      <c r="M1097" s="44"/>
      <c r="N1097" s="44"/>
      <c r="O1097" s="44"/>
      <c r="P1097" s="44"/>
      <c r="Q1097" s="44"/>
    </row>
    <row r="1098" spans="8:17" x14ac:dyDescent="0.25">
      <c r="H1098" s="44"/>
      <c r="I1098" s="44"/>
      <c r="J1098" s="45"/>
      <c r="K1098" s="45"/>
      <c r="L1098" s="45"/>
      <c r="M1098" s="44"/>
      <c r="N1098" s="44"/>
      <c r="O1098" s="44"/>
      <c r="P1098" s="44"/>
      <c r="Q1098" s="44"/>
    </row>
    <row r="1099" spans="8:17" x14ac:dyDescent="0.25">
      <c r="H1099" s="44"/>
      <c r="I1099" s="44"/>
      <c r="J1099" s="45"/>
      <c r="K1099" s="45"/>
      <c r="L1099" s="45"/>
      <c r="M1099" s="44"/>
      <c r="N1099" s="44"/>
      <c r="O1099" s="44"/>
      <c r="P1099" s="44"/>
      <c r="Q1099" s="44"/>
    </row>
    <row r="1100" spans="8:17" x14ac:dyDescent="0.25">
      <c r="H1100" s="44"/>
      <c r="I1100" s="44"/>
      <c r="J1100" s="45"/>
      <c r="K1100" s="45"/>
      <c r="L1100" s="45"/>
      <c r="M1100" s="44"/>
      <c r="N1100" s="44"/>
      <c r="O1100" s="44"/>
      <c r="P1100" s="44"/>
      <c r="Q1100" s="44"/>
    </row>
    <row r="1101" spans="8:17" x14ac:dyDescent="0.25">
      <c r="H1101" s="44"/>
      <c r="I1101" s="44"/>
      <c r="J1101" s="45"/>
      <c r="K1101" s="45"/>
      <c r="L1101" s="45"/>
      <c r="M1101" s="44"/>
      <c r="N1101" s="44"/>
      <c r="O1101" s="44"/>
      <c r="P1101" s="44"/>
      <c r="Q1101" s="44"/>
    </row>
    <row r="1102" spans="8:17" x14ac:dyDescent="0.25">
      <c r="H1102" s="44"/>
      <c r="I1102" s="44"/>
      <c r="J1102" s="45"/>
      <c r="K1102" s="45"/>
      <c r="L1102" s="45"/>
      <c r="M1102" s="44"/>
      <c r="N1102" s="44"/>
      <c r="O1102" s="44"/>
      <c r="P1102" s="44"/>
      <c r="Q1102" s="44"/>
    </row>
    <row r="1103" spans="8:17" x14ac:dyDescent="0.25">
      <c r="H1103" s="44"/>
      <c r="I1103" s="44"/>
      <c r="J1103" s="45"/>
      <c r="K1103" s="45"/>
      <c r="L1103" s="45"/>
      <c r="M1103" s="44"/>
      <c r="N1103" s="44"/>
      <c r="O1103" s="44"/>
      <c r="P1103" s="44"/>
      <c r="Q1103" s="44"/>
    </row>
    <row r="1104" spans="8:17" x14ac:dyDescent="0.25">
      <c r="H1104" s="44"/>
      <c r="I1104" s="44"/>
      <c r="J1104" s="45"/>
      <c r="K1104" s="45"/>
      <c r="L1104" s="45"/>
      <c r="M1104" s="44"/>
      <c r="N1104" s="44"/>
      <c r="O1104" s="44"/>
      <c r="P1104" s="44"/>
      <c r="Q1104" s="44"/>
    </row>
    <row r="1105" spans="8:17" x14ac:dyDescent="0.25">
      <c r="H1105" s="44"/>
      <c r="I1105" s="44"/>
      <c r="J1105" s="45"/>
      <c r="K1105" s="45"/>
      <c r="L1105" s="45"/>
      <c r="M1105" s="44"/>
      <c r="N1105" s="44"/>
      <c r="O1105" s="44"/>
      <c r="P1105" s="44"/>
      <c r="Q1105" s="44"/>
    </row>
    <row r="1106" spans="8:17" x14ac:dyDescent="0.25">
      <c r="H1106" s="44"/>
      <c r="I1106" s="44"/>
      <c r="J1106" s="45"/>
      <c r="K1106" s="45"/>
      <c r="L1106" s="45"/>
      <c r="M1106" s="44"/>
      <c r="N1106" s="44"/>
      <c r="O1106" s="44"/>
      <c r="P1106" s="44"/>
      <c r="Q1106" s="44"/>
    </row>
    <row r="1107" spans="8:17" x14ac:dyDescent="0.25">
      <c r="H1107" s="44"/>
      <c r="I1107" s="44"/>
      <c r="J1107" s="45"/>
      <c r="K1107" s="45"/>
      <c r="L1107" s="45"/>
      <c r="M1107" s="44"/>
      <c r="N1107" s="44"/>
      <c r="O1107" s="44"/>
      <c r="P1107" s="44"/>
      <c r="Q1107" s="44"/>
    </row>
    <row r="1108" spans="8:17" x14ac:dyDescent="0.25">
      <c r="H1108" s="44"/>
      <c r="I1108" s="44"/>
      <c r="J1108" s="45"/>
      <c r="K1108" s="45"/>
      <c r="L1108" s="45"/>
      <c r="M1108" s="44"/>
      <c r="N1108" s="44"/>
      <c r="O1108" s="44"/>
      <c r="P1108" s="44"/>
      <c r="Q1108" s="44"/>
    </row>
    <row r="1109" spans="8:17" x14ac:dyDescent="0.25">
      <c r="H1109" s="44"/>
      <c r="I1109" s="44"/>
      <c r="J1109" s="45"/>
      <c r="K1109" s="45"/>
      <c r="L1109" s="45"/>
      <c r="M1109" s="44"/>
      <c r="N1109" s="44"/>
      <c r="O1109" s="44"/>
      <c r="P1109" s="44"/>
      <c r="Q1109" s="44"/>
    </row>
    <row r="1110" spans="8:17" x14ac:dyDescent="0.25">
      <c r="H1110" s="44"/>
      <c r="I1110" s="44"/>
      <c r="J1110" s="45"/>
      <c r="K1110" s="45"/>
      <c r="L1110" s="45"/>
      <c r="M1110" s="44"/>
      <c r="N1110" s="44"/>
      <c r="O1110" s="44"/>
      <c r="P1110" s="44"/>
      <c r="Q1110" s="44"/>
    </row>
    <row r="1111" spans="8:17" x14ac:dyDescent="0.25">
      <c r="H1111" s="44"/>
      <c r="I1111" s="44"/>
      <c r="J1111" s="45"/>
      <c r="K1111" s="45"/>
      <c r="L1111" s="45"/>
      <c r="M1111" s="44"/>
      <c r="N1111" s="44"/>
      <c r="O1111" s="44"/>
      <c r="P1111" s="44"/>
      <c r="Q1111" s="44"/>
    </row>
    <row r="1112" spans="8:17" x14ac:dyDescent="0.25">
      <c r="H1112" s="44"/>
      <c r="I1112" s="44"/>
      <c r="J1112" s="45"/>
      <c r="K1112" s="45"/>
      <c r="L1112" s="45"/>
      <c r="M1112" s="44"/>
      <c r="N1112" s="44"/>
      <c r="O1112" s="44"/>
      <c r="P1112" s="44"/>
      <c r="Q1112" s="44"/>
    </row>
    <row r="1113" spans="8:17" x14ac:dyDescent="0.25">
      <c r="H1113" s="44"/>
      <c r="I1113" s="44"/>
      <c r="J1113" s="45"/>
      <c r="K1113" s="45"/>
      <c r="L1113" s="45"/>
      <c r="M1113" s="44"/>
      <c r="N1113" s="44"/>
      <c r="O1113" s="44"/>
      <c r="P1113" s="44"/>
      <c r="Q1113" s="44"/>
    </row>
    <row r="1114" spans="8:17" x14ac:dyDescent="0.25">
      <c r="H1114" s="44"/>
      <c r="I1114" s="44"/>
      <c r="J1114" s="45"/>
      <c r="K1114" s="45"/>
      <c r="L1114" s="45"/>
      <c r="M1114" s="44"/>
      <c r="N1114" s="44"/>
      <c r="O1114" s="44"/>
      <c r="P1114" s="44"/>
      <c r="Q1114" s="44"/>
    </row>
    <row r="1115" spans="8:17" x14ac:dyDescent="0.25">
      <c r="H1115" s="44"/>
      <c r="I1115" s="44"/>
      <c r="J1115" s="45"/>
      <c r="K1115" s="45"/>
      <c r="L1115" s="45"/>
      <c r="M1115" s="44"/>
      <c r="N1115" s="44"/>
      <c r="O1115" s="44"/>
      <c r="P1115" s="44"/>
      <c r="Q1115" s="44"/>
    </row>
    <row r="1116" spans="8:17" x14ac:dyDescent="0.25">
      <c r="H1116" s="44"/>
      <c r="I1116" s="44"/>
      <c r="J1116" s="45"/>
      <c r="K1116" s="45"/>
      <c r="L1116" s="45"/>
      <c r="M1116" s="44"/>
      <c r="N1116" s="44"/>
      <c r="O1116" s="44"/>
      <c r="P1116" s="44"/>
      <c r="Q1116" s="44"/>
    </row>
    <row r="1117" spans="8:17" x14ac:dyDescent="0.25">
      <c r="H1117" s="44"/>
      <c r="I1117" s="44"/>
      <c r="J1117" s="45"/>
      <c r="K1117" s="45"/>
      <c r="L1117" s="45"/>
      <c r="M1117" s="44"/>
      <c r="N1117" s="44"/>
      <c r="O1117" s="44"/>
      <c r="P1117" s="44"/>
      <c r="Q1117" s="44"/>
    </row>
    <row r="1118" spans="8:17" x14ac:dyDescent="0.25">
      <c r="H1118" s="44"/>
      <c r="I1118" s="44"/>
      <c r="J1118" s="45"/>
      <c r="K1118" s="45"/>
      <c r="L1118" s="45"/>
      <c r="M1118" s="44"/>
      <c r="N1118" s="44"/>
      <c r="O1118" s="44"/>
      <c r="P1118" s="44"/>
      <c r="Q1118" s="44"/>
    </row>
    <row r="1119" spans="8:17" x14ac:dyDescent="0.25">
      <c r="H1119" s="44"/>
      <c r="I1119" s="44"/>
      <c r="J1119" s="45"/>
      <c r="K1119" s="45"/>
      <c r="L1119" s="45"/>
      <c r="M1119" s="44"/>
      <c r="N1119" s="44"/>
      <c r="O1119" s="44"/>
      <c r="P1119" s="44"/>
      <c r="Q1119" s="44"/>
    </row>
    <row r="1120" spans="8:17" x14ac:dyDescent="0.25">
      <c r="H1120" s="44"/>
      <c r="I1120" s="44"/>
      <c r="J1120" s="45"/>
      <c r="K1120" s="45"/>
      <c r="L1120" s="45"/>
      <c r="M1120" s="44"/>
      <c r="N1120" s="44"/>
      <c r="O1120" s="44"/>
      <c r="P1120" s="44"/>
      <c r="Q1120" s="44"/>
    </row>
    <row r="1121" spans="8:17" x14ac:dyDescent="0.25">
      <c r="H1121" s="44"/>
      <c r="I1121" s="44"/>
      <c r="J1121" s="45"/>
      <c r="K1121" s="45"/>
      <c r="L1121" s="45"/>
      <c r="M1121" s="44"/>
      <c r="N1121" s="44"/>
      <c r="O1121" s="44"/>
      <c r="P1121" s="44"/>
      <c r="Q1121" s="44"/>
    </row>
    <row r="1122" spans="8:17" x14ac:dyDescent="0.25">
      <c r="H1122" s="44"/>
      <c r="I1122" s="44"/>
      <c r="J1122" s="45"/>
      <c r="K1122" s="45"/>
      <c r="L1122" s="45"/>
      <c r="M1122" s="44"/>
      <c r="N1122" s="44"/>
      <c r="O1122" s="44"/>
      <c r="P1122" s="44"/>
      <c r="Q1122" s="44"/>
    </row>
    <row r="1123" spans="8:17" x14ac:dyDescent="0.25">
      <c r="H1123" s="44"/>
      <c r="I1123" s="44"/>
      <c r="J1123" s="45"/>
      <c r="K1123" s="45"/>
      <c r="L1123" s="45"/>
      <c r="M1123" s="44"/>
      <c r="N1123" s="44"/>
      <c r="O1123" s="44"/>
      <c r="P1123" s="44"/>
      <c r="Q1123" s="44"/>
    </row>
    <row r="1124" spans="8:17" x14ac:dyDescent="0.25">
      <c r="H1124" s="44"/>
      <c r="I1124" s="44"/>
      <c r="J1124" s="45"/>
      <c r="K1124" s="45"/>
      <c r="L1124" s="45"/>
      <c r="M1124" s="44"/>
      <c r="N1124" s="44"/>
      <c r="O1124" s="44"/>
      <c r="P1124" s="44"/>
      <c r="Q1124" s="44"/>
    </row>
    <row r="1125" spans="8:17" x14ac:dyDescent="0.25">
      <c r="H1125" s="44"/>
      <c r="I1125" s="44"/>
      <c r="J1125" s="45"/>
      <c r="K1125" s="45"/>
      <c r="L1125" s="45"/>
      <c r="M1125" s="44"/>
      <c r="N1125" s="44"/>
      <c r="O1125" s="44"/>
      <c r="P1125" s="44"/>
      <c r="Q1125" s="44"/>
    </row>
    <row r="1126" spans="8:17" x14ac:dyDescent="0.25">
      <c r="H1126" s="44"/>
      <c r="I1126" s="44"/>
      <c r="J1126" s="45"/>
      <c r="K1126" s="45"/>
      <c r="L1126" s="45"/>
      <c r="M1126" s="44"/>
      <c r="N1126" s="44"/>
      <c r="O1126" s="44"/>
      <c r="P1126" s="44"/>
      <c r="Q1126" s="44"/>
    </row>
    <row r="1127" spans="8:17" x14ac:dyDescent="0.25">
      <c r="H1127" s="44"/>
      <c r="I1127" s="44"/>
      <c r="J1127" s="45"/>
      <c r="K1127" s="45"/>
      <c r="L1127" s="45"/>
      <c r="M1127" s="44"/>
      <c r="N1127" s="44"/>
      <c r="O1127" s="44"/>
      <c r="P1127" s="44"/>
      <c r="Q1127" s="44"/>
    </row>
    <row r="1128" spans="8:17" x14ac:dyDescent="0.25">
      <c r="H1128" s="44"/>
      <c r="I1128" s="44"/>
      <c r="J1128" s="45"/>
      <c r="K1128" s="45"/>
      <c r="L1128" s="45"/>
      <c r="M1128" s="44"/>
      <c r="N1128" s="44"/>
      <c r="O1128" s="44"/>
      <c r="P1128" s="44"/>
      <c r="Q1128" s="44"/>
    </row>
    <row r="1129" spans="8:17" x14ac:dyDescent="0.25">
      <c r="H1129" s="44"/>
      <c r="I1129" s="44"/>
      <c r="J1129" s="45"/>
      <c r="K1129" s="45"/>
      <c r="L1129" s="45"/>
      <c r="M1129" s="44"/>
      <c r="N1129" s="44"/>
      <c r="O1129" s="44"/>
      <c r="P1129" s="44"/>
      <c r="Q1129" s="44"/>
    </row>
    <row r="1130" spans="8:17" x14ac:dyDescent="0.25">
      <c r="H1130" s="44"/>
      <c r="I1130" s="44"/>
      <c r="J1130" s="45"/>
      <c r="K1130" s="45"/>
      <c r="L1130" s="45"/>
      <c r="M1130" s="44"/>
      <c r="N1130" s="44"/>
      <c r="O1130" s="44"/>
      <c r="P1130" s="44"/>
      <c r="Q1130" s="44"/>
    </row>
    <row r="1131" spans="8:17" x14ac:dyDescent="0.25">
      <c r="H1131" s="44"/>
      <c r="I1131" s="44"/>
      <c r="J1131" s="45"/>
      <c r="K1131" s="45"/>
      <c r="L1131" s="45"/>
      <c r="M1131" s="44"/>
      <c r="N1131" s="44"/>
      <c r="O1131" s="44"/>
      <c r="P1131" s="44"/>
      <c r="Q1131" s="44"/>
    </row>
    <row r="1132" spans="8:17" x14ac:dyDescent="0.25">
      <c r="H1132" s="44"/>
      <c r="I1132" s="44"/>
      <c r="J1132" s="45"/>
      <c r="K1132" s="45"/>
      <c r="L1132" s="45"/>
      <c r="M1132" s="44"/>
      <c r="N1132" s="44"/>
      <c r="O1132" s="44"/>
      <c r="P1132" s="44"/>
      <c r="Q1132" s="44"/>
    </row>
    <row r="1133" spans="8:17" x14ac:dyDescent="0.25">
      <c r="H1133" s="44"/>
      <c r="I1133" s="44"/>
      <c r="J1133" s="45"/>
      <c r="K1133" s="45"/>
      <c r="L1133" s="45"/>
      <c r="M1133" s="44"/>
      <c r="N1133" s="44"/>
      <c r="O1133" s="44"/>
      <c r="P1133" s="44"/>
      <c r="Q1133" s="44"/>
    </row>
    <row r="1134" spans="8:17" x14ac:dyDescent="0.25">
      <c r="H1134" s="44"/>
      <c r="I1134" s="44"/>
      <c r="J1134" s="45"/>
      <c r="K1134" s="45"/>
      <c r="L1134" s="45"/>
      <c r="M1134" s="44"/>
      <c r="N1134" s="44"/>
      <c r="O1134" s="44"/>
      <c r="P1134" s="44"/>
      <c r="Q1134" s="44"/>
    </row>
    <row r="1135" spans="8:17" x14ac:dyDescent="0.25">
      <c r="H1135" s="44"/>
      <c r="I1135" s="44"/>
      <c r="J1135" s="45"/>
      <c r="K1135" s="45"/>
      <c r="L1135" s="45"/>
      <c r="M1135" s="44"/>
      <c r="N1135" s="44"/>
      <c r="O1135" s="44"/>
      <c r="P1135" s="44"/>
      <c r="Q1135" s="44"/>
    </row>
    <row r="1136" spans="8:17" x14ac:dyDescent="0.25">
      <c r="H1136" s="44"/>
      <c r="I1136" s="44"/>
      <c r="J1136" s="45"/>
      <c r="K1136" s="45"/>
      <c r="L1136" s="45"/>
      <c r="M1136" s="44"/>
      <c r="N1136" s="44"/>
      <c r="O1136" s="44"/>
      <c r="P1136" s="44"/>
      <c r="Q1136" s="44"/>
    </row>
    <row r="1137" spans="8:17" x14ac:dyDescent="0.25">
      <c r="H1137" s="44"/>
      <c r="I1137" s="44"/>
      <c r="J1137" s="45"/>
      <c r="K1137" s="45"/>
      <c r="L1137" s="45"/>
      <c r="M1137" s="44"/>
      <c r="N1137" s="44"/>
      <c r="O1137" s="44"/>
      <c r="P1137" s="44"/>
      <c r="Q1137" s="44"/>
    </row>
    <row r="1138" spans="8:17" x14ac:dyDescent="0.25">
      <c r="H1138" s="44"/>
      <c r="I1138" s="44"/>
      <c r="J1138" s="45"/>
      <c r="K1138" s="45"/>
      <c r="L1138" s="45"/>
      <c r="M1138" s="44"/>
      <c r="N1138" s="44"/>
      <c r="O1138" s="44"/>
      <c r="P1138" s="44"/>
      <c r="Q1138" s="44"/>
    </row>
    <row r="1139" spans="8:17" x14ac:dyDescent="0.25">
      <c r="H1139" s="44"/>
      <c r="I1139" s="44"/>
      <c r="J1139" s="45"/>
      <c r="K1139" s="45"/>
      <c r="L1139" s="45"/>
      <c r="M1139" s="44"/>
      <c r="N1139" s="44"/>
      <c r="O1139" s="44"/>
      <c r="P1139" s="44"/>
      <c r="Q1139" s="44"/>
    </row>
    <row r="1140" spans="8:17" x14ac:dyDescent="0.25">
      <c r="H1140" s="44"/>
      <c r="I1140" s="44"/>
      <c r="J1140" s="45"/>
      <c r="K1140" s="45"/>
      <c r="L1140" s="45"/>
      <c r="M1140" s="44"/>
      <c r="N1140" s="44"/>
      <c r="O1140" s="44"/>
      <c r="P1140" s="44"/>
      <c r="Q1140" s="44"/>
    </row>
    <row r="1141" spans="8:17" x14ac:dyDescent="0.25">
      <c r="H1141" s="44"/>
      <c r="I1141" s="44"/>
      <c r="J1141" s="45"/>
      <c r="K1141" s="45"/>
      <c r="L1141" s="45"/>
      <c r="M1141" s="44"/>
      <c r="N1141" s="44"/>
      <c r="O1141" s="44"/>
      <c r="P1141" s="44"/>
      <c r="Q1141" s="44"/>
    </row>
    <row r="1142" spans="8:17" x14ac:dyDescent="0.25">
      <c r="H1142" s="44"/>
      <c r="I1142" s="44"/>
      <c r="J1142" s="45"/>
      <c r="K1142" s="45"/>
      <c r="L1142" s="45"/>
      <c r="M1142" s="44"/>
      <c r="N1142" s="44"/>
      <c r="O1142" s="44"/>
      <c r="P1142" s="44"/>
      <c r="Q1142" s="44"/>
    </row>
    <row r="1143" spans="8:17" x14ac:dyDescent="0.25">
      <c r="H1143" s="44"/>
      <c r="I1143" s="44"/>
      <c r="J1143" s="45"/>
      <c r="K1143" s="45"/>
      <c r="L1143" s="45"/>
      <c r="M1143" s="44"/>
      <c r="N1143" s="44"/>
      <c r="O1143" s="44"/>
      <c r="P1143" s="44"/>
      <c r="Q1143" s="44"/>
    </row>
    <row r="1144" spans="8:17" x14ac:dyDescent="0.25">
      <c r="H1144" s="44"/>
      <c r="I1144" s="44"/>
      <c r="J1144" s="45"/>
      <c r="K1144" s="45"/>
      <c r="L1144" s="45"/>
      <c r="M1144" s="44"/>
      <c r="N1144" s="44"/>
      <c r="O1144" s="44"/>
      <c r="P1144" s="44"/>
      <c r="Q1144" s="44"/>
    </row>
    <row r="1145" spans="8:17" x14ac:dyDescent="0.25">
      <c r="H1145" s="44"/>
      <c r="I1145" s="44"/>
      <c r="J1145" s="45"/>
      <c r="K1145" s="45"/>
      <c r="L1145" s="45"/>
      <c r="M1145" s="44"/>
      <c r="N1145" s="44"/>
      <c r="O1145" s="44"/>
      <c r="P1145" s="44"/>
      <c r="Q1145" s="44"/>
    </row>
    <row r="1146" spans="8:17" x14ac:dyDescent="0.25">
      <c r="H1146" s="44"/>
      <c r="I1146" s="44"/>
      <c r="J1146" s="45"/>
      <c r="K1146" s="45"/>
      <c r="L1146" s="45"/>
      <c r="M1146" s="44"/>
      <c r="N1146" s="44"/>
      <c r="O1146" s="44"/>
      <c r="P1146" s="44"/>
      <c r="Q1146" s="44"/>
    </row>
    <row r="1147" spans="8:17" x14ac:dyDescent="0.25">
      <c r="H1147" s="44"/>
      <c r="I1147" s="44"/>
      <c r="J1147" s="45"/>
      <c r="K1147" s="45"/>
      <c r="L1147" s="45"/>
      <c r="M1147" s="44"/>
      <c r="N1147" s="44"/>
      <c r="O1147" s="44"/>
      <c r="P1147" s="44"/>
      <c r="Q1147" s="44"/>
    </row>
    <row r="1148" spans="8:17" x14ac:dyDescent="0.25">
      <c r="H1148" s="44"/>
      <c r="I1148" s="44"/>
      <c r="J1148" s="45"/>
      <c r="K1148" s="45"/>
      <c r="L1148" s="45"/>
      <c r="M1148" s="44"/>
      <c r="N1148" s="44"/>
      <c r="O1148" s="44"/>
      <c r="P1148" s="44"/>
      <c r="Q1148" s="44"/>
    </row>
    <row r="1149" spans="8:17" x14ac:dyDescent="0.25">
      <c r="H1149" s="44"/>
      <c r="I1149" s="44"/>
      <c r="J1149" s="45"/>
      <c r="K1149" s="45"/>
      <c r="L1149" s="45"/>
      <c r="M1149" s="44"/>
      <c r="N1149" s="44"/>
      <c r="O1149" s="44"/>
      <c r="P1149" s="44"/>
      <c r="Q1149" s="44"/>
    </row>
    <row r="1150" spans="8:17" x14ac:dyDescent="0.25">
      <c r="H1150" s="44"/>
      <c r="I1150" s="44"/>
      <c r="J1150" s="45"/>
      <c r="K1150" s="45"/>
      <c r="L1150" s="45"/>
      <c r="M1150" s="44"/>
      <c r="N1150" s="44"/>
      <c r="O1150" s="44"/>
      <c r="P1150" s="44"/>
      <c r="Q1150" s="44"/>
    </row>
    <row r="1151" spans="8:17" x14ac:dyDescent="0.25">
      <c r="H1151" s="44"/>
      <c r="I1151" s="44"/>
      <c r="J1151" s="45"/>
      <c r="K1151" s="45"/>
      <c r="L1151" s="45"/>
      <c r="M1151" s="44"/>
      <c r="N1151" s="44"/>
      <c r="O1151" s="44"/>
      <c r="P1151" s="44"/>
      <c r="Q1151" s="44"/>
    </row>
    <row r="1152" spans="8:17" x14ac:dyDescent="0.25">
      <c r="H1152" s="44"/>
      <c r="I1152" s="44"/>
      <c r="J1152" s="45"/>
      <c r="K1152" s="45"/>
      <c r="L1152" s="45"/>
      <c r="M1152" s="44"/>
      <c r="N1152" s="44"/>
      <c r="O1152" s="44"/>
      <c r="P1152" s="44"/>
      <c r="Q1152" s="44"/>
    </row>
    <row r="1153" spans="8:17" x14ac:dyDescent="0.25">
      <c r="H1153" s="44"/>
      <c r="I1153" s="44"/>
      <c r="J1153" s="45"/>
      <c r="K1153" s="45"/>
      <c r="L1153" s="45"/>
      <c r="M1153" s="44"/>
      <c r="N1153" s="44"/>
      <c r="O1153" s="44"/>
      <c r="P1153" s="44"/>
      <c r="Q1153" s="44"/>
    </row>
    <row r="1154" spans="8:17" x14ac:dyDescent="0.25">
      <c r="H1154" s="44"/>
      <c r="I1154" s="44"/>
      <c r="J1154" s="45"/>
      <c r="K1154" s="45"/>
      <c r="L1154" s="45"/>
      <c r="M1154" s="44"/>
      <c r="N1154" s="44"/>
      <c r="O1154" s="44"/>
      <c r="P1154" s="44"/>
      <c r="Q1154" s="44"/>
    </row>
    <row r="1155" spans="8:17" x14ac:dyDescent="0.25">
      <c r="H1155" s="44"/>
      <c r="I1155" s="44"/>
      <c r="J1155" s="45"/>
      <c r="K1155" s="45"/>
      <c r="L1155" s="45"/>
      <c r="M1155" s="44"/>
      <c r="N1155" s="44"/>
      <c r="O1155" s="44"/>
      <c r="P1155" s="44"/>
      <c r="Q1155" s="44"/>
    </row>
    <row r="1156" spans="8:17" x14ac:dyDescent="0.25">
      <c r="H1156" s="44"/>
      <c r="I1156" s="44"/>
      <c r="J1156" s="45"/>
      <c r="K1156" s="45"/>
      <c r="L1156" s="45"/>
      <c r="M1156" s="44"/>
      <c r="N1156" s="44"/>
      <c r="O1156" s="44"/>
      <c r="P1156" s="44"/>
      <c r="Q1156" s="44"/>
    </row>
    <row r="1157" spans="8:17" x14ac:dyDescent="0.25">
      <c r="H1157" s="44"/>
      <c r="I1157" s="44"/>
      <c r="J1157" s="45"/>
      <c r="K1157" s="45"/>
      <c r="L1157" s="45"/>
      <c r="M1157" s="44"/>
      <c r="N1157" s="44"/>
      <c r="O1157" s="44"/>
      <c r="P1157" s="44"/>
      <c r="Q1157" s="44"/>
    </row>
    <row r="1158" spans="8:17" x14ac:dyDescent="0.25">
      <c r="H1158" s="44"/>
      <c r="I1158" s="44"/>
      <c r="J1158" s="45"/>
      <c r="K1158" s="45"/>
      <c r="L1158" s="45"/>
      <c r="M1158" s="44"/>
      <c r="N1158" s="44"/>
      <c r="O1158" s="44"/>
      <c r="P1158" s="44"/>
      <c r="Q1158" s="44"/>
    </row>
    <row r="1159" spans="8:17" x14ac:dyDescent="0.25">
      <c r="H1159" s="44"/>
      <c r="I1159" s="44"/>
      <c r="J1159" s="45"/>
      <c r="K1159" s="45"/>
      <c r="L1159" s="45"/>
      <c r="M1159" s="44"/>
      <c r="N1159" s="44"/>
      <c r="O1159" s="44"/>
      <c r="P1159" s="44"/>
      <c r="Q1159" s="44"/>
    </row>
    <row r="1160" spans="8:17" x14ac:dyDescent="0.25">
      <c r="H1160" s="44"/>
      <c r="I1160" s="44"/>
      <c r="J1160" s="45"/>
      <c r="K1160" s="45"/>
      <c r="L1160" s="45"/>
      <c r="M1160" s="44"/>
      <c r="N1160" s="44"/>
      <c r="O1160" s="44"/>
      <c r="P1160" s="44"/>
      <c r="Q1160" s="44"/>
    </row>
    <row r="1161" spans="8:17" x14ac:dyDescent="0.25">
      <c r="H1161" s="44"/>
      <c r="I1161" s="44"/>
      <c r="J1161" s="45"/>
      <c r="K1161" s="45"/>
      <c r="L1161" s="45"/>
      <c r="M1161" s="44"/>
      <c r="N1161" s="44"/>
      <c r="O1161" s="44"/>
      <c r="P1161" s="44"/>
      <c r="Q1161" s="44"/>
    </row>
    <row r="1162" spans="8:17" x14ac:dyDescent="0.25">
      <c r="H1162" s="44"/>
      <c r="I1162" s="44"/>
      <c r="J1162" s="45"/>
      <c r="K1162" s="45"/>
      <c r="L1162" s="45"/>
      <c r="M1162" s="44"/>
      <c r="N1162" s="44"/>
      <c r="O1162" s="44"/>
      <c r="P1162" s="44"/>
      <c r="Q1162" s="44"/>
    </row>
    <row r="1163" spans="8:17" x14ac:dyDescent="0.25">
      <c r="H1163" s="44"/>
      <c r="I1163" s="44"/>
      <c r="J1163" s="45"/>
      <c r="K1163" s="45"/>
      <c r="L1163" s="45"/>
      <c r="M1163" s="44"/>
      <c r="N1163" s="44"/>
      <c r="O1163" s="44"/>
      <c r="P1163" s="44"/>
      <c r="Q1163" s="44"/>
    </row>
    <row r="1164" spans="8:17" x14ac:dyDescent="0.25">
      <c r="H1164" s="44"/>
      <c r="I1164" s="44"/>
      <c r="J1164" s="45"/>
      <c r="K1164" s="45"/>
      <c r="L1164" s="45"/>
      <c r="M1164" s="44"/>
      <c r="N1164" s="44"/>
      <c r="O1164" s="44"/>
      <c r="P1164" s="44"/>
      <c r="Q1164" s="44"/>
    </row>
    <row r="1165" spans="8:17" x14ac:dyDescent="0.25">
      <c r="H1165" s="44"/>
      <c r="I1165" s="44"/>
      <c r="J1165" s="45"/>
      <c r="K1165" s="45"/>
      <c r="L1165" s="45"/>
      <c r="M1165" s="44"/>
      <c r="N1165" s="44"/>
      <c r="O1165" s="44"/>
      <c r="P1165" s="44"/>
      <c r="Q1165" s="44"/>
    </row>
    <row r="1166" spans="8:17" x14ac:dyDescent="0.25">
      <c r="H1166" s="44"/>
      <c r="I1166" s="44"/>
      <c r="J1166" s="45"/>
      <c r="K1166" s="45"/>
      <c r="L1166" s="45"/>
      <c r="M1166" s="44"/>
      <c r="N1166" s="44"/>
      <c r="O1166" s="44"/>
      <c r="P1166" s="44"/>
      <c r="Q1166" s="44"/>
    </row>
    <row r="1167" spans="8:17" x14ac:dyDescent="0.25">
      <c r="H1167" s="44"/>
      <c r="I1167" s="44"/>
      <c r="J1167" s="45"/>
      <c r="K1167" s="45"/>
      <c r="L1167" s="45"/>
      <c r="M1167" s="44"/>
      <c r="N1167" s="44"/>
      <c r="O1167" s="44"/>
      <c r="P1167" s="44"/>
      <c r="Q1167" s="44"/>
    </row>
    <row r="1168" spans="8:17" x14ac:dyDescent="0.25">
      <c r="H1168" s="44"/>
      <c r="I1168" s="44"/>
      <c r="J1168" s="45"/>
      <c r="K1168" s="45"/>
      <c r="L1168" s="45"/>
      <c r="M1168" s="44"/>
      <c r="N1168" s="44"/>
      <c r="O1168" s="44"/>
      <c r="P1168" s="44"/>
      <c r="Q1168" s="44"/>
    </row>
    <row r="1169" spans="8:17" x14ac:dyDescent="0.25">
      <c r="H1169" s="44"/>
      <c r="I1169" s="44"/>
      <c r="J1169" s="45"/>
      <c r="K1169" s="45"/>
      <c r="L1169" s="45"/>
      <c r="M1169" s="44"/>
      <c r="N1169" s="44"/>
      <c r="O1169" s="44"/>
      <c r="P1169" s="44"/>
      <c r="Q1169" s="44"/>
    </row>
    <row r="1170" spans="8:17" x14ac:dyDescent="0.25">
      <c r="H1170" s="44"/>
      <c r="I1170" s="44"/>
      <c r="J1170" s="45"/>
      <c r="K1170" s="45"/>
      <c r="L1170" s="45"/>
      <c r="M1170" s="44"/>
      <c r="N1170" s="44"/>
      <c r="O1170" s="44"/>
      <c r="P1170" s="44"/>
      <c r="Q1170" s="44"/>
    </row>
    <row r="1171" spans="8:17" x14ac:dyDescent="0.25">
      <c r="H1171" s="44"/>
      <c r="I1171" s="44"/>
      <c r="J1171" s="45"/>
      <c r="K1171" s="45"/>
      <c r="L1171" s="45"/>
      <c r="M1171" s="44"/>
      <c r="N1171" s="44"/>
      <c r="O1171" s="44"/>
      <c r="P1171" s="44"/>
      <c r="Q1171" s="44"/>
    </row>
    <row r="1172" spans="8:17" x14ac:dyDescent="0.25">
      <c r="H1172" s="44"/>
      <c r="I1172" s="44"/>
      <c r="J1172" s="45"/>
      <c r="K1172" s="45"/>
      <c r="L1172" s="45"/>
      <c r="M1172" s="44"/>
      <c r="N1172" s="44"/>
      <c r="O1172" s="44"/>
      <c r="P1172" s="44"/>
      <c r="Q1172" s="44"/>
    </row>
    <row r="1173" spans="8:17" x14ac:dyDescent="0.25">
      <c r="H1173" s="44"/>
      <c r="I1173" s="44"/>
      <c r="J1173" s="45"/>
      <c r="K1173" s="45"/>
      <c r="L1173" s="45"/>
      <c r="M1173" s="44"/>
      <c r="N1173" s="44"/>
      <c r="O1173" s="44"/>
      <c r="P1173" s="44"/>
      <c r="Q1173" s="44"/>
    </row>
    <row r="1174" spans="8:17" x14ac:dyDescent="0.25">
      <c r="H1174" s="44"/>
      <c r="I1174" s="44"/>
      <c r="J1174" s="45"/>
      <c r="K1174" s="45"/>
      <c r="L1174" s="45"/>
      <c r="M1174" s="44"/>
      <c r="N1174" s="44"/>
      <c r="O1174" s="44"/>
      <c r="P1174" s="44"/>
      <c r="Q1174" s="44"/>
    </row>
    <row r="1175" spans="8:17" x14ac:dyDescent="0.25">
      <c r="H1175" s="44"/>
      <c r="I1175" s="44"/>
      <c r="J1175" s="45"/>
      <c r="K1175" s="45"/>
      <c r="L1175" s="45"/>
      <c r="M1175" s="44"/>
      <c r="N1175" s="44"/>
      <c r="O1175" s="44"/>
      <c r="P1175" s="44"/>
      <c r="Q1175" s="44"/>
    </row>
    <row r="1176" spans="8:17" x14ac:dyDescent="0.25">
      <c r="H1176" s="44"/>
      <c r="I1176" s="44"/>
      <c r="J1176" s="45"/>
      <c r="K1176" s="45"/>
      <c r="L1176" s="45"/>
      <c r="M1176" s="44"/>
      <c r="N1176" s="44"/>
      <c r="O1176" s="44"/>
      <c r="P1176" s="44"/>
      <c r="Q1176" s="44"/>
    </row>
    <row r="1177" spans="8:17" x14ac:dyDescent="0.25">
      <c r="H1177" s="44"/>
      <c r="I1177" s="44"/>
      <c r="J1177" s="45"/>
      <c r="K1177" s="45"/>
      <c r="L1177" s="45"/>
      <c r="M1177" s="44"/>
      <c r="N1177" s="44"/>
      <c r="O1177" s="44"/>
      <c r="P1177" s="44"/>
      <c r="Q1177" s="44"/>
    </row>
    <row r="1178" spans="8:17" x14ac:dyDescent="0.25">
      <c r="H1178" s="44"/>
      <c r="I1178" s="44"/>
      <c r="J1178" s="45"/>
      <c r="K1178" s="45"/>
      <c r="L1178" s="45"/>
      <c r="M1178" s="44"/>
      <c r="N1178" s="44"/>
      <c r="O1178" s="44"/>
      <c r="P1178" s="44"/>
      <c r="Q1178" s="44"/>
    </row>
    <row r="1179" spans="8:17" x14ac:dyDescent="0.25">
      <c r="H1179" s="44"/>
      <c r="I1179" s="44"/>
      <c r="J1179" s="45"/>
      <c r="K1179" s="45"/>
      <c r="L1179" s="45"/>
      <c r="M1179" s="44"/>
      <c r="N1179" s="44"/>
      <c r="O1179" s="44"/>
      <c r="P1179" s="44"/>
      <c r="Q1179" s="44"/>
    </row>
    <row r="1180" spans="8:17" x14ac:dyDescent="0.25">
      <c r="H1180" s="44"/>
      <c r="I1180" s="44"/>
      <c r="J1180" s="45"/>
      <c r="K1180" s="45"/>
      <c r="L1180" s="45"/>
      <c r="M1180" s="44"/>
      <c r="N1180" s="44"/>
      <c r="O1180" s="44"/>
      <c r="P1180" s="44"/>
      <c r="Q1180" s="44"/>
    </row>
    <row r="1181" spans="8:17" x14ac:dyDescent="0.25">
      <c r="H1181" s="44"/>
      <c r="I1181" s="44"/>
      <c r="J1181" s="45"/>
      <c r="K1181" s="45"/>
      <c r="L1181" s="45"/>
      <c r="M1181" s="44"/>
      <c r="N1181" s="44"/>
      <c r="O1181" s="44"/>
      <c r="P1181" s="44"/>
      <c r="Q1181" s="44"/>
    </row>
    <row r="1182" spans="8:17" x14ac:dyDescent="0.25">
      <c r="H1182" s="44"/>
      <c r="I1182" s="44"/>
      <c r="J1182" s="45"/>
      <c r="K1182" s="45"/>
      <c r="L1182" s="45"/>
      <c r="M1182" s="44"/>
      <c r="N1182" s="44"/>
      <c r="O1182" s="44"/>
      <c r="P1182" s="44"/>
      <c r="Q1182" s="44"/>
    </row>
    <row r="1183" spans="8:17" x14ac:dyDescent="0.25">
      <c r="H1183" s="44"/>
      <c r="I1183" s="44"/>
      <c r="J1183" s="45"/>
      <c r="K1183" s="45"/>
      <c r="L1183" s="45"/>
      <c r="M1183" s="44"/>
      <c r="N1183" s="44"/>
      <c r="O1183" s="44"/>
      <c r="P1183" s="44"/>
      <c r="Q1183" s="44"/>
    </row>
    <row r="1184" spans="8:17" x14ac:dyDescent="0.25">
      <c r="H1184" s="44"/>
      <c r="I1184" s="44"/>
      <c r="J1184" s="45"/>
      <c r="K1184" s="45"/>
      <c r="L1184" s="45"/>
      <c r="M1184" s="44"/>
      <c r="N1184" s="44"/>
      <c r="O1184" s="44"/>
      <c r="P1184" s="44"/>
      <c r="Q1184" s="44"/>
    </row>
    <row r="1185" spans="8:17" x14ac:dyDescent="0.25">
      <c r="H1185" s="44"/>
      <c r="I1185" s="44"/>
      <c r="J1185" s="45"/>
      <c r="K1185" s="45"/>
      <c r="L1185" s="45"/>
      <c r="M1185" s="44"/>
      <c r="N1185" s="44"/>
      <c r="O1185" s="44"/>
      <c r="P1185" s="44"/>
      <c r="Q1185" s="44"/>
    </row>
    <row r="1186" spans="8:17" x14ac:dyDescent="0.25">
      <c r="H1186" s="44"/>
      <c r="I1186" s="44"/>
      <c r="J1186" s="45"/>
      <c r="K1186" s="45"/>
      <c r="L1186" s="45"/>
      <c r="M1186" s="44"/>
      <c r="N1186" s="44"/>
      <c r="O1186" s="44"/>
      <c r="P1186" s="44"/>
      <c r="Q1186" s="44"/>
    </row>
    <row r="1187" spans="8:17" x14ac:dyDescent="0.25">
      <c r="H1187" s="44"/>
      <c r="I1187" s="44"/>
      <c r="J1187" s="45"/>
      <c r="K1187" s="45"/>
      <c r="L1187" s="45"/>
      <c r="M1187" s="44"/>
      <c r="N1187" s="44"/>
      <c r="O1187" s="44"/>
      <c r="P1187" s="44"/>
      <c r="Q1187" s="44"/>
    </row>
    <row r="1188" spans="8:17" x14ac:dyDescent="0.25">
      <c r="H1188" s="44"/>
      <c r="I1188" s="44"/>
      <c r="J1188" s="45"/>
      <c r="K1188" s="45"/>
      <c r="L1188" s="45"/>
      <c r="M1188" s="44"/>
      <c r="N1188" s="44"/>
      <c r="O1188" s="44"/>
      <c r="P1188" s="44"/>
      <c r="Q1188" s="44"/>
    </row>
    <row r="1189" spans="8:17" x14ac:dyDescent="0.25">
      <c r="H1189" s="44"/>
      <c r="I1189" s="44"/>
      <c r="J1189" s="45"/>
      <c r="K1189" s="45"/>
      <c r="L1189" s="45"/>
      <c r="M1189" s="44"/>
      <c r="N1189" s="44"/>
      <c r="O1189" s="44"/>
      <c r="P1189" s="44"/>
      <c r="Q1189" s="44"/>
    </row>
    <row r="1190" spans="8:17" x14ac:dyDescent="0.25">
      <c r="H1190" s="44"/>
      <c r="I1190" s="44"/>
      <c r="J1190" s="45"/>
      <c r="K1190" s="45"/>
      <c r="L1190" s="45"/>
      <c r="M1190" s="44"/>
      <c r="N1190" s="44"/>
      <c r="O1190" s="44"/>
      <c r="P1190" s="44"/>
      <c r="Q1190" s="44"/>
    </row>
    <row r="1191" spans="8:17" x14ac:dyDescent="0.25">
      <c r="H1191" s="44"/>
      <c r="I1191" s="44"/>
      <c r="J1191" s="45"/>
      <c r="K1191" s="45"/>
      <c r="L1191" s="45"/>
      <c r="M1191" s="44"/>
      <c r="N1191" s="44"/>
      <c r="O1191" s="44"/>
      <c r="P1191" s="44"/>
      <c r="Q1191" s="44"/>
    </row>
    <row r="1192" spans="8:17" x14ac:dyDescent="0.25">
      <c r="H1192" s="44"/>
      <c r="I1192" s="44"/>
      <c r="J1192" s="45"/>
      <c r="K1192" s="45"/>
      <c r="L1192" s="45"/>
      <c r="M1192" s="44"/>
      <c r="N1192" s="44"/>
      <c r="O1192" s="44"/>
      <c r="P1192" s="44"/>
      <c r="Q1192" s="44"/>
    </row>
    <row r="1193" spans="8:17" x14ac:dyDescent="0.25">
      <c r="H1193" s="44"/>
      <c r="I1193" s="44"/>
      <c r="J1193" s="45"/>
      <c r="K1193" s="45"/>
      <c r="L1193" s="45"/>
      <c r="M1193" s="44"/>
      <c r="N1193" s="44"/>
      <c r="O1193" s="44"/>
      <c r="P1193" s="44"/>
      <c r="Q1193" s="44"/>
    </row>
    <row r="1194" spans="8:17" x14ac:dyDescent="0.25">
      <c r="H1194" s="44"/>
      <c r="I1194" s="44"/>
      <c r="J1194" s="45"/>
      <c r="K1194" s="45"/>
      <c r="L1194" s="45"/>
      <c r="M1194" s="44"/>
      <c r="N1194" s="44"/>
      <c r="O1194" s="44"/>
      <c r="P1194" s="44"/>
      <c r="Q1194" s="44"/>
    </row>
    <row r="1195" spans="8:17" x14ac:dyDescent="0.25">
      <c r="H1195" s="44"/>
      <c r="I1195" s="44"/>
      <c r="J1195" s="45"/>
      <c r="K1195" s="45"/>
      <c r="L1195" s="45"/>
      <c r="M1195" s="44"/>
      <c r="N1195" s="44"/>
      <c r="O1195" s="44"/>
      <c r="P1195" s="44"/>
      <c r="Q1195" s="44"/>
    </row>
    <row r="1196" spans="8:17" x14ac:dyDescent="0.25">
      <c r="H1196" s="44"/>
      <c r="I1196" s="44"/>
      <c r="J1196" s="45"/>
      <c r="K1196" s="45"/>
      <c r="L1196" s="45"/>
      <c r="M1196" s="44"/>
      <c r="N1196" s="44"/>
      <c r="O1196" s="44"/>
      <c r="P1196" s="44"/>
      <c r="Q1196" s="44"/>
    </row>
    <row r="1197" spans="8:17" x14ac:dyDescent="0.25">
      <c r="H1197" s="44"/>
      <c r="I1197" s="44"/>
      <c r="J1197" s="45"/>
      <c r="K1197" s="45"/>
      <c r="L1197" s="45"/>
      <c r="M1197" s="44"/>
      <c r="N1197" s="44"/>
      <c r="O1197" s="44"/>
      <c r="P1197" s="44"/>
      <c r="Q1197" s="44"/>
    </row>
    <row r="1198" spans="8:17" x14ac:dyDescent="0.25">
      <c r="H1198" s="44"/>
      <c r="I1198" s="44"/>
      <c r="J1198" s="45"/>
      <c r="K1198" s="45"/>
      <c r="L1198" s="45"/>
      <c r="M1198" s="44"/>
      <c r="N1198" s="44"/>
      <c r="O1198" s="44"/>
      <c r="P1198" s="44"/>
      <c r="Q1198" s="44"/>
    </row>
    <row r="1199" spans="8:17" x14ac:dyDescent="0.25">
      <c r="H1199" s="44"/>
      <c r="I1199" s="44"/>
      <c r="J1199" s="45"/>
      <c r="K1199" s="45"/>
      <c r="L1199" s="45"/>
      <c r="M1199" s="44"/>
      <c r="N1199" s="44"/>
      <c r="O1199" s="44"/>
      <c r="P1199" s="44"/>
      <c r="Q1199" s="44"/>
    </row>
    <row r="1200" spans="8:17" x14ac:dyDescent="0.25">
      <c r="H1200" s="44"/>
      <c r="I1200" s="44"/>
      <c r="J1200" s="45"/>
      <c r="K1200" s="45"/>
      <c r="L1200" s="45"/>
      <c r="M1200" s="44"/>
      <c r="N1200" s="44"/>
      <c r="O1200" s="44"/>
      <c r="P1200" s="44"/>
      <c r="Q1200" s="44"/>
    </row>
    <row r="1201" spans="8:17" x14ac:dyDescent="0.25">
      <c r="H1201" s="44"/>
      <c r="I1201" s="44"/>
      <c r="J1201" s="45"/>
      <c r="K1201" s="45"/>
      <c r="L1201" s="45"/>
      <c r="M1201" s="44"/>
      <c r="N1201" s="44"/>
      <c r="O1201" s="44"/>
      <c r="P1201" s="44"/>
      <c r="Q1201" s="44"/>
    </row>
    <row r="1202" spans="8:17" x14ac:dyDescent="0.25">
      <c r="H1202" s="44"/>
      <c r="I1202" s="44"/>
      <c r="J1202" s="45"/>
      <c r="K1202" s="45"/>
      <c r="L1202" s="45"/>
      <c r="M1202" s="44"/>
      <c r="N1202" s="44"/>
      <c r="O1202" s="44"/>
      <c r="P1202" s="44"/>
      <c r="Q1202" s="44"/>
    </row>
    <row r="1203" spans="8:17" x14ac:dyDescent="0.25">
      <c r="H1203" s="44"/>
      <c r="I1203" s="44"/>
      <c r="J1203" s="45"/>
      <c r="K1203" s="45"/>
      <c r="L1203" s="45"/>
      <c r="M1203" s="44"/>
      <c r="N1203" s="44"/>
      <c r="O1203" s="44"/>
      <c r="P1203" s="44"/>
      <c r="Q1203" s="44"/>
    </row>
    <row r="1204" spans="8:17" x14ac:dyDescent="0.25">
      <c r="H1204" s="44"/>
      <c r="I1204" s="44"/>
      <c r="J1204" s="45"/>
      <c r="K1204" s="45"/>
      <c r="L1204" s="45"/>
      <c r="M1204" s="44"/>
      <c r="N1204" s="44"/>
      <c r="O1204" s="44"/>
      <c r="P1204" s="44"/>
      <c r="Q1204" s="44"/>
    </row>
    <row r="1205" spans="8:17" x14ac:dyDescent="0.25">
      <c r="H1205" s="44"/>
      <c r="I1205" s="44"/>
      <c r="J1205" s="45"/>
      <c r="K1205" s="45"/>
      <c r="L1205" s="45"/>
      <c r="M1205" s="44"/>
      <c r="N1205" s="44"/>
      <c r="O1205" s="44"/>
      <c r="P1205" s="44"/>
      <c r="Q1205" s="44"/>
    </row>
    <row r="1206" spans="8:17" x14ac:dyDescent="0.25">
      <c r="H1206" s="44"/>
      <c r="I1206" s="44"/>
      <c r="J1206" s="45"/>
      <c r="K1206" s="45"/>
      <c r="L1206" s="45"/>
      <c r="M1206" s="44"/>
      <c r="N1206" s="44"/>
      <c r="O1206" s="44"/>
      <c r="P1206" s="44"/>
      <c r="Q1206" s="44"/>
    </row>
    <row r="1207" spans="8:17" x14ac:dyDescent="0.25">
      <c r="H1207" s="44"/>
      <c r="I1207" s="44"/>
      <c r="J1207" s="45"/>
      <c r="K1207" s="45"/>
      <c r="L1207" s="45"/>
      <c r="M1207" s="44"/>
      <c r="N1207" s="44"/>
      <c r="O1207" s="44"/>
      <c r="P1207" s="44"/>
      <c r="Q1207" s="44"/>
    </row>
    <row r="1208" spans="8:17" x14ac:dyDescent="0.25">
      <c r="H1208" s="44"/>
      <c r="I1208" s="44"/>
      <c r="J1208" s="45"/>
      <c r="K1208" s="45"/>
      <c r="L1208" s="45"/>
      <c r="M1208" s="44"/>
      <c r="N1208" s="44"/>
      <c r="O1208" s="44"/>
      <c r="P1208" s="44"/>
      <c r="Q1208" s="44"/>
    </row>
    <row r="1209" spans="8:17" x14ac:dyDescent="0.25">
      <c r="H1209" s="44"/>
      <c r="I1209" s="44"/>
      <c r="J1209" s="45"/>
      <c r="K1209" s="45"/>
      <c r="L1209" s="45"/>
      <c r="M1209" s="44"/>
      <c r="N1209" s="44"/>
      <c r="O1209" s="44"/>
      <c r="P1209" s="44"/>
      <c r="Q1209" s="44"/>
    </row>
    <row r="1210" spans="8:17" x14ac:dyDescent="0.25">
      <c r="H1210" s="44"/>
      <c r="I1210" s="44"/>
      <c r="J1210" s="45"/>
      <c r="K1210" s="45"/>
      <c r="L1210" s="45"/>
      <c r="M1210" s="44"/>
      <c r="N1210" s="44"/>
      <c r="O1210" s="44"/>
      <c r="P1210" s="44"/>
      <c r="Q1210" s="44"/>
    </row>
    <row r="1211" spans="8:17" x14ac:dyDescent="0.25">
      <c r="H1211" s="44"/>
      <c r="I1211" s="44"/>
      <c r="J1211" s="45"/>
      <c r="K1211" s="45"/>
      <c r="L1211" s="45"/>
      <c r="M1211" s="44"/>
      <c r="N1211" s="44"/>
      <c r="O1211" s="44"/>
      <c r="P1211" s="44"/>
      <c r="Q1211" s="44"/>
    </row>
    <row r="1212" spans="8:17" x14ac:dyDescent="0.25">
      <c r="H1212" s="44"/>
      <c r="I1212" s="44"/>
      <c r="J1212" s="45"/>
      <c r="K1212" s="45"/>
      <c r="L1212" s="45"/>
      <c r="M1212" s="44"/>
      <c r="N1212" s="44"/>
      <c r="O1212" s="44"/>
      <c r="P1212" s="44"/>
      <c r="Q1212" s="44"/>
    </row>
    <row r="1213" spans="8:17" x14ac:dyDescent="0.25">
      <c r="H1213" s="44"/>
      <c r="I1213" s="44"/>
      <c r="J1213" s="45"/>
      <c r="K1213" s="45"/>
      <c r="L1213" s="45"/>
      <c r="M1213" s="44"/>
      <c r="N1213" s="44"/>
      <c r="O1213" s="44"/>
      <c r="P1213" s="44"/>
      <c r="Q1213" s="44"/>
    </row>
    <row r="1214" spans="8:17" x14ac:dyDescent="0.25">
      <c r="H1214" s="44"/>
      <c r="I1214" s="44"/>
      <c r="J1214" s="45"/>
      <c r="K1214" s="45"/>
      <c r="L1214" s="45"/>
      <c r="M1214" s="44"/>
      <c r="N1214" s="44"/>
      <c r="O1214" s="44"/>
      <c r="P1214" s="44"/>
      <c r="Q1214" s="44"/>
    </row>
    <row r="1215" spans="8:17" x14ac:dyDescent="0.25">
      <c r="H1215" s="44"/>
      <c r="I1215" s="44"/>
      <c r="J1215" s="45"/>
      <c r="K1215" s="45"/>
      <c r="L1215" s="45"/>
      <c r="M1215" s="44"/>
      <c r="N1215" s="44"/>
      <c r="O1215" s="44"/>
      <c r="P1215" s="44"/>
      <c r="Q1215" s="44"/>
    </row>
    <row r="1216" spans="8:17" x14ac:dyDescent="0.25">
      <c r="H1216" s="44"/>
      <c r="I1216" s="44"/>
      <c r="J1216" s="45"/>
      <c r="K1216" s="45"/>
      <c r="L1216" s="45"/>
      <c r="M1216" s="44"/>
      <c r="N1216" s="44"/>
      <c r="O1216" s="44"/>
      <c r="P1216" s="44"/>
      <c r="Q1216" s="44"/>
    </row>
    <row r="1217" spans="8:17" x14ac:dyDescent="0.25">
      <c r="H1217" s="44"/>
      <c r="I1217" s="44"/>
      <c r="J1217" s="45"/>
      <c r="K1217" s="45"/>
      <c r="L1217" s="45"/>
      <c r="M1217" s="44"/>
      <c r="N1217" s="44"/>
      <c r="O1217" s="44"/>
      <c r="P1217" s="44"/>
      <c r="Q1217" s="44"/>
    </row>
    <row r="1218" spans="8:17" x14ac:dyDescent="0.25">
      <c r="H1218" s="44"/>
      <c r="I1218" s="44"/>
      <c r="J1218" s="45"/>
      <c r="K1218" s="45"/>
      <c r="L1218" s="45"/>
      <c r="M1218" s="44"/>
      <c r="N1218" s="44"/>
      <c r="O1218" s="44"/>
      <c r="P1218" s="44"/>
      <c r="Q1218" s="44"/>
    </row>
    <row r="1219" spans="8:17" x14ac:dyDescent="0.25">
      <c r="H1219" s="44"/>
      <c r="I1219" s="44"/>
      <c r="J1219" s="45"/>
      <c r="K1219" s="45"/>
      <c r="L1219" s="45"/>
      <c r="M1219" s="44"/>
      <c r="N1219" s="44"/>
      <c r="O1219" s="44"/>
      <c r="P1219" s="44"/>
      <c r="Q1219" s="44"/>
    </row>
    <row r="1220" spans="8:17" x14ac:dyDescent="0.25">
      <c r="H1220" s="44"/>
      <c r="I1220" s="44"/>
      <c r="J1220" s="45"/>
      <c r="K1220" s="45"/>
      <c r="L1220" s="45"/>
      <c r="M1220" s="44"/>
      <c r="N1220" s="44"/>
      <c r="O1220" s="44"/>
      <c r="P1220" s="44"/>
      <c r="Q1220" s="44"/>
    </row>
    <row r="1221" spans="8:17" x14ac:dyDescent="0.25">
      <c r="H1221" s="44"/>
      <c r="I1221" s="44"/>
      <c r="J1221" s="45"/>
      <c r="K1221" s="45"/>
      <c r="L1221" s="45"/>
      <c r="M1221" s="44"/>
      <c r="N1221" s="44"/>
      <c r="O1221" s="44"/>
      <c r="P1221" s="44"/>
      <c r="Q1221" s="44"/>
    </row>
    <row r="1222" spans="8:17" x14ac:dyDescent="0.25">
      <c r="H1222" s="44"/>
      <c r="I1222" s="44"/>
      <c r="J1222" s="45"/>
      <c r="K1222" s="45"/>
      <c r="L1222" s="45"/>
      <c r="M1222" s="44"/>
      <c r="N1222" s="44"/>
      <c r="O1222" s="44"/>
      <c r="P1222" s="44"/>
      <c r="Q1222" s="44"/>
    </row>
    <row r="1223" spans="8:17" x14ac:dyDescent="0.25">
      <c r="H1223" s="44"/>
      <c r="I1223" s="44"/>
      <c r="J1223" s="45"/>
      <c r="K1223" s="45"/>
      <c r="L1223" s="45"/>
      <c r="M1223" s="44"/>
      <c r="N1223" s="44"/>
      <c r="O1223" s="44"/>
      <c r="P1223" s="44"/>
      <c r="Q1223" s="44"/>
    </row>
    <row r="1224" spans="8:17" x14ac:dyDescent="0.25">
      <c r="H1224" s="44"/>
      <c r="I1224" s="44"/>
      <c r="J1224" s="45"/>
      <c r="K1224" s="45"/>
      <c r="L1224" s="45"/>
      <c r="M1224" s="44"/>
      <c r="N1224" s="44"/>
      <c r="O1224" s="44"/>
      <c r="P1224" s="44"/>
      <c r="Q1224" s="44"/>
    </row>
    <row r="1225" spans="8:17" x14ac:dyDescent="0.25">
      <c r="H1225" s="44"/>
      <c r="I1225" s="44"/>
      <c r="J1225" s="45"/>
      <c r="K1225" s="45"/>
      <c r="L1225" s="45"/>
      <c r="M1225" s="44"/>
      <c r="N1225" s="44"/>
      <c r="O1225" s="44"/>
      <c r="P1225" s="44"/>
      <c r="Q1225" s="44"/>
    </row>
    <row r="1226" spans="8:17" x14ac:dyDescent="0.25">
      <c r="H1226" s="44"/>
      <c r="I1226" s="44"/>
      <c r="J1226" s="45"/>
      <c r="K1226" s="45"/>
      <c r="L1226" s="45"/>
      <c r="M1226" s="44"/>
      <c r="N1226" s="44"/>
      <c r="O1226" s="44"/>
      <c r="P1226" s="44"/>
      <c r="Q1226" s="44"/>
    </row>
    <row r="1227" spans="8:17" x14ac:dyDescent="0.25">
      <c r="H1227" s="44"/>
      <c r="I1227" s="44"/>
      <c r="J1227" s="45"/>
      <c r="K1227" s="45"/>
      <c r="L1227" s="45"/>
      <c r="M1227" s="44"/>
      <c r="N1227" s="44"/>
      <c r="O1227" s="44"/>
      <c r="P1227" s="44"/>
      <c r="Q1227" s="44"/>
    </row>
    <row r="1228" spans="8:17" x14ac:dyDescent="0.25">
      <c r="H1228" s="44"/>
      <c r="I1228" s="44"/>
      <c r="J1228" s="45"/>
      <c r="K1228" s="45"/>
      <c r="L1228" s="45"/>
      <c r="M1228" s="44"/>
      <c r="N1228" s="44"/>
      <c r="O1228" s="44"/>
      <c r="P1228" s="44"/>
      <c r="Q1228" s="44"/>
    </row>
    <row r="1229" spans="8:17" x14ac:dyDescent="0.25">
      <c r="H1229" s="44"/>
      <c r="I1229" s="44"/>
      <c r="J1229" s="45"/>
      <c r="K1229" s="45"/>
      <c r="L1229" s="45"/>
      <c r="M1229" s="44"/>
      <c r="N1229" s="44"/>
      <c r="O1229" s="44"/>
      <c r="P1229" s="44"/>
      <c r="Q1229" s="44"/>
    </row>
    <row r="1230" spans="8:17" x14ac:dyDescent="0.25">
      <c r="H1230" s="44"/>
      <c r="I1230" s="44"/>
      <c r="J1230" s="45"/>
      <c r="K1230" s="45"/>
      <c r="L1230" s="45"/>
      <c r="M1230" s="44"/>
      <c r="N1230" s="44"/>
      <c r="O1230" s="44"/>
      <c r="P1230" s="44"/>
      <c r="Q1230" s="44"/>
    </row>
    <row r="1231" spans="8:17" x14ac:dyDescent="0.25">
      <c r="H1231" s="44"/>
      <c r="I1231" s="44"/>
      <c r="J1231" s="45"/>
      <c r="K1231" s="45"/>
      <c r="L1231" s="45"/>
      <c r="M1231" s="44"/>
      <c r="N1231" s="44"/>
      <c r="O1231" s="44"/>
      <c r="P1231" s="44"/>
      <c r="Q1231" s="44"/>
    </row>
    <row r="1232" spans="8:17" x14ac:dyDescent="0.25">
      <c r="H1232" s="44"/>
      <c r="I1232" s="44"/>
      <c r="J1232" s="45"/>
      <c r="K1232" s="45"/>
      <c r="L1232" s="45"/>
      <c r="M1232" s="44"/>
      <c r="N1232" s="44"/>
      <c r="O1232" s="44"/>
      <c r="P1232" s="44"/>
      <c r="Q1232" s="44"/>
    </row>
    <row r="1233" spans="8:17" x14ac:dyDescent="0.25">
      <c r="H1233" s="44"/>
      <c r="I1233" s="44"/>
      <c r="J1233" s="45"/>
      <c r="K1233" s="45"/>
      <c r="L1233" s="45"/>
      <c r="M1233" s="44"/>
      <c r="N1233" s="44"/>
      <c r="O1233" s="44"/>
      <c r="P1233" s="44"/>
      <c r="Q1233" s="44"/>
    </row>
    <row r="1234" spans="8:17" x14ac:dyDescent="0.25">
      <c r="H1234" s="44"/>
      <c r="I1234" s="44"/>
      <c r="J1234" s="45"/>
      <c r="K1234" s="45"/>
      <c r="L1234" s="45"/>
      <c r="M1234" s="44"/>
      <c r="N1234" s="44"/>
      <c r="O1234" s="44"/>
      <c r="P1234" s="44"/>
      <c r="Q1234" s="44"/>
    </row>
    <row r="1235" spans="8:17" x14ac:dyDescent="0.25">
      <c r="H1235" s="44"/>
      <c r="I1235" s="44"/>
      <c r="J1235" s="45"/>
      <c r="K1235" s="45"/>
      <c r="L1235" s="45"/>
      <c r="M1235" s="44"/>
      <c r="N1235" s="44"/>
      <c r="O1235" s="44"/>
      <c r="P1235" s="44"/>
      <c r="Q1235" s="44"/>
    </row>
    <row r="1236" spans="8:17" x14ac:dyDescent="0.25">
      <c r="H1236" s="44"/>
      <c r="I1236" s="44"/>
      <c r="J1236" s="45"/>
      <c r="K1236" s="45"/>
      <c r="L1236" s="45"/>
      <c r="M1236" s="44"/>
      <c r="N1236" s="44"/>
      <c r="O1236" s="44"/>
      <c r="P1236" s="44"/>
      <c r="Q1236" s="44"/>
    </row>
    <row r="1237" spans="8:17" x14ac:dyDescent="0.25">
      <c r="H1237" s="44"/>
      <c r="I1237" s="44"/>
      <c r="J1237" s="45"/>
      <c r="K1237" s="45"/>
      <c r="L1237" s="45"/>
      <c r="M1237" s="44"/>
      <c r="N1237" s="44"/>
      <c r="O1237" s="44"/>
      <c r="P1237" s="44"/>
      <c r="Q1237" s="44"/>
    </row>
    <row r="1238" spans="8:17" x14ac:dyDescent="0.25">
      <c r="H1238" s="44"/>
      <c r="I1238" s="44"/>
      <c r="J1238" s="45"/>
      <c r="K1238" s="45"/>
      <c r="L1238" s="45"/>
      <c r="M1238" s="44"/>
      <c r="N1238" s="44"/>
      <c r="O1238" s="44"/>
      <c r="P1238" s="44"/>
      <c r="Q1238" s="44"/>
    </row>
    <row r="1239" spans="8:17" x14ac:dyDescent="0.25">
      <c r="H1239" s="44"/>
      <c r="I1239" s="44"/>
      <c r="J1239" s="45"/>
      <c r="K1239" s="45"/>
      <c r="L1239" s="45"/>
      <c r="M1239" s="44"/>
      <c r="N1239" s="44"/>
      <c r="O1239" s="44"/>
      <c r="P1239" s="44"/>
      <c r="Q1239" s="44"/>
    </row>
    <row r="1240" spans="8:17" x14ac:dyDescent="0.25">
      <c r="H1240" s="44"/>
      <c r="I1240" s="44"/>
      <c r="J1240" s="45"/>
      <c r="K1240" s="45"/>
      <c r="L1240" s="45"/>
      <c r="M1240" s="44"/>
      <c r="N1240" s="44"/>
      <c r="O1240" s="44"/>
      <c r="P1240" s="44"/>
      <c r="Q1240" s="44"/>
    </row>
    <row r="1241" spans="8:17" x14ac:dyDescent="0.25">
      <c r="H1241" s="44"/>
      <c r="I1241" s="44"/>
      <c r="J1241" s="45"/>
      <c r="K1241" s="45"/>
      <c r="L1241" s="45"/>
      <c r="M1241" s="44"/>
      <c r="N1241" s="44"/>
      <c r="O1241" s="44"/>
      <c r="P1241" s="44"/>
      <c r="Q1241" s="44"/>
    </row>
    <row r="1242" spans="8:17" x14ac:dyDescent="0.25">
      <c r="H1242" s="44"/>
      <c r="I1242" s="44"/>
      <c r="J1242" s="45"/>
      <c r="K1242" s="45"/>
      <c r="L1242" s="45"/>
      <c r="M1242" s="44"/>
      <c r="N1242" s="44"/>
      <c r="O1242" s="44"/>
      <c r="P1242" s="44"/>
      <c r="Q1242" s="44"/>
    </row>
    <row r="1243" spans="8:17" x14ac:dyDescent="0.25">
      <c r="H1243" s="44"/>
      <c r="I1243" s="44"/>
      <c r="J1243" s="45"/>
      <c r="K1243" s="45"/>
      <c r="L1243" s="45"/>
      <c r="M1243" s="44"/>
      <c r="N1243" s="44"/>
      <c r="O1243" s="44"/>
      <c r="P1243" s="44"/>
      <c r="Q1243" s="44"/>
    </row>
    <row r="1244" spans="8:17" x14ac:dyDescent="0.25">
      <c r="H1244" s="44"/>
      <c r="I1244" s="44"/>
      <c r="J1244" s="45"/>
      <c r="K1244" s="45"/>
      <c r="L1244" s="45"/>
      <c r="M1244" s="44"/>
      <c r="N1244" s="44"/>
      <c r="O1244" s="44"/>
      <c r="P1244" s="44"/>
      <c r="Q1244" s="44"/>
    </row>
    <row r="1245" spans="8:17" x14ac:dyDescent="0.25">
      <c r="H1245" s="44"/>
      <c r="I1245" s="44"/>
      <c r="J1245" s="45"/>
      <c r="K1245" s="45"/>
      <c r="L1245" s="45"/>
      <c r="M1245" s="44"/>
      <c r="N1245" s="44"/>
      <c r="O1245" s="44"/>
      <c r="P1245" s="44"/>
      <c r="Q1245" s="44"/>
    </row>
    <row r="1246" spans="8:17" x14ac:dyDescent="0.25">
      <c r="H1246" s="44"/>
      <c r="I1246" s="44"/>
      <c r="J1246" s="45"/>
      <c r="K1246" s="45"/>
      <c r="L1246" s="45"/>
      <c r="M1246" s="44"/>
      <c r="N1246" s="44"/>
      <c r="O1246" s="44"/>
      <c r="P1246" s="44"/>
      <c r="Q1246" s="44"/>
    </row>
    <row r="1247" spans="8:17" x14ac:dyDescent="0.25">
      <c r="H1247" s="44"/>
      <c r="I1247" s="44"/>
      <c r="J1247" s="45"/>
      <c r="K1247" s="45"/>
      <c r="L1247" s="45"/>
      <c r="M1247" s="44"/>
      <c r="N1247" s="44"/>
      <c r="O1247" s="44"/>
      <c r="P1247" s="44"/>
      <c r="Q1247" s="44"/>
    </row>
    <row r="1248" spans="8:17" x14ac:dyDescent="0.25">
      <c r="H1248" s="44"/>
      <c r="I1248" s="44"/>
      <c r="J1248" s="45"/>
      <c r="K1248" s="45"/>
      <c r="L1248" s="45"/>
      <c r="M1248" s="44"/>
      <c r="N1248" s="44"/>
      <c r="O1248" s="44"/>
      <c r="P1248" s="44"/>
      <c r="Q1248" s="44"/>
    </row>
    <row r="1249" spans="8:17" x14ac:dyDescent="0.25">
      <c r="H1249" s="44"/>
      <c r="I1249" s="44"/>
      <c r="J1249" s="45"/>
      <c r="K1249" s="45"/>
      <c r="L1249" s="45"/>
      <c r="M1249" s="44"/>
      <c r="N1249" s="44"/>
      <c r="O1249" s="44"/>
      <c r="P1249" s="44"/>
      <c r="Q1249" s="44"/>
    </row>
    <row r="1250" spans="8:17" x14ac:dyDescent="0.25">
      <c r="H1250" s="44"/>
      <c r="I1250" s="44"/>
      <c r="J1250" s="45"/>
      <c r="K1250" s="45"/>
      <c r="L1250" s="45"/>
      <c r="M1250" s="44"/>
      <c r="N1250" s="44"/>
      <c r="O1250" s="44"/>
      <c r="P1250" s="44"/>
      <c r="Q1250" s="44"/>
    </row>
    <row r="1251" spans="8:17" x14ac:dyDescent="0.25">
      <c r="H1251" s="44"/>
      <c r="I1251" s="44"/>
      <c r="J1251" s="45"/>
      <c r="K1251" s="45"/>
      <c r="L1251" s="45"/>
      <c r="M1251" s="44"/>
      <c r="N1251" s="44"/>
      <c r="O1251" s="44"/>
      <c r="P1251" s="44"/>
      <c r="Q1251" s="44"/>
    </row>
    <row r="1252" spans="8:17" x14ac:dyDescent="0.25">
      <c r="H1252" s="44"/>
      <c r="I1252" s="44"/>
      <c r="J1252" s="45"/>
      <c r="K1252" s="45"/>
      <c r="L1252" s="45"/>
      <c r="M1252" s="44"/>
      <c r="N1252" s="44"/>
      <c r="O1252" s="44"/>
      <c r="P1252" s="44"/>
      <c r="Q1252" s="44"/>
    </row>
    <row r="1253" spans="8:17" x14ac:dyDescent="0.25">
      <c r="H1253" s="44"/>
      <c r="I1253" s="44"/>
      <c r="J1253" s="45"/>
      <c r="K1253" s="45"/>
      <c r="L1253" s="45"/>
      <c r="M1253" s="44"/>
      <c r="N1253" s="44"/>
      <c r="O1253" s="44"/>
      <c r="P1253" s="44"/>
      <c r="Q1253" s="44"/>
    </row>
    <row r="1254" spans="8:17" x14ac:dyDescent="0.25">
      <c r="H1254" s="44"/>
      <c r="I1254" s="44"/>
      <c r="J1254" s="45"/>
      <c r="K1254" s="45"/>
      <c r="L1254" s="45"/>
      <c r="M1254" s="44"/>
      <c r="N1254" s="44"/>
      <c r="O1254" s="44"/>
      <c r="P1254" s="44"/>
      <c r="Q1254" s="44"/>
    </row>
    <row r="1255" spans="8:17" x14ac:dyDescent="0.25">
      <c r="H1255" s="44"/>
      <c r="I1255" s="44"/>
      <c r="J1255" s="45"/>
      <c r="K1255" s="45"/>
      <c r="L1255" s="45"/>
      <c r="M1255" s="44"/>
      <c r="N1255" s="44"/>
      <c r="O1255" s="44"/>
      <c r="P1255" s="44"/>
      <c r="Q1255" s="44"/>
    </row>
    <row r="1256" spans="8:17" x14ac:dyDescent="0.25">
      <c r="H1256" s="44"/>
      <c r="I1256" s="44"/>
      <c r="J1256" s="45"/>
      <c r="K1256" s="45"/>
      <c r="L1256" s="45"/>
      <c r="M1256" s="44"/>
      <c r="N1256" s="44"/>
      <c r="O1256" s="44"/>
      <c r="P1256" s="44"/>
      <c r="Q1256" s="44"/>
    </row>
    <row r="1257" spans="8:17" x14ac:dyDescent="0.25">
      <c r="H1257" s="44"/>
      <c r="I1257" s="44"/>
      <c r="J1257" s="45"/>
      <c r="K1257" s="45"/>
      <c r="L1257" s="45"/>
      <c r="M1257" s="44"/>
      <c r="N1257" s="44"/>
      <c r="O1257" s="44"/>
      <c r="P1257" s="44"/>
      <c r="Q1257" s="44"/>
    </row>
    <row r="1258" spans="8:17" x14ac:dyDescent="0.25">
      <c r="H1258" s="44"/>
      <c r="I1258" s="44"/>
      <c r="J1258" s="45"/>
      <c r="K1258" s="45"/>
      <c r="L1258" s="45"/>
      <c r="M1258" s="44"/>
      <c r="N1258" s="44"/>
      <c r="O1258" s="44"/>
      <c r="P1258" s="44"/>
      <c r="Q1258" s="44"/>
    </row>
    <row r="1259" spans="8:17" x14ac:dyDescent="0.25">
      <c r="H1259" s="44"/>
      <c r="I1259" s="44"/>
      <c r="J1259" s="45"/>
      <c r="K1259" s="45"/>
      <c r="L1259" s="45"/>
      <c r="M1259" s="44"/>
      <c r="N1259" s="44"/>
      <c r="O1259" s="44"/>
      <c r="P1259" s="44"/>
      <c r="Q1259" s="44"/>
    </row>
    <row r="1260" spans="8:17" x14ac:dyDescent="0.25">
      <c r="H1260" s="44"/>
      <c r="I1260" s="44"/>
      <c r="J1260" s="45"/>
      <c r="K1260" s="45"/>
      <c r="L1260" s="45"/>
      <c r="M1260" s="44"/>
      <c r="N1260" s="44"/>
      <c r="O1260" s="44"/>
      <c r="P1260" s="44"/>
      <c r="Q1260" s="44"/>
    </row>
    <row r="1261" spans="8:17" x14ac:dyDescent="0.25">
      <c r="H1261" s="44"/>
      <c r="I1261" s="44"/>
      <c r="J1261" s="45"/>
      <c r="K1261" s="45"/>
      <c r="L1261" s="45"/>
      <c r="M1261" s="44"/>
      <c r="N1261" s="44"/>
      <c r="O1261" s="44"/>
      <c r="P1261" s="44"/>
      <c r="Q1261" s="44"/>
    </row>
    <row r="1262" spans="8:17" x14ac:dyDescent="0.25">
      <c r="H1262" s="44"/>
      <c r="I1262" s="44"/>
      <c r="J1262" s="45"/>
      <c r="K1262" s="45"/>
      <c r="L1262" s="45"/>
      <c r="M1262" s="44"/>
      <c r="N1262" s="44"/>
      <c r="O1262" s="44"/>
      <c r="P1262" s="44"/>
      <c r="Q1262" s="44"/>
    </row>
    <row r="1263" spans="8:17" x14ac:dyDescent="0.25">
      <c r="H1263" s="44"/>
      <c r="I1263" s="44"/>
      <c r="J1263" s="45"/>
      <c r="K1263" s="45"/>
      <c r="L1263" s="45"/>
      <c r="M1263" s="44"/>
      <c r="N1263" s="44"/>
      <c r="O1263" s="44"/>
      <c r="P1263" s="44"/>
      <c r="Q1263" s="44"/>
    </row>
    <row r="1264" spans="8:17" x14ac:dyDescent="0.25">
      <c r="H1264" s="44"/>
      <c r="I1264" s="44"/>
      <c r="J1264" s="45"/>
      <c r="K1264" s="45"/>
      <c r="L1264" s="45"/>
      <c r="M1264" s="44"/>
      <c r="N1264" s="44"/>
      <c r="O1264" s="44"/>
      <c r="P1264" s="44"/>
      <c r="Q1264" s="44"/>
    </row>
    <row r="1265" spans="8:17" x14ac:dyDescent="0.25">
      <c r="H1265" s="44"/>
      <c r="I1265" s="44"/>
      <c r="J1265" s="45"/>
      <c r="K1265" s="45"/>
      <c r="L1265" s="45"/>
      <c r="M1265" s="44"/>
      <c r="N1265" s="44"/>
      <c r="O1265" s="44"/>
      <c r="P1265" s="44"/>
      <c r="Q1265" s="44"/>
    </row>
    <row r="1266" spans="8:17" x14ac:dyDescent="0.25">
      <c r="H1266" s="44"/>
      <c r="I1266" s="44"/>
      <c r="J1266" s="45"/>
      <c r="K1266" s="45"/>
      <c r="L1266" s="45"/>
      <c r="M1266" s="44"/>
      <c r="N1266" s="44"/>
      <c r="O1266" s="44"/>
      <c r="P1266" s="44"/>
      <c r="Q1266" s="44"/>
    </row>
    <row r="1267" spans="8:17" x14ac:dyDescent="0.25">
      <c r="H1267" s="44"/>
      <c r="I1267" s="44"/>
      <c r="J1267" s="45"/>
      <c r="K1267" s="45"/>
      <c r="L1267" s="45"/>
      <c r="M1267" s="44"/>
      <c r="N1267" s="44"/>
      <c r="O1267" s="44"/>
      <c r="P1267" s="44"/>
      <c r="Q1267" s="44"/>
    </row>
    <row r="1268" spans="8:17" x14ac:dyDescent="0.25">
      <c r="H1268" s="44"/>
      <c r="I1268" s="44"/>
      <c r="J1268" s="45"/>
      <c r="K1268" s="45"/>
      <c r="L1268" s="45"/>
      <c r="M1268" s="44"/>
      <c r="N1268" s="44"/>
      <c r="O1268" s="44"/>
      <c r="P1268" s="44"/>
      <c r="Q1268" s="44"/>
    </row>
    <row r="1269" spans="8:17" x14ac:dyDescent="0.25">
      <c r="H1269" s="44"/>
      <c r="I1269" s="44"/>
      <c r="J1269" s="45"/>
      <c r="K1269" s="45"/>
      <c r="L1269" s="45"/>
      <c r="M1269" s="44"/>
      <c r="N1269" s="44"/>
      <c r="O1269" s="44"/>
      <c r="P1269" s="44"/>
      <c r="Q1269" s="44"/>
    </row>
    <row r="1270" spans="8:17" x14ac:dyDescent="0.25">
      <c r="H1270" s="44"/>
      <c r="I1270" s="44"/>
      <c r="J1270" s="45"/>
      <c r="K1270" s="45"/>
      <c r="L1270" s="45"/>
      <c r="M1270" s="44"/>
      <c r="N1270" s="44"/>
      <c r="O1270" s="44"/>
      <c r="P1270" s="44"/>
      <c r="Q1270" s="44"/>
    </row>
    <row r="1271" spans="8:17" x14ac:dyDescent="0.25">
      <c r="H1271" s="44"/>
      <c r="I1271" s="44"/>
      <c r="J1271" s="45"/>
      <c r="K1271" s="45"/>
      <c r="L1271" s="45"/>
      <c r="M1271" s="44"/>
      <c r="N1271" s="44"/>
      <c r="O1271" s="44"/>
      <c r="P1271" s="44"/>
      <c r="Q1271" s="44"/>
    </row>
    <row r="1272" spans="8:17" x14ac:dyDescent="0.25">
      <c r="H1272" s="44"/>
      <c r="I1272" s="44"/>
      <c r="J1272" s="45"/>
      <c r="K1272" s="45"/>
      <c r="L1272" s="45"/>
      <c r="M1272" s="44"/>
      <c r="N1272" s="44"/>
      <c r="O1272" s="44"/>
      <c r="P1272" s="44"/>
      <c r="Q1272" s="44"/>
    </row>
    <row r="1273" spans="8:17" x14ac:dyDescent="0.25">
      <c r="H1273" s="44"/>
      <c r="I1273" s="44"/>
      <c r="J1273" s="45"/>
      <c r="K1273" s="45"/>
      <c r="L1273" s="45"/>
      <c r="M1273" s="44"/>
      <c r="N1273" s="44"/>
      <c r="O1273" s="44"/>
      <c r="P1273" s="44"/>
      <c r="Q1273" s="44"/>
    </row>
    <row r="1274" spans="8:17" x14ac:dyDescent="0.25">
      <c r="H1274" s="44"/>
      <c r="I1274" s="44"/>
      <c r="J1274" s="45"/>
      <c r="K1274" s="45"/>
      <c r="L1274" s="45"/>
      <c r="M1274" s="44"/>
      <c r="N1274" s="44"/>
      <c r="O1274" s="44"/>
      <c r="P1274" s="44"/>
      <c r="Q1274" s="44"/>
    </row>
    <row r="1275" spans="8:17" x14ac:dyDescent="0.25">
      <c r="H1275" s="44"/>
      <c r="I1275" s="44"/>
      <c r="J1275" s="45"/>
      <c r="K1275" s="45"/>
      <c r="L1275" s="45"/>
      <c r="M1275" s="44"/>
      <c r="N1275" s="44"/>
      <c r="O1275" s="44"/>
      <c r="P1275" s="44"/>
      <c r="Q1275" s="44"/>
    </row>
    <row r="1276" spans="8:17" x14ac:dyDescent="0.25">
      <c r="H1276" s="44"/>
      <c r="I1276" s="44"/>
      <c r="J1276" s="45"/>
      <c r="K1276" s="45"/>
      <c r="L1276" s="45"/>
      <c r="M1276" s="44"/>
      <c r="N1276" s="44"/>
      <c r="O1276" s="44"/>
      <c r="P1276" s="44"/>
      <c r="Q1276" s="44"/>
    </row>
    <row r="1277" spans="8:17" x14ac:dyDescent="0.25">
      <c r="H1277" s="44"/>
      <c r="I1277" s="44"/>
      <c r="J1277" s="45"/>
      <c r="K1277" s="45"/>
      <c r="L1277" s="45"/>
      <c r="M1277" s="44"/>
      <c r="N1277" s="44"/>
      <c r="O1277" s="44"/>
      <c r="P1277" s="44"/>
      <c r="Q1277" s="44"/>
    </row>
    <row r="1278" spans="8:17" x14ac:dyDescent="0.25">
      <c r="H1278" s="44"/>
      <c r="I1278" s="44"/>
      <c r="J1278" s="45"/>
      <c r="K1278" s="45"/>
      <c r="L1278" s="45"/>
      <c r="M1278" s="44"/>
      <c r="N1278" s="44"/>
      <c r="O1278" s="44"/>
      <c r="P1278" s="44"/>
      <c r="Q1278" s="44"/>
    </row>
    <row r="1279" spans="8:17" x14ac:dyDescent="0.25">
      <c r="H1279" s="44"/>
      <c r="I1279" s="44"/>
      <c r="J1279" s="45"/>
      <c r="K1279" s="45"/>
      <c r="L1279" s="45"/>
      <c r="M1279" s="44"/>
      <c r="N1279" s="44"/>
      <c r="O1279" s="44"/>
      <c r="P1279" s="44"/>
      <c r="Q1279" s="44"/>
    </row>
    <row r="1280" spans="8:17" x14ac:dyDescent="0.25">
      <c r="H1280" s="44"/>
      <c r="I1280" s="44"/>
      <c r="J1280" s="45"/>
      <c r="K1280" s="45"/>
      <c r="L1280" s="45"/>
      <c r="M1280" s="44"/>
      <c r="N1280" s="44"/>
      <c r="O1280" s="44"/>
      <c r="P1280" s="44"/>
      <c r="Q1280" s="44"/>
    </row>
    <row r="1281" spans="8:17" x14ac:dyDescent="0.25">
      <c r="H1281" s="44"/>
      <c r="I1281" s="44"/>
      <c r="J1281" s="45"/>
      <c r="K1281" s="45"/>
      <c r="L1281" s="45"/>
      <c r="M1281" s="44"/>
      <c r="N1281" s="44"/>
      <c r="O1281" s="44"/>
      <c r="P1281" s="44"/>
      <c r="Q1281" s="44"/>
    </row>
    <row r="1282" spans="8:17" x14ac:dyDescent="0.25">
      <c r="H1282" s="44"/>
      <c r="I1282" s="44"/>
      <c r="J1282" s="45"/>
      <c r="K1282" s="45"/>
      <c r="L1282" s="45"/>
      <c r="M1282" s="44"/>
      <c r="N1282" s="44"/>
      <c r="O1282" s="44"/>
      <c r="P1282" s="44"/>
      <c r="Q1282" s="44"/>
    </row>
    <row r="1283" spans="8:17" x14ac:dyDescent="0.25">
      <c r="H1283" s="44"/>
      <c r="I1283" s="44"/>
      <c r="J1283" s="45"/>
      <c r="K1283" s="45"/>
      <c r="L1283" s="45"/>
      <c r="M1283" s="44"/>
      <c r="N1283" s="44"/>
      <c r="O1283" s="44"/>
      <c r="P1283" s="44"/>
      <c r="Q1283" s="44"/>
    </row>
    <row r="1284" spans="8:17" x14ac:dyDescent="0.25">
      <c r="H1284" s="44"/>
      <c r="I1284" s="44"/>
      <c r="J1284" s="45"/>
      <c r="K1284" s="45"/>
      <c r="L1284" s="45"/>
      <c r="M1284" s="44"/>
      <c r="N1284" s="44"/>
      <c r="O1284" s="44"/>
      <c r="P1284" s="44"/>
      <c r="Q1284" s="44"/>
    </row>
    <row r="1285" spans="8:17" x14ac:dyDescent="0.25">
      <c r="H1285" s="44"/>
      <c r="I1285" s="44"/>
      <c r="J1285" s="45"/>
      <c r="K1285" s="45"/>
      <c r="L1285" s="45"/>
      <c r="M1285" s="44"/>
      <c r="N1285" s="44"/>
      <c r="O1285" s="44"/>
      <c r="P1285" s="44"/>
      <c r="Q1285" s="44"/>
    </row>
    <row r="1286" spans="8:17" x14ac:dyDescent="0.25">
      <c r="H1286" s="44"/>
      <c r="I1286" s="44"/>
      <c r="J1286" s="45"/>
      <c r="K1286" s="45"/>
      <c r="L1286" s="45"/>
      <c r="M1286" s="44"/>
      <c r="N1286" s="44"/>
      <c r="O1286" s="44"/>
      <c r="P1286" s="44"/>
      <c r="Q1286" s="44"/>
    </row>
    <row r="1287" spans="8:17" x14ac:dyDescent="0.25">
      <c r="H1287" s="44"/>
      <c r="I1287" s="44"/>
      <c r="J1287" s="45"/>
      <c r="K1287" s="45"/>
      <c r="L1287" s="45"/>
      <c r="M1287" s="44"/>
      <c r="N1287" s="44"/>
      <c r="O1287" s="44"/>
      <c r="P1287" s="44"/>
      <c r="Q1287" s="44"/>
    </row>
    <row r="1288" spans="8:17" x14ac:dyDescent="0.25">
      <c r="H1288" s="44"/>
      <c r="I1288" s="44"/>
      <c r="J1288" s="45"/>
      <c r="K1288" s="45"/>
      <c r="L1288" s="45"/>
      <c r="M1288" s="44"/>
      <c r="N1288" s="44"/>
      <c r="O1288" s="44"/>
      <c r="P1288" s="44"/>
      <c r="Q1288" s="44"/>
    </row>
    <row r="1289" spans="8:17" x14ac:dyDescent="0.25">
      <c r="H1289" s="44"/>
      <c r="I1289" s="44"/>
      <c r="J1289" s="45"/>
      <c r="K1289" s="45"/>
      <c r="L1289" s="45"/>
      <c r="M1289" s="44"/>
      <c r="N1289" s="44"/>
      <c r="O1289" s="44"/>
      <c r="P1289" s="44"/>
      <c r="Q1289" s="44"/>
    </row>
    <row r="1290" spans="8:17" x14ac:dyDescent="0.25">
      <c r="H1290" s="44"/>
      <c r="I1290" s="44"/>
      <c r="J1290" s="45"/>
      <c r="K1290" s="45"/>
      <c r="L1290" s="45"/>
      <c r="M1290" s="44"/>
      <c r="N1290" s="44"/>
      <c r="O1290" s="44"/>
      <c r="P1290" s="44"/>
      <c r="Q1290" s="44"/>
    </row>
    <row r="1291" spans="8:17" x14ac:dyDescent="0.25">
      <c r="H1291" s="44"/>
      <c r="I1291" s="44"/>
      <c r="J1291" s="45"/>
      <c r="K1291" s="45"/>
      <c r="L1291" s="45"/>
      <c r="M1291" s="44"/>
      <c r="N1291" s="44"/>
      <c r="O1291" s="44"/>
      <c r="P1291" s="44"/>
      <c r="Q1291" s="44"/>
    </row>
    <row r="1292" spans="8:17" x14ac:dyDescent="0.25">
      <c r="H1292" s="44"/>
      <c r="I1292" s="44"/>
      <c r="J1292" s="45"/>
      <c r="K1292" s="45"/>
      <c r="L1292" s="45"/>
      <c r="M1292" s="44"/>
      <c r="N1292" s="44"/>
      <c r="O1292" s="44"/>
      <c r="P1292" s="44"/>
      <c r="Q1292" s="44"/>
    </row>
    <row r="1293" spans="8:17" x14ac:dyDescent="0.25">
      <c r="H1293" s="44"/>
      <c r="I1293" s="44"/>
      <c r="J1293" s="45"/>
      <c r="K1293" s="45"/>
      <c r="L1293" s="45"/>
      <c r="M1293" s="44"/>
      <c r="N1293" s="44"/>
      <c r="O1293" s="44"/>
      <c r="P1293" s="44"/>
      <c r="Q1293" s="44"/>
    </row>
    <row r="1294" spans="8:17" x14ac:dyDescent="0.25">
      <c r="H1294" s="44"/>
      <c r="I1294" s="44"/>
      <c r="J1294" s="45"/>
      <c r="K1294" s="45"/>
      <c r="L1294" s="45"/>
      <c r="M1294" s="44"/>
      <c r="N1294" s="44"/>
      <c r="O1294" s="44"/>
      <c r="P1294" s="44"/>
      <c r="Q1294" s="44"/>
    </row>
    <row r="1295" spans="8:17" x14ac:dyDescent="0.25">
      <c r="H1295" s="44"/>
      <c r="I1295" s="44"/>
      <c r="J1295" s="45"/>
      <c r="K1295" s="45"/>
      <c r="L1295" s="45"/>
      <c r="M1295" s="44"/>
      <c r="N1295" s="44"/>
      <c r="O1295" s="44"/>
      <c r="P1295" s="44"/>
      <c r="Q1295" s="44"/>
    </row>
    <row r="1296" spans="8:17" x14ac:dyDescent="0.25">
      <c r="H1296" s="44"/>
      <c r="I1296" s="44"/>
      <c r="J1296" s="45"/>
      <c r="K1296" s="45"/>
      <c r="L1296" s="45"/>
      <c r="M1296" s="44"/>
      <c r="N1296" s="44"/>
      <c r="O1296" s="44"/>
      <c r="P1296" s="44"/>
      <c r="Q1296" s="44"/>
    </row>
    <row r="1297" spans="8:17" x14ac:dyDescent="0.25">
      <c r="H1297" s="44"/>
      <c r="I1297" s="44"/>
      <c r="J1297" s="45"/>
      <c r="K1297" s="45"/>
      <c r="L1297" s="45"/>
      <c r="M1297" s="44"/>
      <c r="N1297" s="44"/>
      <c r="O1297" s="44"/>
      <c r="P1297" s="44"/>
      <c r="Q1297" s="44"/>
    </row>
    <row r="1298" spans="8:17" x14ac:dyDescent="0.25">
      <c r="H1298" s="44"/>
      <c r="I1298" s="44"/>
      <c r="J1298" s="45"/>
      <c r="K1298" s="45"/>
      <c r="L1298" s="45"/>
      <c r="M1298" s="44"/>
      <c r="N1298" s="44"/>
      <c r="O1298" s="44"/>
      <c r="P1298" s="44"/>
      <c r="Q1298" s="44"/>
    </row>
    <row r="1299" spans="8:17" x14ac:dyDescent="0.25">
      <c r="H1299" s="44"/>
      <c r="I1299" s="44"/>
      <c r="J1299" s="45"/>
      <c r="K1299" s="45"/>
      <c r="L1299" s="45"/>
      <c r="M1299" s="44"/>
      <c r="N1299" s="44"/>
      <c r="O1299" s="44"/>
      <c r="P1299" s="44"/>
      <c r="Q1299" s="44"/>
    </row>
    <row r="1300" spans="8:17" x14ac:dyDescent="0.25">
      <c r="H1300" s="44"/>
      <c r="I1300" s="44"/>
      <c r="J1300" s="45"/>
      <c r="K1300" s="45"/>
      <c r="L1300" s="45"/>
      <c r="M1300" s="44"/>
      <c r="N1300" s="44"/>
      <c r="O1300" s="44"/>
      <c r="P1300" s="44"/>
      <c r="Q1300" s="44"/>
    </row>
    <row r="1301" spans="8:17" x14ac:dyDescent="0.25">
      <c r="H1301" s="44"/>
      <c r="I1301" s="44"/>
      <c r="J1301" s="45"/>
      <c r="K1301" s="45"/>
      <c r="L1301" s="45"/>
      <c r="M1301" s="44"/>
      <c r="N1301" s="44"/>
      <c r="O1301" s="44"/>
      <c r="P1301" s="44"/>
      <c r="Q1301" s="44"/>
    </row>
    <row r="1302" spans="8:17" x14ac:dyDescent="0.25">
      <c r="H1302" s="44"/>
      <c r="I1302" s="44"/>
      <c r="J1302" s="45"/>
      <c r="K1302" s="45"/>
      <c r="L1302" s="45"/>
      <c r="M1302" s="44"/>
      <c r="N1302" s="44"/>
      <c r="O1302" s="44"/>
      <c r="P1302" s="44"/>
      <c r="Q1302" s="44"/>
    </row>
    <row r="1303" spans="8:17" x14ac:dyDescent="0.25">
      <c r="H1303" s="44"/>
      <c r="I1303" s="44"/>
      <c r="J1303" s="45"/>
      <c r="K1303" s="45"/>
      <c r="L1303" s="45"/>
      <c r="M1303" s="44"/>
      <c r="N1303" s="44"/>
      <c r="O1303" s="44"/>
      <c r="P1303" s="44"/>
      <c r="Q1303" s="44"/>
    </row>
    <row r="1304" spans="8:17" x14ac:dyDescent="0.25">
      <c r="H1304" s="44"/>
      <c r="I1304" s="44"/>
      <c r="J1304" s="45"/>
      <c r="K1304" s="45"/>
      <c r="L1304" s="45"/>
      <c r="M1304" s="44"/>
      <c r="N1304" s="44"/>
      <c r="O1304" s="44"/>
      <c r="P1304" s="44"/>
      <c r="Q1304" s="44"/>
    </row>
    <row r="1305" spans="8:17" x14ac:dyDescent="0.25">
      <c r="H1305" s="44"/>
      <c r="I1305" s="44"/>
      <c r="J1305" s="45"/>
      <c r="K1305" s="45"/>
      <c r="L1305" s="45"/>
      <c r="M1305" s="44"/>
      <c r="N1305" s="44"/>
      <c r="O1305" s="44"/>
      <c r="P1305" s="44"/>
      <c r="Q1305" s="44"/>
    </row>
    <row r="1306" spans="8:17" x14ac:dyDescent="0.25">
      <c r="H1306" s="44"/>
      <c r="I1306" s="44"/>
      <c r="J1306" s="45"/>
      <c r="K1306" s="45"/>
      <c r="L1306" s="45"/>
      <c r="M1306" s="44"/>
      <c r="N1306" s="44"/>
      <c r="O1306" s="44"/>
      <c r="P1306" s="44"/>
      <c r="Q1306" s="44"/>
    </row>
    <row r="1307" spans="8:17" x14ac:dyDescent="0.25">
      <c r="H1307" s="44"/>
      <c r="I1307" s="44"/>
      <c r="J1307" s="45"/>
      <c r="K1307" s="45"/>
      <c r="L1307" s="45"/>
      <c r="M1307" s="44"/>
      <c r="N1307" s="44"/>
      <c r="O1307" s="44"/>
      <c r="P1307" s="44"/>
      <c r="Q1307" s="44"/>
    </row>
    <row r="1308" spans="8:17" x14ac:dyDescent="0.25">
      <c r="H1308" s="44"/>
      <c r="I1308" s="44"/>
      <c r="J1308" s="45"/>
      <c r="K1308" s="45"/>
      <c r="L1308" s="45"/>
      <c r="M1308" s="44"/>
      <c r="N1308" s="44"/>
      <c r="O1308" s="44"/>
      <c r="P1308" s="44"/>
      <c r="Q1308" s="44"/>
    </row>
    <row r="1309" spans="8:17" x14ac:dyDescent="0.25">
      <c r="H1309" s="44"/>
      <c r="I1309" s="44"/>
      <c r="J1309" s="45"/>
      <c r="K1309" s="45"/>
      <c r="L1309" s="45"/>
      <c r="M1309" s="44"/>
      <c r="N1309" s="44"/>
      <c r="O1309" s="44"/>
      <c r="P1309" s="44"/>
      <c r="Q1309" s="44"/>
    </row>
    <row r="1310" spans="8:17" x14ac:dyDescent="0.25">
      <c r="H1310" s="44"/>
      <c r="I1310" s="44"/>
      <c r="J1310" s="45"/>
      <c r="K1310" s="45"/>
      <c r="L1310" s="45"/>
      <c r="M1310" s="44"/>
      <c r="N1310" s="44"/>
      <c r="O1310" s="44"/>
      <c r="P1310" s="44"/>
      <c r="Q1310" s="44"/>
    </row>
    <row r="1311" spans="8:17" x14ac:dyDescent="0.25">
      <c r="H1311" s="44"/>
      <c r="I1311" s="44"/>
      <c r="J1311" s="45"/>
      <c r="K1311" s="45"/>
      <c r="L1311" s="45"/>
      <c r="M1311" s="44"/>
      <c r="N1311" s="44"/>
      <c r="O1311" s="44"/>
      <c r="P1311" s="44"/>
      <c r="Q1311" s="44"/>
    </row>
    <row r="1312" spans="8:17" x14ac:dyDescent="0.25">
      <c r="H1312" s="44"/>
      <c r="I1312" s="44"/>
      <c r="J1312" s="45"/>
      <c r="K1312" s="45"/>
      <c r="L1312" s="45"/>
      <c r="M1312" s="44"/>
      <c r="N1312" s="44"/>
      <c r="O1312" s="44"/>
      <c r="P1312" s="44"/>
      <c r="Q1312" s="44"/>
    </row>
    <row r="1313" spans="8:17" x14ac:dyDescent="0.25">
      <c r="H1313" s="44"/>
      <c r="I1313" s="44"/>
      <c r="J1313" s="45"/>
      <c r="K1313" s="45"/>
      <c r="L1313" s="45"/>
      <c r="M1313" s="44"/>
      <c r="N1313" s="44"/>
      <c r="O1313" s="44"/>
      <c r="P1313" s="44"/>
      <c r="Q1313" s="44"/>
    </row>
    <row r="1314" spans="8:17" x14ac:dyDescent="0.25">
      <c r="H1314" s="44"/>
      <c r="I1314" s="44"/>
      <c r="J1314" s="45"/>
      <c r="K1314" s="45"/>
      <c r="L1314" s="45"/>
      <c r="M1314" s="44"/>
      <c r="N1314" s="44"/>
      <c r="O1314" s="44"/>
      <c r="P1314" s="44"/>
      <c r="Q1314" s="44"/>
    </row>
    <row r="1315" spans="8:17" x14ac:dyDescent="0.25">
      <c r="H1315" s="44"/>
      <c r="I1315" s="44"/>
      <c r="J1315" s="45"/>
      <c r="K1315" s="45"/>
      <c r="L1315" s="45"/>
      <c r="M1315" s="44"/>
      <c r="N1315" s="44"/>
      <c r="O1315" s="44"/>
      <c r="P1315" s="44"/>
      <c r="Q1315" s="44"/>
    </row>
    <row r="1316" spans="8:17" x14ac:dyDescent="0.25">
      <c r="H1316" s="44"/>
      <c r="I1316" s="44"/>
      <c r="J1316" s="45"/>
      <c r="K1316" s="45"/>
      <c r="L1316" s="45"/>
      <c r="M1316" s="44"/>
      <c r="N1316" s="44"/>
      <c r="O1316" s="44"/>
      <c r="P1316" s="44"/>
      <c r="Q1316" s="44"/>
    </row>
    <row r="1317" spans="8:17" x14ac:dyDescent="0.25">
      <c r="H1317" s="44"/>
      <c r="I1317" s="44"/>
      <c r="J1317" s="45"/>
      <c r="K1317" s="45"/>
      <c r="L1317" s="45"/>
      <c r="M1317" s="44"/>
      <c r="N1317" s="44"/>
      <c r="O1317" s="44"/>
      <c r="P1317" s="44"/>
      <c r="Q1317" s="44"/>
    </row>
    <row r="1318" spans="8:17" x14ac:dyDescent="0.25">
      <c r="H1318" s="44"/>
      <c r="I1318" s="44"/>
      <c r="J1318" s="45"/>
      <c r="K1318" s="45"/>
      <c r="L1318" s="45"/>
      <c r="M1318" s="44"/>
      <c r="N1318" s="44"/>
      <c r="O1318" s="44"/>
      <c r="P1318" s="44"/>
      <c r="Q1318" s="44"/>
    </row>
    <row r="1319" spans="8:17" x14ac:dyDescent="0.25">
      <c r="H1319" s="44"/>
      <c r="I1319" s="44"/>
      <c r="J1319" s="45"/>
      <c r="K1319" s="45"/>
      <c r="L1319" s="45"/>
      <c r="M1319" s="44"/>
      <c r="N1319" s="44"/>
      <c r="O1319" s="44"/>
      <c r="P1319" s="44"/>
      <c r="Q1319" s="44"/>
    </row>
    <row r="1320" spans="8:17" x14ac:dyDescent="0.25">
      <c r="H1320" s="44"/>
      <c r="I1320" s="44"/>
      <c r="J1320" s="45"/>
      <c r="K1320" s="45"/>
      <c r="L1320" s="45"/>
      <c r="M1320" s="44"/>
      <c r="N1320" s="44"/>
      <c r="O1320" s="44"/>
      <c r="P1320" s="44"/>
      <c r="Q1320" s="44"/>
    </row>
    <row r="1321" spans="8:17" x14ac:dyDescent="0.25">
      <c r="H1321" s="44"/>
      <c r="I1321" s="44"/>
      <c r="J1321" s="45"/>
      <c r="K1321" s="45"/>
      <c r="L1321" s="45"/>
      <c r="M1321" s="44"/>
      <c r="N1321" s="44"/>
      <c r="O1321" s="44"/>
      <c r="P1321" s="44"/>
      <c r="Q1321" s="44"/>
    </row>
    <row r="1322" spans="8:17" x14ac:dyDescent="0.25">
      <c r="H1322" s="44"/>
      <c r="I1322" s="44"/>
      <c r="J1322" s="45"/>
      <c r="K1322" s="45"/>
      <c r="L1322" s="45"/>
      <c r="M1322" s="44"/>
      <c r="N1322" s="44"/>
      <c r="O1322" s="44"/>
      <c r="P1322" s="44"/>
      <c r="Q1322" s="44"/>
    </row>
    <row r="1323" spans="8:17" x14ac:dyDescent="0.25">
      <c r="H1323" s="44"/>
      <c r="I1323" s="44"/>
      <c r="J1323" s="45"/>
      <c r="K1323" s="45"/>
      <c r="L1323" s="45"/>
      <c r="M1323" s="44"/>
      <c r="N1323" s="44"/>
      <c r="O1323" s="44"/>
      <c r="P1323" s="44"/>
      <c r="Q1323" s="44"/>
    </row>
    <row r="1324" spans="8:17" x14ac:dyDescent="0.25">
      <c r="H1324" s="44"/>
      <c r="I1324" s="44"/>
      <c r="J1324" s="45"/>
      <c r="K1324" s="45"/>
      <c r="L1324" s="45"/>
      <c r="M1324" s="44"/>
      <c r="N1324" s="44"/>
      <c r="O1324" s="44"/>
      <c r="P1324" s="44"/>
      <c r="Q1324" s="44"/>
    </row>
    <row r="1325" spans="8:17" x14ac:dyDescent="0.25">
      <c r="H1325" s="44"/>
      <c r="I1325" s="44"/>
      <c r="J1325" s="45"/>
      <c r="K1325" s="45"/>
      <c r="L1325" s="45"/>
      <c r="M1325" s="44"/>
      <c r="N1325" s="44"/>
      <c r="O1325" s="44"/>
      <c r="P1325" s="44"/>
      <c r="Q1325" s="44"/>
    </row>
    <row r="1326" spans="8:17" x14ac:dyDescent="0.25">
      <c r="H1326" s="44"/>
      <c r="I1326" s="44"/>
      <c r="J1326" s="45"/>
      <c r="K1326" s="45"/>
      <c r="L1326" s="45"/>
      <c r="M1326" s="44"/>
      <c r="N1326" s="44"/>
      <c r="O1326" s="44"/>
      <c r="P1326" s="44"/>
      <c r="Q1326" s="44"/>
    </row>
    <row r="1327" spans="8:17" x14ac:dyDescent="0.25">
      <c r="H1327" s="44"/>
      <c r="I1327" s="44"/>
      <c r="J1327" s="45"/>
      <c r="K1327" s="45"/>
      <c r="L1327" s="45"/>
      <c r="M1327" s="44"/>
      <c r="N1327" s="44"/>
      <c r="O1327" s="44"/>
      <c r="P1327" s="44"/>
      <c r="Q1327" s="44"/>
    </row>
    <row r="1328" spans="8:17" x14ac:dyDescent="0.25">
      <c r="H1328" s="44"/>
      <c r="I1328" s="44"/>
      <c r="J1328" s="45"/>
      <c r="K1328" s="45"/>
      <c r="L1328" s="45"/>
      <c r="M1328" s="44"/>
      <c r="N1328" s="44"/>
      <c r="O1328" s="44"/>
      <c r="P1328" s="44"/>
      <c r="Q1328" s="44"/>
    </row>
    <row r="1329" spans="8:17" x14ac:dyDescent="0.25">
      <c r="H1329" s="44"/>
      <c r="I1329" s="44"/>
      <c r="J1329" s="45"/>
      <c r="K1329" s="45"/>
      <c r="L1329" s="45"/>
      <c r="M1329" s="44"/>
      <c r="N1329" s="44"/>
      <c r="O1329" s="44"/>
      <c r="P1329" s="44"/>
      <c r="Q1329" s="44"/>
    </row>
    <row r="1330" spans="8:17" x14ac:dyDescent="0.25">
      <c r="H1330" s="44"/>
      <c r="I1330" s="44"/>
      <c r="J1330" s="45"/>
      <c r="K1330" s="45"/>
      <c r="L1330" s="45"/>
      <c r="M1330" s="44"/>
      <c r="N1330" s="44"/>
      <c r="O1330" s="44"/>
      <c r="P1330" s="44"/>
      <c r="Q1330" s="44"/>
    </row>
    <row r="1331" spans="8:17" x14ac:dyDescent="0.25">
      <c r="H1331" s="44"/>
      <c r="I1331" s="44"/>
      <c r="J1331" s="45"/>
      <c r="K1331" s="45"/>
      <c r="L1331" s="45"/>
      <c r="M1331" s="44"/>
      <c r="N1331" s="44"/>
      <c r="O1331" s="44"/>
      <c r="P1331" s="44"/>
      <c r="Q1331" s="44"/>
    </row>
    <row r="1332" spans="8:17" x14ac:dyDescent="0.25">
      <c r="H1332" s="44"/>
      <c r="I1332" s="44"/>
      <c r="J1332" s="45"/>
      <c r="K1332" s="45"/>
      <c r="L1332" s="45"/>
      <c r="M1332" s="44"/>
      <c r="N1332" s="44"/>
      <c r="O1332" s="44"/>
      <c r="P1332" s="44"/>
      <c r="Q1332" s="44"/>
    </row>
    <row r="1333" spans="8:17" x14ac:dyDescent="0.25">
      <c r="H1333" s="44"/>
      <c r="I1333" s="44"/>
      <c r="J1333" s="45"/>
      <c r="K1333" s="45"/>
      <c r="L1333" s="45"/>
      <c r="M1333" s="44"/>
      <c r="N1333" s="44"/>
      <c r="O1333" s="44"/>
      <c r="P1333" s="44"/>
      <c r="Q1333" s="44"/>
    </row>
    <row r="1334" spans="8:17" x14ac:dyDescent="0.25">
      <c r="H1334" s="44"/>
      <c r="I1334" s="44"/>
      <c r="J1334" s="45"/>
      <c r="K1334" s="45"/>
      <c r="L1334" s="45"/>
      <c r="M1334" s="44"/>
      <c r="N1334" s="44"/>
      <c r="O1334" s="44"/>
      <c r="P1334" s="44"/>
      <c r="Q1334" s="44"/>
    </row>
    <row r="1335" spans="8:17" x14ac:dyDescent="0.25">
      <c r="H1335" s="44"/>
      <c r="I1335" s="44"/>
      <c r="J1335" s="45"/>
      <c r="K1335" s="45"/>
      <c r="L1335" s="45"/>
      <c r="M1335" s="44"/>
      <c r="N1335" s="44"/>
      <c r="O1335" s="44"/>
      <c r="P1335" s="44"/>
      <c r="Q1335" s="44"/>
    </row>
    <row r="1336" spans="8:17" x14ac:dyDescent="0.25">
      <c r="H1336" s="44"/>
      <c r="I1336" s="44"/>
      <c r="J1336" s="45"/>
      <c r="K1336" s="45"/>
      <c r="L1336" s="45"/>
      <c r="M1336" s="44"/>
      <c r="N1336" s="44"/>
      <c r="O1336" s="44"/>
      <c r="P1336" s="44"/>
      <c r="Q1336" s="44"/>
    </row>
    <row r="1337" spans="8:17" x14ac:dyDescent="0.25">
      <c r="H1337" s="44"/>
      <c r="I1337" s="44"/>
      <c r="J1337" s="45"/>
      <c r="K1337" s="45"/>
      <c r="L1337" s="45"/>
      <c r="M1337" s="44"/>
      <c r="N1337" s="44"/>
      <c r="O1337" s="44"/>
      <c r="P1337" s="44"/>
      <c r="Q1337" s="44"/>
    </row>
    <row r="1338" spans="8:17" x14ac:dyDescent="0.25">
      <c r="H1338" s="44"/>
      <c r="I1338" s="44"/>
      <c r="J1338" s="45"/>
      <c r="K1338" s="45"/>
      <c r="L1338" s="45"/>
      <c r="M1338" s="44"/>
      <c r="N1338" s="44"/>
      <c r="O1338" s="44"/>
      <c r="P1338" s="44"/>
      <c r="Q1338" s="44"/>
    </row>
    <row r="1339" spans="8:17" x14ac:dyDescent="0.25">
      <c r="H1339" s="44"/>
      <c r="I1339" s="44"/>
      <c r="J1339" s="45"/>
      <c r="K1339" s="45"/>
      <c r="L1339" s="45"/>
      <c r="M1339" s="44"/>
      <c r="N1339" s="44"/>
      <c r="O1339" s="44"/>
      <c r="P1339" s="44"/>
      <c r="Q1339" s="44"/>
    </row>
    <row r="1340" spans="8:17" x14ac:dyDescent="0.25">
      <c r="H1340" s="44"/>
      <c r="I1340" s="44"/>
      <c r="J1340" s="45"/>
      <c r="K1340" s="45"/>
      <c r="L1340" s="45"/>
      <c r="M1340" s="44"/>
      <c r="N1340" s="44"/>
      <c r="O1340" s="44"/>
      <c r="P1340" s="44"/>
      <c r="Q1340" s="44"/>
    </row>
    <row r="1341" spans="8:17" x14ac:dyDescent="0.25">
      <c r="H1341" s="44"/>
      <c r="I1341" s="44"/>
      <c r="J1341" s="45"/>
      <c r="K1341" s="45"/>
      <c r="L1341" s="45"/>
      <c r="M1341" s="44"/>
      <c r="N1341" s="44"/>
      <c r="O1341" s="44"/>
      <c r="P1341" s="44"/>
      <c r="Q1341" s="44"/>
    </row>
    <row r="1342" spans="8:17" x14ac:dyDescent="0.25">
      <c r="H1342" s="44"/>
      <c r="I1342" s="44"/>
      <c r="J1342" s="45"/>
      <c r="K1342" s="45"/>
      <c r="L1342" s="45"/>
      <c r="M1342" s="44"/>
      <c r="N1342" s="44"/>
      <c r="O1342" s="44"/>
      <c r="P1342" s="44"/>
      <c r="Q1342" s="44"/>
    </row>
    <row r="1343" spans="8:17" x14ac:dyDescent="0.25">
      <c r="H1343" s="44"/>
      <c r="I1343" s="44"/>
      <c r="J1343" s="45"/>
      <c r="K1343" s="45"/>
      <c r="L1343" s="45"/>
      <c r="M1343" s="44"/>
      <c r="N1343" s="44"/>
      <c r="O1343" s="44"/>
      <c r="P1343" s="44"/>
      <c r="Q1343" s="44"/>
    </row>
    <row r="1344" spans="8:17" x14ac:dyDescent="0.25">
      <c r="H1344" s="44"/>
      <c r="I1344" s="44"/>
      <c r="J1344" s="45"/>
      <c r="K1344" s="45"/>
      <c r="L1344" s="45"/>
      <c r="M1344" s="44"/>
      <c r="N1344" s="44"/>
      <c r="O1344" s="44"/>
      <c r="P1344" s="44"/>
      <c r="Q1344" s="44"/>
    </row>
    <row r="1345" spans="8:17" x14ac:dyDescent="0.25">
      <c r="H1345" s="44"/>
      <c r="I1345" s="44"/>
      <c r="J1345" s="45"/>
      <c r="K1345" s="45"/>
      <c r="L1345" s="45"/>
      <c r="M1345" s="44"/>
      <c r="N1345" s="44"/>
      <c r="O1345" s="44"/>
      <c r="P1345" s="44"/>
      <c r="Q1345" s="44"/>
    </row>
    <row r="1346" spans="8:17" x14ac:dyDescent="0.25">
      <c r="H1346" s="44"/>
      <c r="I1346" s="44"/>
      <c r="J1346" s="45"/>
      <c r="K1346" s="45"/>
      <c r="L1346" s="45"/>
      <c r="M1346" s="44"/>
      <c r="N1346" s="44"/>
      <c r="O1346" s="44"/>
      <c r="P1346" s="44"/>
      <c r="Q1346" s="44"/>
    </row>
    <row r="1347" spans="8:17" x14ac:dyDescent="0.25">
      <c r="H1347" s="44"/>
      <c r="I1347" s="44"/>
      <c r="J1347" s="45"/>
      <c r="K1347" s="45"/>
      <c r="L1347" s="45"/>
      <c r="M1347" s="44"/>
      <c r="N1347" s="44"/>
      <c r="O1347" s="44"/>
      <c r="P1347" s="44"/>
      <c r="Q1347" s="44"/>
    </row>
    <row r="1348" spans="8:17" x14ac:dyDescent="0.25">
      <c r="H1348" s="44"/>
      <c r="I1348" s="44"/>
      <c r="J1348" s="45"/>
      <c r="K1348" s="45"/>
      <c r="L1348" s="45"/>
      <c r="M1348" s="44"/>
      <c r="N1348" s="44"/>
      <c r="O1348" s="44"/>
      <c r="P1348" s="44"/>
      <c r="Q1348" s="44"/>
    </row>
    <row r="1349" spans="8:17" x14ac:dyDescent="0.25">
      <c r="H1349" s="44"/>
      <c r="I1349" s="44"/>
      <c r="J1349" s="45"/>
      <c r="K1349" s="45"/>
      <c r="L1349" s="45"/>
      <c r="M1349" s="44"/>
      <c r="N1349" s="44"/>
      <c r="O1349" s="44"/>
      <c r="P1349" s="44"/>
      <c r="Q1349" s="44"/>
    </row>
    <row r="1350" spans="8:17" x14ac:dyDescent="0.25">
      <c r="H1350" s="44"/>
      <c r="I1350" s="44"/>
      <c r="J1350" s="45"/>
      <c r="K1350" s="45"/>
      <c r="L1350" s="45"/>
      <c r="M1350" s="44"/>
      <c r="N1350" s="44"/>
      <c r="O1350" s="44"/>
      <c r="P1350" s="44"/>
      <c r="Q1350" s="44"/>
    </row>
    <row r="1351" spans="8:17" x14ac:dyDescent="0.25">
      <c r="H1351" s="44"/>
      <c r="I1351" s="44"/>
      <c r="J1351" s="45"/>
      <c r="K1351" s="45"/>
      <c r="L1351" s="45"/>
      <c r="M1351" s="44"/>
      <c r="N1351" s="44"/>
      <c r="O1351" s="44"/>
      <c r="P1351" s="44"/>
      <c r="Q1351" s="44"/>
    </row>
    <row r="1352" spans="8:17" x14ac:dyDescent="0.25">
      <c r="H1352" s="44"/>
      <c r="I1352" s="44"/>
      <c r="J1352" s="45"/>
      <c r="K1352" s="45"/>
      <c r="L1352" s="45"/>
      <c r="M1352" s="44"/>
      <c r="N1352" s="44"/>
      <c r="O1352" s="44"/>
      <c r="P1352" s="44"/>
      <c r="Q1352" s="44"/>
    </row>
    <row r="1353" spans="8:17" x14ac:dyDescent="0.25">
      <c r="H1353" s="44"/>
      <c r="I1353" s="44"/>
      <c r="J1353" s="45"/>
      <c r="K1353" s="45"/>
      <c r="L1353" s="45"/>
      <c r="M1353" s="44"/>
      <c r="N1353" s="44"/>
      <c r="O1353" s="44"/>
      <c r="P1353" s="44"/>
      <c r="Q1353" s="44"/>
    </row>
    <row r="1354" spans="8:17" x14ac:dyDescent="0.25">
      <c r="H1354" s="44"/>
      <c r="I1354" s="44"/>
      <c r="J1354" s="45"/>
      <c r="K1354" s="45"/>
      <c r="L1354" s="45"/>
      <c r="M1354" s="44"/>
      <c r="N1354" s="44"/>
      <c r="O1354" s="44"/>
      <c r="P1354" s="44"/>
      <c r="Q1354" s="44"/>
    </row>
    <row r="1355" spans="8:17" x14ac:dyDescent="0.25">
      <c r="H1355" s="44"/>
      <c r="I1355" s="44"/>
      <c r="J1355" s="45"/>
      <c r="K1355" s="45"/>
      <c r="L1355" s="45"/>
      <c r="M1355" s="44"/>
      <c r="N1355" s="44"/>
      <c r="O1355" s="44"/>
      <c r="P1355" s="44"/>
      <c r="Q1355" s="44"/>
    </row>
    <row r="1356" spans="8:17" x14ac:dyDescent="0.25">
      <c r="H1356" s="44"/>
      <c r="I1356" s="44"/>
      <c r="J1356" s="45"/>
      <c r="K1356" s="45"/>
      <c r="L1356" s="45"/>
      <c r="M1356" s="44"/>
      <c r="N1356" s="44"/>
      <c r="O1356" s="44"/>
      <c r="P1356" s="44"/>
      <c r="Q1356" s="44"/>
    </row>
    <row r="1357" spans="8:17" x14ac:dyDescent="0.25">
      <c r="H1357" s="44"/>
      <c r="I1357" s="44"/>
      <c r="J1357" s="45"/>
      <c r="K1357" s="45"/>
      <c r="L1357" s="45"/>
      <c r="M1357" s="44"/>
      <c r="N1357" s="44"/>
      <c r="O1357" s="44"/>
      <c r="P1357" s="44"/>
      <c r="Q1357" s="44"/>
    </row>
    <row r="1358" spans="8:17" x14ac:dyDescent="0.25">
      <c r="H1358" s="44"/>
      <c r="I1358" s="44"/>
      <c r="J1358" s="45"/>
      <c r="K1358" s="45"/>
      <c r="L1358" s="45"/>
      <c r="M1358" s="44"/>
      <c r="N1358" s="44"/>
      <c r="O1358" s="44"/>
      <c r="P1358" s="44"/>
      <c r="Q1358" s="44"/>
    </row>
    <row r="1359" spans="8:17" x14ac:dyDescent="0.25">
      <c r="H1359" s="44"/>
      <c r="I1359" s="44"/>
      <c r="J1359" s="45"/>
      <c r="K1359" s="45"/>
      <c r="L1359" s="45"/>
      <c r="M1359" s="44"/>
      <c r="N1359" s="44"/>
      <c r="O1359" s="44"/>
      <c r="P1359" s="44"/>
      <c r="Q1359" s="44"/>
    </row>
    <row r="1360" spans="8:17" x14ac:dyDescent="0.25">
      <c r="H1360" s="44"/>
      <c r="I1360" s="44"/>
      <c r="J1360" s="45"/>
      <c r="K1360" s="45"/>
      <c r="L1360" s="45"/>
      <c r="M1360" s="44"/>
      <c r="N1360" s="44"/>
      <c r="O1360" s="44"/>
      <c r="P1360" s="44"/>
      <c r="Q1360" s="44"/>
    </row>
    <row r="1361" spans="8:17" x14ac:dyDescent="0.25">
      <c r="H1361" s="44"/>
      <c r="I1361" s="44"/>
      <c r="J1361" s="45"/>
      <c r="K1361" s="45"/>
      <c r="L1361" s="45"/>
      <c r="M1361" s="44"/>
      <c r="N1361" s="44"/>
      <c r="O1361" s="44"/>
      <c r="P1361" s="44"/>
      <c r="Q1361" s="44"/>
    </row>
    <row r="1362" spans="8:17" x14ac:dyDescent="0.25">
      <c r="H1362" s="44"/>
      <c r="I1362" s="44"/>
      <c r="J1362" s="45"/>
      <c r="K1362" s="45"/>
      <c r="L1362" s="45"/>
      <c r="M1362" s="44"/>
      <c r="N1362" s="44"/>
      <c r="O1362" s="44"/>
      <c r="P1362" s="44"/>
      <c r="Q1362" s="44"/>
    </row>
    <row r="1363" spans="8:17" x14ac:dyDescent="0.25">
      <c r="H1363" s="44"/>
      <c r="I1363" s="44"/>
      <c r="J1363" s="45"/>
      <c r="K1363" s="45"/>
      <c r="L1363" s="45"/>
      <c r="M1363" s="44"/>
      <c r="N1363" s="44"/>
      <c r="O1363" s="44"/>
      <c r="P1363" s="44"/>
      <c r="Q1363" s="44"/>
    </row>
    <row r="1364" spans="8:17" x14ac:dyDescent="0.25">
      <c r="H1364" s="44"/>
      <c r="I1364" s="44"/>
      <c r="J1364" s="45"/>
      <c r="K1364" s="45"/>
      <c r="L1364" s="45"/>
      <c r="M1364" s="44"/>
      <c r="N1364" s="44"/>
      <c r="O1364" s="44"/>
      <c r="P1364" s="44"/>
      <c r="Q1364" s="44"/>
    </row>
    <row r="1365" spans="8:17" x14ac:dyDescent="0.25">
      <c r="H1365" s="44"/>
      <c r="I1365" s="44"/>
      <c r="J1365" s="45"/>
      <c r="K1365" s="45"/>
      <c r="L1365" s="45"/>
      <c r="M1365" s="44"/>
      <c r="N1365" s="44"/>
      <c r="O1365" s="44"/>
      <c r="P1365" s="44"/>
      <c r="Q1365" s="44"/>
    </row>
    <row r="1366" spans="8:17" x14ac:dyDescent="0.25">
      <c r="H1366" s="44"/>
      <c r="I1366" s="44"/>
      <c r="J1366" s="45"/>
      <c r="K1366" s="45"/>
      <c r="L1366" s="45"/>
      <c r="M1366" s="44"/>
      <c r="N1366" s="44"/>
      <c r="O1366" s="44"/>
      <c r="P1366" s="44"/>
      <c r="Q1366" s="44"/>
    </row>
    <row r="1367" spans="8:17" x14ac:dyDescent="0.25">
      <c r="H1367" s="44"/>
      <c r="I1367" s="44"/>
      <c r="J1367" s="45"/>
      <c r="K1367" s="45"/>
      <c r="L1367" s="45"/>
      <c r="M1367" s="44"/>
      <c r="N1367" s="44"/>
      <c r="O1367" s="44"/>
      <c r="P1367" s="44"/>
      <c r="Q1367" s="44"/>
    </row>
    <row r="1368" spans="8:17" x14ac:dyDescent="0.25">
      <c r="H1368" s="44"/>
      <c r="I1368" s="44"/>
      <c r="J1368" s="45"/>
      <c r="K1368" s="45"/>
      <c r="L1368" s="45"/>
      <c r="M1368" s="44"/>
      <c r="N1368" s="44"/>
      <c r="O1368" s="44"/>
      <c r="P1368" s="44"/>
      <c r="Q1368" s="44"/>
    </row>
    <row r="1369" spans="8:17" x14ac:dyDescent="0.25">
      <c r="H1369" s="44"/>
      <c r="I1369" s="44"/>
      <c r="J1369" s="45"/>
      <c r="K1369" s="45"/>
      <c r="L1369" s="45"/>
      <c r="M1369" s="44"/>
      <c r="N1369" s="44"/>
      <c r="O1369" s="44"/>
      <c r="P1369" s="44"/>
      <c r="Q1369" s="44"/>
    </row>
    <row r="1370" spans="8:17" x14ac:dyDescent="0.25">
      <c r="H1370" s="44"/>
      <c r="I1370" s="44"/>
      <c r="J1370" s="45"/>
      <c r="K1370" s="45"/>
      <c r="L1370" s="45"/>
      <c r="M1370" s="44"/>
      <c r="N1370" s="44"/>
      <c r="O1370" s="44"/>
      <c r="P1370" s="44"/>
      <c r="Q1370" s="44"/>
    </row>
    <row r="1371" spans="8:17" x14ac:dyDescent="0.25">
      <c r="H1371" s="44"/>
      <c r="I1371" s="44"/>
      <c r="J1371" s="45"/>
      <c r="K1371" s="45"/>
      <c r="L1371" s="45"/>
      <c r="M1371" s="44"/>
      <c r="N1371" s="44"/>
      <c r="O1371" s="44"/>
      <c r="P1371" s="44"/>
      <c r="Q1371" s="44"/>
    </row>
    <row r="1372" spans="8:17" x14ac:dyDescent="0.25">
      <c r="H1372" s="44"/>
      <c r="I1372" s="44"/>
      <c r="J1372" s="45"/>
      <c r="K1372" s="45"/>
      <c r="L1372" s="45"/>
      <c r="M1372" s="44"/>
      <c r="N1372" s="44"/>
      <c r="O1372" s="44"/>
      <c r="P1372" s="44"/>
      <c r="Q1372" s="44"/>
    </row>
    <row r="1373" spans="8:17" x14ac:dyDescent="0.25">
      <c r="H1373" s="44"/>
      <c r="I1373" s="44"/>
      <c r="J1373" s="45"/>
      <c r="K1373" s="45"/>
      <c r="L1373" s="45"/>
      <c r="M1373" s="44"/>
      <c r="N1373" s="44"/>
      <c r="O1373" s="44"/>
      <c r="P1373" s="44"/>
      <c r="Q1373" s="44"/>
    </row>
    <row r="1374" spans="8:17" x14ac:dyDescent="0.25">
      <c r="H1374" s="44"/>
      <c r="I1374" s="44"/>
      <c r="J1374" s="45"/>
      <c r="K1374" s="45"/>
      <c r="L1374" s="45"/>
      <c r="M1374" s="44"/>
      <c r="N1374" s="44"/>
      <c r="O1374" s="44"/>
      <c r="P1374" s="44"/>
      <c r="Q1374" s="44"/>
    </row>
    <row r="1375" spans="8:17" x14ac:dyDescent="0.25">
      <c r="H1375" s="44"/>
      <c r="I1375" s="44"/>
      <c r="J1375" s="45"/>
      <c r="K1375" s="45"/>
      <c r="L1375" s="45"/>
      <c r="M1375" s="44"/>
      <c r="N1375" s="44"/>
      <c r="O1375" s="44"/>
      <c r="P1375" s="44"/>
      <c r="Q1375" s="44"/>
    </row>
    <row r="1376" spans="8:17" x14ac:dyDescent="0.25">
      <c r="H1376" s="44"/>
      <c r="I1376" s="44"/>
      <c r="J1376" s="45"/>
      <c r="K1376" s="45"/>
      <c r="L1376" s="45"/>
      <c r="M1376" s="44"/>
      <c r="N1376" s="44"/>
      <c r="O1376" s="44"/>
      <c r="P1376" s="44"/>
      <c r="Q1376" s="44"/>
    </row>
    <row r="1377" spans="8:17" x14ac:dyDescent="0.25">
      <c r="H1377" s="44"/>
      <c r="I1377" s="44"/>
      <c r="J1377" s="45"/>
      <c r="K1377" s="45"/>
      <c r="L1377" s="45"/>
      <c r="M1377" s="44"/>
      <c r="N1377" s="44"/>
      <c r="O1377" s="44"/>
      <c r="P1377" s="44"/>
      <c r="Q1377" s="44"/>
    </row>
    <row r="1378" spans="8:17" x14ac:dyDescent="0.25">
      <c r="H1378" s="44"/>
      <c r="I1378" s="44"/>
      <c r="J1378" s="45"/>
      <c r="K1378" s="45"/>
      <c r="L1378" s="45"/>
      <c r="M1378" s="44"/>
      <c r="N1378" s="44"/>
      <c r="O1378" s="44"/>
      <c r="P1378" s="44"/>
      <c r="Q1378" s="44"/>
    </row>
    <row r="1379" spans="8:17" x14ac:dyDescent="0.25">
      <c r="H1379" s="44"/>
      <c r="I1379" s="44"/>
      <c r="J1379" s="45"/>
      <c r="K1379" s="45"/>
      <c r="L1379" s="45"/>
      <c r="M1379" s="44"/>
      <c r="N1379" s="44"/>
      <c r="O1379" s="44"/>
      <c r="P1379" s="44"/>
      <c r="Q1379" s="44"/>
    </row>
    <row r="1380" spans="8:17" x14ac:dyDescent="0.25">
      <c r="H1380" s="44"/>
      <c r="I1380" s="44"/>
      <c r="J1380" s="45"/>
      <c r="K1380" s="45"/>
      <c r="L1380" s="45"/>
      <c r="M1380" s="44"/>
      <c r="N1380" s="44"/>
      <c r="O1380" s="44"/>
      <c r="P1380" s="44"/>
      <c r="Q1380" s="44"/>
    </row>
    <row r="1381" spans="8:17" x14ac:dyDescent="0.25">
      <c r="H1381" s="44"/>
      <c r="I1381" s="44"/>
      <c r="J1381" s="45"/>
      <c r="K1381" s="45"/>
      <c r="L1381" s="45"/>
      <c r="M1381" s="44"/>
      <c r="N1381" s="44"/>
      <c r="O1381" s="44"/>
      <c r="P1381" s="44"/>
      <c r="Q1381" s="44"/>
    </row>
    <row r="1382" spans="8:17" x14ac:dyDescent="0.25">
      <c r="H1382" s="44"/>
      <c r="I1382" s="44"/>
      <c r="J1382" s="45"/>
      <c r="K1382" s="45"/>
      <c r="L1382" s="45"/>
      <c r="M1382" s="44"/>
      <c r="N1382" s="44"/>
      <c r="O1382" s="44"/>
      <c r="P1382" s="44"/>
      <c r="Q1382" s="44"/>
    </row>
    <row r="1383" spans="8:17" x14ac:dyDescent="0.25">
      <c r="H1383" s="44"/>
      <c r="I1383" s="44"/>
      <c r="J1383" s="45"/>
      <c r="K1383" s="45"/>
      <c r="L1383" s="45"/>
      <c r="M1383" s="44"/>
      <c r="N1383" s="44"/>
      <c r="O1383" s="44"/>
      <c r="P1383" s="44"/>
      <c r="Q1383" s="44"/>
    </row>
    <row r="1384" spans="8:17" x14ac:dyDescent="0.25">
      <c r="H1384" s="44"/>
      <c r="I1384" s="44"/>
      <c r="J1384" s="45"/>
      <c r="K1384" s="45"/>
      <c r="L1384" s="45"/>
      <c r="M1384" s="44"/>
      <c r="N1384" s="44"/>
      <c r="O1384" s="44"/>
      <c r="P1384" s="44"/>
      <c r="Q1384" s="44"/>
    </row>
    <row r="1385" spans="8:17" x14ac:dyDescent="0.25">
      <c r="H1385" s="44"/>
      <c r="I1385" s="44"/>
      <c r="J1385" s="45"/>
      <c r="K1385" s="45"/>
      <c r="L1385" s="45"/>
      <c r="M1385" s="44"/>
      <c r="N1385" s="44"/>
      <c r="O1385" s="44"/>
      <c r="P1385" s="44"/>
      <c r="Q1385" s="44"/>
    </row>
    <row r="1386" spans="8:17" x14ac:dyDescent="0.25">
      <c r="H1386" s="44"/>
      <c r="I1386" s="44"/>
      <c r="J1386" s="45"/>
      <c r="K1386" s="45"/>
      <c r="L1386" s="45"/>
      <c r="M1386" s="44"/>
      <c r="N1386" s="44"/>
      <c r="O1386" s="44"/>
      <c r="P1386" s="44"/>
      <c r="Q1386" s="44"/>
    </row>
    <row r="1387" spans="8:17" x14ac:dyDescent="0.25">
      <c r="H1387" s="44"/>
      <c r="I1387" s="44"/>
      <c r="J1387" s="45"/>
      <c r="K1387" s="45"/>
      <c r="L1387" s="45"/>
      <c r="M1387" s="44"/>
      <c r="N1387" s="44"/>
      <c r="O1387" s="44"/>
      <c r="P1387" s="44"/>
      <c r="Q1387" s="44"/>
    </row>
    <row r="1388" spans="8:17" x14ac:dyDescent="0.25">
      <c r="H1388" s="44"/>
      <c r="I1388" s="44"/>
      <c r="J1388" s="45"/>
      <c r="K1388" s="45"/>
      <c r="L1388" s="45"/>
      <c r="M1388" s="44"/>
      <c r="N1388" s="44"/>
      <c r="O1388" s="44"/>
      <c r="P1388" s="44"/>
      <c r="Q1388" s="44"/>
    </row>
    <row r="1389" spans="8:17" x14ac:dyDescent="0.25">
      <c r="H1389" s="44"/>
      <c r="I1389" s="44"/>
      <c r="J1389" s="45"/>
      <c r="K1389" s="45"/>
      <c r="L1389" s="45"/>
      <c r="M1389" s="44"/>
      <c r="N1389" s="44"/>
      <c r="O1389" s="44"/>
      <c r="P1389" s="44"/>
      <c r="Q1389" s="44"/>
    </row>
    <row r="1390" spans="8:17" x14ac:dyDescent="0.25">
      <c r="H1390" s="44"/>
      <c r="I1390" s="44"/>
      <c r="J1390" s="45"/>
      <c r="K1390" s="45"/>
      <c r="L1390" s="45"/>
      <c r="M1390" s="44"/>
      <c r="N1390" s="44"/>
      <c r="O1390" s="44"/>
      <c r="P1390" s="44"/>
      <c r="Q1390" s="44"/>
    </row>
    <row r="1391" spans="8:17" x14ac:dyDescent="0.25">
      <c r="H1391" s="44"/>
      <c r="I1391" s="44"/>
      <c r="J1391" s="45"/>
      <c r="K1391" s="45"/>
      <c r="L1391" s="45"/>
      <c r="M1391" s="44"/>
      <c r="N1391" s="44"/>
      <c r="O1391" s="44"/>
      <c r="P1391" s="44"/>
      <c r="Q1391" s="44"/>
    </row>
    <row r="1392" spans="8:17" x14ac:dyDescent="0.25">
      <c r="H1392" s="44"/>
      <c r="I1392" s="44"/>
      <c r="J1392" s="45"/>
      <c r="K1392" s="45"/>
      <c r="L1392" s="45"/>
      <c r="M1392" s="44"/>
      <c r="N1392" s="44"/>
      <c r="O1392" s="44"/>
      <c r="P1392" s="44"/>
      <c r="Q1392" s="44"/>
    </row>
    <row r="1393" spans="8:17" x14ac:dyDescent="0.25">
      <c r="H1393" s="44"/>
      <c r="I1393" s="44"/>
      <c r="J1393" s="45"/>
      <c r="K1393" s="45"/>
      <c r="L1393" s="45"/>
      <c r="M1393" s="44"/>
      <c r="N1393" s="44"/>
      <c r="O1393" s="44"/>
      <c r="P1393" s="44"/>
      <c r="Q1393" s="44"/>
    </row>
    <row r="1394" spans="8:17" x14ac:dyDescent="0.25">
      <c r="H1394" s="44"/>
      <c r="I1394" s="44"/>
      <c r="J1394" s="45"/>
      <c r="K1394" s="45"/>
      <c r="L1394" s="45"/>
      <c r="M1394" s="44"/>
      <c r="N1394" s="44"/>
      <c r="O1394" s="44"/>
      <c r="P1394" s="44"/>
      <c r="Q1394" s="44"/>
    </row>
    <row r="1395" spans="8:17" x14ac:dyDescent="0.25">
      <c r="H1395" s="44"/>
      <c r="I1395" s="44"/>
      <c r="J1395" s="45"/>
      <c r="K1395" s="45"/>
      <c r="L1395" s="45"/>
      <c r="M1395" s="44"/>
      <c r="N1395" s="44"/>
      <c r="O1395" s="44"/>
      <c r="P1395" s="44"/>
      <c r="Q1395" s="44"/>
    </row>
    <row r="1396" spans="8:17" x14ac:dyDescent="0.25">
      <c r="H1396" s="44"/>
      <c r="I1396" s="44"/>
      <c r="J1396" s="45"/>
      <c r="K1396" s="45"/>
      <c r="L1396" s="45"/>
      <c r="M1396" s="44"/>
      <c r="N1396" s="44"/>
      <c r="O1396" s="44"/>
      <c r="P1396" s="44"/>
      <c r="Q1396" s="44"/>
    </row>
    <row r="1397" spans="8:17" x14ac:dyDescent="0.25">
      <c r="H1397" s="44"/>
      <c r="I1397" s="44"/>
      <c r="J1397" s="45"/>
      <c r="K1397" s="45"/>
      <c r="L1397" s="45"/>
      <c r="M1397" s="44"/>
      <c r="N1397" s="44"/>
      <c r="O1397" s="44"/>
      <c r="P1397" s="44"/>
      <c r="Q1397" s="44"/>
    </row>
    <row r="1398" spans="8:17" x14ac:dyDescent="0.25">
      <c r="H1398" s="44"/>
      <c r="I1398" s="44"/>
      <c r="J1398" s="45"/>
      <c r="K1398" s="45"/>
      <c r="L1398" s="45"/>
      <c r="M1398" s="44"/>
      <c r="N1398" s="44"/>
      <c r="O1398" s="44"/>
      <c r="P1398" s="44"/>
      <c r="Q1398" s="44"/>
    </row>
    <row r="1399" spans="8:17" x14ac:dyDescent="0.25">
      <c r="H1399" s="44"/>
      <c r="I1399" s="44"/>
      <c r="J1399" s="45"/>
      <c r="K1399" s="45"/>
      <c r="L1399" s="45"/>
      <c r="M1399" s="44"/>
      <c r="N1399" s="44"/>
      <c r="O1399" s="44"/>
      <c r="P1399" s="44"/>
      <c r="Q1399" s="44"/>
    </row>
    <row r="1400" spans="8:17" x14ac:dyDescent="0.25">
      <c r="H1400" s="44"/>
      <c r="I1400" s="44"/>
      <c r="J1400" s="45"/>
      <c r="K1400" s="45"/>
      <c r="L1400" s="45"/>
      <c r="M1400" s="44"/>
      <c r="N1400" s="44"/>
      <c r="O1400" s="44"/>
      <c r="P1400" s="44"/>
      <c r="Q1400" s="44"/>
    </row>
    <row r="1401" spans="8:17" x14ac:dyDescent="0.25">
      <c r="H1401" s="44"/>
      <c r="I1401" s="44"/>
      <c r="J1401" s="45"/>
      <c r="K1401" s="45"/>
      <c r="L1401" s="45"/>
      <c r="M1401" s="44"/>
      <c r="N1401" s="44"/>
      <c r="O1401" s="44"/>
      <c r="P1401" s="44"/>
      <c r="Q1401" s="44"/>
    </row>
    <row r="1402" spans="8:17" x14ac:dyDescent="0.25">
      <c r="H1402" s="44"/>
      <c r="I1402" s="44"/>
      <c r="J1402" s="45"/>
      <c r="K1402" s="45"/>
      <c r="L1402" s="45"/>
      <c r="M1402" s="44"/>
      <c r="N1402" s="44"/>
      <c r="O1402" s="44"/>
      <c r="P1402" s="44"/>
      <c r="Q1402" s="44"/>
    </row>
    <row r="1403" spans="8:17" x14ac:dyDescent="0.25">
      <c r="H1403" s="44"/>
      <c r="I1403" s="44"/>
      <c r="J1403" s="45"/>
      <c r="K1403" s="45"/>
      <c r="L1403" s="45"/>
      <c r="M1403" s="44"/>
      <c r="N1403" s="44"/>
      <c r="O1403" s="44"/>
      <c r="P1403" s="44"/>
      <c r="Q1403" s="44"/>
    </row>
    <row r="1404" spans="8:17" x14ac:dyDescent="0.25">
      <c r="H1404" s="44"/>
      <c r="I1404" s="44"/>
      <c r="J1404" s="45"/>
      <c r="K1404" s="45"/>
      <c r="L1404" s="45"/>
      <c r="M1404" s="44"/>
      <c r="N1404" s="44"/>
      <c r="O1404" s="44"/>
      <c r="P1404" s="44"/>
      <c r="Q1404" s="44"/>
    </row>
    <row r="1405" spans="8:17" x14ac:dyDescent="0.25">
      <c r="H1405" s="44"/>
      <c r="I1405" s="44"/>
      <c r="J1405" s="45"/>
      <c r="K1405" s="45"/>
      <c r="L1405" s="45"/>
      <c r="M1405" s="44"/>
      <c r="N1405" s="44"/>
      <c r="O1405" s="44"/>
      <c r="P1405" s="44"/>
      <c r="Q1405" s="44"/>
    </row>
    <row r="1406" spans="8:17" x14ac:dyDescent="0.25">
      <c r="H1406" s="44"/>
      <c r="I1406" s="44"/>
      <c r="J1406" s="45"/>
      <c r="K1406" s="45"/>
      <c r="L1406" s="45"/>
      <c r="M1406" s="44"/>
      <c r="N1406" s="44"/>
      <c r="O1406" s="44"/>
      <c r="P1406" s="44"/>
      <c r="Q1406" s="44"/>
    </row>
    <row r="1407" spans="8:17" x14ac:dyDescent="0.25">
      <c r="H1407" s="44"/>
      <c r="I1407" s="44"/>
      <c r="J1407" s="45"/>
      <c r="K1407" s="45"/>
      <c r="L1407" s="45"/>
      <c r="M1407" s="44"/>
      <c r="N1407" s="44"/>
      <c r="O1407" s="44"/>
      <c r="P1407" s="44"/>
      <c r="Q1407" s="44"/>
    </row>
    <row r="1408" spans="8:17" x14ac:dyDescent="0.25">
      <c r="H1408" s="44"/>
      <c r="I1408" s="44"/>
      <c r="J1408" s="45"/>
      <c r="K1408" s="45"/>
      <c r="L1408" s="45"/>
      <c r="M1408" s="44"/>
      <c r="N1408" s="44"/>
      <c r="O1408" s="44"/>
      <c r="P1408" s="44"/>
      <c r="Q1408" s="44"/>
    </row>
    <row r="1409" spans="8:17" x14ac:dyDescent="0.25">
      <c r="H1409" s="44"/>
      <c r="I1409" s="44"/>
      <c r="J1409" s="45"/>
      <c r="K1409" s="45"/>
      <c r="L1409" s="45"/>
      <c r="M1409" s="44"/>
      <c r="N1409" s="44"/>
      <c r="O1409" s="44"/>
      <c r="P1409" s="44"/>
      <c r="Q1409" s="44"/>
    </row>
    <row r="1410" spans="8:17" x14ac:dyDescent="0.25">
      <c r="H1410" s="44"/>
      <c r="I1410" s="44"/>
      <c r="J1410" s="45"/>
      <c r="K1410" s="45"/>
      <c r="L1410" s="45"/>
      <c r="M1410" s="44"/>
      <c r="N1410" s="44"/>
      <c r="O1410" s="44"/>
      <c r="P1410" s="44"/>
      <c r="Q1410" s="44"/>
    </row>
    <row r="1411" spans="8:17" x14ac:dyDescent="0.25">
      <c r="H1411" s="44"/>
      <c r="I1411" s="44"/>
      <c r="J1411" s="45"/>
      <c r="K1411" s="45"/>
      <c r="L1411" s="45"/>
      <c r="M1411" s="44"/>
      <c r="N1411" s="44"/>
      <c r="O1411" s="44"/>
      <c r="P1411" s="44"/>
      <c r="Q1411" s="44"/>
    </row>
    <row r="1412" spans="8:17" x14ac:dyDescent="0.25">
      <c r="H1412" s="44"/>
      <c r="I1412" s="44"/>
      <c r="J1412" s="45"/>
      <c r="K1412" s="45"/>
      <c r="L1412" s="45"/>
      <c r="M1412" s="44"/>
      <c r="N1412" s="44"/>
      <c r="O1412" s="44"/>
      <c r="P1412" s="44"/>
      <c r="Q1412" s="44"/>
    </row>
    <row r="1413" spans="8:17" x14ac:dyDescent="0.25">
      <c r="H1413" s="44"/>
      <c r="I1413" s="44"/>
      <c r="J1413" s="45"/>
      <c r="K1413" s="45"/>
      <c r="L1413" s="45"/>
      <c r="M1413" s="44"/>
      <c r="N1413" s="44"/>
      <c r="O1413" s="44"/>
      <c r="P1413" s="44"/>
      <c r="Q1413" s="44"/>
    </row>
    <row r="1414" spans="8:17" x14ac:dyDescent="0.25">
      <c r="H1414" s="44"/>
      <c r="I1414" s="44"/>
      <c r="J1414" s="45"/>
      <c r="K1414" s="45"/>
      <c r="L1414" s="45"/>
      <c r="M1414" s="44"/>
      <c r="N1414" s="44"/>
      <c r="O1414" s="44"/>
      <c r="P1414" s="44"/>
      <c r="Q1414" s="44"/>
    </row>
    <row r="1415" spans="8:17" x14ac:dyDescent="0.25">
      <c r="H1415" s="44"/>
      <c r="I1415" s="44"/>
      <c r="J1415" s="45"/>
      <c r="K1415" s="45"/>
      <c r="L1415" s="45"/>
      <c r="M1415" s="44"/>
      <c r="N1415" s="44"/>
      <c r="O1415" s="44"/>
      <c r="P1415" s="44"/>
      <c r="Q1415" s="44"/>
    </row>
    <row r="1416" spans="8:17" x14ac:dyDescent="0.25">
      <c r="H1416" s="44"/>
      <c r="I1416" s="44"/>
      <c r="J1416" s="45"/>
      <c r="K1416" s="45"/>
      <c r="L1416" s="45"/>
      <c r="M1416" s="44"/>
      <c r="N1416" s="44"/>
      <c r="O1416" s="44"/>
      <c r="P1416" s="44"/>
      <c r="Q1416" s="44"/>
    </row>
    <row r="1417" spans="8:17" x14ac:dyDescent="0.25">
      <c r="H1417" s="44"/>
      <c r="I1417" s="44"/>
      <c r="J1417" s="45"/>
      <c r="K1417" s="45"/>
      <c r="L1417" s="45"/>
      <c r="M1417" s="44"/>
      <c r="N1417" s="44"/>
      <c r="O1417" s="44"/>
      <c r="P1417" s="44"/>
      <c r="Q1417" s="44"/>
    </row>
    <row r="1418" spans="8:17" x14ac:dyDescent="0.25">
      <c r="H1418" s="44"/>
      <c r="I1418" s="44"/>
      <c r="J1418" s="45"/>
      <c r="K1418" s="45"/>
      <c r="L1418" s="45"/>
      <c r="M1418" s="44"/>
      <c r="N1418" s="44"/>
      <c r="O1418" s="44"/>
      <c r="P1418" s="44"/>
      <c r="Q1418" s="44"/>
    </row>
    <row r="1419" spans="8:17" x14ac:dyDescent="0.25">
      <c r="H1419" s="44"/>
      <c r="I1419" s="44"/>
      <c r="J1419" s="45"/>
      <c r="K1419" s="45"/>
      <c r="L1419" s="45"/>
      <c r="M1419" s="44"/>
      <c r="N1419" s="44"/>
      <c r="O1419" s="44"/>
      <c r="P1419" s="44"/>
      <c r="Q1419" s="44"/>
    </row>
    <row r="1420" spans="8:17" x14ac:dyDescent="0.25">
      <c r="H1420" s="44"/>
      <c r="I1420" s="44"/>
      <c r="J1420" s="45"/>
      <c r="K1420" s="45"/>
      <c r="L1420" s="45"/>
      <c r="M1420" s="44"/>
      <c r="N1420" s="44"/>
      <c r="O1420" s="44"/>
      <c r="P1420" s="44"/>
      <c r="Q1420" s="44"/>
    </row>
    <row r="1421" spans="8:17" x14ac:dyDescent="0.25">
      <c r="H1421" s="44"/>
      <c r="I1421" s="44"/>
      <c r="J1421" s="45"/>
      <c r="K1421" s="45"/>
      <c r="L1421" s="45"/>
      <c r="M1421" s="44"/>
      <c r="N1421" s="44"/>
      <c r="O1421" s="44"/>
      <c r="P1421" s="44"/>
      <c r="Q1421" s="44"/>
    </row>
    <row r="1422" spans="8:17" x14ac:dyDescent="0.25">
      <c r="H1422" s="44"/>
      <c r="I1422" s="44"/>
      <c r="J1422" s="45"/>
      <c r="K1422" s="45"/>
      <c r="L1422" s="45"/>
      <c r="M1422" s="44"/>
      <c r="N1422" s="44"/>
      <c r="O1422" s="44"/>
      <c r="P1422" s="44"/>
      <c r="Q1422" s="44"/>
    </row>
    <row r="1423" spans="8:17" x14ac:dyDescent="0.25">
      <c r="H1423" s="44"/>
      <c r="I1423" s="44"/>
      <c r="J1423" s="45"/>
      <c r="K1423" s="45"/>
      <c r="L1423" s="45"/>
      <c r="M1423" s="44"/>
      <c r="N1423" s="44"/>
      <c r="O1423" s="44"/>
      <c r="P1423" s="44"/>
      <c r="Q1423" s="44"/>
    </row>
    <row r="1424" spans="8:17" x14ac:dyDescent="0.25">
      <c r="H1424" s="44"/>
      <c r="I1424" s="44"/>
      <c r="J1424" s="45"/>
      <c r="K1424" s="45"/>
      <c r="L1424" s="45"/>
      <c r="M1424" s="44"/>
      <c r="N1424" s="44"/>
      <c r="O1424" s="44"/>
      <c r="P1424" s="44"/>
      <c r="Q1424" s="44"/>
    </row>
    <row r="1425" spans="8:17" x14ac:dyDescent="0.25">
      <c r="H1425" s="44"/>
      <c r="I1425" s="44"/>
      <c r="J1425" s="45"/>
      <c r="K1425" s="45"/>
      <c r="L1425" s="45"/>
      <c r="M1425" s="44"/>
      <c r="N1425" s="44"/>
      <c r="O1425" s="44"/>
      <c r="P1425" s="44"/>
      <c r="Q1425" s="44"/>
    </row>
    <row r="1426" spans="8:17" x14ac:dyDescent="0.25">
      <c r="H1426" s="44"/>
      <c r="I1426" s="44"/>
      <c r="J1426" s="45"/>
      <c r="K1426" s="45"/>
      <c r="L1426" s="45"/>
      <c r="M1426" s="44"/>
      <c r="N1426" s="44"/>
      <c r="O1426" s="44"/>
      <c r="P1426" s="44"/>
      <c r="Q1426" s="44"/>
    </row>
    <row r="1427" spans="8:17" x14ac:dyDescent="0.25">
      <c r="H1427" s="44"/>
      <c r="I1427" s="44"/>
      <c r="J1427" s="45"/>
      <c r="K1427" s="45"/>
      <c r="L1427" s="45"/>
      <c r="M1427" s="44"/>
      <c r="N1427" s="44"/>
      <c r="O1427" s="44"/>
      <c r="P1427" s="44"/>
      <c r="Q1427" s="44"/>
    </row>
    <row r="1428" spans="8:17" x14ac:dyDescent="0.25">
      <c r="H1428" s="44"/>
      <c r="I1428" s="44"/>
      <c r="J1428" s="45"/>
      <c r="K1428" s="45"/>
      <c r="L1428" s="45"/>
      <c r="M1428" s="44"/>
      <c r="N1428" s="44"/>
      <c r="O1428" s="44"/>
      <c r="P1428" s="44"/>
      <c r="Q1428" s="44"/>
    </row>
    <row r="1429" spans="8:17" x14ac:dyDescent="0.25">
      <c r="H1429" s="44"/>
      <c r="I1429" s="44"/>
      <c r="J1429" s="45"/>
      <c r="K1429" s="45"/>
      <c r="L1429" s="45"/>
      <c r="M1429" s="44"/>
      <c r="N1429" s="44"/>
      <c r="O1429" s="44"/>
      <c r="P1429" s="44"/>
      <c r="Q1429" s="44"/>
    </row>
    <row r="1430" spans="8:17" x14ac:dyDescent="0.25">
      <c r="H1430" s="44"/>
      <c r="I1430" s="44"/>
      <c r="J1430" s="45"/>
      <c r="K1430" s="45"/>
      <c r="L1430" s="45"/>
      <c r="M1430" s="44"/>
      <c r="N1430" s="44"/>
      <c r="O1430" s="44"/>
      <c r="P1430" s="44"/>
      <c r="Q1430" s="44"/>
    </row>
    <row r="1431" spans="8:17" x14ac:dyDescent="0.25">
      <c r="H1431" s="44"/>
      <c r="I1431" s="44"/>
      <c r="J1431" s="45"/>
      <c r="K1431" s="45"/>
      <c r="L1431" s="45"/>
      <c r="M1431" s="44"/>
      <c r="N1431" s="44"/>
      <c r="O1431" s="44"/>
      <c r="P1431" s="44"/>
      <c r="Q1431" s="44"/>
    </row>
    <row r="1432" spans="8:17" x14ac:dyDescent="0.25">
      <c r="H1432" s="44"/>
      <c r="I1432" s="44"/>
      <c r="J1432" s="45"/>
      <c r="K1432" s="45"/>
      <c r="L1432" s="45"/>
      <c r="M1432" s="44"/>
      <c r="N1432" s="44"/>
      <c r="O1432" s="44"/>
      <c r="P1432" s="44"/>
      <c r="Q1432" s="44"/>
    </row>
    <row r="1433" spans="8:17" x14ac:dyDescent="0.25">
      <c r="H1433" s="44"/>
      <c r="I1433" s="44"/>
      <c r="J1433" s="45"/>
      <c r="K1433" s="45"/>
      <c r="L1433" s="45"/>
      <c r="M1433" s="44"/>
      <c r="N1433" s="44"/>
      <c r="O1433" s="44"/>
      <c r="P1433" s="44"/>
      <c r="Q1433" s="44"/>
    </row>
    <row r="1434" spans="8:17" x14ac:dyDescent="0.25">
      <c r="H1434" s="44"/>
      <c r="I1434" s="44"/>
      <c r="J1434" s="45"/>
      <c r="K1434" s="45"/>
      <c r="L1434" s="45"/>
      <c r="M1434" s="44"/>
      <c r="N1434" s="44"/>
      <c r="O1434" s="44"/>
      <c r="P1434" s="44"/>
      <c r="Q1434" s="44"/>
    </row>
    <row r="1435" spans="8:17" x14ac:dyDescent="0.25">
      <c r="H1435" s="44"/>
      <c r="I1435" s="44"/>
      <c r="J1435" s="45"/>
      <c r="K1435" s="45"/>
      <c r="L1435" s="45"/>
      <c r="M1435" s="44"/>
      <c r="N1435" s="44"/>
      <c r="O1435" s="44"/>
      <c r="P1435" s="44"/>
      <c r="Q1435" s="44"/>
    </row>
    <row r="1436" spans="8:17" x14ac:dyDescent="0.25">
      <c r="H1436" s="44"/>
      <c r="I1436" s="44"/>
      <c r="J1436" s="45"/>
      <c r="K1436" s="45"/>
      <c r="L1436" s="45"/>
      <c r="M1436" s="44"/>
      <c r="N1436" s="44"/>
      <c r="O1436" s="44"/>
      <c r="P1436" s="44"/>
      <c r="Q1436" s="44"/>
    </row>
    <row r="1437" spans="8:17" x14ac:dyDescent="0.25">
      <c r="H1437" s="44"/>
      <c r="I1437" s="44"/>
      <c r="J1437" s="45"/>
      <c r="K1437" s="45"/>
      <c r="L1437" s="45"/>
      <c r="M1437" s="44"/>
      <c r="N1437" s="44"/>
      <c r="O1437" s="44"/>
      <c r="P1437" s="44"/>
      <c r="Q1437" s="44"/>
    </row>
    <row r="1438" spans="8:17" x14ac:dyDescent="0.25">
      <c r="H1438" s="44"/>
      <c r="I1438" s="44"/>
      <c r="J1438" s="45"/>
      <c r="K1438" s="45"/>
      <c r="L1438" s="45"/>
      <c r="M1438" s="44"/>
      <c r="N1438" s="44"/>
      <c r="O1438" s="44"/>
      <c r="P1438" s="44"/>
      <c r="Q1438" s="44"/>
    </row>
    <row r="1439" spans="8:17" x14ac:dyDescent="0.25">
      <c r="H1439" s="44"/>
      <c r="I1439" s="44"/>
      <c r="J1439" s="45"/>
      <c r="K1439" s="45"/>
      <c r="L1439" s="45"/>
      <c r="M1439" s="44"/>
      <c r="N1439" s="44"/>
      <c r="O1439" s="44"/>
      <c r="P1439" s="44"/>
      <c r="Q1439" s="44"/>
    </row>
    <row r="1440" spans="8:17" x14ac:dyDescent="0.25">
      <c r="H1440" s="44"/>
      <c r="I1440" s="44"/>
      <c r="J1440" s="45"/>
      <c r="K1440" s="45"/>
      <c r="L1440" s="45"/>
      <c r="M1440" s="44"/>
      <c r="N1440" s="44"/>
      <c r="O1440" s="44"/>
      <c r="P1440" s="44"/>
      <c r="Q1440" s="44"/>
    </row>
    <row r="1441" spans="8:17" x14ac:dyDescent="0.25">
      <c r="H1441" s="44"/>
      <c r="I1441" s="44"/>
      <c r="J1441" s="45"/>
      <c r="K1441" s="45"/>
      <c r="L1441" s="45"/>
      <c r="M1441" s="44"/>
      <c r="N1441" s="44"/>
      <c r="O1441" s="44"/>
      <c r="P1441" s="44"/>
      <c r="Q1441" s="44"/>
    </row>
    <row r="1442" spans="8:17" x14ac:dyDescent="0.25">
      <c r="H1442" s="44"/>
      <c r="I1442" s="44"/>
      <c r="J1442" s="45"/>
      <c r="K1442" s="45"/>
      <c r="L1442" s="45"/>
      <c r="M1442" s="44"/>
      <c r="N1442" s="44"/>
      <c r="O1442" s="44"/>
      <c r="P1442" s="44"/>
      <c r="Q1442" s="44"/>
    </row>
    <row r="1443" spans="8:17" x14ac:dyDescent="0.25">
      <c r="H1443" s="44"/>
      <c r="I1443" s="44"/>
      <c r="J1443" s="45"/>
      <c r="K1443" s="45"/>
      <c r="L1443" s="45"/>
      <c r="M1443" s="44"/>
      <c r="N1443" s="44"/>
      <c r="O1443" s="44"/>
      <c r="P1443" s="44"/>
      <c r="Q1443" s="44"/>
    </row>
    <row r="1444" spans="8:17" x14ac:dyDescent="0.25">
      <c r="H1444" s="44"/>
      <c r="I1444" s="44"/>
      <c r="J1444" s="45"/>
      <c r="K1444" s="45"/>
      <c r="L1444" s="45"/>
      <c r="M1444" s="44"/>
      <c r="N1444" s="44"/>
      <c r="O1444" s="44"/>
      <c r="P1444" s="44"/>
      <c r="Q1444" s="44"/>
    </row>
    <row r="1445" spans="8:17" x14ac:dyDescent="0.25">
      <c r="H1445" s="44"/>
      <c r="I1445" s="44"/>
      <c r="J1445" s="45"/>
      <c r="K1445" s="45"/>
      <c r="L1445" s="45"/>
      <c r="M1445" s="44"/>
      <c r="N1445" s="44"/>
      <c r="O1445" s="44"/>
      <c r="P1445" s="44"/>
      <c r="Q1445" s="44"/>
    </row>
    <row r="1446" spans="8:17" x14ac:dyDescent="0.25">
      <c r="H1446" s="44"/>
      <c r="I1446" s="44"/>
      <c r="J1446" s="45"/>
      <c r="K1446" s="45"/>
      <c r="L1446" s="45"/>
      <c r="M1446" s="44"/>
      <c r="N1446" s="44"/>
      <c r="O1446" s="44"/>
      <c r="P1446" s="44"/>
      <c r="Q1446" s="44"/>
    </row>
    <row r="1447" spans="8:17" x14ac:dyDescent="0.25">
      <c r="H1447" s="44"/>
      <c r="I1447" s="44"/>
      <c r="J1447" s="45"/>
      <c r="K1447" s="45"/>
      <c r="L1447" s="45"/>
      <c r="M1447" s="44"/>
      <c r="N1447" s="44"/>
      <c r="O1447" s="44"/>
      <c r="P1447" s="44"/>
      <c r="Q1447" s="44"/>
    </row>
    <row r="1448" spans="8:17" x14ac:dyDescent="0.25">
      <c r="H1448" s="44"/>
      <c r="I1448" s="44"/>
      <c r="J1448" s="45"/>
      <c r="K1448" s="45"/>
      <c r="L1448" s="45"/>
      <c r="M1448" s="44"/>
      <c r="N1448" s="44"/>
      <c r="O1448" s="44"/>
      <c r="P1448" s="44"/>
      <c r="Q1448" s="44"/>
    </row>
    <row r="1449" spans="8:17" x14ac:dyDescent="0.25">
      <c r="H1449" s="44"/>
      <c r="I1449" s="44"/>
      <c r="J1449" s="45"/>
      <c r="K1449" s="45"/>
      <c r="L1449" s="45"/>
      <c r="M1449" s="44"/>
      <c r="N1449" s="44"/>
      <c r="O1449" s="44"/>
      <c r="P1449" s="44"/>
      <c r="Q1449" s="44"/>
    </row>
    <row r="1450" spans="8:17" x14ac:dyDescent="0.25">
      <c r="H1450" s="44"/>
      <c r="I1450" s="44"/>
      <c r="J1450" s="45"/>
      <c r="K1450" s="45"/>
      <c r="L1450" s="45"/>
      <c r="M1450" s="44"/>
      <c r="N1450" s="44"/>
      <c r="O1450" s="44"/>
      <c r="P1450" s="44"/>
      <c r="Q1450" s="44"/>
    </row>
    <row r="1451" spans="8:17" x14ac:dyDescent="0.25">
      <c r="H1451" s="44"/>
      <c r="I1451" s="44"/>
      <c r="J1451" s="45"/>
      <c r="K1451" s="45"/>
      <c r="L1451" s="45"/>
      <c r="M1451" s="44"/>
      <c r="N1451" s="44"/>
      <c r="O1451" s="44"/>
      <c r="P1451" s="44"/>
      <c r="Q1451" s="44"/>
    </row>
    <row r="1452" spans="8:17" x14ac:dyDescent="0.25">
      <c r="H1452" s="44"/>
      <c r="I1452" s="44"/>
      <c r="J1452" s="45"/>
      <c r="K1452" s="45"/>
      <c r="L1452" s="45"/>
      <c r="M1452" s="44"/>
      <c r="N1452" s="44"/>
      <c r="O1452" s="44"/>
      <c r="P1452" s="44"/>
      <c r="Q1452" s="44"/>
    </row>
    <row r="1453" spans="8:17" x14ac:dyDescent="0.25">
      <c r="H1453" s="44"/>
      <c r="I1453" s="44"/>
      <c r="J1453" s="45"/>
      <c r="K1453" s="45"/>
      <c r="L1453" s="45"/>
      <c r="M1453" s="44"/>
      <c r="N1453" s="44"/>
      <c r="O1453" s="44"/>
      <c r="P1453" s="44"/>
      <c r="Q1453" s="44"/>
    </row>
    <row r="1454" spans="8:17" x14ac:dyDescent="0.25">
      <c r="H1454" s="44"/>
      <c r="I1454" s="44"/>
      <c r="J1454" s="45"/>
      <c r="K1454" s="45"/>
      <c r="L1454" s="45"/>
      <c r="M1454" s="44"/>
      <c r="N1454" s="44"/>
      <c r="O1454" s="44"/>
      <c r="P1454" s="44"/>
      <c r="Q1454" s="44"/>
    </row>
    <row r="1455" spans="8:17" x14ac:dyDescent="0.25">
      <c r="H1455" s="44"/>
      <c r="I1455" s="44"/>
      <c r="J1455" s="45"/>
      <c r="K1455" s="45"/>
      <c r="L1455" s="45"/>
      <c r="M1455" s="44"/>
      <c r="N1455" s="44"/>
      <c r="O1455" s="44"/>
      <c r="P1455" s="44"/>
      <c r="Q1455" s="44"/>
    </row>
    <row r="1456" spans="8:17" x14ac:dyDescent="0.25">
      <c r="H1456" s="44"/>
      <c r="I1456" s="44"/>
      <c r="J1456" s="45"/>
      <c r="K1456" s="45"/>
      <c r="L1456" s="45"/>
      <c r="M1456" s="44"/>
      <c r="N1456" s="44"/>
      <c r="O1456" s="44"/>
      <c r="P1456" s="44"/>
      <c r="Q1456" s="44"/>
    </row>
    <row r="1457" spans="8:17" x14ac:dyDescent="0.25">
      <c r="H1457" s="44"/>
      <c r="I1457" s="44"/>
      <c r="J1457" s="45"/>
      <c r="K1457" s="45"/>
      <c r="L1457" s="45"/>
      <c r="M1457" s="44"/>
      <c r="N1457" s="44"/>
      <c r="O1457" s="44"/>
      <c r="P1457" s="44"/>
      <c r="Q1457" s="44"/>
    </row>
    <row r="1458" spans="8:17" x14ac:dyDescent="0.25">
      <c r="H1458" s="44"/>
      <c r="I1458" s="44"/>
      <c r="J1458" s="45"/>
      <c r="K1458" s="45"/>
      <c r="L1458" s="45"/>
      <c r="M1458" s="44"/>
      <c r="N1458" s="44"/>
      <c r="O1458" s="44"/>
      <c r="P1458" s="44"/>
      <c r="Q1458" s="44"/>
    </row>
    <row r="1459" spans="8:17" x14ac:dyDescent="0.25">
      <c r="H1459" s="44"/>
      <c r="I1459" s="44"/>
      <c r="J1459" s="45"/>
      <c r="K1459" s="45"/>
      <c r="L1459" s="45"/>
      <c r="M1459" s="44"/>
      <c r="N1459" s="44"/>
      <c r="O1459" s="44"/>
      <c r="P1459" s="44"/>
      <c r="Q1459" s="44"/>
    </row>
    <row r="1460" spans="8:17" x14ac:dyDescent="0.25">
      <c r="H1460" s="44"/>
      <c r="I1460" s="44"/>
      <c r="J1460" s="45"/>
      <c r="K1460" s="45"/>
      <c r="L1460" s="45"/>
      <c r="M1460" s="44"/>
      <c r="N1460" s="44"/>
      <c r="O1460" s="44"/>
      <c r="P1460" s="44"/>
      <c r="Q1460" s="44"/>
    </row>
    <row r="1461" spans="8:17" x14ac:dyDescent="0.25">
      <c r="H1461" s="44"/>
      <c r="I1461" s="44"/>
      <c r="J1461" s="45"/>
      <c r="K1461" s="45"/>
      <c r="L1461" s="45"/>
      <c r="M1461" s="44"/>
      <c r="N1461" s="44"/>
      <c r="O1461" s="44"/>
      <c r="P1461" s="44"/>
      <c r="Q1461" s="44"/>
    </row>
    <row r="1462" spans="8:17" x14ac:dyDescent="0.25">
      <c r="H1462" s="44"/>
      <c r="I1462" s="44"/>
      <c r="J1462" s="45"/>
      <c r="K1462" s="45"/>
      <c r="L1462" s="45"/>
      <c r="M1462" s="44"/>
      <c r="N1462" s="44"/>
      <c r="O1462" s="44"/>
      <c r="P1462" s="44"/>
      <c r="Q1462" s="44"/>
    </row>
    <row r="1463" spans="8:17" x14ac:dyDescent="0.25">
      <c r="H1463" s="44"/>
      <c r="I1463" s="44"/>
      <c r="J1463" s="45"/>
      <c r="K1463" s="45"/>
      <c r="L1463" s="45"/>
      <c r="M1463" s="44"/>
      <c r="N1463" s="44"/>
      <c r="O1463" s="44"/>
      <c r="P1463" s="44"/>
      <c r="Q1463" s="44"/>
    </row>
    <row r="1464" spans="8:17" x14ac:dyDescent="0.25">
      <c r="H1464" s="44"/>
      <c r="I1464" s="44"/>
      <c r="J1464" s="45"/>
      <c r="K1464" s="45"/>
      <c r="L1464" s="45"/>
      <c r="M1464" s="44"/>
      <c r="N1464" s="44"/>
      <c r="O1464" s="44"/>
      <c r="P1464" s="44"/>
      <c r="Q1464" s="44"/>
    </row>
    <row r="1465" spans="8:17" x14ac:dyDescent="0.25">
      <c r="H1465" s="44"/>
      <c r="I1465" s="44"/>
      <c r="J1465" s="45"/>
      <c r="K1465" s="45"/>
      <c r="L1465" s="45"/>
      <c r="M1465" s="44"/>
      <c r="N1465" s="44"/>
      <c r="O1465" s="44"/>
      <c r="P1465" s="44"/>
      <c r="Q1465" s="44"/>
    </row>
    <row r="1466" spans="8:17" x14ac:dyDescent="0.25">
      <c r="H1466" s="44"/>
      <c r="I1466" s="44"/>
      <c r="J1466" s="45"/>
      <c r="K1466" s="45"/>
      <c r="L1466" s="45"/>
      <c r="M1466" s="44"/>
      <c r="N1466" s="44"/>
      <c r="O1466" s="44"/>
      <c r="P1466" s="44"/>
      <c r="Q1466" s="44"/>
    </row>
    <row r="1467" spans="8:17" x14ac:dyDescent="0.25">
      <c r="H1467" s="44"/>
      <c r="I1467" s="44"/>
      <c r="J1467" s="45"/>
      <c r="K1467" s="45"/>
      <c r="L1467" s="45"/>
      <c r="M1467" s="44"/>
      <c r="N1467" s="44"/>
      <c r="O1467" s="44"/>
      <c r="P1467" s="44"/>
      <c r="Q1467" s="44"/>
    </row>
    <row r="1468" spans="8:17" x14ac:dyDescent="0.25">
      <c r="H1468" s="44"/>
      <c r="I1468" s="44"/>
      <c r="J1468" s="45"/>
      <c r="K1468" s="45"/>
      <c r="L1468" s="45"/>
      <c r="M1468" s="44"/>
      <c r="N1468" s="44"/>
      <c r="O1468" s="44"/>
      <c r="P1468" s="44"/>
      <c r="Q1468" s="44"/>
    </row>
    <row r="1469" spans="8:17" x14ac:dyDescent="0.25">
      <c r="H1469" s="44"/>
      <c r="I1469" s="44"/>
      <c r="J1469" s="45"/>
      <c r="K1469" s="45"/>
      <c r="L1469" s="45"/>
      <c r="M1469" s="44"/>
      <c r="N1469" s="44"/>
      <c r="O1469" s="44"/>
      <c r="P1469" s="44"/>
      <c r="Q1469" s="44"/>
    </row>
    <row r="1470" spans="8:17" x14ac:dyDescent="0.25">
      <c r="H1470" s="44"/>
      <c r="I1470" s="44"/>
      <c r="J1470" s="45"/>
      <c r="K1470" s="45"/>
      <c r="L1470" s="45"/>
      <c r="M1470" s="44"/>
      <c r="N1470" s="44"/>
      <c r="O1470" s="44"/>
      <c r="P1470" s="44"/>
      <c r="Q1470" s="44"/>
    </row>
    <row r="1471" spans="8:17" x14ac:dyDescent="0.25">
      <c r="H1471" s="44"/>
      <c r="I1471" s="44"/>
      <c r="J1471" s="45"/>
      <c r="K1471" s="45"/>
      <c r="L1471" s="45"/>
      <c r="M1471" s="44"/>
      <c r="N1471" s="44"/>
      <c r="O1471" s="44"/>
      <c r="P1471" s="44"/>
      <c r="Q1471" s="44"/>
    </row>
    <row r="1472" spans="8:17" x14ac:dyDescent="0.25">
      <c r="H1472" s="44"/>
      <c r="I1472" s="44"/>
      <c r="J1472" s="45"/>
      <c r="K1472" s="45"/>
      <c r="L1472" s="45"/>
      <c r="M1472" s="44"/>
      <c r="N1472" s="44"/>
      <c r="O1472" s="44"/>
      <c r="P1472" s="44"/>
      <c r="Q1472" s="44"/>
    </row>
    <row r="1473" spans="8:17" x14ac:dyDescent="0.25">
      <c r="H1473" s="44"/>
      <c r="I1473" s="44"/>
      <c r="J1473" s="45"/>
      <c r="K1473" s="45"/>
      <c r="L1473" s="45"/>
      <c r="M1473" s="44"/>
      <c r="N1473" s="44"/>
      <c r="O1473" s="44"/>
      <c r="P1473" s="44"/>
      <c r="Q1473" s="44"/>
    </row>
    <row r="1474" spans="8:17" x14ac:dyDescent="0.25">
      <c r="H1474" s="44"/>
      <c r="I1474" s="44"/>
      <c r="J1474" s="45"/>
      <c r="K1474" s="45"/>
      <c r="L1474" s="45"/>
      <c r="M1474" s="44"/>
      <c r="N1474" s="44"/>
      <c r="O1474" s="44"/>
      <c r="P1474" s="44"/>
      <c r="Q1474" s="44"/>
    </row>
    <row r="1475" spans="8:17" x14ac:dyDescent="0.25">
      <c r="H1475" s="44"/>
      <c r="I1475" s="44"/>
      <c r="J1475" s="45"/>
      <c r="K1475" s="45"/>
      <c r="L1475" s="45"/>
      <c r="M1475" s="44"/>
      <c r="N1475" s="44"/>
      <c r="O1475" s="44"/>
      <c r="P1475" s="44"/>
      <c r="Q1475" s="44"/>
    </row>
    <row r="1476" spans="8:17" x14ac:dyDescent="0.25">
      <c r="H1476" s="44"/>
      <c r="I1476" s="44"/>
      <c r="J1476" s="45"/>
      <c r="K1476" s="45"/>
      <c r="L1476" s="45"/>
      <c r="M1476" s="44"/>
      <c r="N1476" s="44"/>
      <c r="O1476" s="44"/>
      <c r="P1476" s="44"/>
      <c r="Q1476" s="44"/>
    </row>
    <row r="1477" spans="8:17" x14ac:dyDescent="0.25">
      <c r="H1477" s="44"/>
      <c r="I1477" s="44"/>
      <c r="J1477" s="45"/>
      <c r="K1477" s="45"/>
      <c r="L1477" s="45"/>
      <c r="M1477" s="44"/>
      <c r="N1477" s="44"/>
      <c r="O1477" s="44"/>
      <c r="P1477" s="44"/>
      <c r="Q1477" s="44"/>
    </row>
    <row r="1478" spans="8:17" x14ac:dyDescent="0.25">
      <c r="H1478" s="44"/>
      <c r="I1478" s="44"/>
      <c r="J1478" s="45"/>
      <c r="K1478" s="45"/>
      <c r="L1478" s="45"/>
      <c r="M1478" s="44"/>
      <c r="N1478" s="44"/>
      <c r="O1478" s="44"/>
      <c r="P1478" s="44"/>
      <c r="Q1478" s="44"/>
    </row>
    <row r="1479" spans="8:17" x14ac:dyDescent="0.25">
      <c r="H1479" s="44"/>
      <c r="I1479" s="44"/>
      <c r="J1479" s="45"/>
      <c r="K1479" s="45"/>
      <c r="L1479" s="45"/>
      <c r="M1479" s="44"/>
      <c r="N1479" s="44"/>
      <c r="O1479" s="44"/>
      <c r="P1479" s="44"/>
      <c r="Q1479" s="44"/>
    </row>
    <row r="1480" spans="8:17" x14ac:dyDescent="0.25">
      <c r="H1480" s="44"/>
      <c r="I1480" s="44"/>
      <c r="J1480" s="45"/>
      <c r="K1480" s="45"/>
      <c r="L1480" s="45"/>
      <c r="M1480" s="44"/>
      <c r="N1480" s="44"/>
      <c r="O1480" s="44"/>
      <c r="P1480" s="44"/>
      <c r="Q1480" s="44"/>
    </row>
    <row r="1481" spans="8:17" x14ac:dyDescent="0.25">
      <c r="H1481" s="44"/>
      <c r="I1481" s="44"/>
      <c r="J1481" s="45"/>
      <c r="K1481" s="45"/>
      <c r="L1481" s="45"/>
      <c r="M1481" s="44"/>
      <c r="N1481" s="44"/>
      <c r="O1481" s="44"/>
      <c r="P1481" s="44"/>
      <c r="Q1481" s="44"/>
    </row>
    <row r="1482" spans="8:17" x14ac:dyDescent="0.25">
      <c r="H1482" s="44"/>
      <c r="I1482" s="44"/>
      <c r="J1482" s="45"/>
      <c r="K1482" s="45"/>
      <c r="L1482" s="45"/>
      <c r="M1482" s="44"/>
      <c r="N1482" s="44"/>
      <c r="O1482" s="44"/>
      <c r="P1482" s="44"/>
      <c r="Q1482" s="44"/>
    </row>
    <row r="1483" spans="8:17" x14ac:dyDescent="0.25">
      <c r="H1483" s="44"/>
      <c r="I1483" s="44"/>
      <c r="J1483" s="45"/>
      <c r="K1483" s="45"/>
      <c r="L1483" s="45"/>
      <c r="M1483" s="44"/>
      <c r="N1483" s="44"/>
      <c r="O1483" s="44"/>
      <c r="P1483" s="44"/>
      <c r="Q1483" s="44"/>
    </row>
    <row r="1484" spans="8:17" x14ac:dyDescent="0.25">
      <c r="H1484" s="44"/>
      <c r="I1484" s="44"/>
      <c r="J1484" s="45"/>
      <c r="K1484" s="45"/>
      <c r="L1484" s="45"/>
      <c r="M1484" s="44"/>
      <c r="N1484" s="44"/>
      <c r="O1484" s="44"/>
      <c r="P1484" s="44"/>
      <c r="Q1484" s="44"/>
    </row>
    <row r="1485" spans="8:17" x14ac:dyDescent="0.25">
      <c r="H1485" s="44"/>
      <c r="I1485" s="44"/>
      <c r="J1485" s="45"/>
      <c r="K1485" s="45"/>
      <c r="L1485" s="45"/>
      <c r="M1485" s="44"/>
      <c r="N1485" s="44"/>
      <c r="O1485" s="44"/>
      <c r="P1485" s="44"/>
      <c r="Q1485" s="44"/>
    </row>
    <row r="1486" spans="8:17" x14ac:dyDescent="0.25">
      <c r="H1486" s="44"/>
      <c r="I1486" s="44"/>
      <c r="J1486" s="45"/>
      <c r="K1486" s="45"/>
      <c r="L1486" s="45"/>
      <c r="M1486" s="44"/>
      <c r="N1486" s="44"/>
      <c r="O1486" s="44"/>
      <c r="P1486" s="44"/>
      <c r="Q1486" s="44"/>
    </row>
    <row r="1487" spans="8:17" x14ac:dyDescent="0.25">
      <c r="H1487" s="44"/>
      <c r="I1487" s="44"/>
      <c r="J1487" s="45"/>
      <c r="K1487" s="45"/>
      <c r="L1487" s="45"/>
      <c r="M1487" s="44"/>
      <c r="N1487" s="44"/>
      <c r="O1487" s="44"/>
      <c r="P1487" s="44"/>
      <c r="Q1487" s="44"/>
    </row>
    <row r="1488" spans="8:17" x14ac:dyDescent="0.25">
      <c r="H1488" s="44"/>
      <c r="I1488" s="44"/>
      <c r="J1488" s="45"/>
      <c r="K1488" s="45"/>
      <c r="L1488" s="45"/>
      <c r="M1488" s="44"/>
      <c r="N1488" s="44"/>
      <c r="O1488" s="44"/>
      <c r="P1488" s="44"/>
      <c r="Q1488" s="44"/>
    </row>
    <row r="1489" spans="8:17" x14ac:dyDescent="0.25">
      <c r="H1489" s="44"/>
      <c r="I1489" s="44"/>
      <c r="J1489" s="45"/>
      <c r="K1489" s="45"/>
      <c r="L1489" s="45"/>
      <c r="M1489" s="44"/>
      <c r="N1489" s="44"/>
      <c r="O1489" s="44"/>
      <c r="P1489" s="44"/>
      <c r="Q1489" s="44"/>
    </row>
    <row r="1490" spans="8:17" x14ac:dyDescent="0.25">
      <c r="H1490" s="44"/>
      <c r="I1490" s="44"/>
      <c r="J1490" s="45"/>
      <c r="K1490" s="45"/>
      <c r="L1490" s="45"/>
      <c r="M1490" s="44"/>
      <c r="N1490" s="44"/>
      <c r="O1490" s="44"/>
      <c r="P1490" s="44"/>
      <c r="Q1490" s="44"/>
    </row>
    <row r="1491" spans="8:17" x14ac:dyDescent="0.25">
      <c r="H1491" s="44"/>
      <c r="I1491" s="44"/>
      <c r="J1491" s="45"/>
      <c r="K1491" s="45"/>
      <c r="L1491" s="45"/>
      <c r="M1491" s="44"/>
      <c r="N1491" s="44"/>
      <c r="O1491" s="44"/>
      <c r="P1491" s="44"/>
      <c r="Q1491" s="44"/>
    </row>
    <row r="1492" spans="8:17" x14ac:dyDescent="0.25">
      <c r="H1492" s="44"/>
      <c r="I1492" s="44"/>
      <c r="J1492" s="45"/>
      <c r="K1492" s="45"/>
      <c r="L1492" s="45"/>
      <c r="M1492" s="44"/>
      <c r="N1492" s="44"/>
      <c r="O1492" s="44"/>
      <c r="P1492" s="44"/>
      <c r="Q1492" s="44"/>
    </row>
    <row r="1493" spans="8:17" x14ac:dyDescent="0.25">
      <c r="H1493" s="44"/>
      <c r="I1493" s="44"/>
      <c r="J1493" s="45"/>
      <c r="K1493" s="45"/>
      <c r="L1493" s="45"/>
      <c r="M1493" s="44"/>
      <c r="N1493" s="44"/>
      <c r="O1493" s="44"/>
      <c r="P1493" s="44"/>
      <c r="Q1493" s="44"/>
    </row>
    <row r="1494" spans="8:17" x14ac:dyDescent="0.25">
      <c r="H1494" s="44"/>
      <c r="I1494" s="44"/>
      <c r="J1494" s="45"/>
      <c r="K1494" s="45"/>
      <c r="L1494" s="45"/>
      <c r="M1494" s="44"/>
      <c r="N1494" s="44"/>
      <c r="O1494" s="44"/>
      <c r="P1494" s="44"/>
      <c r="Q1494" s="44"/>
    </row>
    <row r="1495" spans="8:17" x14ac:dyDescent="0.25">
      <c r="H1495" s="44"/>
      <c r="I1495" s="44"/>
      <c r="J1495" s="45"/>
      <c r="K1495" s="45"/>
      <c r="L1495" s="45"/>
      <c r="M1495" s="44"/>
      <c r="N1495" s="44"/>
      <c r="O1495" s="44"/>
      <c r="P1495" s="44"/>
      <c r="Q1495" s="44"/>
    </row>
    <row r="1496" spans="8:17" x14ac:dyDescent="0.25">
      <c r="H1496" s="44"/>
      <c r="I1496" s="44"/>
      <c r="J1496" s="45"/>
      <c r="K1496" s="45"/>
      <c r="L1496" s="45"/>
      <c r="M1496" s="44"/>
      <c r="N1496" s="44"/>
      <c r="O1496" s="44"/>
      <c r="P1496" s="44"/>
      <c r="Q1496" s="44"/>
    </row>
    <row r="1497" spans="8:17" x14ac:dyDescent="0.25">
      <c r="H1497" s="44"/>
      <c r="I1497" s="44"/>
      <c r="J1497" s="45"/>
      <c r="K1497" s="45"/>
      <c r="L1497" s="45"/>
      <c r="M1497" s="44"/>
      <c r="N1497" s="44"/>
      <c r="O1497" s="44"/>
      <c r="P1497" s="44"/>
      <c r="Q1497" s="44"/>
    </row>
    <row r="1498" spans="8:17" x14ac:dyDescent="0.25">
      <c r="H1498" s="44"/>
      <c r="I1498" s="44"/>
      <c r="J1498" s="45"/>
      <c r="K1498" s="45"/>
      <c r="L1498" s="45"/>
      <c r="M1498" s="44"/>
      <c r="N1498" s="44"/>
      <c r="O1498" s="44"/>
      <c r="P1498" s="44"/>
      <c r="Q1498" s="44"/>
    </row>
    <row r="1499" spans="8:17" x14ac:dyDescent="0.25">
      <c r="H1499" s="44"/>
      <c r="I1499" s="44"/>
      <c r="J1499" s="45"/>
      <c r="K1499" s="45"/>
      <c r="L1499" s="45"/>
      <c r="M1499" s="44"/>
      <c r="N1499" s="44"/>
      <c r="O1499" s="44"/>
      <c r="P1499" s="44"/>
      <c r="Q1499" s="44"/>
    </row>
    <row r="1500" spans="8:17" x14ac:dyDescent="0.25">
      <c r="H1500" s="44"/>
      <c r="I1500" s="44"/>
      <c r="J1500" s="45"/>
      <c r="K1500" s="45"/>
      <c r="L1500" s="45"/>
      <c r="M1500" s="44"/>
      <c r="N1500" s="44"/>
      <c r="O1500" s="44"/>
      <c r="P1500" s="44"/>
      <c r="Q1500" s="44"/>
    </row>
    <row r="1501" spans="8:17" x14ac:dyDescent="0.25">
      <c r="H1501" s="44"/>
      <c r="I1501" s="44"/>
      <c r="J1501" s="45"/>
      <c r="K1501" s="45"/>
      <c r="L1501" s="45"/>
      <c r="M1501" s="44"/>
      <c r="N1501" s="44"/>
      <c r="O1501" s="44"/>
      <c r="P1501" s="44"/>
      <c r="Q1501" s="44"/>
    </row>
    <row r="1502" spans="8:17" x14ac:dyDescent="0.25">
      <c r="H1502" s="44"/>
      <c r="I1502" s="44"/>
      <c r="J1502" s="45"/>
      <c r="K1502" s="45"/>
      <c r="L1502" s="45"/>
      <c r="M1502" s="44"/>
      <c r="N1502" s="44"/>
      <c r="O1502" s="44"/>
      <c r="P1502" s="44"/>
      <c r="Q1502" s="44"/>
    </row>
    <row r="1503" spans="8:17" x14ac:dyDescent="0.25">
      <c r="H1503" s="44"/>
      <c r="I1503" s="44"/>
      <c r="J1503" s="45"/>
      <c r="K1503" s="45"/>
      <c r="L1503" s="45"/>
      <c r="M1503" s="44"/>
      <c r="N1503" s="44"/>
      <c r="O1503" s="44"/>
      <c r="P1503" s="44"/>
      <c r="Q1503" s="44"/>
    </row>
    <row r="1504" spans="8:17" x14ac:dyDescent="0.25">
      <c r="H1504" s="44"/>
      <c r="I1504" s="44"/>
      <c r="J1504" s="45"/>
      <c r="K1504" s="45"/>
      <c r="L1504" s="45"/>
      <c r="M1504" s="44"/>
      <c r="N1504" s="44"/>
      <c r="O1504" s="44"/>
      <c r="P1504" s="44"/>
      <c r="Q1504" s="44"/>
    </row>
    <row r="1505" spans="8:17" x14ac:dyDescent="0.25">
      <c r="H1505" s="44"/>
      <c r="I1505" s="44"/>
      <c r="J1505" s="45"/>
      <c r="K1505" s="45"/>
      <c r="L1505" s="45"/>
      <c r="M1505" s="44"/>
      <c r="N1505" s="44"/>
      <c r="O1505" s="44"/>
      <c r="P1505" s="44"/>
      <c r="Q1505" s="44"/>
    </row>
    <row r="1506" spans="8:17" x14ac:dyDescent="0.25">
      <c r="H1506" s="44"/>
      <c r="I1506" s="44"/>
      <c r="J1506" s="45"/>
      <c r="K1506" s="45"/>
      <c r="L1506" s="45"/>
      <c r="M1506" s="44"/>
      <c r="N1506" s="44"/>
      <c r="O1506" s="44"/>
      <c r="P1506" s="44"/>
      <c r="Q1506" s="44"/>
    </row>
    <row r="1507" spans="8:17" x14ac:dyDescent="0.25">
      <c r="H1507" s="44"/>
      <c r="I1507" s="44"/>
      <c r="J1507" s="45"/>
      <c r="K1507" s="45"/>
      <c r="L1507" s="45"/>
      <c r="M1507" s="44"/>
      <c r="N1507" s="44"/>
      <c r="O1507" s="44"/>
      <c r="P1507" s="44"/>
      <c r="Q1507" s="44"/>
    </row>
    <row r="1508" spans="8:17" x14ac:dyDescent="0.25">
      <c r="H1508" s="44"/>
      <c r="I1508" s="44"/>
      <c r="J1508" s="45"/>
      <c r="K1508" s="45"/>
      <c r="L1508" s="45"/>
      <c r="M1508" s="44"/>
      <c r="N1508" s="44"/>
      <c r="O1508" s="44"/>
      <c r="P1508" s="44"/>
      <c r="Q1508" s="44"/>
    </row>
    <row r="1509" spans="8:17" x14ac:dyDescent="0.25">
      <c r="H1509" s="44"/>
      <c r="I1509" s="44"/>
      <c r="J1509" s="45"/>
      <c r="K1509" s="45"/>
      <c r="L1509" s="45"/>
      <c r="M1509" s="44"/>
      <c r="N1509" s="44"/>
      <c r="O1509" s="44"/>
      <c r="P1509" s="44"/>
      <c r="Q1509" s="44"/>
    </row>
    <row r="1510" spans="8:17" x14ac:dyDescent="0.25">
      <c r="H1510" s="44"/>
      <c r="I1510" s="44"/>
      <c r="J1510" s="45"/>
      <c r="K1510" s="45"/>
      <c r="L1510" s="45"/>
      <c r="M1510" s="44"/>
      <c r="N1510" s="44"/>
      <c r="O1510" s="44"/>
      <c r="P1510" s="44"/>
      <c r="Q1510" s="44"/>
    </row>
    <row r="1511" spans="8:17" x14ac:dyDescent="0.25">
      <c r="H1511" s="44"/>
      <c r="I1511" s="44"/>
      <c r="J1511" s="45"/>
      <c r="K1511" s="45"/>
      <c r="L1511" s="45"/>
      <c r="M1511" s="44"/>
      <c r="N1511" s="44"/>
      <c r="O1511" s="44"/>
      <c r="P1511" s="44"/>
      <c r="Q1511" s="44"/>
    </row>
    <row r="1512" spans="8:17" x14ac:dyDescent="0.25">
      <c r="H1512" s="44"/>
      <c r="I1512" s="44"/>
      <c r="J1512" s="45"/>
      <c r="K1512" s="45"/>
      <c r="L1512" s="45"/>
      <c r="M1512" s="44"/>
      <c r="N1512" s="44"/>
      <c r="O1512" s="44"/>
      <c r="P1512" s="44"/>
      <c r="Q1512" s="44"/>
    </row>
    <row r="1513" spans="8:17" x14ac:dyDescent="0.25">
      <c r="H1513" s="44"/>
      <c r="I1513" s="44"/>
      <c r="J1513" s="45"/>
      <c r="K1513" s="45"/>
      <c r="L1513" s="45"/>
      <c r="M1513" s="44"/>
      <c r="N1513" s="44"/>
      <c r="O1513" s="44"/>
      <c r="P1513" s="44"/>
      <c r="Q1513" s="44"/>
    </row>
    <row r="1514" spans="8:17" x14ac:dyDescent="0.25">
      <c r="H1514" s="44"/>
      <c r="I1514" s="44"/>
      <c r="J1514" s="45"/>
      <c r="K1514" s="45"/>
      <c r="L1514" s="45"/>
      <c r="M1514" s="44"/>
      <c r="N1514" s="44"/>
      <c r="O1514" s="44"/>
      <c r="P1514" s="44"/>
      <c r="Q1514" s="44"/>
    </row>
    <row r="1515" spans="8:17" x14ac:dyDescent="0.25">
      <c r="H1515" s="44"/>
      <c r="I1515" s="44"/>
      <c r="J1515" s="45"/>
      <c r="K1515" s="45"/>
      <c r="L1515" s="45"/>
      <c r="M1515" s="44"/>
      <c r="N1515" s="44"/>
      <c r="O1515" s="44"/>
      <c r="P1515" s="44"/>
      <c r="Q1515" s="44"/>
    </row>
    <row r="1516" spans="8:17" x14ac:dyDescent="0.25">
      <c r="H1516" s="44"/>
      <c r="I1516" s="44"/>
      <c r="J1516" s="45"/>
      <c r="K1516" s="45"/>
      <c r="L1516" s="45"/>
      <c r="M1516" s="44"/>
      <c r="N1516" s="44"/>
      <c r="O1516" s="44"/>
      <c r="P1516" s="44"/>
      <c r="Q1516" s="44"/>
    </row>
    <row r="1517" spans="8:17" x14ac:dyDescent="0.25">
      <c r="H1517" s="44"/>
      <c r="I1517" s="44"/>
      <c r="J1517" s="45"/>
      <c r="K1517" s="45"/>
      <c r="L1517" s="45"/>
      <c r="M1517" s="44"/>
      <c r="N1517" s="44"/>
      <c r="O1517" s="44"/>
      <c r="P1517" s="44"/>
      <c r="Q1517" s="44"/>
    </row>
    <row r="1518" spans="8:17" x14ac:dyDescent="0.25">
      <c r="H1518" s="44"/>
      <c r="I1518" s="44"/>
      <c r="J1518" s="45"/>
      <c r="K1518" s="45"/>
      <c r="L1518" s="45"/>
      <c r="M1518" s="44"/>
      <c r="N1518" s="44"/>
      <c r="O1518" s="44"/>
      <c r="P1518" s="44"/>
      <c r="Q1518" s="44"/>
    </row>
    <row r="1519" spans="8:17" x14ac:dyDescent="0.25">
      <c r="H1519" s="44"/>
      <c r="I1519" s="44"/>
      <c r="J1519" s="45"/>
      <c r="K1519" s="45"/>
      <c r="L1519" s="45"/>
      <c r="M1519" s="44"/>
      <c r="N1519" s="44"/>
      <c r="O1519" s="44"/>
      <c r="P1519" s="44"/>
      <c r="Q1519" s="44"/>
    </row>
    <row r="1520" spans="8:17" x14ac:dyDescent="0.25">
      <c r="H1520" s="44"/>
      <c r="I1520" s="44"/>
      <c r="J1520" s="45"/>
      <c r="K1520" s="45"/>
      <c r="L1520" s="45"/>
      <c r="M1520" s="44"/>
      <c r="N1520" s="44"/>
      <c r="O1520" s="44"/>
      <c r="P1520" s="44"/>
      <c r="Q1520" s="44"/>
    </row>
    <row r="1521" spans="8:17" x14ac:dyDescent="0.25">
      <c r="H1521" s="44"/>
      <c r="I1521" s="44"/>
      <c r="J1521" s="45"/>
      <c r="K1521" s="45"/>
      <c r="L1521" s="45"/>
      <c r="M1521" s="44"/>
      <c r="N1521" s="44"/>
      <c r="O1521" s="44"/>
      <c r="P1521" s="44"/>
      <c r="Q1521" s="44"/>
    </row>
    <row r="1522" spans="8:17" x14ac:dyDescent="0.25">
      <c r="H1522" s="44"/>
      <c r="I1522" s="44"/>
      <c r="J1522" s="45"/>
      <c r="K1522" s="45"/>
      <c r="L1522" s="45"/>
      <c r="M1522" s="44"/>
      <c r="N1522" s="44"/>
      <c r="O1522" s="44"/>
      <c r="P1522" s="44"/>
      <c r="Q1522" s="44"/>
    </row>
    <row r="1523" spans="8:17" x14ac:dyDescent="0.25">
      <c r="H1523" s="44"/>
      <c r="I1523" s="44"/>
      <c r="J1523" s="45"/>
      <c r="K1523" s="45"/>
      <c r="L1523" s="45"/>
      <c r="M1523" s="44"/>
      <c r="N1523" s="44"/>
      <c r="O1523" s="44"/>
      <c r="P1523" s="44"/>
      <c r="Q1523" s="44"/>
    </row>
    <row r="1524" spans="8:17" x14ac:dyDescent="0.25">
      <c r="H1524" s="44"/>
      <c r="I1524" s="44"/>
      <c r="J1524" s="45"/>
      <c r="K1524" s="45"/>
      <c r="L1524" s="45"/>
      <c r="M1524" s="44"/>
      <c r="N1524" s="44"/>
      <c r="O1524" s="44"/>
      <c r="P1524" s="44"/>
      <c r="Q1524" s="44"/>
    </row>
    <row r="1525" spans="8:17" x14ac:dyDescent="0.25">
      <c r="H1525" s="44"/>
      <c r="I1525" s="44"/>
      <c r="J1525" s="45"/>
      <c r="K1525" s="45"/>
      <c r="L1525" s="45"/>
      <c r="M1525" s="44"/>
      <c r="N1525" s="44"/>
      <c r="O1525" s="44"/>
      <c r="P1525" s="44"/>
      <c r="Q1525" s="44"/>
    </row>
    <row r="1526" spans="8:17" x14ac:dyDescent="0.25">
      <c r="H1526" s="44"/>
      <c r="I1526" s="44"/>
      <c r="J1526" s="45"/>
      <c r="K1526" s="45"/>
      <c r="L1526" s="45"/>
      <c r="M1526" s="44"/>
      <c r="N1526" s="44"/>
      <c r="O1526" s="44"/>
      <c r="P1526" s="44"/>
      <c r="Q1526" s="44"/>
    </row>
    <row r="1527" spans="8:17" x14ac:dyDescent="0.25">
      <c r="H1527" s="44"/>
      <c r="I1527" s="44"/>
      <c r="J1527" s="45"/>
      <c r="K1527" s="45"/>
      <c r="L1527" s="45"/>
      <c r="M1527" s="44"/>
      <c r="N1527" s="44"/>
      <c r="O1527" s="44"/>
      <c r="P1527" s="44"/>
      <c r="Q1527" s="44"/>
    </row>
    <row r="1528" spans="8:17" x14ac:dyDescent="0.25">
      <c r="H1528" s="44"/>
      <c r="I1528" s="44"/>
      <c r="J1528" s="45"/>
      <c r="K1528" s="45"/>
      <c r="L1528" s="45"/>
      <c r="M1528" s="44"/>
      <c r="N1528" s="44"/>
      <c r="O1528" s="44"/>
      <c r="P1528" s="44"/>
      <c r="Q1528" s="44"/>
    </row>
    <row r="1529" spans="8:17" x14ac:dyDescent="0.25">
      <c r="H1529" s="44"/>
      <c r="I1529" s="44"/>
      <c r="J1529" s="45"/>
      <c r="K1529" s="45"/>
      <c r="L1529" s="45"/>
      <c r="M1529" s="44"/>
      <c r="N1529" s="44"/>
      <c r="O1529" s="44"/>
      <c r="P1529" s="44"/>
      <c r="Q1529" s="44"/>
    </row>
    <row r="1530" spans="8:17" x14ac:dyDescent="0.25">
      <c r="H1530" s="44"/>
      <c r="I1530" s="44"/>
      <c r="J1530" s="45"/>
      <c r="K1530" s="45"/>
      <c r="L1530" s="45"/>
      <c r="M1530" s="44"/>
      <c r="N1530" s="44"/>
      <c r="O1530" s="44"/>
      <c r="P1530" s="44"/>
      <c r="Q1530" s="44"/>
    </row>
    <row r="1531" spans="8:17" x14ac:dyDescent="0.25">
      <c r="H1531" s="44"/>
      <c r="I1531" s="44"/>
      <c r="J1531" s="45"/>
      <c r="K1531" s="45"/>
      <c r="L1531" s="45"/>
      <c r="M1531" s="44"/>
      <c r="N1531" s="44"/>
      <c r="O1531" s="44"/>
      <c r="P1531" s="44"/>
      <c r="Q1531" s="44"/>
    </row>
    <row r="1532" spans="8:17" x14ac:dyDescent="0.25">
      <c r="H1532" s="44"/>
      <c r="I1532" s="44"/>
      <c r="J1532" s="45"/>
      <c r="K1532" s="45"/>
      <c r="L1532" s="45"/>
      <c r="M1532" s="44"/>
      <c r="N1532" s="44"/>
      <c r="O1532" s="44"/>
      <c r="P1532" s="44"/>
      <c r="Q1532" s="44"/>
    </row>
    <row r="1533" spans="8:17" x14ac:dyDescent="0.25">
      <c r="H1533" s="44"/>
      <c r="I1533" s="44"/>
      <c r="J1533" s="45"/>
      <c r="K1533" s="45"/>
      <c r="L1533" s="45"/>
      <c r="M1533" s="44"/>
      <c r="N1533" s="44"/>
      <c r="O1533" s="44"/>
      <c r="P1533" s="44"/>
      <c r="Q1533" s="44"/>
    </row>
    <row r="1534" spans="8:17" x14ac:dyDescent="0.25">
      <c r="H1534" s="44"/>
      <c r="I1534" s="44"/>
      <c r="J1534" s="45"/>
      <c r="K1534" s="45"/>
      <c r="L1534" s="45"/>
      <c r="M1534" s="44"/>
      <c r="N1534" s="44"/>
      <c r="O1534" s="44"/>
      <c r="P1534" s="44"/>
      <c r="Q1534" s="44"/>
    </row>
    <row r="1535" spans="8:17" x14ac:dyDescent="0.25">
      <c r="H1535" s="44"/>
      <c r="I1535" s="44"/>
      <c r="J1535" s="45"/>
      <c r="K1535" s="45"/>
      <c r="L1535" s="45"/>
      <c r="M1535" s="44"/>
      <c r="N1535" s="44"/>
      <c r="O1535" s="44"/>
      <c r="P1535" s="44"/>
      <c r="Q1535" s="44"/>
    </row>
    <row r="1536" spans="8:17" x14ac:dyDescent="0.25">
      <c r="H1536" s="44"/>
      <c r="I1536" s="44"/>
      <c r="J1536" s="45"/>
      <c r="K1536" s="45"/>
      <c r="L1536" s="45"/>
      <c r="M1536" s="44"/>
      <c r="N1536" s="44"/>
      <c r="O1536" s="44"/>
      <c r="P1536" s="44"/>
      <c r="Q1536" s="44"/>
    </row>
    <row r="1537" spans="8:17" x14ac:dyDescent="0.25">
      <c r="H1537" s="44"/>
      <c r="I1537" s="44"/>
      <c r="J1537" s="45"/>
      <c r="K1537" s="45"/>
      <c r="L1537" s="45"/>
      <c r="M1537" s="44"/>
      <c r="N1537" s="44"/>
      <c r="O1537" s="44"/>
      <c r="P1537" s="44"/>
      <c r="Q1537" s="44"/>
    </row>
    <row r="1538" spans="8:17" x14ac:dyDescent="0.25">
      <c r="H1538" s="44"/>
      <c r="I1538" s="44"/>
      <c r="J1538" s="45"/>
      <c r="K1538" s="45"/>
      <c r="L1538" s="45"/>
      <c r="M1538" s="44"/>
      <c r="N1538" s="44"/>
      <c r="O1538" s="44"/>
      <c r="P1538" s="44"/>
      <c r="Q1538" s="44"/>
    </row>
    <row r="1539" spans="8:17" x14ac:dyDescent="0.25">
      <c r="H1539" s="44"/>
      <c r="I1539" s="44"/>
      <c r="J1539" s="45"/>
      <c r="K1539" s="45"/>
      <c r="L1539" s="45"/>
      <c r="M1539" s="44"/>
      <c r="N1539" s="44"/>
      <c r="O1539" s="44"/>
      <c r="P1539" s="44"/>
      <c r="Q1539" s="44"/>
    </row>
    <row r="1540" spans="8:17" x14ac:dyDescent="0.25">
      <c r="H1540" s="44"/>
      <c r="I1540" s="44"/>
      <c r="J1540" s="45"/>
      <c r="K1540" s="45"/>
      <c r="L1540" s="45"/>
      <c r="M1540" s="44"/>
      <c r="N1540" s="44"/>
      <c r="O1540" s="44"/>
      <c r="P1540" s="44"/>
      <c r="Q1540" s="44"/>
    </row>
    <row r="1541" spans="8:17" x14ac:dyDescent="0.25">
      <c r="H1541" s="44"/>
      <c r="I1541" s="44"/>
      <c r="J1541" s="45"/>
      <c r="K1541" s="45"/>
      <c r="L1541" s="45"/>
      <c r="M1541" s="44"/>
      <c r="N1541" s="44"/>
      <c r="O1541" s="44"/>
      <c r="P1541" s="44"/>
      <c r="Q1541" s="44"/>
    </row>
    <row r="1542" spans="8:17" x14ac:dyDescent="0.25">
      <c r="H1542" s="44"/>
      <c r="I1542" s="44"/>
      <c r="J1542" s="45"/>
      <c r="K1542" s="45"/>
      <c r="L1542" s="45"/>
      <c r="M1542" s="44"/>
      <c r="N1542" s="44"/>
      <c r="O1542" s="44"/>
      <c r="P1542" s="44"/>
      <c r="Q1542" s="44"/>
    </row>
    <row r="1543" spans="8:17" x14ac:dyDescent="0.25">
      <c r="H1543" s="44"/>
      <c r="I1543" s="44"/>
      <c r="J1543" s="45"/>
      <c r="K1543" s="45"/>
      <c r="L1543" s="45"/>
      <c r="M1543" s="44"/>
      <c r="N1543" s="44"/>
      <c r="O1543" s="44"/>
      <c r="P1543" s="44"/>
      <c r="Q1543" s="44"/>
    </row>
    <row r="1544" spans="8:17" x14ac:dyDescent="0.25">
      <c r="H1544" s="44"/>
      <c r="I1544" s="44"/>
      <c r="J1544" s="45"/>
      <c r="K1544" s="45"/>
      <c r="L1544" s="45"/>
      <c r="M1544" s="44"/>
      <c r="N1544" s="44"/>
      <c r="O1544" s="44"/>
      <c r="P1544" s="44"/>
      <c r="Q1544" s="44"/>
    </row>
    <row r="1545" spans="8:17" x14ac:dyDescent="0.25">
      <c r="H1545" s="44"/>
      <c r="I1545" s="44"/>
      <c r="J1545" s="45"/>
      <c r="K1545" s="45"/>
      <c r="L1545" s="45"/>
      <c r="M1545" s="44"/>
      <c r="N1545" s="44"/>
      <c r="O1545" s="44"/>
      <c r="P1545" s="44"/>
      <c r="Q1545" s="44"/>
    </row>
    <row r="1546" spans="8:17" x14ac:dyDescent="0.25">
      <c r="H1546" s="44"/>
      <c r="I1546" s="44"/>
      <c r="J1546" s="45"/>
      <c r="K1546" s="45"/>
      <c r="L1546" s="45"/>
      <c r="M1546" s="44"/>
      <c r="N1546" s="44"/>
      <c r="O1546" s="44"/>
      <c r="P1546" s="44"/>
      <c r="Q1546" s="44"/>
    </row>
    <row r="1547" spans="8:17" x14ac:dyDescent="0.25">
      <c r="H1547" s="44"/>
      <c r="I1547" s="44"/>
      <c r="J1547" s="45"/>
      <c r="K1547" s="45"/>
      <c r="L1547" s="45"/>
      <c r="M1547" s="44"/>
      <c r="N1547" s="44"/>
      <c r="O1547" s="44"/>
      <c r="P1547" s="44"/>
      <c r="Q1547" s="44"/>
    </row>
    <row r="1548" spans="8:17" x14ac:dyDescent="0.25">
      <c r="H1548" s="44"/>
      <c r="I1548" s="44"/>
      <c r="J1548" s="45"/>
      <c r="K1548" s="45"/>
      <c r="L1548" s="45"/>
      <c r="M1548" s="44"/>
      <c r="N1548" s="44"/>
      <c r="O1548" s="44"/>
      <c r="P1548" s="44"/>
      <c r="Q1548" s="44"/>
    </row>
    <row r="1549" spans="8:17" x14ac:dyDescent="0.25">
      <c r="H1549" s="44"/>
      <c r="I1549" s="44"/>
      <c r="J1549" s="45"/>
      <c r="K1549" s="45"/>
      <c r="L1549" s="45"/>
      <c r="M1549" s="44"/>
      <c r="N1549" s="44"/>
      <c r="O1549" s="44"/>
      <c r="P1549" s="44"/>
      <c r="Q1549" s="44"/>
    </row>
    <row r="1550" spans="8:17" x14ac:dyDescent="0.25">
      <c r="H1550" s="44"/>
      <c r="I1550" s="44"/>
      <c r="J1550" s="45"/>
      <c r="K1550" s="45"/>
      <c r="L1550" s="45"/>
      <c r="M1550" s="44"/>
      <c r="N1550" s="44"/>
      <c r="O1550" s="44"/>
      <c r="P1550" s="44"/>
      <c r="Q1550" s="44"/>
    </row>
    <row r="1551" spans="8:17" x14ac:dyDescent="0.25">
      <c r="H1551" s="44"/>
      <c r="I1551" s="44"/>
      <c r="J1551" s="45"/>
      <c r="K1551" s="45"/>
      <c r="L1551" s="45"/>
      <c r="M1551" s="44"/>
      <c r="N1551" s="44"/>
      <c r="O1551" s="44"/>
      <c r="P1551" s="44"/>
      <c r="Q1551" s="44"/>
    </row>
    <row r="1552" spans="8:17" x14ac:dyDescent="0.25">
      <c r="H1552" s="44"/>
      <c r="I1552" s="44"/>
      <c r="J1552" s="45"/>
      <c r="K1552" s="45"/>
      <c r="L1552" s="45"/>
      <c r="M1552" s="44"/>
      <c r="N1552" s="44"/>
      <c r="O1552" s="44"/>
      <c r="P1552" s="44"/>
      <c r="Q1552" s="44"/>
    </row>
    <row r="1553" spans="8:17" x14ac:dyDescent="0.25">
      <c r="H1553" s="44"/>
      <c r="I1553" s="44"/>
      <c r="J1553" s="45"/>
      <c r="K1553" s="45"/>
      <c r="L1553" s="45"/>
      <c r="M1553" s="44"/>
      <c r="N1553" s="44"/>
      <c r="O1553" s="44"/>
      <c r="P1553" s="44"/>
      <c r="Q1553" s="44"/>
    </row>
    <row r="1554" spans="8:17" x14ac:dyDescent="0.25">
      <c r="H1554" s="44"/>
      <c r="I1554" s="44"/>
      <c r="J1554" s="45"/>
      <c r="K1554" s="45"/>
      <c r="L1554" s="45"/>
      <c r="M1554" s="44"/>
      <c r="N1554" s="44"/>
      <c r="O1554" s="44"/>
      <c r="P1554" s="44"/>
      <c r="Q1554" s="44"/>
    </row>
    <row r="1555" spans="8:17" x14ac:dyDescent="0.25">
      <c r="H1555" s="44"/>
      <c r="I1555" s="44"/>
      <c r="J1555" s="45"/>
      <c r="K1555" s="45"/>
      <c r="L1555" s="45"/>
      <c r="M1555" s="44"/>
      <c r="N1555" s="44"/>
      <c r="O1555" s="44"/>
      <c r="P1555" s="44"/>
      <c r="Q1555" s="44"/>
    </row>
    <row r="1556" spans="8:17" x14ac:dyDescent="0.25">
      <c r="H1556" s="44"/>
      <c r="I1556" s="44"/>
      <c r="J1556" s="45"/>
      <c r="K1556" s="45"/>
      <c r="L1556" s="45"/>
      <c r="M1556" s="44"/>
      <c r="N1556" s="44"/>
      <c r="O1556" s="44"/>
      <c r="P1556" s="44"/>
      <c r="Q1556" s="44"/>
    </row>
    <row r="1557" spans="8:17" x14ac:dyDescent="0.25">
      <c r="H1557" s="44"/>
      <c r="I1557" s="44"/>
      <c r="J1557" s="45"/>
      <c r="K1557" s="45"/>
      <c r="L1557" s="45"/>
      <c r="M1557" s="44"/>
      <c r="N1557" s="44"/>
      <c r="O1557" s="44"/>
      <c r="P1557" s="44"/>
      <c r="Q1557" s="44"/>
    </row>
    <row r="1558" spans="8:17" x14ac:dyDescent="0.25">
      <c r="H1558" s="44"/>
      <c r="I1558" s="44"/>
      <c r="J1558" s="45"/>
      <c r="K1558" s="45"/>
      <c r="L1558" s="45"/>
      <c r="M1558" s="44"/>
      <c r="N1558" s="44"/>
      <c r="O1558" s="44"/>
      <c r="P1558" s="44"/>
      <c r="Q1558" s="44"/>
    </row>
    <row r="1559" spans="8:17" x14ac:dyDescent="0.25">
      <c r="H1559" s="44"/>
      <c r="I1559" s="44"/>
      <c r="J1559" s="45"/>
      <c r="K1559" s="45"/>
      <c r="L1559" s="45"/>
      <c r="M1559" s="44"/>
      <c r="N1559" s="44"/>
      <c r="O1559" s="44"/>
      <c r="P1559" s="44"/>
      <c r="Q1559" s="44"/>
    </row>
    <row r="1560" spans="8:17" x14ac:dyDescent="0.25">
      <c r="H1560" s="44"/>
      <c r="I1560" s="44"/>
      <c r="J1560" s="45"/>
      <c r="K1560" s="45"/>
      <c r="L1560" s="45"/>
      <c r="M1560" s="44"/>
      <c r="N1560" s="44"/>
      <c r="O1560" s="44"/>
      <c r="P1560" s="44"/>
      <c r="Q1560" s="44"/>
    </row>
    <row r="1561" spans="8:17" x14ac:dyDescent="0.25">
      <c r="H1561" s="44"/>
      <c r="I1561" s="44"/>
      <c r="J1561" s="45"/>
      <c r="K1561" s="45"/>
      <c r="L1561" s="45"/>
      <c r="M1561" s="44"/>
      <c r="N1561" s="44"/>
      <c r="O1561" s="44"/>
      <c r="P1561" s="44"/>
      <c r="Q1561" s="44"/>
    </row>
    <row r="1562" spans="8:17" x14ac:dyDescent="0.25">
      <c r="H1562" s="44"/>
      <c r="I1562" s="44"/>
      <c r="J1562" s="45"/>
      <c r="K1562" s="45"/>
      <c r="L1562" s="45"/>
      <c r="M1562" s="44"/>
      <c r="N1562" s="44"/>
      <c r="O1562" s="44"/>
      <c r="P1562" s="44"/>
      <c r="Q1562" s="44"/>
    </row>
    <row r="1563" spans="8:17" x14ac:dyDescent="0.25">
      <c r="H1563" s="44"/>
      <c r="I1563" s="44"/>
      <c r="J1563" s="45"/>
      <c r="K1563" s="45"/>
      <c r="L1563" s="45"/>
      <c r="M1563" s="44"/>
      <c r="N1563" s="44"/>
      <c r="O1563" s="44"/>
      <c r="P1563" s="44"/>
      <c r="Q1563" s="44"/>
    </row>
    <row r="1564" spans="8:17" x14ac:dyDescent="0.25">
      <c r="H1564" s="44"/>
      <c r="I1564" s="44"/>
      <c r="J1564" s="45"/>
      <c r="K1564" s="45"/>
      <c r="L1564" s="45"/>
      <c r="M1564" s="44"/>
      <c r="N1564" s="44"/>
      <c r="O1564" s="44"/>
      <c r="P1564" s="44"/>
      <c r="Q1564" s="44"/>
    </row>
    <row r="1565" spans="8:17" x14ac:dyDescent="0.25">
      <c r="H1565" s="44"/>
      <c r="I1565" s="44"/>
      <c r="J1565" s="45"/>
      <c r="K1565" s="45"/>
      <c r="L1565" s="45"/>
      <c r="M1565" s="44"/>
      <c r="N1565" s="44"/>
      <c r="O1565" s="44"/>
      <c r="P1565" s="44"/>
      <c r="Q1565" s="44"/>
    </row>
    <row r="1566" spans="8:17" x14ac:dyDescent="0.25">
      <c r="H1566" s="44"/>
      <c r="I1566" s="44"/>
      <c r="J1566" s="45"/>
      <c r="K1566" s="45"/>
      <c r="L1566" s="45"/>
      <c r="M1566" s="44"/>
      <c r="N1566" s="44"/>
      <c r="O1566" s="44"/>
      <c r="P1566" s="44"/>
      <c r="Q1566" s="44"/>
    </row>
    <row r="1567" spans="8:17" x14ac:dyDescent="0.25">
      <c r="H1567" s="44"/>
      <c r="I1567" s="44"/>
      <c r="J1567" s="45"/>
      <c r="K1567" s="45"/>
      <c r="L1567" s="45"/>
      <c r="M1567" s="44"/>
      <c r="N1567" s="44"/>
      <c r="O1567" s="44"/>
      <c r="P1567" s="44"/>
      <c r="Q1567" s="44"/>
    </row>
    <row r="1568" spans="8:17" x14ac:dyDescent="0.25">
      <c r="H1568" s="44"/>
      <c r="I1568" s="44"/>
      <c r="J1568" s="45"/>
      <c r="K1568" s="45"/>
      <c r="L1568" s="45"/>
      <c r="M1568" s="44"/>
      <c r="N1568" s="44"/>
      <c r="O1568" s="44"/>
      <c r="P1568" s="44"/>
      <c r="Q1568" s="44"/>
    </row>
    <row r="1569" spans="8:17" x14ac:dyDescent="0.25">
      <c r="H1569" s="44"/>
      <c r="I1569" s="44"/>
      <c r="J1569" s="45"/>
      <c r="K1569" s="45"/>
      <c r="L1569" s="45"/>
      <c r="M1569" s="44"/>
      <c r="N1569" s="44"/>
      <c r="O1569" s="44"/>
      <c r="P1569" s="44"/>
      <c r="Q1569" s="44"/>
    </row>
    <row r="1570" spans="8:17" x14ac:dyDescent="0.25">
      <c r="H1570" s="44"/>
      <c r="I1570" s="44"/>
      <c r="J1570" s="45"/>
      <c r="K1570" s="45"/>
      <c r="L1570" s="45"/>
      <c r="M1570" s="44"/>
      <c r="N1570" s="44"/>
      <c r="O1570" s="44"/>
      <c r="P1570" s="44"/>
      <c r="Q1570" s="44"/>
    </row>
    <row r="1571" spans="8:17" x14ac:dyDescent="0.25">
      <c r="H1571" s="44"/>
      <c r="I1571" s="44"/>
      <c r="J1571" s="45"/>
      <c r="K1571" s="45"/>
      <c r="L1571" s="45"/>
      <c r="M1571" s="44"/>
      <c r="N1571" s="44"/>
      <c r="O1571" s="44"/>
      <c r="P1571" s="44"/>
      <c r="Q1571" s="44"/>
    </row>
    <row r="1572" spans="8:17" x14ac:dyDescent="0.25">
      <c r="H1572" s="44"/>
      <c r="I1572" s="44"/>
      <c r="J1572" s="45"/>
      <c r="K1572" s="45"/>
      <c r="L1572" s="45"/>
      <c r="M1572" s="44"/>
      <c r="N1572" s="44"/>
      <c r="O1572" s="44"/>
      <c r="P1572" s="44"/>
      <c r="Q1572" s="44"/>
    </row>
    <row r="1573" spans="8:17" x14ac:dyDescent="0.25">
      <c r="H1573" s="44"/>
      <c r="I1573" s="44"/>
      <c r="J1573" s="45"/>
      <c r="K1573" s="45"/>
      <c r="L1573" s="45"/>
      <c r="M1573" s="44"/>
      <c r="N1573" s="44"/>
      <c r="O1573" s="44"/>
      <c r="P1573" s="44"/>
      <c r="Q1573" s="44"/>
    </row>
    <row r="1574" spans="8:17" x14ac:dyDescent="0.25">
      <c r="H1574" s="44"/>
      <c r="I1574" s="44"/>
      <c r="J1574" s="45"/>
      <c r="K1574" s="45"/>
      <c r="L1574" s="45"/>
      <c r="M1574" s="44"/>
      <c r="N1574" s="44"/>
      <c r="O1574" s="44"/>
      <c r="P1574" s="44"/>
      <c r="Q1574" s="44"/>
    </row>
    <row r="1575" spans="8:17" x14ac:dyDescent="0.25">
      <c r="H1575" s="44"/>
      <c r="I1575" s="44"/>
      <c r="J1575" s="45"/>
      <c r="K1575" s="45"/>
      <c r="L1575" s="45"/>
      <c r="M1575" s="44"/>
      <c r="N1575" s="44"/>
      <c r="O1575" s="44"/>
      <c r="P1575" s="44"/>
      <c r="Q1575" s="44"/>
    </row>
    <row r="1576" spans="8:17" x14ac:dyDescent="0.25">
      <c r="H1576" s="44"/>
      <c r="I1576" s="44"/>
      <c r="J1576" s="45"/>
      <c r="K1576" s="45"/>
      <c r="L1576" s="45"/>
      <c r="M1576" s="44"/>
      <c r="N1576" s="44"/>
      <c r="O1576" s="44"/>
      <c r="P1576" s="44"/>
      <c r="Q1576" s="44"/>
    </row>
    <row r="1577" spans="8:17" x14ac:dyDescent="0.25">
      <c r="H1577" s="44"/>
      <c r="I1577" s="44"/>
      <c r="J1577" s="45"/>
      <c r="K1577" s="45"/>
      <c r="L1577" s="45"/>
      <c r="M1577" s="44"/>
      <c r="N1577" s="44"/>
      <c r="O1577" s="44"/>
      <c r="P1577" s="44"/>
      <c r="Q1577" s="44"/>
    </row>
    <row r="1578" spans="8:17" x14ac:dyDescent="0.25">
      <c r="H1578" s="44"/>
      <c r="I1578" s="44"/>
      <c r="J1578" s="45"/>
      <c r="K1578" s="45"/>
      <c r="L1578" s="45"/>
      <c r="M1578" s="44"/>
      <c r="N1578" s="44"/>
      <c r="O1578" s="44"/>
      <c r="P1578" s="44"/>
      <c r="Q1578" s="44"/>
    </row>
    <row r="1579" spans="8:17" x14ac:dyDescent="0.25">
      <c r="H1579" s="44"/>
      <c r="I1579" s="44"/>
      <c r="J1579" s="45"/>
      <c r="K1579" s="45"/>
      <c r="L1579" s="45"/>
      <c r="M1579" s="44"/>
      <c r="N1579" s="44"/>
      <c r="O1579" s="44"/>
      <c r="P1579" s="44"/>
      <c r="Q1579" s="44"/>
    </row>
    <row r="1580" spans="8:17" x14ac:dyDescent="0.25">
      <c r="H1580" s="44"/>
      <c r="I1580" s="44"/>
      <c r="J1580" s="45"/>
      <c r="K1580" s="45"/>
      <c r="L1580" s="45"/>
      <c r="M1580" s="44"/>
      <c r="N1580" s="44"/>
      <c r="O1580" s="44"/>
      <c r="P1580" s="44"/>
      <c r="Q1580" s="44"/>
    </row>
    <row r="1581" spans="8:17" x14ac:dyDescent="0.25">
      <c r="H1581" s="44"/>
      <c r="I1581" s="44"/>
      <c r="J1581" s="45"/>
      <c r="K1581" s="45"/>
      <c r="L1581" s="45"/>
      <c r="M1581" s="44"/>
      <c r="N1581" s="44"/>
      <c r="O1581" s="44"/>
      <c r="P1581" s="44"/>
      <c r="Q1581" s="44"/>
    </row>
    <row r="1582" spans="8:17" x14ac:dyDescent="0.25">
      <c r="H1582" s="44"/>
      <c r="I1582" s="44"/>
      <c r="J1582" s="45"/>
      <c r="K1582" s="45"/>
      <c r="L1582" s="45"/>
      <c r="M1582" s="44"/>
      <c r="N1582" s="44"/>
      <c r="O1582" s="44"/>
      <c r="P1582" s="44"/>
      <c r="Q1582" s="44"/>
    </row>
    <row r="1583" spans="8:17" x14ac:dyDescent="0.25">
      <c r="H1583" s="44"/>
      <c r="I1583" s="44"/>
      <c r="J1583" s="45"/>
      <c r="K1583" s="45"/>
      <c r="L1583" s="45"/>
      <c r="M1583" s="44"/>
      <c r="N1583" s="44"/>
      <c r="O1583" s="44"/>
      <c r="P1583" s="44"/>
      <c r="Q1583" s="44"/>
    </row>
    <row r="1584" spans="8:17" x14ac:dyDescent="0.25">
      <c r="H1584" s="44"/>
      <c r="I1584" s="44"/>
      <c r="J1584" s="45"/>
      <c r="K1584" s="45"/>
      <c r="L1584" s="45"/>
      <c r="M1584" s="44"/>
      <c r="N1584" s="44"/>
      <c r="O1584" s="44"/>
      <c r="P1584" s="44"/>
      <c r="Q1584" s="44"/>
    </row>
    <row r="1585" spans="8:17" x14ac:dyDescent="0.25">
      <c r="H1585" s="44"/>
      <c r="I1585" s="44"/>
      <c r="J1585" s="45"/>
      <c r="K1585" s="45"/>
      <c r="L1585" s="45"/>
      <c r="M1585" s="44"/>
      <c r="N1585" s="44"/>
      <c r="O1585" s="44"/>
      <c r="P1585" s="44"/>
      <c r="Q1585" s="44"/>
    </row>
    <row r="1586" spans="8:17" x14ac:dyDescent="0.25">
      <c r="H1586" s="44"/>
      <c r="I1586" s="44"/>
      <c r="J1586" s="45"/>
      <c r="K1586" s="45"/>
      <c r="L1586" s="45"/>
      <c r="M1586" s="44"/>
      <c r="N1586" s="44"/>
      <c r="O1586" s="44"/>
      <c r="P1586" s="44"/>
      <c r="Q1586" s="44"/>
    </row>
    <row r="1587" spans="8:17" x14ac:dyDescent="0.25">
      <c r="H1587" s="44"/>
      <c r="I1587" s="44"/>
      <c r="J1587" s="45"/>
      <c r="K1587" s="45"/>
      <c r="L1587" s="45"/>
      <c r="M1587" s="44"/>
      <c r="N1587" s="44"/>
      <c r="O1587" s="44"/>
      <c r="P1587" s="44"/>
      <c r="Q1587" s="44"/>
    </row>
    <row r="1588" spans="8:17" x14ac:dyDescent="0.25">
      <c r="H1588" s="44"/>
      <c r="I1588" s="44"/>
      <c r="J1588" s="45"/>
      <c r="K1588" s="45"/>
      <c r="L1588" s="45"/>
      <c r="M1588" s="44"/>
      <c r="N1588" s="44"/>
      <c r="O1588" s="44"/>
      <c r="P1588" s="44"/>
      <c r="Q1588" s="44"/>
    </row>
    <row r="1589" spans="8:17" x14ac:dyDescent="0.25">
      <c r="H1589" s="44"/>
      <c r="I1589" s="44"/>
      <c r="J1589" s="45"/>
      <c r="K1589" s="45"/>
      <c r="L1589" s="45"/>
      <c r="M1589" s="44"/>
      <c r="N1589" s="44"/>
      <c r="O1589" s="44"/>
      <c r="P1589" s="44"/>
      <c r="Q1589" s="44"/>
    </row>
    <row r="1590" spans="8:17" x14ac:dyDescent="0.25">
      <c r="H1590" s="44"/>
      <c r="I1590" s="44"/>
      <c r="J1590" s="45"/>
      <c r="K1590" s="45"/>
      <c r="L1590" s="45"/>
      <c r="M1590" s="44"/>
      <c r="N1590" s="44"/>
      <c r="O1590" s="44"/>
      <c r="P1590" s="44"/>
      <c r="Q1590" s="44"/>
    </row>
    <row r="1591" spans="8:17" x14ac:dyDescent="0.25">
      <c r="H1591" s="44"/>
      <c r="I1591" s="44"/>
      <c r="J1591" s="45"/>
      <c r="K1591" s="45"/>
      <c r="L1591" s="45"/>
      <c r="M1591" s="44"/>
      <c r="N1591" s="44"/>
      <c r="O1591" s="44"/>
      <c r="P1591" s="44"/>
      <c r="Q1591" s="44"/>
    </row>
    <row r="1592" spans="8:17" x14ac:dyDescent="0.25">
      <c r="H1592" s="44"/>
      <c r="I1592" s="44"/>
      <c r="J1592" s="45"/>
      <c r="K1592" s="45"/>
      <c r="L1592" s="45"/>
      <c r="M1592" s="44"/>
      <c r="N1592" s="44"/>
      <c r="O1592" s="44"/>
      <c r="P1592" s="44"/>
      <c r="Q1592" s="44"/>
    </row>
    <row r="1593" spans="8:17" x14ac:dyDescent="0.25">
      <c r="H1593" s="44"/>
      <c r="I1593" s="44"/>
      <c r="J1593" s="45"/>
      <c r="K1593" s="45"/>
      <c r="L1593" s="45"/>
      <c r="M1593" s="44"/>
      <c r="N1593" s="44"/>
      <c r="O1593" s="44"/>
      <c r="P1593" s="44"/>
      <c r="Q1593" s="44"/>
    </row>
    <row r="1594" spans="8:17" x14ac:dyDescent="0.25">
      <c r="H1594" s="44"/>
      <c r="I1594" s="44"/>
      <c r="J1594" s="45"/>
      <c r="K1594" s="45"/>
      <c r="L1594" s="45"/>
      <c r="M1594" s="44"/>
      <c r="N1594" s="44"/>
      <c r="O1594" s="44"/>
      <c r="P1594" s="44"/>
      <c r="Q1594" s="44"/>
    </row>
    <row r="1595" spans="8:17" x14ac:dyDescent="0.25">
      <c r="H1595" s="44"/>
      <c r="I1595" s="44"/>
      <c r="J1595" s="45"/>
      <c r="K1595" s="45"/>
      <c r="L1595" s="45"/>
      <c r="M1595" s="44"/>
      <c r="N1595" s="44"/>
      <c r="O1595" s="44"/>
      <c r="P1595" s="44"/>
      <c r="Q1595" s="44"/>
    </row>
    <row r="1596" spans="8:17" x14ac:dyDescent="0.25">
      <c r="H1596" s="44"/>
      <c r="I1596" s="44"/>
      <c r="J1596" s="45"/>
      <c r="K1596" s="45"/>
      <c r="L1596" s="45"/>
      <c r="M1596" s="44"/>
      <c r="N1596" s="44"/>
      <c r="O1596" s="44"/>
      <c r="P1596" s="44"/>
      <c r="Q1596" s="44"/>
    </row>
    <row r="1597" spans="8:17" x14ac:dyDescent="0.25">
      <c r="H1597" s="44"/>
      <c r="I1597" s="44"/>
      <c r="J1597" s="45"/>
      <c r="K1597" s="45"/>
      <c r="L1597" s="45"/>
      <c r="M1597" s="44"/>
      <c r="N1597" s="44"/>
      <c r="O1597" s="44"/>
      <c r="P1597" s="44"/>
      <c r="Q1597" s="44"/>
    </row>
    <row r="1598" spans="8:17" x14ac:dyDescent="0.25">
      <c r="H1598" s="44"/>
      <c r="I1598" s="44"/>
      <c r="J1598" s="45"/>
      <c r="K1598" s="45"/>
      <c r="L1598" s="45"/>
      <c r="M1598" s="44"/>
      <c r="N1598" s="44"/>
      <c r="O1598" s="44"/>
      <c r="P1598" s="44"/>
      <c r="Q1598" s="44"/>
    </row>
    <row r="1599" spans="8:17" x14ac:dyDescent="0.25">
      <c r="H1599" s="44"/>
      <c r="I1599" s="44"/>
      <c r="J1599" s="45"/>
      <c r="K1599" s="45"/>
      <c r="L1599" s="45"/>
      <c r="M1599" s="44"/>
      <c r="N1599" s="44"/>
      <c r="O1599" s="44"/>
      <c r="P1599" s="44"/>
      <c r="Q1599" s="44"/>
    </row>
    <row r="1600" spans="8:17" x14ac:dyDescent="0.25">
      <c r="H1600" s="44"/>
      <c r="I1600" s="44"/>
      <c r="J1600" s="45"/>
      <c r="K1600" s="45"/>
      <c r="L1600" s="45"/>
      <c r="M1600" s="44"/>
      <c r="N1600" s="44"/>
      <c r="O1600" s="44"/>
      <c r="P1600" s="44"/>
      <c r="Q1600" s="44"/>
    </row>
    <row r="1601" spans="8:17" x14ac:dyDescent="0.25">
      <c r="H1601" s="44"/>
      <c r="I1601" s="44"/>
      <c r="J1601" s="45"/>
      <c r="K1601" s="45"/>
      <c r="L1601" s="45"/>
      <c r="M1601" s="44"/>
      <c r="N1601" s="44"/>
      <c r="O1601" s="44"/>
      <c r="P1601" s="44"/>
      <c r="Q1601" s="44"/>
    </row>
    <row r="1602" spans="8:17" x14ac:dyDescent="0.25">
      <c r="H1602" s="44"/>
      <c r="I1602" s="44"/>
      <c r="J1602" s="45"/>
      <c r="K1602" s="45"/>
      <c r="L1602" s="45"/>
      <c r="M1602" s="44"/>
      <c r="N1602" s="44"/>
      <c r="O1602" s="44"/>
      <c r="P1602" s="44"/>
      <c r="Q1602" s="44"/>
    </row>
    <row r="1603" spans="8:17" x14ac:dyDescent="0.25">
      <c r="H1603" s="44"/>
      <c r="I1603" s="44"/>
      <c r="J1603" s="45"/>
      <c r="K1603" s="45"/>
      <c r="L1603" s="45"/>
      <c r="M1603" s="44"/>
      <c r="N1603" s="44"/>
      <c r="O1603" s="44"/>
      <c r="P1603" s="44"/>
      <c r="Q1603" s="44"/>
    </row>
    <row r="1604" spans="8:17" x14ac:dyDescent="0.25">
      <c r="H1604" s="44"/>
      <c r="I1604" s="44"/>
      <c r="J1604" s="45"/>
      <c r="K1604" s="45"/>
      <c r="L1604" s="45"/>
      <c r="M1604" s="44"/>
      <c r="N1604" s="44"/>
      <c r="O1604" s="44"/>
      <c r="P1604" s="44"/>
      <c r="Q1604" s="44"/>
    </row>
    <row r="1605" spans="8:17" x14ac:dyDescent="0.25">
      <c r="H1605" s="44"/>
      <c r="I1605" s="44"/>
      <c r="J1605" s="45"/>
      <c r="K1605" s="45"/>
      <c r="L1605" s="45"/>
      <c r="M1605" s="44"/>
      <c r="N1605" s="44"/>
      <c r="O1605" s="44"/>
      <c r="P1605" s="44"/>
      <c r="Q1605" s="44"/>
    </row>
    <row r="1606" spans="8:17" x14ac:dyDescent="0.25">
      <c r="H1606" s="44"/>
      <c r="I1606" s="44"/>
      <c r="J1606" s="45"/>
      <c r="K1606" s="45"/>
      <c r="L1606" s="45"/>
      <c r="M1606" s="44"/>
      <c r="N1606" s="44"/>
      <c r="O1606" s="44"/>
      <c r="P1606" s="44"/>
      <c r="Q1606" s="44"/>
    </row>
    <row r="1607" spans="8:17" x14ac:dyDescent="0.25">
      <c r="H1607" s="44"/>
      <c r="I1607" s="44"/>
      <c r="J1607" s="45"/>
      <c r="K1607" s="45"/>
      <c r="L1607" s="45"/>
      <c r="M1607" s="44"/>
      <c r="N1607" s="44"/>
      <c r="O1607" s="44"/>
      <c r="P1607" s="44"/>
      <c r="Q1607" s="44"/>
    </row>
    <row r="1608" spans="8:17" x14ac:dyDescent="0.25">
      <c r="H1608" s="44"/>
      <c r="I1608" s="44"/>
      <c r="J1608" s="45"/>
      <c r="K1608" s="45"/>
      <c r="L1608" s="45"/>
      <c r="M1608" s="44"/>
      <c r="N1608" s="44"/>
      <c r="O1608" s="44"/>
      <c r="P1608" s="44"/>
      <c r="Q1608" s="44"/>
    </row>
    <row r="1609" spans="8:17" x14ac:dyDescent="0.25">
      <c r="H1609" s="44"/>
      <c r="I1609" s="44"/>
      <c r="J1609" s="45"/>
      <c r="K1609" s="45"/>
      <c r="L1609" s="45"/>
      <c r="M1609" s="44"/>
      <c r="N1609" s="44"/>
      <c r="O1609" s="44"/>
      <c r="P1609" s="44"/>
      <c r="Q1609" s="44"/>
    </row>
    <row r="1610" spans="8:17" x14ac:dyDescent="0.25">
      <c r="H1610" s="44"/>
      <c r="I1610" s="44"/>
      <c r="J1610" s="45"/>
      <c r="K1610" s="45"/>
      <c r="L1610" s="45"/>
      <c r="M1610" s="44"/>
      <c r="N1610" s="44"/>
      <c r="O1610" s="44"/>
      <c r="P1610" s="44"/>
      <c r="Q1610" s="44"/>
    </row>
    <row r="1611" spans="8:17" x14ac:dyDescent="0.25">
      <c r="H1611" s="44"/>
      <c r="I1611" s="44"/>
      <c r="J1611" s="45"/>
      <c r="K1611" s="45"/>
      <c r="L1611" s="45"/>
      <c r="M1611" s="44"/>
      <c r="N1611" s="44"/>
      <c r="O1611" s="44"/>
      <c r="P1611" s="44"/>
      <c r="Q1611" s="44"/>
    </row>
    <row r="1612" spans="8:17" x14ac:dyDescent="0.25">
      <c r="H1612" s="44"/>
      <c r="I1612" s="44"/>
      <c r="J1612" s="45"/>
      <c r="K1612" s="45"/>
      <c r="L1612" s="45"/>
      <c r="M1612" s="44"/>
      <c r="N1612" s="44"/>
      <c r="O1612" s="44"/>
      <c r="P1612" s="44"/>
      <c r="Q1612" s="44"/>
    </row>
    <row r="1613" spans="8:17" x14ac:dyDescent="0.25">
      <c r="H1613" s="44"/>
      <c r="I1613" s="44"/>
      <c r="J1613" s="45"/>
      <c r="K1613" s="45"/>
      <c r="L1613" s="45"/>
      <c r="M1613" s="44"/>
      <c r="N1613" s="44"/>
      <c r="O1613" s="44"/>
      <c r="P1613" s="44"/>
      <c r="Q1613" s="44"/>
    </row>
    <row r="1614" spans="8:17" x14ac:dyDescent="0.25">
      <c r="H1614" s="44"/>
      <c r="I1614" s="44"/>
      <c r="J1614" s="45"/>
      <c r="K1614" s="45"/>
      <c r="L1614" s="45"/>
      <c r="M1614" s="44"/>
      <c r="N1614" s="44"/>
      <c r="O1614" s="44"/>
      <c r="P1614" s="44"/>
      <c r="Q1614" s="44"/>
    </row>
    <row r="1615" spans="8:17" x14ac:dyDescent="0.25">
      <c r="H1615" s="44"/>
      <c r="I1615" s="44"/>
      <c r="J1615" s="45"/>
      <c r="K1615" s="45"/>
      <c r="L1615" s="45"/>
      <c r="M1615" s="44"/>
      <c r="N1615" s="44"/>
      <c r="O1615" s="44"/>
      <c r="P1615" s="44"/>
      <c r="Q1615" s="44"/>
    </row>
    <row r="1616" spans="8:17" x14ac:dyDescent="0.25">
      <c r="H1616" s="44"/>
      <c r="I1616" s="44"/>
      <c r="J1616" s="45"/>
      <c r="K1616" s="45"/>
      <c r="L1616" s="45"/>
      <c r="M1616" s="44"/>
      <c r="N1616" s="44"/>
      <c r="O1616" s="44"/>
      <c r="P1616" s="44"/>
      <c r="Q1616" s="44"/>
    </row>
    <row r="1617" spans="8:17" x14ac:dyDescent="0.25">
      <c r="H1617" s="44"/>
      <c r="I1617" s="44"/>
      <c r="J1617" s="45"/>
      <c r="K1617" s="45"/>
      <c r="L1617" s="45"/>
      <c r="M1617" s="44"/>
      <c r="N1617" s="44"/>
      <c r="O1617" s="44"/>
      <c r="P1617" s="44"/>
      <c r="Q1617" s="44"/>
    </row>
    <row r="1618" spans="8:17" x14ac:dyDescent="0.25">
      <c r="H1618" s="44"/>
      <c r="I1618" s="44"/>
      <c r="J1618" s="45"/>
      <c r="K1618" s="45"/>
      <c r="L1618" s="45"/>
      <c r="M1618" s="44"/>
      <c r="N1618" s="44"/>
      <c r="O1618" s="44"/>
      <c r="P1618" s="44"/>
      <c r="Q1618" s="44"/>
    </row>
    <row r="1619" spans="8:17" x14ac:dyDescent="0.25">
      <c r="H1619" s="44"/>
      <c r="I1619" s="44"/>
      <c r="J1619" s="45"/>
      <c r="K1619" s="45"/>
      <c r="L1619" s="45"/>
      <c r="M1619" s="44"/>
      <c r="N1619" s="44"/>
      <c r="O1619" s="44"/>
      <c r="P1619" s="44"/>
      <c r="Q1619" s="44"/>
    </row>
    <row r="1620" spans="8:17" x14ac:dyDescent="0.25">
      <c r="H1620" s="44"/>
      <c r="I1620" s="44"/>
      <c r="J1620" s="45"/>
      <c r="K1620" s="45"/>
      <c r="L1620" s="45"/>
      <c r="M1620" s="44"/>
      <c r="N1620" s="44"/>
      <c r="O1620" s="44"/>
      <c r="P1620" s="44"/>
      <c r="Q1620" s="44"/>
    </row>
    <row r="1621" spans="8:17" x14ac:dyDescent="0.25">
      <c r="H1621" s="44"/>
      <c r="I1621" s="44"/>
      <c r="J1621" s="45"/>
      <c r="K1621" s="45"/>
      <c r="L1621" s="45"/>
      <c r="M1621" s="44"/>
      <c r="N1621" s="44"/>
      <c r="O1621" s="44"/>
      <c r="P1621" s="44"/>
      <c r="Q1621" s="44"/>
    </row>
    <row r="1622" spans="8:17" x14ac:dyDescent="0.25">
      <c r="H1622" s="44"/>
      <c r="I1622" s="44"/>
      <c r="J1622" s="45"/>
      <c r="K1622" s="45"/>
      <c r="L1622" s="45"/>
      <c r="M1622" s="44"/>
      <c r="N1622" s="44"/>
      <c r="O1622" s="44"/>
      <c r="P1622" s="44"/>
      <c r="Q1622" s="44"/>
    </row>
    <row r="1623" spans="8:17" x14ac:dyDescent="0.25">
      <c r="H1623" s="44"/>
      <c r="I1623" s="44"/>
      <c r="J1623" s="45"/>
      <c r="K1623" s="45"/>
      <c r="L1623" s="45"/>
      <c r="M1623" s="44"/>
      <c r="N1623" s="44"/>
      <c r="O1623" s="44"/>
      <c r="P1623" s="44"/>
      <c r="Q1623" s="44"/>
    </row>
    <row r="1624" spans="8:17" x14ac:dyDescent="0.25">
      <c r="H1624" s="44"/>
      <c r="I1624" s="44"/>
      <c r="J1624" s="45"/>
      <c r="K1624" s="45"/>
      <c r="L1624" s="45"/>
      <c r="M1624" s="44"/>
      <c r="N1624" s="44"/>
      <c r="O1624" s="44"/>
      <c r="P1624" s="44"/>
      <c r="Q1624" s="44"/>
    </row>
    <row r="1625" spans="8:17" x14ac:dyDescent="0.25">
      <c r="H1625" s="44"/>
      <c r="I1625" s="44"/>
      <c r="J1625" s="45"/>
      <c r="K1625" s="45"/>
      <c r="L1625" s="45"/>
      <c r="M1625" s="44"/>
      <c r="N1625" s="44"/>
      <c r="O1625" s="44"/>
      <c r="P1625" s="44"/>
      <c r="Q1625" s="44"/>
    </row>
    <row r="1626" spans="8:17" x14ac:dyDescent="0.25">
      <c r="H1626" s="44"/>
      <c r="I1626" s="44"/>
      <c r="J1626" s="45"/>
      <c r="K1626" s="45"/>
      <c r="L1626" s="45"/>
      <c r="M1626" s="44"/>
      <c r="N1626" s="44"/>
      <c r="O1626" s="44"/>
      <c r="P1626" s="44"/>
      <c r="Q1626" s="44"/>
    </row>
    <row r="1627" spans="8:17" x14ac:dyDescent="0.25">
      <c r="H1627" s="44"/>
      <c r="I1627" s="44"/>
      <c r="J1627" s="45"/>
      <c r="K1627" s="45"/>
      <c r="L1627" s="45"/>
      <c r="M1627" s="44"/>
      <c r="N1627" s="44"/>
      <c r="O1627" s="44"/>
      <c r="P1627" s="44"/>
      <c r="Q1627" s="44"/>
    </row>
    <row r="1628" spans="8:17" x14ac:dyDescent="0.25">
      <c r="H1628" s="44"/>
      <c r="I1628" s="44"/>
      <c r="J1628" s="45"/>
      <c r="K1628" s="45"/>
      <c r="L1628" s="45"/>
      <c r="M1628" s="44"/>
      <c r="N1628" s="44"/>
      <c r="O1628" s="44"/>
      <c r="P1628" s="44"/>
      <c r="Q1628" s="44"/>
    </row>
    <row r="1629" spans="8:17" x14ac:dyDescent="0.25">
      <c r="H1629" s="44"/>
      <c r="I1629" s="44"/>
      <c r="J1629" s="45"/>
      <c r="K1629" s="45"/>
      <c r="L1629" s="45"/>
      <c r="M1629" s="44"/>
      <c r="N1629" s="44"/>
      <c r="O1629" s="44"/>
      <c r="P1629" s="44"/>
      <c r="Q1629" s="44"/>
    </row>
    <row r="1630" spans="8:17" x14ac:dyDescent="0.25">
      <c r="H1630" s="44"/>
      <c r="I1630" s="44"/>
      <c r="J1630" s="45"/>
      <c r="K1630" s="45"/>
      <c r="L1630" s="45"/>
      <c r="M1630" s="44"/>
      <c r="N1630" s="44"/>
      <c r="O1630" s="44"/>
      <c r="P1630" s="44"/>
      <c r="Q1630" s="44"/>
    </row>
    <row r="1631" spans="8:17" x14ac:dyDescent="0.25">
      <c r="H1631" s="44"/>
      <c r="I1631" s="44"/>
      <c r="J1631" s="45"/>
      <c r="K1631" s="45"/>
      <c r="L1631" s="45"/>
      <c r="M1631" s="44"/>
      <c r="N1631" s="44"/>
      <c r="O1631" s="44"/>
      <c r="P1631" s="44"/>
      <c r="Q1631" s="44"/>
    </row>
    <row r="1632" spans="8:17" x14ac:dyDescent="0.25">
      <c r="H1632" s="44"/>
      <c r="I1632" s="44"/>
      <c r="J1632" s="45"/>
      <c r="K1632" s="45"/>
      <c r="L1632" s="45"/>
      <c r="M1632" s="44"/>
      <c r="N1632" s="44"/>
      <c r="O1632" s="44"/>
      <c r="P1632" s="44"/>
      <c r="Q1632" s="44"/>
    </row>
    <row r="1633" spans="8:17" x14ac:dyDescent="0.25">
      <c r="H1633" s="44"/>
      <c r="I1633" s="44"/>
      <c r="J1633" s="45"/>
      <c r="K1633" s="45"/>
      <c r="L1633" s="45"/>
      <c r="M1633" s="44"/>
      <c r="N1633" s="44"/>
      <c r="O1633" s="44"/>
      <c r="P1633" s="44"/>
      <c r="Q1633" s="44"/>
    </row>
    <row r="1634" spans="8:17" x14ac:dyDescent="0.25">
      <c r="H1634" s="44"/>
      <c r="I1634" s="44"/>
      <c r="J1634" s="45"/>
      <c r="K1634" s="45"/>
      <c r="L1634" s="45"/>
      <c r="M1634" s="44"/>
      <c r="N1634" s="44"/>
      <c r="O1634" s="44"/>
      <c r="P1634" s="44"/>
      <c r="Q1634" s="44"/>
    </row>
    <row r="1635" spans="8:17" x14ac:dyDescent="0.25">
      <c r="H1635" s="44"/>
      <c r="I1635" s="44"/>
      <c r="J1635" s="45"/>
      <c r="K1635" s="45"/>
      <c r="L1635" s="45"/>
      <c r="M1635" s="44"/>
      <c r="N1635" s="44"/>
      <c r="O1635" s="44"/>
      <c r="P1635" s="44"/>
      <c r="Q1635" s="44"/>
    </row>
    <row r="1636" spans="8:17" x14ac:dyDescent="0.25">
      <c r="H1636" s="44"/>
      <c r="I1636" s="44"/>
      <c r="J1636" s="45"/>
      <c r="K1636" s="45"/>
      <c r="L1636" s="45"/>
      <c r="M1636" s="44"/>
      <c r="N1636" s="44"/>
      <c r="O1636" s="44"/>
      <c r="P1636" s="44"/>
      <c r="Q1636" s="44"/>
    </row>
    <row r="1637" spans="8:17" x14ac:dyDescent="0.25">
      <c r="H1637" s="44"/>
      <c r="I1637" s="44"/>
      <c r="J1637" s="45"/>
      <c r="K1637" s="45"/>
      <c r="L1637" s="45"/>
      <c r="M1637" s="44"/>
      <c r="N1637" s="44"/>
      <c r="O1637" s="44"/>
      <c r="P1637" s="44"/>
      <c r="Q1637" s="44"/>
    </row>
    <row r="1638" spans="8:17" x14ac:dyDescent="0.25">
      <c r="H1638" s="44"/>
      <c r="I1638" s="44"/>
      <c r="J1638" s="45"/>
      <c r="K1638" s="45"/>
      <c r="L1638" s="45"/>
      <c r="M1638" s="44"/>
      <c r="N1638" s="44"/>
      <c r="O1638" s="44"/>
      <c r="P1638" s="44"/>
      <c r="Q1638" s="44"/>
    </row>
    <row r="1639" spans="8:17" x14ac:dyDescent="0.25">
      <c r="H1639" s="44"/>
      <c r="I1639" s="44"/>
      <c r="J1639" s="45"/>
      <c r="K1639" s="45"/>
      <c r="L1639" s="45"/>
      <c r="M1639" s="44"/>
      <c r="N1639" s="44"/>
      <c r="O1639" s="44"/>
      <c r="P1639" s="44"/>
      <c r="Q1639" s="44"/>
    </row>
    <row r="1640" spans="8:17" x14ac:dyDescent="0.25">
      <c r="H1640" s="44"/>
      <c r="I1640" s="44"/>
      <c r="J1640" s="45"/>
      <c r="K1640" s="45"/>
      <c r="L1640" s="45"/>
      <c r="M1640" s="44"/>
      <c r="N1640" s="44"/>
      <c r="O1640" s="44"/>
      <c r="P1640" s="44"/>
      <c r="Q1640" s="44"/>
    </row>
    <row r="1641" spans="8:17" x14ac:dyDescent="0.25">
      <c r="H1641" s="44"/>
      <c r="I1641" s="44"/>
      <c r="J1641" s="45"/>
      <c r="K1641" s="45"/>
      <c r="L1641" s="45"/>
      <c r="M1641" s="44"/>
      <c r="N1641" s="44"/>
      <c r="O1641" s="44"/>
      <c r="P1641" s="44"/>
      <c r="Q1641" s="44"/>
    </row>
    <row r="1642" spans="8:17" x14ac:dyDescent="0.25">
      <c r="H1642" s="44"/>
      <c r="I1642" s="44"/>
      <c r="J1642" s="45"/>
      <c r="K1642" s="45"/>
      <c r="L1642" s="45"/>
      <c r="M1642" s="44"/>
      <c r="N1642" s="44"/>
      <c r="O1642" s="44"/>
      <c r="P1642" s="44"/>
      <c r="Q1642" s="44"/>
    </row>
    <row r="1643" spans="8:17" x14ac:dyDescent="0.25">
      <c r="H1643" s="44"/>
      <c r="I1643" s="44"/>
      <c r="J1643" s="45"/>
      <c r="K1643" s="45"/>
      <c r="L1643" s="45"/>
      <c r="M1643" s="44"/>
      <c r="N1643" s="44"/>
      <c r="O1643" s="44"/>
      <c r="P1643" s="44"/>
      <c r="Q1643" s="44"/>
    </row>
    <row r="1644" spans="8:17" x14ac:dyDescent="0.25">
      <c r="H1644" s="44"/>
      <c r="I1644" s="44"/>
      <c r="J1644" s="45"/>
      <c r="K1644" s="45"/>
      <c r="L1644" s="45"/>
      <c r="M1644" s="44"/>
      <c r="N1644" s="44"/>
      <c r="O1644" s="44"/>
      <c r="P1644" s="44"/>
      <c r="Q1644" s="44"/>
    </row>
    <row r="1645" spans="8:17" x14ac:dyDescent="0.25">
      <c r="H1645" s="44"/>
      <c r="I1645" s="44"/>
      <c r="J1645" s="45"/>
      <c r="K1645" s="45"/>
      <c r="L1645" s="45"/>
      <c r="M1645" s="44"/>
      <c r="N1645" s="44"/>
      <c r="O1645" s="44"/>
      <c r="P1645" s="44"/>
      <c r="Q1645" s="44"/>
    </row>
    <row r="1646" spans="8:17" x14ac:dyDescent="0.25">
      <c r="H1646" s="44"/>
      <c r="I1646" s="44"/>
      <c r="J1646" s="45"/>
      <c r="K1646" s="45"/>
      <c r="L1646" s="45"/>
      <c r="M1646" s="44"/>
      <c r="N1646" s="44"/>
      <c r="O1646" s="44"/>
      <c r="P1646" s="44"/>
      <c r="Q1646" s="44"/>
    </row>
    <row r="1647" spans="8:17" x14ac:dyDescent="0.25">
      <c r="H1647" s="44"/>
      <c r="I1647" s="44"/>
      <c r="J1647" s="45"/>
      <c r="K1647" s="45"/>
      <c r="L1647" s="45"/>
      <c r="M1647" s="44"/>
      <c r="N1647" s="44"/>
      <c r="O1647" s="44"/>
      <c r="P1647" s="44"/>
      <c r="Q1647" s="44"/>
    </row>
    <row r="1648" spans="8:17" x14ac:dyDescent="0.25">
      <c r="H1648" s="44"/>
      <c r="I1648" s="44"/>
      <c r="J1648" s="45"/>
      <c r="K1648" s="45"/>
      <c r="L1648" s="45"/>
      <c r="M1648" s="44"/>
      <c r="N1648" s="44"/>
      <c r="O1648" s="44"/>
      <c r="P1648" s="44"/>
      <c r="Q1648" s="44"/>
    </row>
    <row r="1649" spans="8:17" x14ac:dyDescent="0.25">
      <c r="H1649" s="44"/>
      <c r="I1649" s="44"/>
      <c r="J1649" s="45"/>
      <c r="K1649" s="45"/>
      <c r="L1649" s="45"/>
      <c r="M1649" s="44"/>
      <c r="N1649" s="44"/>
      <c r="O1649" s="44"/>
      <c r="P1649" s="44"/>
      <c r="Q1649" s="44"/>
    </row>
    <row r="1650" spans="8:17" x14ac:dyDescent="0.25">
      <c r="H1650" s="44"/>
      <c r="I1650" s="44"/>
      <c r="J1650" s="45"/>
      <c r="K1650" s="45"/>
      <c r="L1650" s="45"/>
      <c r="M1650" s="44"/>
      <c r="N1650" s="44"/>
      <c r="O1650" s="44"/>
      <c r="P1650" s="44"/>
      <c r="Q1650" s="44"/>
    </row>
    <row r="1651" spans="8:17" x14ac:dyDescent="0.25">
      <c r="H1651" s="44"/>
      <c r="I1651" s="44"/>
      <c r="J1651" s="45"/>
      <c r="K1651" s="45"/>
      <c r="L1651" s="45"/>
      <c r="M1651" s="44"/>
      <c r="N1651" s="44"/>
      <c r="O1651" s="44"/>
      <c r="P1651" s="44"/>
      <c r="Q1651" s="44"/>
    </row>
    <row r="1652" spans="8:17" x14ac:dyDescent="0.25">
      <c r="H1652" s="44"/>
      <c r="I1652" s="44"/>
      <c r="J1652" s="45"/>
      <c r="K1652" s="45"/>
      <c r="L1652" s="45"/>
      <c r="M1652" s="44"/>
      <c r="N1652" s="44"/>
      <c r="O1652" s="44"/>
      <c r="P1652" s="44"/>
      <c r="Q1652" s="44"/>
    </row>
    <row r="1653" spans="8:17" x14ac:dyDescent="0.25">
      <c r="H1653" s="44"/>
      <c r="I1653" s="44"/>
      <c r="J1653" s="45"/>
      <c r="K1653" s="45"/>
      <c r="L1653" s="45"/>
      <c r="M1653" s="44"/>
      <c r="N1653" s="44"/>
      <c r="O1653" s="44"/>
      <c r="P1653" s="44"/>
      <c r="Q1653" s="44"/>
    </row>
    <row r="1654" spans="8:17" x14ac:dyDescent="0.25">
      <c r="H1654" s="44"/>
      <c r="I1654" s="44"/>
      <c r="J1654" s="45"/>
      <c r="K1654" s="45"/>
      <c r="L1654" s="45"/>
      <c r="M1654" s="44"/>
      <c r="N1654" s="44"/>
      <c r="O1654" s="44"/>
      <c r="P1654" s="44"/>
      <c r="Q1654" s="44"/>
    </row>
    <row r="1655" spans="8:17" x14ac:dyDescent="0.25">
      <c r="H1655" s="44"/>
      <c r="I1655" s="44"/>
      <c r="J1655" s="45"/>
      <c r="K1655" s="45"/>
      <c r="L1655" s="45"/>
      <c r="M1655" s="44"/>
      <c r="N1655" s="44"/>
      <c r="O1655" s="44"/>
      <c r="P1655" s="44"/>
      <c r="Q1655" s="44"/>
    </row>
    <row r="1656" spans="8:17" x14ac:dyDescent="0.25">
      <c r="H1656" s="44"/>
      <c r="I1656" s="44"/>
      <c r="J1656" s="45"/>
      <c r="K1656" s="45"/>
      <c r="L1656" s="45"/>
      <c r="M1656" s="44"/>
      <c r="N1656" s="44"/>
      <c r="O1656" s="44"/>
      <c r="P1656" s="44"/>
      <c r="Q1656" s="44"/>
    </row>
    <row r="1657" spans="8:17" x14ac:dyDescent="0.25">
      <c r="H1657" s="44"/>
      <c r="I1657" s="44"/>
      <c r="J1657" s="45"/>
      <c r="K1657" s="45"/>
      <c r="L1657" s="45"/>
      <c r="M1657" s="44"/>
      <c r="N1657" s="44"/>
      <c r="O1657" s="44"/>
      <c r="P1657" s="44"/>
      <c r="Q1657" s="44"/>
    </row>
    <row r="1658" spans="8:17" x14ac:dyDescent="0.25">
      <c r="H1658" s="44"/>
      <c r="I1658" s="44"/>
      <c r="J1658" s="45"/>
      <c r="K1658" s="45"/>
      <c r="L1658" s="45"/>
      <c r="M1658" s="44"/>
      <c r="N1658" s="44"/>
      <c r="O1658" s="44"/>
      <c r="P1658" s="44"/>
      <c r="Q1658" s="44"/>
    </row>
    <row r="1659" spans="8:17" x14ac:dyDescent="0.25">
      <c r="H1659" s="44"/>
      <c r="I1659" s="44"/>
      <c r="J1659" s="45"/>
      <c r="K1659" s="45"/>
      <c r="L1659" s="45"/>
      <c r="M1659" s="44"/>
      <c r="N1659" s="44"/>
      <c r="O1659" s="44"/>
      <c r="P1659" s="44"/>
      <c r="Q1659" s="44"/>
    </row>
    <row r="1660" spans="8:17" x14ac:dyDescent="0.25">
      <c r="H1660" s="44"/>
      <c r="I1660" s="44"/>
      <c r="J1660" s="45"/>
      <c r="K1660" s="45"/>
      <c r="L1660" s="45"/>
      <c r="M1660" s="44"/>
      <c r="N1660" s="44"/>
      <c r="O1660" s="44"/>
      <c r="P1660" s="44"/>
      <c r="Q1660" s="44"/>
    </row>
    <row r="1661" spans="8:17" x14ac:dyDescent="0.25">
      <c r="H1661" s="44"/>
      <c r="I1661" s="44"/>
      <c r="J1661" s="45"/>
      <c r="K1661" s="45"/>
      <c r="L1661" s="45"/>
      <c r="M1661" s="44"/>
      <c r="N1661" s="44"/>
      <c r="O1661" s="44"/>
      <c r="P1661" s="44"/>
      <c r="Q1661" s="44"/>
    </row>
    <row r="1662" spans="8:17" x14ac:dyDescent="0.25">
      <c r="H1662" s="44"/>
      <c r="I1662" s="44"/>
      <c r="J1662" s="45"/>
      <c r="K1662" s="45"/>
      <c r="L1662" s="45"/>
      <c r="M1662" s="44"/>
      <c r="N1662" s="44"/>
      <c r="O1662" s="44"/>
      <c r="P1662" s="44"/>
      <c r="Q1662" s="44"/>
    </row>
    <row r="1663" spans="8:17" x14ac:dyDescent="0.25">
      <c r="H1663" s="44"/>
      <c r="I1663" s="44"/>
      <c r="J1663" s="45"/>
      <c r="K1663" s="45"/>
      <c r="L1663" s="45"/>
      <c r="M1663" s="44"/>
      <c r="N1663" s="44"/>
      <c r="O1663" s="44"/>
      <c r="P1663" s="44"/>
      <c r="Q1663" s="44"/>
    </row>
    <row r="1664" spans="8:17" x14ac:dyDescent="0.25">
      <c r="H1664" s="44"/>
      <c r="I1664" s="44"/>
      <c r="J1664" s="45"/>
      <c r="K1664" s="45"/>
      <c r="L1664" s="45"/>
      <c r="M1664" s="44"/>
      <c r="N1664" s="44"/>
      <c r="O1664" s="44"/>
      <c r="P1664" s="44"/>
      <c r="Q1664" s="44"/>
    </row>
    <row r="1665" spans="8:17" x14ac:dyDescent="0.25">
      <c r="H1665" s="44"/>
      <c r="I1665" s="44"/>
      <c r="J1665" s="45"/>
      <c r="K1665" s="45"/>
      <c r="L1665" s="45"/>
      <c r="M1665" s="44"/>
      <c r="N1665" s="44"/>
      <c r="O1665" s="44"/>
      <c r="P1665" s="44"/>
      <c r="Q1665" s="44"/>
    </row>
    <row r="1666" spans="8:17" x14ac:dyDescent="0.25">
      <c r="H1666" s="44"/>
      <c r="I1666" s="44"/>
      <c r="J1666" s="45"/>
      <c r="K1666" s="45"/>
      <c r="L1666" s="45"/>
      <c r="M1666" s="44"/>
      <c r="N1666" s="44"/>
      <c r="O1666" s="44"/>
      <c r="P1666" s="44"/>
      <c r="Q1666" s="44"/>
    </row>
    <row r="1667" spans="8:17" x14ac:dyDescent="0.25">
      <c r="H1667" s="44"/>
      <c r="I1667" s="44"/>
      <c r="J1667" s="45"/>
      <c r="K1667" s="45"/>
      <c r="L1667" s="45"/>
      <c r="M1667" s="44"/>
      <c r="N1667" s="44"/>
      <c r="O1667" s="44"/>
      <c r="P1667" s="44"/>
      <c r="Q1667" s="44"/>
    </row>
    <row r="1668" spans="8:17" x14ac:dyDescent="0.25">
      <c r="H1668" s="44"/>
      <c r="I1668" s="44"/>
      <c r="J1668" s="45"/>
      <c r="K1668" s="45"/>
      <c r="L1668" s="45"/>
      <c r="M1668" s="44"/>
      <c r="N1668" s="44"/>
      <c r="O1668" s="44"/>
      <c r="P1668" s="44"/>
      <c r="Q1668" s="44"/>
    </row>
    <row r="1669" spans="8:17" x14ac:dyDescent="0.25">
      <c r="H1669" s="44"/>
      <c r="I1669" s="44"/>
      <c r="J1669" s="45"/>
      <c r="K1669" s="45"/>
      <c r="L1669" s="45"/>
      <c r="M1669" s="44"/>
      <c r="N1669" s="44"/>
      <c r="O1669" s="44"/>
      <c r="P1669" s="44"/>
      <c r="Q1669" s="44"/>
    </row>
    <row r="1670" spans="8:17" x14ac:dyDescent="0.25">
      <c r="H1670" s="44"/>
      <c r="I1670" s="44"/>
      <c r="J1670" s="45"/>
      <c r="K1670" s="45"/>
      <c r="L1670" s="45"/>
      <c r="M1670" s="44"/>
      <c r="N1670" s="44"/>
      <c r="O1670" s="44"/>
      <c r="P1670" s="44"/>
      <c r="Q1670" s="44"/>
    </row>
    <row r="1671" spans="8:17" x14ac:dyDescent="0.25">
      <c r="H1671" s="44"/>
      <c r="I1671" s="44"/>
      <c r="J1671" s="45"/>
      <c r="K1671" s="45"/>
      <c r="L1671" s="45"/>
      <c r="M1671" s="44"/>
      <c r="N1671" s="44"/>
      <c r="O1671" s="44"/>
      <c r="P1671" s="44"/>
      <c r="Q1671" s="44"/>
    </row>
    <row r="1672" spans="8:17" x14ac:dyDescent="0.25">
      <c r="H1672" s="44"/>
      <c r="I1672" s="44"/>
      <c r="J1672" s="45"/>
      <c r="K1672" s="45"/>
      <c r="L1672" s="45"/>
      <c r="M1672" s="44"/>
      <c r="N1672" s="44"/>
      <c r="O1672" s="44"/>
      <c r="P1672" s="44"/>
      <c r="Q1672" s="44"/>
    </row>
    <row r="1673" spans="8:17" x14ac:dyDescent="0.25">
      <c r="H1673" s="44"/>
      <c r="I1673" s="44"/>
      <c r="J1673" s="45"/>
      <c r="K1673" s="45"/>
      <c r="L1673" s="45"/>
      <c r="M1673" s="44"/>
      <c r="N1673" s="44"/>
      <c r="O1673" s="44"/>
      <c r="P1673" s="44"/>
      <c r="Q1673" s="44"/>
    </row>
    <row r="1674" spans="8:17" x14ac:dyDescent="0.25">
      <c r="H1674" s="44"/>
      <c r="I1674" s="44"/>
      <c r="J1674" s="45"/>
      <c r="K1674" s="45"/>
      <c r="L1674" s="45"/>
      <c r="M1674" s="44"/>
      <c r="N1674" s="44"/>
      <c r="O1674" s="44"/>
      <c r="P1674" s="44"/>
      <c r="Q1674" s="44"/>
    </row>
    <row r="1675" spans="8:17" x14ac:dyDescent="0.25">
      <c r="H1675" s="44"/>
      <c r="I1675" s="44"/>
      <c r="J1675" s="45"/>
      <c r="K1675" s="45"/>
      <c r="L1675" s="45"/>
      <c r="M1675" s="44"/>
      <c r="N1675" s="44"/>
      <c r="O1675" s="44"/>
      <c r="P1675" s="44"/>
      <c r="Q1675" s="44"/>
    </row>
    <row r="1676" spans="8:17" x14ac:dyDescent="0.25">
      <c r="H1676" s="44"/>
      <c r="I1676" s="44"/>
      <c r="J1676" s="45"/>
      <c r="K1676" s="45"/>
      <c r="L1676" s="45"/>
      <c r="M1676" s="44"/>
      <c r="N1676" s="44"/>
      <c r="O1676" s="44"/>
      <c r="P1676" s="44"/>
      <c r="Q1676" s="44"/>
    </row>
    <row r="1677" spans="8:17" x14ac:dyDescent="0.25">
      <c r="H1677" s="44"/>
      <c r="I1677" s="44"/>
      <c r="J1677" s="45"/>
      <c r="K1677" s="45"/>
      <c r="L1677" s="45"/>
      <c r="M1677" s="44"/>
      <c r="N1677" s="44"/>
      <c r="O1677" s="44"/>
      <c r="P1677" s="44"/>
      <c r="Q1677" s="44"/>
    </row>
    <row r="1678" spans="8:17" x14ac:dyDescent="0.25">
      <c r="H1678" s="44"/>
      <c r="I1678" s="44"/>
      <c r="J1678" s="45"/>
      <c r="K1678" s="45"/>
      <c r="L1678" s="45"/>
      <c r="M1678" s="44"/>
      <c r="N1678" s="44"/>
      <c r="O1678" s="44"/>
      <c r="P1678" s="44"/>
      <c r="Q1678" s="44"/>
    </row>
    <row r="1679" spans="8:17" x14ac:dyDescent="0.25">
      <c r="H1679" s="44"/>
      <c r="I1679" s="44"/>
      <c r="J1679" s="45"/>
      <c r="K1679" s="45"/>
      <c r="L1679" s="45"/>
      <c r="M1679" s="44"/>
      <c r="N1679" s="44"/>
      <c r="O1679" s="44"/>
      <c r="P1679" s="44"/>
      <c r="Q1679" s="44"/>
    </row>
    <row r="1680" spans="8:17" x14ac:dyDescent="0.25">
      <c r="H1680" s="44"/>
      <c r="I1680" s="44"/>
      <c r="J1680" s="45"/>
      <c r="K1680" s="45"/>
      <c r="L1680" s="45"/>
      <c r="M1680" s="44"/>
      <c r="N1680" s="44"/>
      <c r="O1680" s="44"/>
      <c r="P1680" s="44"/>
      <c r="Q1680" s="44"/>
    </row>
    <row r="1681" spans="8:17" x14ac:dyDescent="0.25">
      <c r="H1681" s="44"/>
      <c r="I1681" s="44"/>
      <c r="J1681" s="45"/>
      <c r="K1681" s="45"/>
      <c r="L1681" s="45"/>
      <c r="M1681" s="44"/>
      <c r="N1681" s="44"/>
      <c r="O1681" s="44"/>
      <c r="P1681" s="44"/>
      <c r="Q1681" s="44"/>
    </row>
    <row r="1682" spans="8:17" x14ac:dyDescent="0.25">
      <c r="H1682" s="44"/>
      <c r="I1682" s="44"/>
      <c r="J1682" s="45"/>
      <c r="K1682" s="45"/>
      <c r="L1682" s="45"/>
      <c r="M1682" s="44"/>
      <c r="N1682" s="44"/>
      <c r="O1682" s="44"/>
      <c r="P1682" s="44"/>
      <c r="Q1682" s="44"/>
    </row>
    <row r="1683" spans="8:17" x14ac:dyDescent="0.25">
      <c r="H1683" s="44"/>
      <c r="I1683" s="44"/>
      <c r="J1683" s="45"/>
      <c r="K1683" s="45"/>
      <c r="L1683" s="45"/>
      <c r="M1683" s="44"/>
      <c r="N1683" s="44"/>
      <c r="O1683" s="44"/>
      <c r="P1683" s="44"/>
      <c r="Q1683" s="44"/>
    </row>
    <row r="1684" spans="8:17" x14ac:dyDescent="0.25">
      <c r="H1684" s="44"/>
      <c r="I1684" s="44"/>
      <c r="J1684" s="45"/>
      <c r="K1684" s="45"/>
      <c r="L1684" s="45"/>
      <c r="M1684" s="44"/>
      <c r="N1684" s="44"/>
      <c r="O1684" s="44"/>
      <c r="P1684" s="44"/>
      <c r="Q1684" s="44"/>
    </row>
    <row r="1685" spans="8:17" x14ac:dyDescent="0.25">
      <c r="H1685" s="44"/>
      <c r="I1685" s="44"/>
      <c r="J1685" s="45"/>
      <c r="K1685" s="45"/>
      <c r="L1685" s="45"/>
      <c r="M1685" s="44"/>
      <c r="N1685" s="44"/>
      <c r="O1685" s="44"/>
      <c r="P1685" s="44"/>
      <c r="Q1685" s="44"/>
    </row>
    <row r="1686" spans="8:17" x14ac:dyDescent="0.25">
      <c r="H1686" s="44"/>
      <c r="I1686" s="44"/>
      <c r="J1686" s="45"/>
      <c r="K1686" s="45"/>
      <c r="L1686" s="45"/>
      <c r="M1686" s="44"/>
      <c r="N1686" s="44"/>
      <c r="O1686" s="44"/>
      <c r="P1686" s="44"/>
      <c r="Q1686" s="44"/>
    </row>
    <row r="1687" spans="8:17" x14ac:dyDescent="0.25">
      <c r="H1687" s="44"/>
      <c r="I1687" s="44"/>
      <c r="J1687" s="45"/>
      <c r="K1687" s="45"/>
      <c r="L1687" s="45"/>
      <c r="M1687" s="44"/>
      <c r="N1687" s="44"/>
      <c r="O1687" s="44"/>
      <c r="P1687" s="44"/>
      <c r="Q1687" s="44"/>
    </row>
    <row r="1688" spans="8:17" x14ac:dyDescent="0.25">
      <c r="H1688" s="44"/>
      <c r="I1688" s="44"/>
      <c r="J1688" s="45"/>
      <c r="K1688" s="45"/>
      <c r="L1688" s="45"/>
      <c r="M1688" s="44"/>
      <c r="N1688" s="44"/>
      <c r="O1688" s="44"/>
      <c r="P1688" s="44"/>
      <c r="Q1688" s="44"/>
    </row>
    <row r="1689" spans="8:17" x14ac:dyDescent="0.25">
      <c r="H1689" s="44"/>
      <c r="I1689" s="44"/>
      <c r="J1689" s="45"/>
      <c r="K1689" s="45"/>
      <c r="L1689" s="45"/>
      <c r="M1689" s="44"/>
      <c r="N1689" s="44"/>
      <c r="O1689" s="44"/>
      <c r="P1689" s="44"/>
      <c r="Q1689" s="44"/>
    </row>
    <row r="1690" spans="8:17" x14ac:dyDescent="0.25">
      <c r="H1690" s="44"/>
      <c r="I1690" s="44"/>
      <c r="J1690" s="45"/>
      <c r="K1690" s="45"/>
      <c r="L1690" s="45"/>
      <c r="M1690" s="44"/>
      <c r="N1690" s="44"/>
      <c r="O1690" s="44"/>
      <c r="P1690" s="44"/>
      <c r="Q1690" s="44"/>
    </row>
    <row r="1691" spans="8:17" x14ac:dyDescent="0.25">
      <c r="H1691" s="44"/>
      <c r="I1691" s="44"/>
      <c r="J1691" s="45"/>
      <c r="K1691" s="45"/>
      <c r="L1691" s="45"/>
      <c r="M1691" s="44"/>
      <c r="N1691" s="44"/>
      <c r="O1691" s="44"/>
      <c r="P1691" s="44"/>
      <c r="Q1691" s="44"/>
    </row>
    <row r="1692" spans="8:17" x14ac:dyDescent="0.25">
      <c r="H1692" s="44"/>
      <c r="I1692" s="44"/>
      <c r="J1692" s="45"/>
      <c r="K1692" s="45"/>
      <c r="L1692" s="45"/>
      <c r="M1692" s="44"/>
      <c r="N1692" s="44"/>
      <c r="O1692" s="44"/>
      <c r="P1692" s="44"/>
      <c r="Q1692" s="44"/>
    </row>
    <row r="1693" spans="8:17" x14ac:dyDescent="0.25">
      <c r="H1693" s="44"/>
      <c r="I1693" s="44"/>
      <c r="J1693" s="45"/>
      <c r="K1693" s="45"/>
      <c r="L1693" s="45"/>
      <c r="M1693" s="44"/>
      <c r="N1693" s="44"/>
      <c r="O1693" s="44"/>
      <c r="P1693" s="44"/>
      <c r="Q1693" s="44"/>
    </row>
    <row r="1694" spans="8:17" x14ac:dyDescent="0.25">
      <c r="H1694" s="44"/>
      <c r="I1694" s="44"/>
      <c r="J1694" s="45"/>
      <c r="K1694" s="45"/>
      <c r="L1694" s="45"/>
      <c r="M1694" s="44"/>
      <c r="N1694" s="44"/>
      <c r="O1694" s="44"/>
      <c r="P1694" s="44"/>
      <c r="Q1694" s="44"/>
    </row>
    <row r="1695" spans="8:17" x14ac:dyDescent="0.25">
      <c r="H1695" s="44"/>
      <c r="I1695" s="44"/>
      <c r="J1695" s="45"/>
      <c r="K1695" s="45"/>
      <c r="L1695" s="45"/>
      <c r="M1695" s="44"/>
      <c r="N1695" s="44"/>
      <c r="O1695" s="44"/>
      <c r="P1695" s="44"/>
      <c r="Q1695" s="44"/>
    </row>
    <row r="1696" spans="8:17" x14ac:dyDescent="0.25">
      <c r="H1696" s="44"/>
      <c r="I1696" s="44"/>
      <c r="J1696" s="45"/>
      <c r="K1696" s="45"/>
      <c r="L1696" s="45"/>
      <c r="M1696" s="44"/>
      <c r="N1696" s="44"/>
      <c r="O1696" s="44"/>
      <c r="P1696" s="44"/>
      <c r="Q1696" s="44"/>
    </row>
    <row r="1697" spans="8:17" x14ac:dyDescent="0.25">
      <c r="H1697" s="44"/>
      <c r="I1697" s="44"/>
      <c r="J1697" s="45"/>
      <c r="K1697" s="45"/>
      <c r="L1697" s="45"/>
      <c r="M1697" s="44"/>
      <c r="N1697" s="44"/>
      <c r="O1697" s="44"/>
      <c r="P1697" s="44"/>
      <c r="Q1697" s="44"/>
    </row>
    <row r="1698" spans="8:17" x14ac:dyDescent="0.25">
      <c r="H1698" s="44"/>
      <c r="I1698" s="44"/>
      <c r="J1698" s="45"/>
      <c r="K1698" s="45"/>
      <c r="L1698" s="45"/>
      <c r="M1698" s="44"/>
      <c r="N1698" s="44"/>
      <c r="O1698" s="44"/>
      <c r="P1698" s="44"/>
      <c r="Q1698" s="44"/>
    </row>
    <row r="1699" spans="8:17" x14ac:dyDescent="0.25">
      <c r="H1699" s="44"/>
      <c r="I1699" s="44"/>
      <c r="J1699" s="45"/>
      <c r="K1699" s="45"/>
      <c r="L1699" s="45"/>
      <c r="M1699" s="44"/>
      <c r="N1699" s="44"/>
      <c r="O1699" s="44"/>
      <c r="P1699" s="44"/>
      <c r="Q1699" s="44"/>
    </row>
    <row r="1700" spans="8:17" x14ac:dyDescent="0.25">
      <c r="H1700" s="44"/>
      <c r="I1700" s="44"/>
      <c r="J1700" s="45"/>
      <c r="K1700" s="45"/>
      <c r="L1700" s="45"/>
      <c r="M1700" s="44"/>
      <c r="N1700" s="44"/>
      <c r="O1700" s="44"/>
      <c r="P1700" s="44"/>
      <c r="Q1700" s="44"/>
    </row>
    <row r="1701" spans="8:17" x14ac:dyDescent="0.25">
      <c r="H1701" s="44"/>
      <c r="I1701" s="44"/>
      <c r="J1701" s="45"/>
      <c r="K1701" s="45"/>
      <c r="L1701" s="45"/>
      <c r="M1701" s="44"/>
      <c r="N1701" s="44"/>
      <c r="O1701" s="44"/>
      <c r="P1701" s="44"/>
      <c r="Q1701" s="44"/>
    </row>
    <row r="1702" spans="8:17" x14ac:dyDescent="0.25">
      <c r="H1702" s="44"/>
      <c r="I1702" s="44"/>
      <c r="J1702" s="45"/>
      <c r="K1702" s="45"/>
      <c r="L1702" s="45"/>
      <c r="M1702" s="44"/>
      <c r="N1702" s="44"/>
      <c r="O1702" s="44"/>
      <c r="P1702" s="44"/>
      <c r="Q1702" s="44"/>
    </row>
    <row r="1703" spans="8:17" x14ac:dyDescent="0.25">
      <c r="H1703" s="44"/>
      <c r="I1703" s="44"/>
      <c r="J1703" s="45"/>
      <c r="K1703" s="45"/>
      <c r="L1703" s="45"/>
      <c r="M1703" s="44"/>
      <c r="N1703" s="44"/>
      <c r="O1703" s="44"/>
      <c r="P1703" s="44"/>
      <c r="Q1703" s="44"/>
    </row>
    <row r="1704" spans="8:17" x14ac:dyDescent="0.25">
      <c r="H1704" s="44"/>
      <c r="I1704" s="44"/>
      <c r="J1704" s="45"/>
      <c r="K1704" s="45"/>
      <c r="L1704" s="45"/>
      <c r="M1704" s="44"/>
      <c r="N1704" s="44"/>
      <c r="O1704" s="44"/>
      <c r="P1704" s="44"/>
      <c r="Q1704" s="44"/>
    </row>
    <row r="1705" spans="8:17" x14ac:dyDescent="0.25">
      <c r="H1705" s="44"/>
      <c r="I1705" s="44"/>
      <c r="J1705" s="45"/>
      <c r="K1705" s="45"/>
      <c r="L1705" s="45"/>
      <c r="M1705" s="44"/>
      <c r="N1705" s="44"/>
      <c r="O1705" s="44"/>
      <c r="P1705" s="44"/>
      <c r="Q1705" s="44"/>
    </row>
    <row r="1706" spans="8:17" x14ac:dyDescent="0.25">
      <c r="H1706" s="44"/>
      <c r="I1706" s="44"/>
      <c r="J1706" s="45"/>
      <c r="K1706" s="45"/>
      <c r="L1706" s="45"/>
      <c r="M1706" s="44"/>
      <c r="N1706" s="44"/>
      <c r="O1706" s="44"/>
      <c r="P1706" s="44"/>
      <c r="Q1706" s="44"/>
    </row>
    <row r="1707" spans="8:17" x14ac:dyDescent="0.25">
      <c r="H1707" s="44"/>
      <c r="I1707" s="44"/>
      <c r="J1707" s="45"/>
      <c r="K1707" s="45"/>
      <c r="L1707" s="45"/>
      <c r="M1707" s="44"/>
      <c r="N1707" s="44"/>
      <c r="O1707" s="44"/>
      <c r="P1707" s="44"/>
      <c r="Q1707" s="44"/>
    </row>
    <row r="1708" spans="8:17" x14ac:dyDescent="0.25">
      <c r="H1708" s="44"/>
      <c r="I1708" s="44"/>
      <c r="J1708" s="45"/>
      <c r="K1708" s="45"/>
      <c r="L1708" s="45"/>
      <c r="M1708" s="44"/>
      <c r="N1708" s="44"/>
      <c r="O1708" s="44"/>
      <c r="P1708" s="44"/>
      <c r="Q1708" s="44"/>
    </row>
    <row r="1709" spans="8:17" x14ac:dyDescent="0.25">
      <c r="H1709" s="44"/>
      <c r="I1709" s="44"/>
      <c r="J1709" s="45"/>
      <c r="K1709" s="45"/>
      <c r="L1709" s="45"/>
      <c r="M1709" s="44"/>
      <c r="N1709" s="44"/>
      <c r="O1709" s="44"/>
      <c r="P1709" s="44"/>
      <c r="Q1709" s="44"/>
    </row>
    <row r="1710" spans="8:17" x14ac:dyDescent="0.25">
      <c r="H1710" s="44"/>
      <c r="I1710" s="44"/>
      <c r="J1710" s="45"/>
      <c r="K1710" s="45"/>
      <c r="L1710" s="45"/>
      <c r="M1710" s="44"/>
      <c r="N1710" s="44"/>
      <c r="O1710" s="44"/>
      <c r="P1710" s="44"/>
      <c r="Q1710" s="44"/>
    </row>
    <row r="1711" spans="8:17" x14ac:dyDescent="0.25">
      <c r="H1711" s="44"/>
      <c r="I1711" s="44"/>
      <c r="J1711" s="45"/>
      <c r="K1711" s="45"/>
      <c r="L1711" s="45"/>
      <c r="M1711" s="44"/>
      <c r="N1711" s="44"/>
      <c r="O1711" s="44"/>
      <c r="P1711" s="44"/>
      <c r="Q1711" s="44"/>
    </row>
    <row r="1712" spans="8:17" x14ac:dyDescent="0.25">
      <c r="H1712" s="44"/>
      <c r="I1712" s="44"/>
      <c r="J1712" s="45"/>
      <c r="K1712" s="45"/>
      <c r="L1712" s="45"/>
      <c r="M1712" s="44"/>
      <c r="N1712" s="44"/>
      <c r="O1712" s="44"/>
      <c r="P1712" s="44"/>
      <c r="Q1712" s="44"/>
    </row>
    <row r="1713" spans="8:17" x14ac:dyDescent="0.25">
      <c r="H1713" s="44"/>
      <c r="I1713" s="44"/>
      <c r="J1713" s="45"/>
      <c r="K1713" s="45"/>
      <c r="L1713" s="45"/>
      <c r="M1713" s="44"/>
      <c r="N1713" s="44"/>
      <c r="O1713" s="44"/>
      <c r="P1713" s="44"/>
      <c r="Q1713" s="44"/>
    </row>
    <row r="1714" spans="8:17" x14ac:dyDescent="0.25">
      <c r="H1714" s="44"/>
      <c r="I1714" s="44"/>
      <c r="J1714" s="45"/>
      <c r="K1714" s="45"/>
      <c r="L1714" s="45"/>
      <c r="M1714" s="44"/>
      <c r="N1714" s="44"/>
      <c r="O1714" s="44"/>
      <c r="P1714" s="44"/>
      <c r="Q1714" s="44"/>
    </row>
    <row r="1715" spans="8:17" x14ac:dyDescent="0.25">
      <c r="H1715" s="44"/>
      <c r="I1715" s="44"/>
      <c r="J1715" s="45"/>
      <c r="K1715" s="45"/>
      <c r="L1715" s="45"/>
      <c r="M1715" s="44"/>
      <c r="N1715" s="44"/>
      <c r="O1715" s="44"/>
      <c r="P1715" s="44"/>
      <c r="Q1715" s="44"/>
    </row>
    <row r="1716" spans="8:17" x14ac:dyDescent="0.25">
      <c r="H1716" s="44"/>
      <c r="I1716" s="44"/>
      <c r="J1716" s="45"/>
      <c r="K1716" s="45"/>
      <c r="L1716" s="45"/>
      <c r="M1716" s="44"/>
      <c r="N1716" s="44"/>
      <c r="O1716" s="44"/>
      <c r="P1716" s="44"/>
      <c r="Q1716" s="44"/>
    </row>
    <row r="1717" spans="8:17" x14ac:dyDescent="0.25">
      <c r="H1717" s="44"/>
      <c r="I1717" s="44"/>
      <c r="J1717" s="45"/>
      <c r="K1717" s="45"/>
      <c r="L1717" s="45"/>
      <c r="M1717" s="44"/>
      <c r="N1717" s="44"/>
      <c r="O1717" s="44"/>
      <c r="P1717" s="44"/>
      <c r="Q1717" s="44"/>
    </row>
    <row r="1718" spans="8:17" x14ac:dyDescent="0.25">
      <c r="H1718" s="44"/>
      <c r="I1718" s="44"/>
      <c r="J1718" s="45"/>
      <c r="K1718" s="45"/>
      <c r="L1718" s="45"/>
      <c r="M1718" s="44"/>
      <c r="N1718" s="44"/>
      <c r="O1718" s="44"/>
      <c r="P1718" s="44"/>
      <c r="Q1718" s="44"/>
    </row>
    <row r="1719" spans="8:17" x14ac:dyDescent="0.25">
      <c r="H1719" s="44"/>
      <c r="I1719" s="44"/>
      <c r="J1719" s="45"/>
      <c r="K1719" s="45"/>
      <c r="L1719" s="45"/>
      <c r="M1719" s="44"/>
      <c r="N1719" s="44"/>
      <c r="O1719" s="44"/>
      <c r="P1719" s="44"/>
      <c r="Q1719" s="44"/>
    </row>
    <row r="1720" spans="8:17" x14ac:dyDescent="0.25">
      <c r="H1720" s="44"/>
      <c r="I1720" s="44"/>
      <c r="J1720" s="45"/>
      <c r="K1720" s="45"/>
      <c r="L1720" s="45"/>
      <c r="M1720" s="44"/>
      <c r="N1720" s="44"/>
      <c r="O1720" s="44"/>
      <c r="P1720" s="44"/>
      <c r="Q1720" s="44"/>
    </row>
    <row r="1721" spans="8:17" x14ac:dyDescent="0.25">
      <c r="H1721" s="44"/>
      <c r="I1721" s="44"/>
      <c r="J1721" s="45"/>
      <c r="K1721" s="45"/>
      <c r="L1721" s="45"/>
      <c r="M1721" s="44"/>
      <c r="N1721" s="44"/>
      <c r="O1721" s="44"/>
      <c r="P1721" s="44"/>
      <c r="Q1721" s="44"/>
    </row>
    <row r="1722" spans="8:17" x14ac:dyDescent="0.25">
      <c r="H1722" s="44"/>
      <c r="I1722" s="44"/>
      <c r="J1722" s="45"/>
      <c r="K1722" s="45"/>
      <c r="L1722" s="45"/>
      <c r="M1722" s="44"/>
      <c r="N1722" s="44"/>
      <c r="O1722" s="44"/>
      <c r="P1722" s="44"/>
      <c r="Q1722" s="44"/>
    </row>
    <row r="1723" spans="8:17" x14ac:dyDescent="0.25">
      <c r="H1723" s="44"/>
      <c r="I1723" s="44"/>
      <c r="J1723" s="45"/>
      <c r="K1723" s="45"/>
      <c r="L1723" s="45"/>
      <c r="M1723" s="44"/>
      <c r="N1723" s="44"/>
      <c r="O1723" s="44"/>
      <c r="P1723" s="44"/>
      <c r="Q1723" s="44"/>
    </row>
    <row r="1724" spans="8:17" x14ac:dyDescent="0.25">
      <c r="H1724" s="44"/>
      <c r="I1724" s="44"/>
      <c r="J1724" s="45"/>
      <c r="K1724" s="45"/>
      <c r="L1724" s="45"/>
      <c r="M1724" s="44"/>
      <c r="N1724" s="44"/>
      <c r="O1724" s="44"/>
      <c r="P1724" s="44"/>
      <c r="Q1724" s="44"/>
    </row>
    <row r="1725" spans="8:17" x14ac:dyDescent="0.25">
      <c r="H1725" s="44"/>
      <c r="I1725" s="44"/>
      <c r="J1725" s="45"/>
      <c r="K1725" s="45"/>
      <c r="L1725" s="45"/>
      <c r="M1725" s="44"/>
      <c r="N1725" s="44"/>
      <c r="O1725" s="44"/>
      <c r="P1725" s="44"/>
      <c r="Q1725" s="44"/>
    </row>
    <row r="1726" spans="8:17" x14ac:dyDescent="0.25">
      <c r="H1726" s="44"/>
      <c r="I1726" s="44"/>
      <c r="J1726" s="45"/>
      <c r="K1726" s="45"/>
      <c r="L1726" s="45"/>
      <c r="M1726" s="44"/>
      <c r="N1726" s="44"/>
      <c r="O1726" s="44"/>
      <c r="P1726" s="44"/>
      <c r="Q1726" s="44"/>
    </row>
    <row r="1727" spans="8:17" x14ac:dyDescent="0.25">
      <c r="H1727" s="44"/>
      <c r="I1727" s="44"/>
      <c r="J1727" s="45"/>
      <c r="K1727" s="45"/>
      <c r="L1727" s="45"/>
      <c r="M1727" s="44"/>
      <c r="N1727" s="44"/>
      <c r="O1727" s="44"/>
      <c r="P1727" s="44"/>
      <c r="Q1727" s="44"/>
    </row>
    <row r="1728" spans="8:17" x14ac:dyDescent="0.25">
      <c r="H1728" s="44"/>
      <c r="I1728" s="44"/>
      <c r="J1728" s="45"/>
      <c r="K1728" s="45"/>
      <c r="L1728" s="45"/>
      <c r="M1728" s="44"/>
      <c r="N1728" s="44"/>
      <c r="O1728" s="44"/>
      <c r="P1728" s="44"/>
      <c r="Q1728" s="44"/>
    </row>
    <row r="1729" spans="8:17" x14ac:dyDescent="0.25">
      <c r="H1729" s="44"/>
      <c r="I1729" s="44"/>
      <c r="J1729" s="45"/>
      <c r="K1729" s="45"/>
      <c r="L1729" s="45"/>
      <c r="M1729" s="44"/>
      <c r="N1729" s="44"/>
      <c r="O1729" s="44"/>
      <c r="P1729" s="44"/>
      <c r="Q1729" s="44"/>
    </row>
    <row r="1730" spans="8:17" x14ac:dyDescent="0.25">
      <c r="H1730" s="44"/>
      <c r="I1730" s="44"/>
      <c r="J1730" s="45"/>
      <c r="K1730" s="45"/>
      <c r="L1730" s="45"/>
      <c r="M1730" s="44"/>
      <c r="N1730" s="44"/>
      <c r="O1730" s="44"/>
      <c r="P1730" s="44"/>
      <c r="Q1730" s="44"/>
    </row>
    <row r="1731" spans="8:17" x14ac:dyDescent="0.25">
      <c r="H1731" s="44"/>
      <c r="I1731" s="44"/>
      <c r="J1731" s="45"/>
      <c r="K1731" s="45"/>
      <c r="L1731" s="45"/>
      <c r="M1731" s="44"/>
      <c r="N1731" s="44"/>
      <c r="O1731" s="44"/>
      <c r="P1731" s="44"/>
      <c r="Q1731" s="44"/>
    </row>
    <row r="1732" spans="8:17" x14ac:dyDescent="0.25">
      <c r="H1732" s="44"/>
      <c r="I1732" s="44"/>
      <c r="J1732" s="45"/>
      <c r="K1732" s="45"/>
      <c r="L1732" s="45"/>
      <c r="M1732" s="44"/>
      <c r="N1732" s="44"/>
      <c r="O1732" s="44"/>
      <c r="P1732" s="44"/>
      <c r="Q1732" s="44"/>
    </row>
    <row r="1733" spans="8:17" x14ac:dyDescent="0.25">
      <c r="H1733" s="44"/>
      <c r="I1733" s="44"/>
      <c r="J1733" s="45"/>
      <c r="K1733" s="45"/>
      <c r="L1733" s="45"/>
      <c r="M1733" s="44"/>
      <c r="N1733" s="44"/>
      <c r="O1733" s="44"/>
      <c r="P1733" s="44"/>
      <c r="Q1733" s="44"/>
    </row>
    <row r="1734" spans="8:17" x14ac:dyDescent="0.25">
      <c r="H1734" s="44"/>
      <c r="I1734" s="44"/>
      <c r="J1734" s="45"/>
      <c r="K1734" s="45"/>
      <c r="L1734" s="45"/>
      <c r="M1734" s="44"/>
      <c r="N1734" s="44"/>
      <c r="O1734" s="44"/>
      <c r="P1734" s="44"/>
      <c r="Q1734" s="44"/>
    </row>
    <row r="1735" spans="8:17" x14ac:dyDescent="0.25">
      <c r="H1735" s="44"/>
      <c r="I1735" s="44"/>
      <c r="J1735" s="45"/>
      <c r="K1735" s="45"/>
      <c r="L1735" s="45"/>
      <c r="M1735" s="44"/>
      <c r="N1735" s="44"/>
      <c r="O1735" s="44"/>
      <c r="P1735" s="44"/>
      <c r="Q1735" s="44"/>
    </row>
    <row r="1736" spans="8:17" x14ac:dyDescent="0.25">
      <c r="H1736" s="44"/>
      <c r="I1736" s="44"/>
      <c r="J1736" s="45"/>
      <c r="K1736" s="45"/>
      <c r="L1736" s="45"/>
      <c r="M1736" s="44"/>
      <c r="N1736" s="44"/>
      <c r="O1736" s="44"/>
      <c r="P1736" s="44"/>
      <c r="Q1736" s="44"/>
    </row>
    <row r="1737" spans="8:17" x14ac:dyDescent="0.25">
      <c r="H1737" s="44"/>
      <c r="I1737" s="44"/>
      <c r="J1737" s="45"/>
      <c r="K1737" s="45"/>
      <c r="L1737" s="45"/>
      <c r="M1737" s="44"/>
      <c r="N1737" s="44"/>
      <c r="O1737" s="44"/>
      <c r="P1737" s="44"/>
      <c r="Q1737" s="44"/>
    </row>
    <row r="1738" spans="8:17" x14ac:dyDescent="0.25">
      <c r="H1738" s="44"/>
      <c r="I1738" s="44"/>
      <c r="J1738" s="45"/>
      <c r="K1738" s="45"/>
      <c r="L1738" s="45"/>
      <c r="M1738" s="44"/>
      <c r="N1738" s="44"/>
      <c r="O1738" s="44"/>
      <c r="P1738" s="44"/>
      <c r="Q1738" s="44"/>
    </row>
    <row r="1739" spans="8:17" x14ac:dyDescent="0.25">
      <c r="H1739" s="44"/>
      <c r="I1739" s="44"/>
      <c r="J1739" s="45"/>
      <c r="K1739" s="45"/>
      <c r="L1739" s="45"/>
      <c r="M1739" s="44"/>
      <c r="N1739" s="44"/>
      <c r="O1739" s="44"/>
      <c r="P1739" s="44"/>
      <c r="Q1739" s="44"/>
    </row>
    <row r="1740" spans="8:17" x14ac:dyDescent="0.25">
      <c r="H1740" s="44"/>
      <c r="I1740" s="44"/>
      <c r="J1740" s="45"/>
      <c r="K1740" s="45"/>
      <c r="L1740" s="45"/>
      <c r="M1740" s="44"/>
      <c r="N1740" s="44"/>
      <c r="O1740" s="44"/>
      <c r="P1740" s="44"/>
      <c r="Q1740" s="44"/>
    </row>
    <row r="1741" spans="8:17" x14ac:dyDescent="0.25">
      <c r="H1741" s="44"/>
      <c r="I1741" s="44"/>
      <c r="J1741" s="45"/>
      <c r="K1741" s="45"/>
      <c r="L1741" s="45"/>
      <c r="M1741" s="44"/>
      <c r="N1741" s="44"/>
      <c r="O1741" s="44"/>
      <c r="P1741" s="44"/>
      <c r="Q1741" s="44"/>
    </row>
    <row r="1742" spans="8:17" x14ac:dyDescent="0.25">
      <c r="H1742" s="44"/>
      <c r="I1742" s="44"/>
      <c r="J1742" s="45"/>
      <c r="K1742" s="45"/>
      <c r="L1742" s="45"/>
      <c r="M1742" s="44"/>
      <c r="N1742" s="44"/>
      <c r="O1742" s="44"/>
      <c r="P1742" s="44"/>
      <c r="Q1742" s="44"/>
    </row>
    <row r="1743" spans="8:17" x14ac:dyDescent="0.25">
      <c r="H1743" s="44"/>
      <c r="I1743" s="44"/>
      <c r="J1743" s="45"/>
      <c r="K1743" s="45"/>
      <c r="L1743" s="45"/>
      <c r="M1743" s="44"/>
      <c r="N1743" s="44"/>
      <c r="O1743" s="44"/>
      <c r="P1743" s="44"/>
      <c r="Q1743" s="44"/>
    </row>
    <row r="1744" spans="8:17" x14ac:dyDescent="0.25">
      <c r="H1744" s="44"/>
      <c r="I1744" s="44"/>
      <c r="J1744" s="45"/>
      <c r="K1744" s="45"/>
      <c r="L1744" s="45"/>
      <c r="M1744" s="44"/>
      <c r="N1744" s="44"/>
      <c r="O1744" s="44"/>
      <c r="P1744" s="44"/>
      <c r="Q1744" s="44"/>
    </row>
    <row r="1745" spans="8:17" x14ac:dyDescent="0.25">
      <c r="H1745" s="44"/>
      <c r="I1745" s="44"/>
      <c r="J1745" s="45"/>
      <c r="K1745" s="45"/>
      <c r="L1745" s="45"/>
      <c r="M1745" s="44"/>
      <c r="N1745" s="44"/>
      <c r="O1745" s="44"/>
      <c r="P1745" s="44"/>
      <c r="Q1745" s="44"/>
    </row>
    <row r="1746" spans="8:17" x14ac:dyDescent="0.25">
      <c r="H1746" s="44"/>
      <c r="I1746" s="44"/>
      <c r="J1746" s="45"/>
      <c r="K1746" s="45"/>
      <c r="L1746" s="45"/>
      <c r="M1746" s="44"/>
      <c r="N1746" s="44"/>
      <c r="O1746" s="44"/>
      <c r="P1746" s="44"/>
      <c r="Q1746" s="44"/>
    </row>
    <row r="1747" spans="8:17" x14ac:dyDescent="0.25">
      <c r="H1747" s="44"/>
      <c r="I1747" s="44"/>
      <c r="J1747" s="45"/>
      <c r="K1747" s="45"/>
      <c r="L1747" s="45"/>
      <c r="M1747" s="44"/>
      <c r="N1747" s="44"/>
      <c r="O1747" s="44"/>
      <c r="P1747" s="44"/>
      <c r="Q1747" s="44"/>
    </row>
    <row r="1748" spans="8:17" x14ac:dyDescent="0.25">
      <c r="H1748" s="44"/>
      <c r="I1748" s="44"/>
      <c r="J1748" s="45"/>
      <c r="K1748" s="45"/>
      <c r="L1748" s="45"/>
      <c r="M1748" s="44"/>
      <c r="N1748" s="44"/>
      <c r="O1748" s="44"/>
      <c r="P1748" s="44"/>
      <c r="Q1748" s="44"/>
    </row>
    <row r="1749" spans="8:17" x14ac:dyDescent="0.25">
      <c r="H1749" s="44"/>
      <c r="I1749" s="44"/>
      <c r="J1749" s="45"/>
      <c r="K1749" s="45"/>
      <c r="L1749" s="45"/>
      <c r="M1749" s="44"/>
      <c r="N1749" s="44"/>
      <c r="O1749" s="44"/>
      <c r="P1749" s="44"/>
      <c r="Q1749" s="44"/>
    </row>
    <row r="1750" spans="8:17" x14ac:dyDescent="0.25">
      <c r="H1750" s="44"/>
      <c r="I1750" s="44"/>
      <c r="J1750" s="45"/>
      <c r="K1750" s="45"/>
      <c r="L1750" s="45"/>
      <c r="M1750" s="44"/>
      <c r="N1750" s="44"/>
      <c r="O1750" s="44"/>
      <c r="P1750" s="44"/>
      <c r="Q1750" s="44"/>
    </row>
    <row r="1751" spans="8:17" x14ac:dyDescent="0.25">
      <c r="H1751" s="44"/>
      <c r="I1751" s="44"/>
      <c r="J1751" s="45"/>
      <c r="K1751" s="45"/>
      <c r="L1751" s="45"/>
      <c r="M1751" s="44"/>
      <c r="N1751" s="44"/>
      <c r="O1751" s="44"/>
      <c r="P1751" s="44"/>
      <c r="Q1751" s="44"/>
    </row>
    <row r="1752" spans="8:17" x14ac:dyDescent="0.25">
      <c r="H1752" s="44"/>
      <c r="I1752" s="44"/>
      <c r="J1752" s="45"/>
      <c r="K1752" s="45"/>
      <c r="L1752" s="45"/>
      <c r="M1752" s="44"/>
      <c r="N1752" s="44"/>
      <c r="O1752" s="44"/>
      <c r="P1752" s="44"/>
      <c r="Q1752" s="44"/>
    </row>
    <row r="1753" spans="8:17" x14ac:dyDescent="0.25">
      <c r="H1753" s="44"/>
      <c r="I1753" s="44"/>
      <c r="J1753" s="45"/>
      <c r="K1753" s="45"/>
      <c r="L1753" s="45"/>
      <c r="M1753" s="44"/>
      <c r="N1753" s="44"/>
      <c r="O1753" s="44"/>
      <c r="P1753" s="44"/>
      <c r="Q1753" s="44"/>
    </row>
    <row r="1754" spans="8:17" x14ac:dyDescent="0.25">
      <c r="H1754" s="44"/>
      <c r="I1754" s="44"/>
      <c r="J1754" s="45"/>
      <c r="K1754" s="45"/>
      <c r="L1754" s="45"/>
      <c r="M1754" s="44"/>
      <c r="N1754" s="44"/>
      <c r="O1754" s="44"/>
      <c r="P1754" s="44"/>
      <c r="Q1754" s="44"/>
    </row>
    <row r="1755" spans="8:17" x14ac:dyDescent="0.25">
      <c r="H1755" s="44"/>
      <c r="I1755" s="44"/>
      <c r="J1755" s="45"/>
      <c r="K1755" s="45"/>
      <c r="L1755" s="45"/>
      <c r="M1755" s="44"/>
      <c r="N1755" s="44"/>
      <c r="O1755" s="44"/>
      <c r="P1755" s="44"/>
      <c r="Q1755" s="44"/>
    </row>
    <row r="1756" spans="8:17" x14ac:dyDescent="0.25">
      <c r="H1756" s="44"/>
      <c r="I1756" s="44"/>
      <c r="J1756" s="45"/>
      <c r="K1756" s="45"/>
      <c r="L1756" s="45"/>
      <c r="M1756" s="44"/>
      <c r="N1756" s="44"/>
      <c r="O1756" s="44"/>
      <c r="P1756" s="44"/>
      <c r="Q1756" s="44"/>
    </row>
    <row r="1757" spans="8:17" x14ac:dyDescent="0.25">
      <c r="H1757" s="44"/>
      <c r="I1757" s="44"/>
      <c r="J1757" s="45"/>
      <c r="K1757" s="45"/>
      <c r="L1757" s="45"/>
      <c r="M1757" s="44"/>
      <c r="N1757" s="44"/>
      <c r="O1757" s="44"/>
      <c r="P1757" s="44"/>
      <c r="Q1757" s="44"/>
    </row>
    <row r="1758" spans="8:17" x14ac:dyDescent="0.25">
      <c r="H1758" s="44"/>
      <c r="I1758" s="44"/>
      <c r="J1758" s="45"/>
      <c r="K1758" s="45"/>
      <c r="L1758" s="45"/>
      <c r="M1758" s="44"/>
      <c r="N1758" s="44"/>
      <c r="O1758" s="44"/>
      <c r="P1758" s="44"/>
      <c r="Q1758" s="44"/>
    </row>
    <row r="1759" spans="8:17" x14ac:dyDescent="0.25">
      <c r="H1759" s="44"/>
      <c r="I1759" s="44"/>
      <c r="J1759" s="45"/>
      <c r="K1759" s="45"/>
      <c r="L1759" s="45"/>
      <c r="M1759" s="44"/>
      <c r="N1759" s="44"/>
      <c r="O1759" s="44"/>
      <c r="P1759" s="44"/>
      <c r="Q1759" s="44"/>
    </row>
    <row r="1760" spans="8:17" x14ac:dyDescent="0.25">
      <c r="H1760" s="44"/>
      <c r="I1760" s="44"/>
      <c r="J1760" s="45"/>
      <c r="K1760" s="45"/>
      <c r="L1760" s="45"/>
      <c r="M1760" s="44"/>
      <c r="N1760" s="44"/>
      <c r="O1760" s="44"/>
      <c r="P1760" s="44"/>
      <c r="Q1760" s="44"/>
    </row>
    <row r="1761" spans="8:17" x14ac:dyDescent="0.25">
      <c r="H1761" s="44"/>
      <c r="I1761" s="44"/>
      <c r="J1761" s="45"/>
      <c r="K1761" s="45"/>
      <c r="L1761" s="45"/>
      <c r="M1761" s="44"/>
      <c r="N1761" s="44"/>
      <c r="O1761" s="44"/>
      <c r="P1761" s="44"/>
      <c r="Q1761" s="44"/>
    </row>
    <row r="1762" spans="8:17" x14ac:dyDescent="0.25">
      <c r="H1762" s="44"/>
      <c r="I1762" s="44"/>
      <c r="J1762" s="45"/>
      <c r="K1762" s="45"/>
      <c r="L1762" s="45"/>
      <c r="M1762" s="44"/>
      <c r="N1762" s="44"/>
      <c r="O1762" s="44"/>
      <c r="P1762" s="44"/>
      <c r="Q1762" s="44"/>
    </row>
    <row r="1763" spans="8:17" x14ac:dyDescent="0.25">
      <c r="H1763" s="44"/>
      <c r="I1763" s="44"/>
      <c r="J1763" s="45"/>
      <c r="K1763" s="45"/>
      <c r="L1763" s="45"/>
      <c r="M1763" s="44"/>
      <c r="N1763" s="44"/>
      <c r="O1763" s="44"/>
      <c r="P1763" s="44"/>
      <c r="Q1763" s="44"/>
    </row>
    <row r="1764" spans="8:17" x14ac:dyDescent="0.25">
      <c r="H1764" s="44"/>
      <c r="I1764" s="44"/>
      <c r="J1764" s="45"/>
      <c r="K1764" s="45"/>
      <c r="L1764" s="45"/>
      <c r="M1764" s="44"/>
      <c r="N1764" s="44"/>
      <c r="O1764" s="44"/>
      <c r="P1764" s="44"/>
      <c r="Q1764" s="44"/>
    </row>
    <row r="1765" spans="8:17" x14ac:dyDescent="0.25">
      <c r="H1765" s="44"/>
      <c r="I1765" s="44"/>
      <c r="J1765" s="45"/>
      <c r="K1765" s="45"/>
      <c r="L1765" s="45"/>
      <c r="M1765" s="44"/>
      <c r="N1765" s="44"/>
      <c r="O1765" s="44"/>
      <c r="P1765" s="44"/>
      <c r="Q1765" s="44"/>
    </row>
    <row r="1766" spans="8:17" x14ac:dyDescent="0.25">
      <c r="H1766" s="44"/>
      <c r="I1766" s="44"/>
      <c r="J1766" s="45"/>
      <c r="K1766" s="45"/>
      <c r="L1766" s="45"/>
      <c r="M1766" s="44"/>
      <c r="N1766" s="44"/>
      <c r="O1766" s="44"/>
      <c r="P1766" s="44"/>
      <c r="Q1766" s="44"/>
    </row>
    <row r="1767" spans="8:17" x14ac:dyDescent="0.25">
      <c r="H1767" s="44"/>
      <c r="I1767" s="44"/>
      <c r="J1767" s="45"/>
      <c r="K1767" s="45"/>
      <c r="L1767" s="45"/>
      <c r="M1767" s="44"/>
      <c r="N1767" s="44"/>
      <c r="O1767" s="44"/>
      <c r="P1767" s="44"/>
      <c r="Q1767" s="44"/>
    </row>
    <row r="1768" spans="8:17" x14ac:dyDescent="0.25">
      <c r="H1768" s="44"/>
      <c r="I1768" s="44"/>
      <c r="J1768" s="45"/>
      <c r="K1768" s="45"/>
      <c r="L1768" s="45"/>
      <c r="M1768" s="44"/>
      <c r="N1768" s="44"/>
      <c r="O1768" s="44"/>
      <c r="P1768" s="44"/>
      <c r="Q1768" s="44"/>
    </row>
    <row r="1769" spans="8:17" x14ac:dyDescent="0.25">
      <c r="H1769" s="44"/>
      <c r="I1769" s="44"/>
      <c r="J1769" s="45"/>
      <c r="K1769" s="45"/>
      <c r="L1769" s="45"/>
      <c r="M1769" s="44"/>
      <c r="N1769" s="44"/>
      <c r="O1769" s="44"/>
      <c r="P1769" s="44"/>
      <c r="Q1769" s="44"/>
    </row>
    <row r="1770" spans="8:17" x14ac:dyDescent="0.25">
      <c r="H1770" s="44"/>
      <c r="I1770" s="44"/>
      <c r="J1770" s="45"/>
      <c r="K1770" s="45"/>
      <c r="L1770" s="45"/>
      <c r="M1770" s="44"/>
      <c r="N1770" s="44"/>
      <c r="O1770" s="44"/>
      <c r="P1770" s="44"/>
      <c r="Q1770" s="44"/>
    </row>
    <row r="1771" spans="8:17" x14ac:dyDescent="0.25">
      <c r="H1771" s="44"/>
      <c r="I1771" s="44"/>
      <c r="J1771" s="45"/>
      <c r="K1771" s="45"/>
      <c r="L1771" s="45"/>
      <c r="M1771" s="44"/>
      <c r="N1771" s="44"/>
      <c r="O1771" s="44"/>
      <c r="P1771" s="44"/>
      <c r="Q1771" s="44"/>
    </row>
    <row r="1772" spans="8:17" x14ac:dyDescent="0.25">
      <c r="H1772" s="44"/>
      <c r="I1772" s="44"/>
      <c r="J1772" s="45"/>
      <c r="K1772" s="45"/>
      <c r="L1772" s="45"/>
      <c r="M1772" s="44"/>
      <c r="N1772" s="44"/>
      <c r="O1772" s="44"/>
      <c r="P1772" s="44"/>
      <c r="Q1772" s="44"/>
    </row>
    <row r="1773" spans="8:17" x14ac:dyDescent="0.25">
      <c r="H1773" s="44"/>
      <c r="I1773" s="44"/>
      <c r="J1773" s="45"/>
      <c r="K1773" s="45"/>
      <c r="L1773" s="45"/>
      <c r="M1773" s="44"/>
      <c r="N1773" s="44"/>
      <c r="O1773" s="44"/>
      <c r="P1773" s="44"/>
      <c r="Q1773" s="44"/>
    </row>
    <row r="1774" spans="8:17" x14ac:dyDescent="0.25">
      <c r="H1774" s="44"/>
      <c r="I1774" s="44"/>
      <c r="J1774" s="45"/>
      <c r="K1774" s="45"/>
      <c r="L1774" s="45"/>
      <c r="M1774" s="44"/>
      <c r="N1774" s="44"/>
      <c r="O1774" s="44"/>
      <c r="P1774" s="44"/>
      <c r="Q1774" s="44"/>
    </row>
    <row r="1775" spans="8:17" x14ac:dyDescent="0.25">
      <c r="H1775" s="44"/>
      <c r="I1775" s="44"/>
      <c r="J1775" s="45"/>
      <c r="K1775" s="45"/>
      <c r="L1775" s="45"/>
      <c r="M1775" s="44"/>
      <c r="N1775" s="44"/>
      <c r="O1775" s="44"/>
      <c r="P1775" s="44"/>
      <c r="Q1775" s="44"/>
    </row>
    <row r="1776" spans="8:17" x14ac:dyDescent="0.25">
      <c r="H1776" s="44"/>
      <c r="I1776" s="44"/>
      <c r="J1776" s="45"/>
      <c r="K1776" s="45"/>
      <c r="L1776" s="45"/>
      <c r="M1776" s="44"/>
      <c r="N1776" s="44"/>
      <c r="O1776" s="44"/>
      <c r="P1776" s="44"/>
      <c r="Q1776" s="44"/>
    </row>
    <row r="1777" spans="8:17" x14ac:dyDescent="0.25">
      <c r="H1777" s="44"/>
      <c r="I1777" s="44"/>
      <c r="J1777" s="45"/>
      <c r="K1777" s="45"/>
      <c r="L1777" s="45"/>
      <c r="M1777" s="44"/>
      <c r="N1777" s="44"/>
      <c r="O1777" s="44"/>
      <c r="P1777" s="44"/>
      <c r="Q1777" s="44"/>
    </row>
    <row r="1778" spans="8:17" x14ac:dyDescent="0.25">
      <c r="H1778" s="44"/>
      <c r="I1778" s="44"/>
      <c r="J1778" s="45"/>
      <c r="K1778" s="45"/>
      <c r="L1778" s="45"/>
      <c r="M1778" s="44"/>
      <c r="N1778" s="44"/>
      <c r="O1778" s="44"/>
      <c r="P1778" s="44"/>
      <c r="Q1778" s="44"/>
    </row>
    <row r="1779" spans="8:17" x14ac:dyDescent="0.25">
      <c r="H1779" s="44"/>
      <c r="I1779" s="44"/>
      <c r="J1779" s="45"/>
      <c r="K1779" s="45"/>
      <c r="L1779" s="45"/>
      <c r="M1779" s="44"/>
      <c r="N1779" s="44"/>
      <c r="O1779" s="44"/>
      <c r="P1779" s="44"/>
      <c r="Q1779" s="44"/>
    </row>
    <row r="1780" spans="8:17" x14ac:dyDescent="0.25">
      <c r="H1780" s="44"/>
      <c r="I1780" s="44"/>
      <c r="J1780" s="45"/>
      <c r="K1780" s="45"/>
      <c r="L1780" s="45"/>
      <c r="M1780" s="44"/>
      <c r="N1780" s="44"/>
      <c r="O1780" s="44"/>
      <c r="P1780" s="44"/>
      <c r="Q1780" s="44"/>
    </row>
    <row r="1781" spans="8:17" x14ac:dyDescent="0.25">
      <c r="H1781" s="44"/>
      <c r="I1781" s="44"/>
      <c r="J1781" s="45"/>
      <c r="K1781" s="45"/>
      <c r="L1781" s="45"/>
      <c r="M1781" s="44"/>
      <c r="N1781" s="44"/>
      <c r="O1781" s="44"/>
      <c r="P1781" s="44"/>
      <c r="Q1781" s="44"/>
    </row>
    <row r="1782" spans="8:17" x14ac:dyDescent="0.25">
      <c r="H1782" s="44"/>
      <c r="I1782" s="44"/>
      <c r="J1782" s="45"/>
      <c r="K1782" s="45"/>
      <c r="L1782" s="45"/>
      <c r="M1782" s="44"/>
      <c r="N1782" s="44"/>
      <c r="O1782" s="44"/>
      <c r="P1782" s="44"/>
      <c r="Q1782" s="44"/>
    </row>
    <row r="1783" spans="8:17" x14ac:dyDescent="0.25">
      <c r="H1783" s="44"/>
      <c r="I1783" s="44"/>
      <c r="J1783" s="45"/>
      <c r="K1783" s="45"/>
      <c r="L1783" s="45"/>
      <c r="M1783" s="44"/>
      <c r="N1783" s="44"/>
      <c r="O1783" s="44"/>
      <c r="P1783" s="44"/>
      <c r="Q1783" s="44"/>
    </row>
    <row r="1784" spans="8:17" x14ac:dyDescent="0.25">
      <c r="H1784" s="44"/>
      <c r="I1784" s="44"/>
      <c r="J1784" s="45"/>
      <c r="K1784" s="45"/>
      <c r="L1784" s="45"/>
      <c r="M1784" s="44"/>
      <c r="N1784" s="44"/>
      <c r="O1784" s="44"/>
      <c r="P1784" s="44"/>
      <c r="Q1784" s="44"/>
    </row>
    <row r="1785" spans="8:17" x14ac:dyDescent="0.25">
      <c r="H1785" s="44"/>
      <c r="I1785" s="44"/>
      <c r="J1785" s="45"/>
      <c r="K1785" s="45"/>
      <c r="L1785" s="45"/>
      <c r="M1785" s="44"/>
      <c r="N1785" s="44"/>
      <c r="O1785" s="44"/>
      <c r="P1785" s="44"/>
      <c r="Q1785" s="44"/>
    </row>
    <row r="1786" spans="8:17" x14ac:dyDescent="0.25">
      <c r="H1786" s="44"/>
      <c r="I1786" s="44"/>
      <c r="J1786" s="45"/>
      <c r="K1786" s="45"/>
      <c r="L1786" s="45"/>
      <c r="M1786" s="44"/>
      <c r="N1786" s="44"/>
      <c r="O1786" s="44"/>
      <c r="P1786" s="44"/>
      <c r="Q1786" s="44"/>
    </row>
    <row r="1787" spans="8:17" x14ac:dyDescent="0.25">
      <c r="H1787" s="44"/>
      <c r="I1787" s="44"/>
      <c r="J1787" s="45"/>
      <c r="K1787" s="45"/>
      <c r="L1787" s="45"/>
      <c r="M1787" s="44"/>
      <c r="N1787" s="44"/>
      <c r="O1787" s="44"/>
      <c r="P1787" s="44"/>
      <c r="Q1787" s="44"/>
    </row>
    <row r="1788" spans="8:17" x14ac:dyDescent="0.25">
      <c r="H1788" s="44"/>
      <c r="I1788" s="44"/>
      <c r="J1788" s="45"/>
      <c r="K1788" s="45"/>
      <c r="L1788" s="45"/>
      <c r="M1788" s="44"/>
      <c r="N1788" s="44"/>
      <c r="O1788" s="44"/>
      <c r="P1788" s="44"/>
      <c r="Q1788" s="44"/>
    </row>
    <row r="1789" spans="8:17" x14ac:dyDescent="0.25">
      <c r="H1789" s="44"/>
      <c r="I1789" s="44"/>
      <c r="J1789" s="45"/>
      <c r="K1789" s="45"/>
      <c r="L1789" s="45"/>
      <c r="M1789" s="44"/>
      <c r="N1789" s="44"/>
      <c r="O1789" s="44"/>
      <c r="P1789" s="44"/>
      <c r="Q1789" s="44"/>
    </row>
    <row r="1790" spans="8:17" x14ac:dyDescent="0.25">
      <c r="H1790" s="44"/>
      <c r="I1790" s="44"/>
      <c r="J1790" s="45"/>
      <c r="K1790" s="45"/>
      <c r="L1790" s="45"/>
      <c r="M1790" s="44"/>
      <c r="N1790" s="44"/>
      <c r="O1790" s="44"/>
      <c r="P1790" s="44"/>
      <c r="Q1790" s="44"/>
    </row>
    <row r="1791" spans="8:17" x14ac:dyDescent="0.25">
      <c r="H1791" s="44"/>
      <c r="I1791" s="44"/>
      <c r="J1791" s="45"/>
      <c r="K1791" s="45"/>
      <c r="L1791" s="45"/>
      <c r="M1791" s="44"/>
      <c r="N1791" s="44"/>
      <c r="O1791" s="44"/>
      <c r="P1791" s="44"/>
      <c r="Q1791" s="44"/>
    </row>
    <row r="1792" spans="8:17" x14ac:dyDescent="0.25">
      <c r="H1792" s="44"/>
      <c r="I1792" s="44"/>
      <c r="J1792" s="45"/>
      <c r="K1792" s="45"/>
      <c r="L1792" s="45"/>
      <c r="M1792" s="44"/>
      <c r="N1792" s="44"/>
      <c r="O1792" s="44"/>
      <c r="P1792" s="44"/>
      <c r="Q1792" s="44"/>
    </row>
    <row r="1793" spans="8:17" x14ac:dyDescent="0.25">
      <c r="H1793" s="44"/>
      <c r="I1793" s="44"/>
      <c r="J1793" s="45"/>
      <c r="K1793" s="45"/>
      <c r="L1793" s="45"/>
      <c r="M1793" s="44"/>
      <c r="N1793" s="44"/>
      <c r="O1793" s="44"/>
      <c r="P1793" s="44"/>
      <c r="Q1793" s="44"/>
    </row>
    <row r="1794" spans="8:17" x14ac:dyDescent="0.25">
      <c r="H1794" s="44"/>
      <c r="I1794" s="44"/>
      <c r="J1794" s="45"/>
      <c r="K1794" s="45"/>
      <c r="L1794" s="45"/>
      <c r="M1794" s="44"/>
      <c r="N1794" s="44"/>
      <c r="O1794" s="44"/>
      <c r="P1794" s="44"/>
      <c r="Q1794" s="44"/>
    </row>
    <row r="1795" spans="8:17" x14ac:dyDescent="0.25">
      <c r="H1795" s="44"/>
      <c r="I1795" s="44"/>
      <c r="J1795" s="45"/>
      <c r="K1795" s="45"/>
      <c r="L1795" s="45"/>
      <c r="M1795" s="44"/>
      <c r="N1795" s="44"/>
      <c r="O1795" s="44"/>
      <c r="P1795" s="44"/>
      <c r="Q1795" s="44"/>
    </row>
    <row r="1796" spans="8:17" x14ac:dyDescent="0.25">
      <c r="H1796" s="44"/>
      <c r="I1796" s="44"/>
      <c r="J1796" s="45"/>
      <c r="K1796" s="45"/>
      <c r="L1796" s="45"/>
      <c r="M1796" s="44"/>
      <c r="N1796" s="44"/>
      <c r="O1796" s="44"/>
      <c r="P1796" s="44"/>
      <c r="Q1796" s="44"/>
    </row>
    <row r="1797" spans="8:17" x14ac:dyDescent="0.25">
      <c r="H1797" s="44"/>
      <c r="I1797" s="44"/>
      <c r="J1797" s="45"/>
      <c r="K1797" s="45"/>
      <c r="L1797" s="45"/>
      <c r="M1797" s="44"/>
      <c r="N1797" s="44"/>
      <c r="O1797" s="44"/>
      <c r="P1797" s="44"/>
      <c r="Q1797" s="44"/>
    </row>
    <row r="1798" spans="8:17" x14ac:dyDescent="0.25">
      <c r="H1798" s="44"/>
      <c r="I1798" s="44"/>
      <c r="J1798" s="45"/>
      <c r="K1798" s="45"/>
      <c r="L1798" s="45"/>
      <c r="M1798" s="44"/>
      <c r="N1798" s="44"/>
      <c r="O1798" s="44"/>
      <c r="P1798" s="44"/>
      <c r="Q1798" s="44"/>
    </row>
    <row r="1799" spans="8:17" x14ac:dyDescent="0.25">
      <c r="H1799" s="44"/>
      <c r="I1799" s="44"/>
      <c r="J1799" s="45"/>
      <c r="K1799" s="45"/>
      <c r="L1799" s="45"/>
      <c r="M1799" s="44"/>
      <c r="N1799" s="44"/>
      <c r="O1799" s="44"/>
      <c r="P1799" s="44"/>
      <c r="Q1799" s="44"/>
    </row>
    <row r="1800" spans="8:17" x14ac:dyDescent="0.25">
      <c r="H1800" s="44"/>
      <c r="I1800" s="44"/>
      <c r="J1800" s="45"/>
      <c r="K1800" s="45"/>
      <c r="L1800" s="45"/>
      <c r="M1800" s="44"/>
      <c r="N1800" s="44"/>
      <c r="O1800" s="44"/>
      <c r="P1800" s="44"/>
      <c r="Q1800" s="44"/>
    </row>
    <row r="1801" spans="8:17" x14ac:dyDescent="0.25">
      <c r="H1801" s="44"/>
      <c r="I1801" s="44"/>
      <c r="J1801" s="45"/>
      <c r="K1801" s="45"/>
      <c r="L1801" s="45"/>
      <c r="M1801" s="44"/>
      <c r="N1801" s="44"/>
      <c r="O1801" s="44"/>
      <c r="P1801" s="44"/>
      <c r="Q1801" s="44"/>
    </row>
    <row r="1802" spans="8:17" x14ac:dyDescent="0.25">
      <c r="H1802" s="44"/>
      <c r="I1802" s="44"/>
      <c r="J1802" s="45"/>
      <c r="K1802" s="45"/>
      <c r="L1802" s="45"/>
      <c r="M1802" s="44"/>
      <c r="N1802" s="44"/>
      <c r="O1802" s="44"/>
      <c r="P1802" s="44"/>
      <c r="Q1802" s="44"/>
    </row>
    <row r="1803" spans="8:17" x14ac:dyDescent="0.25">
      <c r="H1803" s="44"/>
      <c r="I1803" s="44"/>
      <c r="J1803" s="45"/>
      <c r="K1803" s="45"/>
      <c r="L1803" s="45"/>
      <c r="M1803" s="44"/>
      <c r="N1803" s="44"/>
      <c r="O1803" s="44"/>
      <c r="P1803" s="44"/>
      <c r="Q1803" s="44"/>
    </row>
    <row r="1804" spans="8:17" x14ac:dyDescent="0.25">
      <c r="H1804" s="44"/>
      <c r="I1804" s="44"/>
      <c r="J1804" s="45"/>
      <c r="K1804" s="45"/>
      <c r="L1804" s="45"/>
      <c r="M1804" s="44"/>
      <c r="N1804" s="44"/>
      <c r="O1804" s="44"/>
      <c r="P1804" s="44"/>
      <c r="Q1804" s="44"/>
    </row>
    <row r="1805" spans="8:17" x14ac:dyDescent="0.25">
      <c r="H1805" s="44"/>
      <c r="I1805" s="44"/>
      <c r="J1805" s="45"/>
      <c r="K1805" s="45"/>
      <c r="L1805" s="45"/>
      <c r="M1805" s="44"/>
      <c r="N1805" s="44"/>
      <c r="O1805" s="44"/>
      <c r="P1805" s="44"/>
      <c r="Q1805" s="44"/>
    </row>
    <row r="1806" spans="8:17" x14ac:dyDescent="0.25">
      <c r="H1806" s="44"/>
      <c r="I1806" s="44"/>
      <c r="J1806" s="45"/>
      <c r="K1806" s="45"/>
      <c r="L1806" s="45"/>
      <c r="M1806" s="44"/>
      <c r="N1806" s="44"/>
      <c r="O1806" s="44"/>
      <c r="P1806" s="44"/>
      <c r="Q1806" s="44"/>
    </row>
    <row r="1807" spans="8:17" x14ac:dyDescent="0.25">
      <c r="H1807" s="44"/>
      <c r="I1807" s="44"/>
      <c r="J1807" s="45"/>
      <c r="K1807" s="45"/>
      <c r="L1807" s="45"/>
      <c r="M1807" s="44"/>
      <c r="N1807" s="44"/>
      <c r="O1807" s="44"/>
      <c r="P1807" s="44"/>
      <c r="Q1807" s="44"/>
    </row>
    <row r="1808" spans="8:17" x14ac:dyDescent="0.25">
      <c r="H1808" s="44"/>
      <c r="I1808" s="44"/>
      <c r="J1808" s="45"/>
      <c r="K1808" s="45"/>
      <c r="L1808" s="45"/>
      <c r="M1808" s="44"/>
      <c r="N1808" s="44"/>
      <c r="O1808" s="44"/>
      <c r="P1808" s="44"/>
      <c r="Q1808" s="44"/>
    </row>
    <row r="1809" spans="8:17" x14ac:dyDescent="0.25">
      <c r="H1809" s="44"/>
      <c r="I1809" s="44"/>
      <c r="J1809" s="45"/>
      <c r="K1809" s="45"/>
      <c r="L1809" s="45"/>
      <c r="M1809" s="44"/>
      <c r="N1809" s="44"/>
      <c r="O1809" s="44"/>
      <c r="P1809" s="44"/>
      <c r="Q1809" s="44"/>
    </row>
    <row r="1810" spans="8:17" x14ac:dyDescent="0.25">
      <c r="H1810" s="44"/>
      <c r="I1810" s="44"/>
      <c r="J1810" s="45"/>
      <c r="K1810" s="45"/>
      <c r="L1810" s="45"/>
      <c r="M1810" s="44"/>
      <c r="N1810" s="44"/>
      <c r="O1810" s="44"/>
      <c r="P1810" s="44"/>
      <c r="Q1810" s="44"/>
    </row>
    <row r="1811" spans="8:17" x14ac:dyDescent="0.25">
      <c r="H1811" s="44"/>
      <c r="I1811" s="44"/>
      <c r="J1811" s="45"/>
      <c r="K1811" s="45"/>
      <c r="L1811" s="45"/>
      <c r="M1811" s="44"/>
      <c r="N1811" s="44"/>
      <c r="O1811" s="44"/>
      <c r="P1811" s="44"/>
      <c r="Q1811" s="44"/>
    </row>
    <row r="1812" spans="8:17" x14ac:dyDescent="0.25">
      <c r="H1812" s="44"/>
      <c r="I1812" s="44"/>
      <c r="J1812" s="45"/>
      <c r="K1812" s="45"/>
      <c r="L1812" s="45"/>
      <c r="M1812" s="44"/>
      <c r="N1812" s="44"/>
      <c r="O1812" s="44"/>
      <c r="P1812" s="44"/>
      <c r="Q1812" s="44"/>
    </row>
    <row r="1813" spans="8:17" x14ac:dyDescent="0.25">
      <c r="H1813" s="44"/>
      <c r="I1813" s="44"/>
      <c r="J1813" s="45"/>
      <c r="K1813" s="45"/>
      <c r="L1813" s="45"/>
      <c r="M1813" s="44"/>
      <c r="N1813" s="44"/>
      <c r="O1813" s="44"/>
      <c r="P1813" s="44"/>
      <c r="Q1813" s="44"/>
    </row>
    <row r="1814" spans="8:17" x14ac:dyDescent="0.25">
      <c r="H1814" s="44"/>
      <c r="I1814" s="44"/>
      <c r="J1814" s="45"/>
      <c r="K1814" s="45"/>
      <c r="L1814" s="45"/>
      <c r="M1814" s="44"/>
      <c r="N1814" s="44"/>
      <c r="O1814" s="44"/>
      <c r="P1814" s="44"/>
      <c r="Q1814" s="44"/>
    </row>
    <row r="1815" spans="8:17" x14ac:dyDescent="0.25">
      <c r="H1815" s="44"/>
      <c r="I1815" s="44"/>
      <c r="J1815" s="45"/>
      <c r="K1815" s="45"/>
      <c r="L1815" s="45"/>
      <c r="M1815" s="44"/>
      <c r="N1815" s="44"/>
      <c r="O1815" s="44"/>
      <c r="P1815" s="44"/>
      <c r="Q1815" s="44"/>
    </row>
    <row r="1816" spans="8:17" x14ac:dyDescent="0.25">
      <c r="H1816" s="44"/>
      <c r="I1816" s="44"/>
      <c r="J1816" s="45"/>
      <c r="K1816" s="45"/>
      <c r="L1816" s="45"/>
      <c r="M1816" s="44"/>
      <c r="N1816" s="44"/>
      <c r="O1816" s="44"/>
      <c r="P1816" s="44"/>
      <c r="Q1816" s="44"/>
    </row>
    <row r="1817" spans="8:17" x14ac:dyDescent="0.25">
      <c r="H1817" s="44"/>
      <c r="I1817" s="44"/>
      <c r="J1817" s="45"/>
      <c r="K1817" s="45"/>
      <c r="L1817" s="45"/>
      <c r="M1817" s="44"/>
      <c r="N1817" s="44"/>
      <c r="O1817" s="44"/>
      <c r="P1817" s="44"/>
      <c r="Q1817" s="44"/>
    </row>
    <row r="1818" spans="8:17" x14ac:dyDescent="0.25">
      <c r="H1818" s="44"/>
      <c r="I1818" s="44"/>
      <c r="J1818" s="45"/>
      <c r="K1818" s="45"/>
      <c r="L1818" s="45"/>
      <c r="M1818" s="44"/>
      <c r="N1818" s="44"/>
      <c r="O1818" s="44"/>
      <c r="P1818" s="44"/>
      <c r="Q1818" s="44"/>
    </row>
    <row r="1819" spans="8:17" x14ac:dyDescent="0.25">
      <c r="H1819" s="44"/>
      <c r="I1819" s="44"/>
      <c r="J1819" s="45"/>
      <c r="K1819" s="45"/>
      <c r="L1819" s="45"/>
      <c r="M1819" s="44"/>
      <c r="N1819" s="44"/>
      <c r="O1819" s="44"/>
      <c r="P1819" s="44"/>
      <c r="Q1819" s="44"/>
    </row>
    <row r="1820" spans="8:17" x14ac:dyDescent="0.25">
      <c r="H1820" s="44"/>
      <c r="I1820" s="44"/>
      <c r="J1820" s="45"/>
      <c r="K1820" s="45"/>
      <c r="L1820" s="45"/>
      <c r="M1820" s="44"/>
      <c r="N1820" s="44"/>
      <c r="O1820" s="44"/>
      <c r="P1820" s="44"/>
      <c r="Q1820" s="44"/>
    </row>
    <row r="1821" spans="8:17" x14ac:dyDescent="0.25">
      <c r="H1821" s="44"/>
      <c r="I1821" s="44"/>
      <c r="J1821" s="45"/>
      <c r="K1821" s="45"/>
      <c r="L1821" s="45"/>
      <c r="M1821" s="44"/>
      <c r="N1821" s="44"/>
      <c r="O1821" s="44"/>
      <c r="P1821" s="44"/>
      <c r="Q1821" s="44"/>
    </row>
    <row r="1822" spans="8:17" x14ac:dyDescent="0.25">
      <c r="H1822" s="44"/>
      <c r="I1822" s="44"/>
      <c r="J1822" s="45"/>
      <c r="K1822" s="45"/>
      <c r="L1822" s="45"/>
      <c r="M1822" s="44"/>
      <c r="N1822" s="44"/>
      <c r="O1822" s="44"/>
      <c r="P1822" s="44"/>
      <c r="Q1822" s="44"/>
    </row>
    <row r="1823" spans="8:17" x14ac:dyDescent="0.25">
      <c r="H1823" s="44"/>
      <c r="I1823" s="44"/>
      <c r="J1823" s="45"/>
      <c r="K1823" s="45"/>
      <c r="L1823" s="45"/>
      <c r="M1823" s="44"/>
      <c r="N1823" s="44"/>
      <c r="O1823" s="44"/>
      <c r="P1823" s="44"/>
      <c r="Q1823" s="44"/>
    </row>
    <row r="1824" spans="8:17" x14ac:dyDescent="0.25">
      <c r="H1824" s="44"/>
      <c r="I1824" s="44"/>
      <c r="J1824" s="45"/>
      <c r="K1824" s="45"/>
      <c r="L1824" s="45"/>
      <c r="M1824" s="44"/>
      <c r="N1824" s="44"/>
      <c r="O1824" s="44"/>
      <c r="P1824" s="44"/>
      <c r="Q1824" s="44"/>
    </row>
    <row r="1825" spans="8:17" x14ac:dyDescent="0.25">
      <c r="H1825" s="44"/>
      <c r="I1825" s="44"/>
      <c r="J1825" s="45"/>
      <c r="K1825" s="45"/>
      <c r="L1825" s="45"/>
      <c r="M1825" s="44"/>
      <c r="N1825" s="44"/>
      <c r="O1825" s="44"/>
      <c r="P1825" s="44"/>
      <c r="Q1825" s="44"/>
    </row>
    <row r="1826" spans="8:17" x14ac:dyDescent="0.25">
      <c r="H1826" s="44"/>
      <c r="I1826" s="44"/>
      <c r="J1826" s="45"/>
      <c r="K1826" s="45"/>
      <c r="L1826" s="45"/>
      <c r="M1826" s="44"/>
      <c r="N1826" s="44"/>
      <c r="O1826" s="44"/>
      <c r="P1826" s="44"/>
      <c r="Q1826" s="44"/>
    </row>
    <row r="1827" spans="8:17" x14ac:dyDescent="0.25">
      <c r="H1827" s="44"/>
      <c r="I1827" s="44"/>
      <c r="J1827" s="45"/>
      <c r="K1827" s="45"/>
      <c r="L1827" s="45"/>
      <c r="M1827" s="44"/>
      <c r="N1827" s="44"/>
      <c r="O1827" s="44"/>
      <c r="P1827" s="44"/>
      <c r="Q1827" s="44"/>
    </row>
    <row r="1828" spans="8:17" x14ac:dyDescent="0.25">
      <c r="H1828" s="44"/>
      <c r="I1828" s="44"/>
      <c r="J1828" s="45"/>
      <c r="K1828" s="45"/>
      <c r="L1828" s="45"/>
      <c r="M1828" s="44"/>
      <c r="N1828" s="44"/>
      <c r="O1828" s="44"/>
      <c r="P1828" s="44"/>
      <c r="Q1828" s="44"/>
    </row>
    <row r="1829" spans="8:17" x14ac:dyDescent="0.25">
      <c r="H1829" s="44"/>
      <c r="I1829" s="44"/>
      <c r="J1829" s="45"/>
      <c r="K1829" s="45"/>
      <c r="L1829" s="45"/>
      <c r="M1829" s="44"/>
      <c r="N1829" s="44"/>
      <c r="O1829" s="44"/>
      <c r="P1829" s="44"/>
      <c r="Q1829" s="44"/>
    </row>
    <row r="1830" spans="8:17" x14ac:dyDescent="0.25">
      <c r="H1830" s="44"/>
      <c r="I1830" s="44"/>
      <c r="J1830" s="45"/>
      <c r="K1830" s="45"/>
      <c r="L1830" s="45"/>
      <c r="M1830" s="44"/>
      <c r="N1830" s="44"/>
      <c r="O1830" s="44"/>
      <c r="P1830" s="44"/>
      <c r="Q1830" s="44"/>
    </row>
    <row r="1831" spans="8:17" x14ac:dyDescent="0.25">
      <c r="H1831" s="44"/>
      <c r="I1831" s="44"/>
      <c r="J1831" s="45"/>
      <c r="K1831" s="45"/>
      <c r="L1831" s="45"/>
      <c r="M1831" s="44"/>
      <c r="N1831" s="44"/>
      <c r="O1831" s="44"/>
      <c r="P1831" s="44"/>
      <c r="Q1831" s="44"/>
    </row>
    <row r="1832" spans="8:17" x14ac:dyDescent="0.25">
      <c r="H1832" s="44"/>
      <c r="I1832" s="44"/>
      <c r="J1832" s="45"/>
      <c r="K1832" s="45"/>
      <c r="L1832" s="45"/>
      <c r="M1832" s="44"/>
      <c r="N1832" s="44"/>
      <c r="O1832" s="44"/>
      <c r="P1832" s="44"/>
      <c r="Q1832" s="44"/>
    </row>
    <row r="1833" spans="8:17" x14ac:dyDescent="0.25">
      <c r="H1833" s="44"/>
      <c r="I1833" s="44"/>
      <c r="J1833" s="45"/>
      <c r="K1833" s="45"/>
      <c r="L1833" s="45"/>
      <c r="M1833" s="44"/>
      <c r="N1833" s="44"/>
      <c r="O1833" s="44"/>
      <c r="P1833" s="44"/>
      <c r="Q1833" s="44"/>
    </row>
    <row r="1834" spans="8:17" x14ac:dyDescent="0.25">
      <c r="H1834" s="44"/>
      <c r="I1834" s="44"/>
      <c r="J1834" s="45"/>
      <c r="K1834" s="45"/>
      <c r="L1834" s="45"/>
      <c r="M1834" s="44"/>
      <c r="N1834" s="44"/>
      <c r="O1834" s="44"/>
      <c r="P1834" s="44"/>
      <c r="Q1834" s="44"/>
    </row>
    <row r="1835" spans="8:17" x14ac:dyDescent="0.25">
      <c r="H1835" s="44"/>
      <c r="I1835" s="44"/>
      <c r="J1835" s="45"/>
      <c r="K1835" s="45"/>
      <c r="L1835" s="45"/>
      <c r="M1835" s="44"/>
      <c r="N1835" s="44"/>
      <c r="O1835" s="44"/>
      <c r="P1835" s="44"/>
      <c r="Q1835" s="44"/>
    </row>
    <row r="1836" spans="8:17" x14ac:dyDescent="0.25">
      <c r="H1836" s="44"/>
      <c r="I1836" s="44"/>
      <c r="J1836" s="45"/>
      <c r="K1836" s="45"/>
      <c r="L1836" s="45"/>
      <c r="M1836" s="44"/>
      <c r="N1836" s="44"/>
      <c r="O1836" s="44"/>
      <c r="P1836" s="44"/>
      <c r="Q1836" s="44"/>
    </row>
    <row r="1837" spans="8:17" x14ac:dyDescent="0.25">
      <c r="H1837" s="44"/>
      <c r="I1837" s="44"/>
      <c r="J1837" s="45"/>
      <c r="K1837" s="45"/>
      <c r="L1837" s="45"/>
      <c r="M1837" s="44"/>
      <c r="N1837" s="44"/>
      <c r="O1837" s="44"/>
      <c r="P1837" s="44"/>
      <c r="Q1837" s="44"/>
    </row>
    <row r="1838" spans="8:17" x14ac:dyDescent="0.25">
      <c r="H1838" s="44"/>
      <c r="I1838" s="44"/>
      <c r="J1838" s="45"/>
      <c r="K1838" s="45"/>
      <c r="L1838" s="45"/>
      <c r="M1838" s="44"/>
      <c r="N1838" s="44"/>
      <c r="O1838" s="44"/>
      <c r="P1838" s="44"/>
      <c r="Q1838" s="44"/>
    </row>
    <row r="1839" spans="8:17" x14ac:dyDescent="0.25">
      <c r="H1839" s="44"/>
      <c r="I1839" s="44"/>
      <c r="J1839" s="45"/>
      <c r="K1839" s="45"/>
      <c r="L1839" s="45"/>
      <c r="M1839" s="44"/>
      <c r="N1839" s="44"/>
      <c r="O1839" s="44"/>
      <c r="P1839" s="44"/>
      <c r="Q1839" s="44"/>
    </row>
    <row r="1840" spans="8:17" x14ac:dyDescent="0.25">
      <c r="H1840" s="44"/>
      <c r="I1840" s="44"/>
      <c r="J1840" s="45"/>
      <c r="K1840" s="45"/>
      <c r="L1840" s="45"/>
      <c r="M1840" s="44"/>
      <c r="N1840" s="44"/>
      <c r="O1840" s="44"/>
      <c r="P1840" s="44"/>
      <c r="Q1840" s="44"/>
    </row>
    <row r="1841" spans="8:17" x14ac:dyDescent="0.25">
      <c r="H1841" s="44"/>
      <c r="I1841" s="44"/>
      <c r="J1841" s="45"/>
      <c r="K1841" s="45"/>
      <c r="L1841" s="45"/>
      <c r="M1841" s="44"/>
      <c r="N1841" s="44"/>
      <c r="O1841" s="44"/>
      <c r="P1841" s="44"/>
      <c r="Q1841" s="44"/>
    </row>
    <row r="1842" spans="8:17" x14ac:dyDescent="0.25">
      <c r="H1842" s="44"/>
      <c r="I1842" s="44"/>
      <c r="J1842" s="45"/>
      <c r="K1842" s="45"/>
      <c r="L1842" s="45"/>
      <c r="M1842" s="44"/>
      <c r="N1842" s="44"/>
      <c r="O1842" s="44"/>
      <c r="P1842" s="44"/>
      <c r="Q1842" s="44"/>
    </row>
    <row r="1843" spans="8:17" x14ac:dyDescent="0.25">
      <c r="H1843" s="44"/>
      <c r="I1843" s="44"/>
      <c r="J1843" s="45"/>
      <c r="K1843" s="45"/>
      <c r="L1843" s="45"/>
      <c r="M1843" s="44"/>
      <c r="N1843" s="44"/>
      <c r="O1843" s="44"/>
      <c r="P1843" s="44"/>
      <c r="Q1843" s="44"/>
    </row>
    <row r="1844" spans="8:17" x14ac:dyDescent="0.25">
      <c r="H1844" s="44"/>
      <c r="I1844" s="44"/>
      <c r="J1844" s="45"/>
      <c r="K1844" s="45"/>
      <c r="L1844" s="45"/>
      <c r="M1844" s="44"/>
      <c r="N1844" s="44"/>
      <c r="O1844" s="44"/>
      <c r="P1844" s="44"/>
      <c r="Q1844" s="44"/>
    </row>
    <row r="1845" spans="8:17" x14ac:dyDescent="0.25">
      <c r="H1845" s="44"/>
      <c r="I1845" s="44"/>
      <c r="J1845" s="45"/>
      <c r="K1845" s="45"/>
      <c r="L1845" s="45"/>
      <c r="M1845" s="44"/>
      <c r="N1845" s="44"/>
      <c r="O1845" s="44"/>
      <c r="P1845" s="44"/>
      <c r="Q1845" s="44"/>
    </row>
    <row r="1846" spans="8:17" x14ac:dyDescent="0.25">
      <c r="H1846" s="44"/>
      <c r="I1846" s="44"/>
      <c r="J1846" s="45"/>
      <c r="K1846" s="45"/>
      <c r="L1846" s="45"/>
      <c r="M1846" s="44"/>
      <c r="N1846" s="44"/>
      <c r="O1846" s="44"/>
      <c r="P1846" s="44"/>
      <c r="Q1846" s="44"/>
    </row>
    <row r="1847" spans="8:17" x14ac:dyDescent="0.25">
      <c r="H1847" s="44"/>
      <c r="I1847" s="44"/>
      <c r="J1847" s="45"/>
      <c r="K1847" s="45"/>
      <c r="L1847" s="45"/>
      <c r="M1847" s="44"/>
      <c r="N1847" s="44"/>
      <c r="O1847" s="44"/>
      <c r="P1847" s="44"/>
      <c r="Q1847" s="44"/>
    </row>
    <row r="1848" spans="8:17" x14ac:dyDescent="0.25">
      <c r="H1848" s="44"/>
      <c r="I1848" s="44"/>
      <c r="J1848" s="45"/>
      <c r="K1848" s="45"/>
      <c r="L1848" s="45"/>
      <c r="M1848" s="44"/>
      <c r="N1848" s="44"/>
      <c r="O1848" s="44"/>
      <c r="P1848" s="44"/>
      <c r="Q1848" s="44"/>
    </row>
    <row r="1849" spans="8:17" x14ac:dyDescent="0.25">
      <c r="H1849" s="44"/>
      <c r="I1849" s="44"/>
      <c r="J1849" s="45"/>
      <c r="K1849" s="45"/>
      <c r="L1849" s="45"/>
      <c r="M1849" s="44"/>
      <c r="N1849" s="44"/>
      <c r="O1849" s="44"/>
      <c r="P1849" s="44"/>
      <c r="Q1849" s="44"/>
    </row>
    <row r="1850" spans="8:17" x14ac:dyDescent="0.25">
      <c r="H1850" s="44"/>
      <c r="I1850" s="44"/>
      <c r="J1850" s="45"/>
      <c r="K1850" s="45"/>
      <c r="L1850" s="45"/>
      <c r="M1850" s="44"/>
      <c r="N1850" s="44"/>
      <c r="O1850" s="44"/>
      <c r="P1850" s="44"/>
      <c r="Q1850" s="44"/>
    </row>
    <row r="1851" spans="8:17" x14ac:dyDescent="0.25">
      <c r="H1851" s="44"/>
      <c r="I1851" s="44"/>
      <c r="J1851" s="45"/>
      <c r="K1851" s="45"/>
      <c r="L1851" s="45"/>
      <c r="M1851" s="44"/>
      <c r="N1851" s="44"/>
      <c r="O1851" s="44"/>
      <c r="P1851" s="44"/>
      <c r="Q1851" s="44"/>
    </row>
    <row r="1852" spans="8:17" x14ac:dyDescent="0.25">
      <c r="H1852" s="44"/>
      <c r="I1852" s="44"/>
      <c r="J1852" s="45"/>
      <c r="K1852" s="45"/>
      <c r="L1852" s="45"/>
      <c r="M1852" s="44"/>
      <c r="N1852" s="44"/>
      <c r="O1852" s="44"/>
      <c r="P1852" s="44"/>
      <c r="Q1852" s="44"/>
    </row>
    <row r="1853" spans="8:17" x14ac:dyDescent="0.25">
      <c r="H1853" s="44"/>
      <c r="I1853" s="44"/>
      <c r="J1853" s="45"/>
      <c r="K1853" s="45"/>
      <c r="L1853" s="45"/>
      <c r="M1853" s="44"/>
      <c r="N1853" s="44"/>
      <c r="O1853" s="44"/>
      <c r="P1853" s="44"/>
      <c r="Q1853" s="44"/>
    </row>
    <row r="1854" spans="8:17" x14ac:dyDescent="0.25">
      <c r="H1854" s="44"/>
      <c r="I1854" s="44"/>
      <c r="J1854" s="45"/>
      <c r="K1854" s="45"/>
      <c r="L1854" s="45"/>
      <c r="M1854" s="44"/>
      <c r="N1854" s="44"/>
      <c r="O1854" s="44"/>
      <c r="P1854" s="44"/>
      <c r="Q1854" s="44"/>
    </row>
    <row r="1855" spans="8:17" x14ac:dyDescent="0.25">
      <c r="H1855" s="44"/>
      <c r="I1855" s="44"/>
      <c r="J1855" s="45"/>
      <c r="K1855" s="45"/>
      <c r="L1855" s="45"/>
      <c r="M1855" s="44"/>
      <c r="N1855" s="44"/>
      <c r="O1855" s="44"/>
      <c r="P1855" s="44"/>
      <c r="Q1855" s="44"/>
    </row>
    <row r="1856" spans="8:17" x14ac:dyDescent="0.25">
      <c r="H1856" s="44"/>
      <c r="I1856" s="44"/>
      <c r="J1856" s="45"/>
      <c r="K1856" s="45"/>
      <c r="L1856" s="45"/>
      <c r="M1856" s="44"/>
      <c r="N1856" s="44"/>
      <c r="O1856" s="44"/>
      <c r="P1856" s="44"/>
      <c r="Q1856" s="44"/>
    </row>
    <row r="1857" spans="8:17" x14ac:dyDescent="0.25">
      <c r="H1857" s="44"/>
      <c r="I1857" s="44"/>
      <c r="J1857" s="45"/>
      <c r="K1857" s="45"/>
      <c r="L1857" s="45"/>
      <c r="M1857" s="44"/>
      <c r="N1857" s="44"/>
      <c r="O1857" s="44"/>
      <c r="P1857" s="44"/>
      <c r="Q1857" s="44"/>
    </row>
    <row r="1858" spans="8:17" x14ac:dyDescent="0.25">
      <c r="H1858" s="44"/>
      <c r="I1858" s="44"/>
      <c r="J1858" s="45"/>
      <c r="K1858" s="45"/>
      <c r="L1858" s="45"/>
      <c r="M1858" s="44"/>
      <c r="N1858" s="44"/>
      <c r="O1858" s="44"/>
      <c r="P1858" s="44"/>
      <c r="Q1858" s="44"/>
    </row>
    <row r="1859" spans="8:17" x14ac:dyDescent="0.25">
      <c r="H1859" s="44"/>
      <c r="I1859" s="44"/>
      <c r="J1859" s="45"/>
      <c r="K1859" s="45"/>
      <c r="L1859" s="45"/>
      <c r="M1859" s="44"/>
      <c r="N1859" s="44"/>
      <c r="O1859" s="44"/>
      <c r="P1859" s="44"/>
      <c r="Q1859" s="44"/>
    </row>
    <row r="1860" spans="8:17" x14ac:dyDescent="0.25">
      <c r="H1860" s="44"/>
      <c r="I1860" s="44"/>
      <c r="J1860" s="45"/>
      <c r="K1860" s="45"/>
      <c r="L1860" s="45"/>
      <c r="M1860" s="44"/>
      <c r="N1860" s="44"/>
      <c r="O1860" s="44"/>
      <c r="P1860" s="44"/>
      <c r="Q1860" s="44"/>
    </row>
    <row r="1861" spans="8:17" x14ac:dyDescent="0.25">
      <c r="H1861" s="44"/>
      <c r="I1861" s="44"/>
      <c r="J1861" s="45"/>
      <c r="K1861" s="45"/>
      <c r="L1861" s="45"/>
      <c r="M1861" s="44"/>
      <c r="N1861" s="44"/>
      <c r="O1861" s="44"/>
      <c r="P1861" s="44"/>
      <c r="Q1861" s="44"/>
    </row>
    <row r="1862" spans="8:17" x14ac:dyDescent="0.25">
      <c r="H1862" s="44"/>
      <c r="I1862" s="44"/>
      <c r="J1862" s="45"/>
      <c r="K1862" s="45"/>
      <c r="L1862" s="45"/>
      <c r="M1862" s="44"/>
      <c r="N1862" s="44"/>
      <c r="O1862" s="44"/>
      <c r="P1862" s="44"/>
      <c r="Q1862" s="44"/>
    </row>
    <row r="1863" spans="8:17" x14ac:dyDescent="0.25">
      <c r="H1863" s="44"/>
      <c r="I1863" s="44"/>
      <c r="J1863" s="45"/>
      <c r="K1863" s="45"/>
      <c r="L1863" s="45"/>
      <c r="M1863" s="44"/>
      <c r="N1863" s="44"/>
      <c r="O1863" s="44"/>
      <c r="P1863" s="44"/>
      <c r="Q1863" s="44"/>
    </row>
    <row r="1864" spans="8:17" x14ac:dyDescent="0.25">
      <c r="H1864" s="44"/>
      <c r="I1864" s="44"/>
      <c r="J1864" s="45"/>
      <c r="K1864" s="45"/>
      <c r="L1864" s="45"/>
      <c r="M1864" s="44"/>
      <c r="N1864" s="44"/>
      <c r="O1864" s="44"/>
      <c r="P1864" s="44"/>
      <c r="Q1864" s="44"/>
    </row>
    <row r="1865" spans="8:17" x14ac:dyDescent="0.25">
      <c r="H1865" s="44"/>
      <c r="I1865" s="44"/>
      <c r="J1865" s="45"/>
      <c r="K1865" s="45"/>
      <c r="L1865" s="45"/>
      <c r="M1865" s="44"/>
      <c r="N1865" s="44"/>
      <c r="O1865" s="44"/>
      <c r="P1865" s="44"/>
      <c r="Q1865" s="44"/>
    </row>
    <row r="1866" spans="8:17" x14ac:dyDescent="0.25">
      <c r="H1866" s="44"/>
      <c r="I1866" s="44"/>
      <c r="J1866" s="45"/>
      <c r="K1866" s="45"/>
      <c r="L1866" s="45"/>
      <c r="M1866" s="44"/>
      <c r="N1866" s="44"/>
      <c r="O1866" s="44"/>
      <c r="P1866" s="44"/>
      <c r="Q1866" s="44"/>
    </row>
    <row r="1867" spans="8:17" x14ac:dyDescent="0.25">
      <c r="H1867" s="44"/>
      <c r="I1867" s="44"/>
      <c r="J1867" s="45"/>
      <c r="K1867" s="45"/>
      <c r="L1867" s="45"/>
      <c r="M1867" s="44"/>
      <c r="N1867" s="44"/>
      <c r="O1867" s="44"/>
      <c r="P1867" s="44"/>
      <c r="Q1867" s="44"/>
    </row>
    <row r="1868" spans="8:17" x14ac:dyDescent="0.25">
      <c r="H1868" s="44"/>
      <c r="I1868" s="44"/>
      <c r="J1868" s="45"/>
      <c r="K1868" s="45"/>
      <c r="L1868" s="45"/>
      <c r="M1868" s="44"/>
      <c r="N1868" s="44"/>
      <c r="O1868" s="44"/>
      <c r="P1868" s="44"/>
      <c r="Q1868" s="44"/>
    </row>
    <row r="1869" spans="8:17" x14ac:dyDescent="0.25">
      <c r="H1869" s="44"/>
      <c r="I1869" s="44"/>
      <c r="J1869" s="45"/>
      <c r="K1869" s="45"/>
      <c r="L1869" s="45"/>
      <c r="M1869" s="44"/>
      <c r="N1869" s="44"/>
      <c r="O1869" s="44"/>
      <c r="P1869" s="44"/>
      <c r="Q1869" s="44"/>
    </row>
    <row r="1870" spans="8:17" x14ac:dyDescent="0.25">
      <c r="H1870" s="44"/>
      <c r="I1870" s="44"/>
      <c r="J1870" s="45"/>
      <c r="K1870" s="45"/>
      <c r="L1870" s="45"/>
      <c r="M1870" s="44"/>
      <c r="N1870" s="44"/>
      <c r="O1870" s="44"/>
      <c r="P1870" s="44"/>
      <c r="Q1870" s="44"/>
    </row>
    <row r="1871" spans="8:17" x14ac:dyDescent="0.25">
      <c r="H1871" s="44"/>
      <c r="I1871" s="44"/>
      <c r="J1871" s="45"/>
      <c r="K1871" s="45"/>
      <c r="L1871" s="45"/>
      <c r="M1871" s="44"/>
      <c r="N1871" s="44"/>
      <c r="O1871" s="44"/>
      <c r="P1871" s="44"/>
      <c r="Q1871" s="44"/>
    </row>
    <row r="1872" spans="8:17" x14ac:dyDescent="0.25">
      <c r="H1872" s="44"/>
      <c r="I1872" s="44"/>
      <c r="J1872" s="45"/>
      <c r="K1872" s="45"/>
      <c r="L1872" s="45"/>
      <c r="M1872" s="44"/>
      <c r="N1872" s="44"/>
      <c r="O1872" s="44"/>
      <c r="P1872" s="44"/>
      <c r="Q1872" s="44"/>
    </row>
    <row r="1873" spans="8:17" x14ac:dyDescent="0.25">
      <c r="H1873" s="44"/>
      <c r="I1873" s="44"/>
      <c r="J1873" s="45"/>
      <c r="K1873" s="45"/>
      <c r="L1873" s="45"/>
      <c r="M1873" s="44"/>
      <c r="N1873" s="44"/>
      <c r="O1873" s="44"/>
      <c r="P1873" s="44"/>
      <c r="Q1873" s="44"/>
    </row>
    <row r="1874" spans="8:17" x14ac:dyDescent="0.25">
      <c r="H1874" s="44"/>
      <c r="I1874" s="44"/>
      <c r="J1874" s="45"/>
      <c r="K1874" s="45"/>
      <c r="L1874" s="45"/>
      <c r="M1874" s="44"/>
      <c r="N1874" s="44"/>
      <c r="O1874" s="44"/>
      <c r="P1874" s="44"/>
      <c r="Q1874" s="44"/>
    </row>
    <row r="1875" spans="8:17" x14ac:dyDescent="0.25">
      <c r="H1875" s="44"/>
      <c r="I1875" s="44"/>
      <c r="J1875" s="45"/>
      <c r="K1875" s="45"/>
      <c r="L1875" s="45"/>
      <c r="M1875" s="44"/>
      <c r="N1875" s="44"/>
      <c r="O1875" s="44"/>
      <c r="P1875" s="44"/>
      <c r="Q1875" s="44"/>
    </row>
    <row r="1876" spans="8:17" x14ac:dyDescent="0.25">
      <c r="H1876" s="44"/>
      <c r="I1876" s="44"/>
      <c r="J1876" s="45"/>
      <c r="K1876" s="45"/>
      <c r="L1876" s="45"/>
      <c r="M1876" s="44"/>
      <c r="N1876" s="44"/>
      <c r="O1876" s="44"/>
      <c r="P1876" s="44"/>
      <c r="Q1876" s="44"/>
    </row>
    <row r="1877" spans="8:17" x14ac:dyDescent="0.25">
      <c r="H1877" s="44"/>
      <c r="I1877" s="44"/>
      <c r="J1877" s="45"/>
      <c r="K1877" s="45"/>
      <c r="L1877" s="45"/>
      <c r="M1877" s="44"/>
      <c r="N1877" s="44"/>
      <c r="O1877" s="44"/>
      <c r="P1877" s="44"/>
      <c r="Q1877" s="44"/>
    </row>
    <row r="1878" spans="8:17" x14ac:dyDescent="0.25">
      <c r="H1878" s="44"/>
      <c r="I1878" s="44"/>
      <c r="J1878" s="45"/>
      <c r="K1878" s="45"/>
      <c r="L1878" s="45"/>
      <c r="M1878" s="44"/>
      <c r="N1878" s="44"/>
      <c r="O1878" s="44"/>
      <c r="P1878" s="44"/>
      <c r="Q1878" s="44"/>
    </row>
    <row r="1879" spans="8:17" x14ac:dyDescent="0.25">
      <c r="H1879" s="44"/>
      <c r="I1879" s="44"/>
      <c r="J1879" s="45"/>
      <c r="K1879" s="45"/>
      <c r="L1879" s="45"/>
      <c r="M1879" s="44"/>
      <c r="N1879" s="44"/>
      <c r="O1879" s="44"/>
      <c r="P1879" s="44"/>
      <c r="Q1879" s="44"/>
    </row>
    <row r="1880" spans="8:17" x14ac:dyDescent="0.25">
      <c r="H1880" s="44"/>
      <c r="I1880" s="44"/>
      <c r="J1880" s="45"/>
      <c r="K1880" s="45"/>
      <c r="L1880" s="45"/>
      <c r="M1880" s="44"/>
      <c r="N1880" s="44"/>
      <c r="O1880" s="44"/>
      <c r="P1880" s="44"/>
      <c r="Q1880" s="44"/>
    </row>
    <row r="1881" spans="8:17" x14ac:dyDescent="0.25">
      <c r="H1881" s="44"/>
      <c r="I1881" s="44"/>
      <c r="J1881" s="45"/>
      <c r="K1881" s="45"/>
      <c r="L1881" s="45"/>
      <c r="M1881" s="44"/>
      <c r="N1881" s="44"/>
      <c r="O1881" s="44"/>
      <c r="P1881" s="44"/>
      <c r="Q1881" s="44"/>
    </row>
    <row r="1882" spans="8:17" x14ac:dyDescent="0.25">
      <c r="H1882" s="44"/>
      <c r="I1882" s="44"/>
      <c r="J1882" s="45"/>
      <c r="K1882" s="45"/>
      <c r="L1882" s="45"/>
      <c r="M1882" s="44"/>
      <c r="N1882" s="44"/>
      <c r="O1882" s="44"/>
      <c r="P1882" s="44"/>
      <c r="Q1882" s="44"/>
    </row>
    <row r="1883" spans="8:17" x14ac:dyDescent="0.25">
      <c r="H1883" s="44"/>
      <c r="I1883" s="44"/>
      <c r="J1883" s="45"/>
      <c r="K1883" s="45"/>
      <c r="L1883" s="45"/>
      <c r="M1883" s="44"/>
      <c r="N1883" s="44"/>
      <c r="O1883" s="44"/>
      <c r="P1883" s="44"/>
      <c r="Q1883" s="44"/>
    </row>
    <row r="1884" spans="8:17" x14ac:dyDescent="0.25">
      <c r="H1884" s="44"/>
      <c r="I1884" s="44"/>
      <c r="J1884" s="45"/>
      <c r="K1884" s="45"/>
      <c r="L1884" s="45"/>
      <c r="M1884" s="44"/>
      <c r="N1884" s="44"/>
      <c r="O1884" s="44"/>
      <c r="P1884" s="44"/>
      <c r="Q1884" s="44"/>
    </row>
    <row r="1885" spans="8:17" x14ac:dyDescent="0.25">
      <c r="H1885" s="44"/>
      <c r="I1885" s="44"/>
      <c r="J1885" s="45"/>
      <c r="K1885" s="45"/>
      <c r="L1885" s="45"/>
      <c r="M1885" s="44"/>
      <c r="N1885" s="44"/>
      <c r="O1885" s="44"/>
      <c r="P1885" s="44"/>
      <c r="Q1885" s="44"/>
    </row>
    <row r="1886" spans="8:17" x14ac:dyDescent="0.25">
      <c r="H1886" s="44"/>
      <c r="I1886" s="44"/>
      <c r="J1886" s="45"/>
      <c r="K1886" s="45"/>
      <c r="L1886" s="45"/>
      <c r="M1886" s="44"/>
      <c r="N1886" s="44"/>
      <c r="O1886" s="44"/>
      <c r="P1886" s="44"/>
      <c r="Q1886" s="44"/>
    </row>
    <row r="1887" spans="8:17" x14ac:dyDescent="0.25">
      <c r="H1887" s="44"/>
      <c r="I1887" s="44"/>
      <c r="J1887" s="45"/>
      <c r="K1887" s="45"/>
      <c r="L1887" s="45"/>
      <c r="M1887" s="44"/>
      <c r="N1887" s="44"/>
      <c r="O1887" s="44"/>
      <c r="P1887" s="44"/>
      <c r="Q1887" s="44"/>
    </row>
    <row r="1888" spans="8:17" x14ac:dyDescent="0.25">
      <c r="H1888" s="44"/>
      <c r="I1888" s="44"/>
      <c r="J1888" s="45"/>
      <c r="K1888" s="45"/>
      <c r="L1888" s="45"/>
      <c r="M1888" s="44"/>
      <c r="N1888" s="44"/>
      <c r="O1888" s="44"/>
      <c r="P1888" s="44"/>
      <c r="Q1888" s="44"/>
    </row>
    <row r="1889" spans="8:17" x14ac:dyDescent="0.25">
      <c r="H1889" s="44"/>
      <c r="I1889" s="44"/>
      <c r="J1889" s="45"/>
      <c r="K1889" s="45"/>
      <c r="L1889" s="45"/>
      <c r="M1889" s="44"/>
      <c r="N1889" s="44"/>
      <c r="O1889" s="44"/>
      <c r="P1889" s="44"/>
      <c r="Q1889" s="44"/>
    </row>
    <row r="1890" spans="8:17" x14ac:dyDescent="0.25">
      <c r="H1890" s="44"/>
      <c r="I1890" s="44"/>
      <c r="J1890" s="45"/>
      <c r="K1890" s="45"/>
      <c r="L1890" s="45"/>
      <c r="M1890" s="44"/>
      <c r="N1890" s="44"/>
      <c r="O1890" s="44"/>
      <c r="P1890" s="44"/>
      <c r="Q1890" s="44"/>
    </row>
    <row r="1891" spans="8:17" x14ac:dyDescent="0.25">
      <c r="H1891" s="44"/>
      <c r="I1891" s="44"/>
      <c r="J1891" s="45"/>
      <c r="K1891" s="45"/>
      <c r="L1891" s="45"/>
      <c r="M1891" s="44"/>
      <c r="N1891" s="44"/>
      <c r="O1891" s="44"/>
      <c r="P1891" s="44"/>
      <c r="Q1891" s="44"/>
    </row>
    <row r="1892" spans="8:17" x14ac:dyDescent="0.25">
      <c r="H1892" s="44"/>
      <c r="I1892" s="44"/>
      <c r="J1892" s="45"/>
      <c r="K1892" s="45"/>
      <c r="L1892" s="45"/>
      <c r="M1892" s="44"/>
      <c r="N1892" s="44"/>
      <c r="O1892" s="44"/>
      <c r="P1892" s="44"/>
      <c r="Q1892" s="44"/>
    </row>
    <row r="1893" spans="8:17" x14ac:dyDescent="0.25">
      <c r="H1893" s="44"/>
      <c r="I1893" s="44"/>
      <c r="J1893" s="45"/>
      <c r="K1893" s="45"/>
      <c r="L1893" s="45"/>
      <c r="M1893" s="44"/>
      <c r="N1893" s="44"/>
      <c r="O1893" s="44"/>
      <c r="P1893" s="44"/>
      <c r="Q1893" s="44"/>
    </row>
    <row r="1894" spans="8:17" x14ac:dyDescent="0.25">
      <c r="H1894" s="44"/>
      <c r="I1894" s="44"/>
      <c r="J1894" s="45"/>
      <c r="K1894" s="45"/>
      <c r="L1894" s="45"/>
      <c r="M1894" s="44"/>
      <c r="N1894" s="44"/>
      <c r="O1894" s="44"/>
      <c r="P1894" s="44"/>
      <c r="Q1894" s="44"/>
    </row>
    <row r="1895" spans="8:17" x14ac:dyDescent="0.25">
      <c r="H1895" s="44"/>
      <c r="I1895" s="44"/>
      <c r="J1895" s="45"/>
      <c r="K1895" s="45"/>
      <c r="L1895" s="45"/>
      <c r="M1895" s="44"/>
      <c r="N1895" s="44"/>
      <c r="O1895" s="44"/>
      <c r="P1895" s="44"/>
      <c r="Q1895" s="44"/>
    </row>
    <row r="1896" spans="8:17" x14ac:dyDescent="0.25">
      <c r="H1896" s="44"/>
      <c r="I1896" s="44"/>
      <c r="J1896" s="45"/>
      <c r="K1896" s="45"/>
      <c r="L1896" s="45"/>
      <c r="M1896" s="44"/>
      <c r="N1896" s="44"/>
      <c r="O1896" s="44"/>
      <c r="P1896" s="44"/>
      <c r="Q1896" s="44"/>
    </row>
    <row r="1897" spans="8:17" x14ac:dyDescent="0.25">
      <c r="H1897" s="44"/>
      <c r="I1897" s="44"/>
      <c r="J1897" s="45"/>
      <c r="K1897" s="45"/>
      <c r="L1897" s="45"/>
      <c r="M1897" s="44"/>
      <c r="N1897" s="44"/>
      <c r="O1897" s="44"/>
      <c r="P1897" s="44"/>
      <c r="Q1897" s="44"/>
    </row>
    <row r="1898" spans="8:17" x14ac:dyDescent="0.25">
      <c r="H1898" s="44"/>
      <c r="I1898" s="44"/>
      <c r="J1898" s="45"/>
      <c r="K1898" s="45"/>
      <c r="L1898" s="45"/>
      <c r="M1898" s="44"/>
      <c r="N1898" s="44"/>
      <c r="O1898" s="44"/>
      <c r="P1898" s="44"/>
      <c r="Q1898" s="44"/>
    </row>
    <row r="1899" spans="8:17" x14ac:dyDescent="0.25">
      <c r="H1899" s="44"/>
      <c r="I1899" s="44"/>
      <c r="J1899" s="45"/>
      <c r="K1899" s="45"/>
      <c r="L1899" s="45"/>
      <c r="M1899" s="44"/>
      <c r="N1899" s="44"/>
      <c r="O1899" s="44"/>
      <c r="P1899" s="44"/>
      <c r="Q1899" s="44"/>
    </row>
    <row r="1900" spans="8:17" x14ac:dyDescent="0.25">
      <c r="H1900" s="44"/>
      <c r="I1900" s="44"/>
      <c r="J1900" s="45"/>
      <c r="K1900" s="45"/>
      <c r="L1900" s="45"/>
      <c r="M1900" s="44"/>
      <c r="N1900" s="44"/>
      <c r="O1900" s="44"/>
      <c r="P1900" s="44"/>
      <c r="Q1900" s="44"/>
    </row>
    <row r="1901" spans="8:17" x14ac:dyDescent="0.25">
      <c r="H1901" s="44"/>
      <c r="I1901" s="44"/>
      <c r="J1901" s="45"/>
      <c r="K1901" s="45"/>
      <c r="L1901" s="45"/>
      <c r="M1901" s="44"/>
      <c r="N1901" s="44"/>
      <c r="O1901" s="44"/>
      <c r="P1901" s="44"/>
      <c r="Q1901" s="44"/>
    </row>
    <row r="1902" spans="8:17" x14ac:dyDescent="0.25">
      <c r="H1902" s="44"/>
      <c r="I1902" s="44"/>
      <c r="J1902" s="45"/>
      <c r="K1902" s="45"/>
      <c r="L1902" s="45"/>
      <c r="M1902" s="44"/>
      <c r="N1902" s="44"/>
      <c r="O1902" s="44"/>
      <c r="P1902" s="44"/>
      <c r="Q1902" s="44"/>
    </row>
    <row r="1903" spans="8:17" x14ac:dyDescent="0.25">
      <c r="H1903" s="44"/>
      <c r="I1903" s="44"/>
      <c r="J1903" s="45"/>
      <c r="K1903" s="45"/>
      <c r="L1903" s="45"/>
      <c r="M1903" s="44"/>
      <c r="N1903" s="44"/>
      <c r="O1903" s="44"/>
      <c r="P1903" s="44"/>
      <c r="Q1903" s="44"/>
    </row>
    <row r="1904" spans="8:17" x14ac:dyDescent="0.25">
      <c r="H1904" s="44"/>
      <c r="I1904" s="44"/>
      <c r="J1904" s="45"/>
      <c r="K1904" s="45"/>
      <c r="L1904" s="45"/>
      <c r="M1904" s="44"/>
      <c r="N1904" s="44"/>
      <c r="O1904" s="44"/>
      <c r="P1904" s="44"/>
      <c r="Q1904" s="44"/>
    </row>
    <row r="1905" spans="8:17" x14ac:dyDescent="0.25">
      <c r="H1905" s="44"/>
      <c r="I1905" s="44"/>
      <c r="J1905" s="45"/>
      <c r="K1905" s="45"/>
      <c r="L1905" s="45"/>
      <c r="M1905" s="44"/>
      <c r="N1905" s="44"/>
      <c r="O1905" s="44"/>
      <c r="P1905" s="44"/>
      <c r="Q1905" s="44"/>
    </row>
    <row r="1906" spans="8:17" x14ac:dyDescent="0.25">
      <c r="H1906" s="44"/>
      <c r="I1906" s="44"/>
      <c r="J1906" s="45"/>
      <c r="K1906" s="45"/>
      <c r="L1906" s="45"/>
      <c r="M1906" s="44"/>
      <c r="N1906" s="44"/>
      <c r="O1906" s="44"/>
      <c r="P1906" s="44"/>
      <c r="Q1906" s="44"/>
    </row>
    <row r="1907" spans="8:17" x14ac:dyDescent="0.25">
      <c r="H1907" s="44"/>
      <c r="I1907" s="44"/>
      <c r="J1907" s="45"/>
      <c r="K1907" s="45"/>
      <c r="L1907" s="45"/>
      <c r="M1907" s="44"/>
      <c r="N1907" s="44"/>
      <c r="O1907" s="44"/>
      <c r="P1907" s="44"/>
      <c r="Q1907" s="44"/>
    </row>
    <row r="1908" spans="8:17" x14ac:dyDescent="0.25">
      <c r="H1908" s="44"/>
      <c r="I1908" s="44"/>
      <c r="J1908" s="45"/>
      <c r="K1908" s="45"/>
      <c r="L1908" s="45"/>
      <c r="M1908" s="44"/>
      <c r="N1908" s="44"/>
      <c r="O1908" s="44"/>
      <c r="P1908" s="44"/>
      <c r="Q1908" s="44"/>
    </row>
    <row r="1909" spans="8:17" x14ac:dyDescent="0.25">
      <c r="H1909" s="44"/>
      <c r="I1909" s="44"/>
      <c r="J1909" s="45"/>
      <c r="K1909" s="45"/>
      <c r="L1909" s="45"/>
      <c r="M1909" s="44"/>
      <c r="N1909" s="44"/>
      <c r="O1909" s="44"/>
      <c r="P1909" s="44"/>
      <c r="Q1909" s="44"/>
    </row>
    <row r="1910" spans="8:17" x14ac:dyDescent="0.25">
      <c r="H1910" s="44"/>
      <c r="I1910" s="44"/>
      <c r="J1910" s="45"/>
      <c r="K1910" s="45"/>
      <c r="L1910" s="45"/>
      <c r="M1910" s="44"/>
      <c r="N1910" s="44"/>
      <c r="O1910" s="44"/>
      <c r="P1910" s="44"/>
      <c r="Q1910" s="44"/>
    </row>
    <row r="1911" spans="8:17" x14ac:dyDescent="0.25">
      <c r="H1911" s="44"/>
      <c r="I1911" s="44"/>
      <c r="J1911" s="45"/>
      <c r="K1911" s="45"/>
      <c r="L1911" s="45"/>
      <c r="M1911" s="44"/>
      <c r="N1911" s="44"/>
      <c r="O1911" s="44"/>
      <c r="P1911" s="44"/>
      <c r="Q1911" s="44"/>
    </row>
    <row r="1912" spans="8:17" x14ac:dyDescent="0.25">
      <c r="H1912" s="44"/>
      <c r="I1912" s="44"/>
      <c r="J1912" s="45"/>
      <c r="K1912" s="45"/>
      <c r="L1912" s="45"/>
      <c r="M1912" s="44"/>
      <c r="N1912" s="44"/>
      <c r="O1912" s="44"/>
      <c r="P1912" s="44"/>
      <c r="Q1912" s="44"/>
    </row>
    <row r="1913" spans="8:17" x14ac:dyDescent="0.25">
      <c r="H1913" s="44"/>
      <c r="I1913" s="44"/>
      <c r="J1913" s="45"/>
      <c r="K1913" s="45"/>
      <c r="L1913" s="45"/>
      <c r="M1913" s="44"/>
      <c r="N1913" s="44"/>
      <c r="O1913" s="44"/>
      <c r="P1913" s="44"/>
      <c r="Q1913" s="44"/>
    </row>
    <row r="1914" spans="8:17" x14ac:dyDescent="0.25">
      <c r="H1914" s="44"/>
      <c r="I1914" s="44"/>
      <c r="J1914" s="45"/>
      <c r="K1914" s="45"/>
      <c r="L1914" s="45"/>
      <c r="M1914" s="44"/>
      <c r="N1914" s="44"/>
      <c r="O1914" s="44"/>
      <c r="P1914" s="44"/>
      <c r="Q1914" s="44"/>
    </row>
    <row r="1915" spans="8:17" x14ac:dyDescent="0.25">
      <c r="H1915" s="44"/>
      <c r="I1915" s="44"/>
      <c r="J1915" s="45"/>
      <c r="K1915" s="45"/>
      <c r="L1915" s="45"/>
      <c r="M1915" s="44"/>
      <c r="N1915" s="44"/>
      <c r="O1915" s="44"/>
      <c r="P1915" s="44"/>
      <c r="Q1915" s="44"/>
    </row>
    <row r="1916" spans="8:17" x14ac:dyDescent="0.25">
      <c r="H1916" s="44"/>
      <c r="I1916" s="44"/>
      <c r="J1916" s="45"/>
      <c r="K1916" s="45"/>
      <c r="L1916" s="45"/>
      <c r="M1916" s="44"/>
      <c r="N1916" s="44"/>
      <c r="O1916" s="44"/>
      <c r="P1916" s="44"/>
      <c r="Q1916" s="44"/>
    </row>
    <row r="1917" spans="8:17" x14ac:dyDescent="0.25">
      <c r="H1917" s="44"/>
      <c r="I1917" s="44"/>
      <c r="J1917" s="45"/>
      <c r="K1917" s="45"/>
      <c r="L1917" s="45"/>
      <c r="M1917" s="44"/>
      <c r="N1917" s="44"/>
      <c r="O1917" s="44"/>
      <c r="P1917" s="44"/>
      <c r="Q1917" s="44"/>
    </row>
    <row r="1918" spans="8:17" x14ac:dyDescent="0.25">
      <c r="H1918" s="44"/>
      <c r="I1918" s="44"/>
      <c r="J1918" s="45"/>
      <c r="K1918" s="45"/>
      <c r="L1918" s="45"/>
      <c r="M1918" s="44"/>
      <c r="N1918" s="44"/>
      <c r="O1918" s="44"/>
      <c r="P1918" s="44"/>
      <c r="Q1918" s="44"/>
    </row>
    <row r="1919" spans="8:17" x14ac:dyDescent="0.25">
      <c r="H1919" s="44"/>
      <c r="I1919" s="44"/>
      <c r="J1919" s="45"/>
      <c r="K1919" s="45"/>
      <c r="L1919" s="45"/>
      <c r="M1919" s="44"/>
      <c r="N1919" s="44"/>
      <c r="O1919" s="44"/>
      <c r="P1919" s="44"/>
      <c r="Q1919" s="44"/>
    </row>
    <row r="1920" spans="8:17" x14ac:dyDescent="0.25">
      <c r="H1920" s="44"/>
      <c r="I1920" s="44"/>
      <c r="J1920" s="45"/>
      <c r="K1920" s="45"/>
      <c r="L1920" s="45"/>
      <c r="M1920" s="44"/>
      <c r="N1920" s="44"/>
      <c r="O1920" s="44"/>
      <c r="P1920" s="44"/>
      <c r="Q1920" s="44"/>
    </row>
    <row r="1921" spans="8:17" x14ac:dyDescent="0.25">
      <c r="H1921" s="44"/>
      <c r="I1921" s="44"/>
      <c r="J1921" s="45"/>
      <c r="K1921" s="45"/>
      <c r="L1921" s="45"/>
      <c r="M1921" s="44"/>
      <c r="N1921" s="44"/>
      <c r="O1921" s="44"/>
      <c r="P1921" s="44"/>
      <c r="Q1921" s="44"/>
    </row>
    <row r="1922" spans="8:17" x14ac:dyDescent="0.25">
      <c r="H1922" s="44"/>
      <c r="I1922" s="44"/>
      <c r="J1922" s="45"/>
      <c r="K1922" s="45"/>
      <c r="L1922" s="45"/>
      <c r="M1922" s="44"/>
      <c r="N1922" s="44"/>
      <c r="O1922" s="44"/>
      <c r="P1922" s="44"/>
      <c r="Q1922" s="44"/>
    </row>
    <row r="1923" spans="8:17" x14ac:dyDescent="0.25">
      <c r="H1923" s="44"/>
      <c r="I1923" s="44"/>
      <c r="J1923" s="45"/>
      <c r="K1923" s="45"/>
      <c r="L1923" s="45"/>
      <c r="M1923" s="44"/>
      <c r="N1923" s="44"/>
      <c r="O1923" s="44"/>
      <c r="P1923" s="44"/>
      <c r="Q1923" s="44"/>
    </row>
    <row r="1924" spans="8:17" x14ac:dyDescent="0.25">
      <c r="H1924" s="44"/>
      <c r="I1924" s="44"/>
      <c r="J1924" s="45"/>
      <c r="K1924" s="45"/>
      <c r="L1924" s="45"/>
      <c r="M1924" s="44"/>
      <c r="N1924" s="44"/>
      <c r="O1924" s="44"/>
      <c r="P1924" s="44"/>
      <c r="Q1924" s="44"/>
    </row>
    <row r="1925" spans="8:17" x14ac:dyDescent="0.25">
      <c r="H1925" s="44"/>
      <c r="I1925" s="44"/>
      <c r="J1925" s="45"/>
      <c r="K1925" s="45"/>
      <c r="L1925" s="45"/>
      <c r="M1925" s="44"/>
      <c r="N1925" s="44"/>
      <c r="O1925" s="44"/>
      <c r="P1925" s="44"/>
      <c r="Q1925" s="44"/>
    </row>
    <row r="1926" spans="8:17" x14ac:dyDescent="0.25">
      <c r="H1926" s="44"/>
      <c r="I1926" s="44"/>
      <c r="J1926" s="45"/>
      <c r="K1926" s="45"/>
      <c r="L1926" s="45"/>
      <c r="M1926" s="44"/>
      <c r="N1926" s="44"/>
      <c r="O1926" s="44"/>
      <c r="P1926" s="44"/>
      <c r="Q1926" s="44"/>
    </row>
    <row r="1927" spans="8:17" x14ac:dyDescent="0.25">
      <c r="H1927" s="44"/>
      <c r="I1927" s="44"/>
      <c r="J1927" s="45"/>
      <c r="K1927" s="45"/>
      <c r="L1927" s="45"/>
      <c r="M1927" s="44"/>
      <c r="N1927" s="44"/>
      <c r="O1927" s="44"/>
      <c r="P1927" s="44"/>
      <c r="Q1927" s="44"/>
    </row>
    <row r="1928" spans="8:17" x14ac:dyDescent="0.25">
      <c r="H1928" s="44"/>
      <c r="I1928" s="44"/>
      <c r="J1928" s="45"/>
      <c r="K1928" s="45"/>
      <c r="L1928" s="45"/>
      <c r="M1928" s="44"/>
      <c r="N1928" s="44"/>
      <c r="O1928" s="44"/>
      <c r="P1928" s="44"/>
      <c r="Q1928" s="44"/>
    </row>
    <row r="1929" spans="8:17" x14ac:dyDescent="0.25">
      <c r="H1929" s="44"/>
      <c r="I1929" s="44"/>
      <c r="J1929" s="45"/>
      <c r="K1929" s="45"/>
      <c r="L1929" s="45"/>
      <c r="M1929" s="44"/>
      <c r="N1929" s="44"/>
      <c r="O1929" s="44"/>
      <c r="P1929" s="44"/>
      <c r="Q1929" s="44"/>
    </row>
    <row r="1930" spans="8:17" x14ac:dyDescent="0.25">
      <c r="H1930" s="44"/>
      <c r="I1930" s="44"/>
      <c r="J1930" s="45"/>
      <c r="K1930" s="45"/>
      <c r="L1930" s="45"/>
      <c r="M1930" s="44"/>
      <c r="N1930" s="44"/>
      <c r="O1930" s="44"/>
      <c r="P1930" s="44"/>
      <c r="Q1930" s="44"/>
    </row>
    <row r="1931" spans="8:17" x14ac:dyDescent="0.25">
      <c r="H1931" s="44"/>
      <c r="I1931" s="44"/>
      <c r="J1931" s="45"/>
      <c r="K1931" s="45"/>
      <c r="L1931" s="45"/>
      <c r="M1931" s="44"/>
      <c r="N1931" s="44"/>
      <c r="O1931" s="44"/>
      <c r="P1931" s="44"/>
      <c r="Q1931" s="44"/>
    </row>
    <row r="1932" spans="8:17" x14ac:dyDescent="0.25">
      <c r="H1932" s="44"/>
      <c r="I1932" s="44"/>
      <c r="J1932" s="45"/>
      <c r="K1932" s="45"/>
      <c r="L1932" s="45"/>
      <c r="M1932" s="44"/>
      <c r="N1932" s="44"/>
      <c r="O1932" s="44"/>
      <c r="P1932" s="44"/>
      <c r="Q1932" s="44"/>
    </row>
    <row r="1933" spans="8:17" x14ac:dyDescent="0.25">
      <c r="H1933" s="44"/>
      <c r="I1933" s="44"/>
      <c r="J1933" s="45"/>
      <c r="K1933" s="45"/>
      <c r="L1933" s="45"/>
      <c r="M1933" s="44"/>
      <c r="N1933" s="44"/>
      <c r="O1933" s="44"/>
      <c r="P1933" s="44"/>
      <c r="Q1933" s="44"/>
    </row>
    <row r="1934" spans="8:17" x14ac:dyDescent="0.25">
      <c r="H1934" s="44"/>
      <c r="I1934" s="44"/>
      <c r="J1934" s="45"/>
      <c r="K1934" s="45"/>
      <c r="L1934" s="45"/>
      <c r="M1934" s="44"/>
      <c r="N1934" s="44"/>
      <c r="O1934" s="44"/>
      <c r="P1934" s="44"/>
      <c r="Q1934" s="44"/>
    </row>
    <row r="1935" spans="8:17" x14ac:dyDescent="0.25">
      <c r="H1935" s="44"/>
      <c r="I1935" s="44"/>
      <c r="J1935" s="45"/>
      <c r="K1935" s="45"/>
      <c r="L1935" s="45"/>
      <c r="M1935" s="44"/>
      <c r="N1935" s="44"/>
      <c r="O1935" s="44"/>
      <c r="P1935" s="44"/>
      <c r="Q1935" s="44"/>
    </row>
    <row r="1936" spans="8:17" x14ac:dyDescent="0.25">
      <c r="H1936" s="44"/>
      <c r="I1936" s="44"/>
      <c r="J1936" s="45"/>
      <c r="K1936" s="45"/>
      <c r="L1936" s="45"/>
      <c r="M1936" s="44"/>
      <c r="N1936" s="44"/>
      <c r="O1936" s="44"/>
      <c r="P1936" s="44"/>
      <c r="Q1936" s="44"/>
    </row>
    <row r="1937" spans="8:17" x14ac:dyDescent="0.25">
      <c r="H1937" s="44"/>
      <c r="I1937" s="44"/>
      <c r="J1937" s="45"/>
      <c r="K1937" s="45"/>
      <c r="L1937" s="45"/>
      <c r="M1937" s="44"/>
      <c r="N1937" s="44"/>
      <c r="O1937" s="44"/>
      <c r="P1937" s="44"/>
      <c r="Q1937" s="44"/>
    </row>
    <row r="1938" spans="8:17" x14ac:dyDescent="0.25">
      <c r="H1938" s="44"/>
      <c r="I1938" s="44"/>
      <c r="J1938" s="45"/>
      <c r="K1938" s="45"/>
      <c r="L1938" s="45"/>
      <c r="M1938" s="44"/>
      <c r="N1938" s="44"/>
      <c r="O1938" s="44"/>
      <c r="P1938" s="44"/>
      <c r="Q1938" s="44"/>
    </row>
    <row r="1939" spans="8:17" x14ac:dyDescent="0.25">
      <c r="H1939" s="44"/>
      <c r="I1939" s="44"/>
      <c r="J1939" s="45"/>
      <c r="K1939" s="45"/>
      <c r="L1939" s="45"/>
      <c r="M1939" s="44"/>
      <c r="N1939" s="44"/>
      <c r="O1939" s="44"/>
      <c r="P1939" s="44"/>
      <c r="Q1939" s="44"/>
    </row>
    <row r="1940" spans="8:17" x14ac:dyDescent="0.25">
      <c r="H1940" s="44"/>
      <c r="I1940" s="44"/>
      <c r="J1940" s="45"/>
      <c r="K1940" s="45"/>
      <c r="L1940" s="45"/>
      <c r="M1940" s="44"/>
      <c r="N1940" s="44"/>
      <c r="O1940" s="44"/>
      <c r="P1940" s="44"/>
      <c r="Q1940" s="44"/>
    </row>
    <row r="1941" spans="8:17" x14ac:dyDescent="0.25">
      <c r="H1941" s="44"/>
      <c r="I1941" s="44"/>
      <c r="J1941" s="45"/>
      <c r="K1941" s="45"/>
      <c r="L1941" s="45"/>
      <c r="M1941" s="44"/>
      <c r="N1941" s="44"/>
      <c r="O1941" s="44"/>
      <c r="P1941" s="44"/>
      <c r="Q1941" s="44"/>
    </row>
    <row r="1942" spans="8:17" x14ac:dyDescent="0.25">
      <c r="H1942" s="44"/>
      <c r="I1942" s="44"/>
      <c r="J1942" s="45"/>
      <c r="K1942" s="45"/>
      <c r="L1942" s="45"/>
      <c r="M1942" s="44"/>
      <c r="N1942" s="44"/>
      <c r="O1942" s="44"/>
      <c r="P1942" s="44"/>
      <c r="Q1942" s="44"/>
    </row>
    <row r="1943" spans="8:17" x14ac:dyDescent="0.25">
      <c r="H1943" s="44"/>
      <c r="I1943" s="44"/>
      <c r="J1943" s="45"/>
      <c r="K1943" s="45"/>
      <c r="L1943" s="45"/>
      <c r="M1943" s="44"/>
      <c r="N1943" s="44"/>
      <c r="O1943" s="44"/>
      <c r="P1943" s="44"/>
      <c r="Q1943" s="44"/>
    </row>
    <row r="1944" spans="8:17" x14ac:dyDescent="0.25">
      <c r="H1944" s="44"/>
      <c r="I1944" s="44"/>
      <c r="J1944" s="45"/>
      <c r="K1944" s="45"/>
      <c r="L1944" s="45"/>
      <c r="M1944" s="44"/>
      <c r="N1944" s="44"/>
      <c r="O1944" s="44"/>
      <c r="P1944" s="44"/>
      <c r="Q1944" s="44"/>
    </row>
    <row r="1945" spans="8:17" x14ac:dyDescent="0.25">
      <c r="H1945" s="44"/>
      <c r="I1945" s="44"/>
      <c r="J1945" s="45"/>
      <c r="K1945" s="45"/>
      <c r="L1945" s="45"/>
      <c r="M1945" s="44"/>
      <c r="N1945" s="44"/>
      <c r="O1945" s="44"/>
      <c r="P1945" s="44"/>
      <c r="Q1945" s="44"/>
    </row>
    <row r="1946" spans="8:17" x14ac:dyDescent="0.25">
      <c r="H1946" s="44"/>
      <c r="I1946" s="44"/>
      <c r="J1946" s="45"/>
      <c r="K1946" s="45"/>
      <c r="L1946" s="45"/>
      <c r="M1946" s="44"/>
      <c r="N1946" s="44"/>
      <c r="O1946" s="44"/>
      <c r="P1946" s="44"/>
      <c r="Q1946" s="44"/>
    </row>
    <row r="1947" spans="8:17" x14ac:dyDescent="0.25">
      <c r="H1947" s="44"/>
      <c r="I1947" s="44"/>
      <c r="J1947" s="45"/>
      <c r="K1947" s="45"/>
      <c r="L1947" s="45"/>
      <c r="M1947" s="44"/>
      <c r="N1947" s="44"/>
      <c r="O1947" s="44"/>
      <c r="P1947" s="44"/>
      <c r="Q1947" s="44"/>
    </row>
    <row r="1948" spans="8:17" x14ac:dyDescent="0.25">
      <c r="H1948" s="44"/>
      <c r="I1948" s="44"/>
      <c r="J1948" s="45"/>
      <c r="K1948" s="45"/>
      <c r="L1948" s="45"/>
      <c r="M1948" s="44"/>
      <c r="N1948" s="44"/>
      <c r="O1948" s="44"/>
      <c r="P1948" s="44"/>
      <c r="Q1948" s="44"/>
    </row>
    <row r="1949" spans="8:17" x14ac:dyDescent="0.25">
      <c r="H1949" s="44"/>
      <c r="I1949" s="44"/>
      <c r="J1949" s="45"/>
      <c r="K1949" s="45"/>
      <c r="L1949" s="45"/>
      <c r="M1949" s="44"/>
      <c r="N1949" s="44"/>
      <c r="O1949" s="44"/>
      <c r="P1949" s="44"/>
      <c r="Q1949" s="44"/>
    </row>
    <row r="1950" spans="8:17" x14ac:dyDescent="0.25">
      <c r="H1950" s="44"/>
      <c r="I1950" s="44"/>
      <c r="J1950" s="45"/>
      <c r="K1950" s="45"/>
      <c r="L1950" s="45"/>
      <c r="M1950" s="44"/>
      <c r="N1950" s="44"/>
      <c r="O1950" s="44"/>
      <c r="P1950" s="44"/>
      <c r="Q1950" s="44"/>
    </row>
    <row r="1951" spans="8:17" x14ac:dyDescent="0.25">
      <c r="H1951" s="44"/>
      <c r="I1951" s="44"/>
      <c r="J1951" s="45"/>
      <c r="K1951" s="45"/>
      <c r="L1951" s="45"/>
      <c r="M1951" s="44"/>
      <c r="N1951" s="44"/>
      <c r="O1951" s="44"/>
      <c r="P1951" s="44"/>
      <c r="Q1951" s="44"/>
    </row>
    <row r="1952" spans="8:17" x14ac:dyDescent="0.25">
      <c r="H1952" s="44"/>
      <c r="I1952" s="44"/>
      <c r="J1952" s="45"/>
      <c r="K1952" s="45"/>
      <c r="L1952" s="45"/>
      <c r="M1952" s="44"/>
      <c r="N1952" s="44"/>
      <c r="O1952" s="44"/>
      <c r="P1952" s="44"/>
      <c r="Q1952" s="44"/>
    </row>
    <row r="1953" spans="8:17" x14ac:dyDescent="0.25">
      <c r="H1953" s="44"/>
      <c r="I1953" s="44"/>
      <c r="J1953" s="45"/>
      <c r="K1953" s="45"/>
      <c r="L1953" s="45"/>
      <c r="M1953" s="44"/>
      <c r="N1953" s="44"/>
      <c r="O1953" s="44"/>
      <c r="P1953" s="44"/>
      <c r="Q1953" s="44"/>
    </row>
    <row r="1954" spans="8:17" x14ac:dyDescent="0.25">
      <c r="H1954" s="44"/>
      <c r="I1954" s="44"/>
      <c r="J1954" s="45"/>
      <c r="K1954" s="45"/>
      <c r="L1954" s="45"/>
      <c r="M1954" s="44"/>
      <c r="N1954" s="44"/>
      <c r="O1954" s="44"/>
      <c r="P1954" s="44"/>
      <c r="Q1954" s="44"/>
    </row>
    <row r="1955" spans="8:17" x14ac:dyDescent="0.25">
      <c r="H1955" s="44"/>
      <c r="I1955" s="44"/>
      <c r="J1955" s="45"/>
      <c r="K1955" s="45"/>
      <c r="L1955" s="45"/>
      <c r="M1955" s="44"/>
      <c r="N1955" s="44"/>
      <c r="O1955" s="44"/>
      <c r="P1955" s="44"/>
      <c r="Q1955" s="44"/>
    </row>
    <row r="1956" spans="8:17" x14ac:dyDescent="0.25">
      <c r="H1956" s="44"/>
      <c r="I1956" s="44"/>
      <c r="J1956" s="45"/>
      <c r="K1956" s="45"/>
      <c r="L1956" s="45"/>
      <c r="M1956" s="44"/>
      <c r="N1956" s="44"/>
      <c r="O1956" s="44"/>
      <c r="P1956" s="44"/>
      <c r="Q1956" s="44"/>
    </row>
    <row r="1957" spans="8:17" x14ac:dyDescent="0.25">
      <c r="H1957" s="44"/>
      <c r="I1957" s="44"/>
      <c r="J1957" s="45"/>
      <c r="K1957" s="45"/>
      <c r="L1957" s="45"/>
      <c r="M1957" s="44"/>
      <c r="N1957" s="44"/>
      <c r="O1957" s="44"/>
      <c r="P1957" s="44"/>
      <c r="Q1957" s="44"/>
    </row>
    <row r="1958" spans="8:17" x14ac:dyDescent="0.25">
      <c r="H1958" s="44"/>
      <c r="I1958" s="44"/>
      <c r="J1958" s="45"/>
      <c r="K1958" s="45"/>
      <c r="L1958" s="45"/>
      <c r="M1958" s="44"/>
      <c r="N1958" s="44"/>
      <c r="O1958" s="44"/>
      <c r="P1958" s="44"/>
      <c r="Q1958" s="44"/>
    </row>
    <row r="1959" spans="8:17" x14ac:dyDescent="0.25">
      <c r="H1959" s="44"/>
      <c r="I1959" s="44"/>
      <c r="J1959" s="45"/>
      <c r="K1959" s="45"/>
      <c r="L1959" s="45"/>
      <c r="M1959" s="44"/>
      <c r="N1959" s="44"/>
      <c r="O1959" s="44"/>
      <c r="P1959" s="44"/>
      <c r="Q1959" s="44"/>
    </row>
    <row r="1960" spans="8:17" x14ac:dyDescent="0.25">
      <c r="H1960" s="44"/>
      <c r="I1960" s="44"/>
      <c r="J1960" s="45"/>
      <c r="K1960" s="45"/>
      <c r="L1960" s="45"/>
      <c r="M1960" s="44"/>
      <c r="N1960" s="44"/>
      <c r="O1960" s="44"/>
      <c r="P1960" s="44"/>
      <c r="Q1960" s="44"/>
    </row>
    <row r="1961" spans="8:17" x14ac:dyDescent="0.25">
      <c r="H1961" s="44"/>
      <c r="I1961" s="44"/>
      <c r="J1961" s="45"/>
      <c r="K1961" s="45"/>
      <c r="L1961" s="45"/>
      <c r="M1961" s="44"/>
      <c r="N1961" s="44"/>
      <c r="O1961" s="44"/>
      <c r="P1961" s="44"/>
      <c r="Q1961" s="44"/>
    </row>
    <row r="1962" spans="8:17" x14ac:dyDescent="0.25">
      <c r="H1962" s="44"/>
      <c r="I1962" s="44"/>
      <c r="J1962" s="45"/>
      <c r="K1962" s="45"/>
      <c r="L1962" s="45"/>
      <c r="M1962" s="44"/>
      <c r="N1962" s="44"/>
      <c r="O1962" s="44"/>
      <c r="P1962" s="44"/>
      <c r="Q1962" s="44"/>
    </row>
    <row r="1963" spans="8:17" x14ac:dyDescent="0.25">
      <c r="H1963" s="44"/>
      <c r="I1963" s="44"/>
      <c r="J1963" s="45"/>
      <c r="K1963" s="45"/>
      <c r="L1963" s="45"/>
      <c r="M1963" s="44"/>
      <c r="N1963" s="44"/>
      <c r="O1963" s="44"/>
      <c r="P1963" s="44"/>
      <c r="Q1963" s="44"/>
    </row>
    <row r="1964" spans="8:17" x14ac:dyDescent="0.25">
      <c r="H1964" s="44"/>
      <c r="I1964" s="44"/>
      <c r="J1964" s="45"/>
      <c r="K1964" s="45"/>
      <c r="L1964" s="45"/>
      <c r="M1964" s="44"/>
      <c r="N1964" s="44"/>
      <c r="O1964" s="44"/>
      <c r="P1964" s="44"/>
      <c r="Q1964" s="44"/>
    </row>
    <row r="1965" spans="8:17" x14ac:dyDescent="0.25">
      <c r="H1965" s="44"/>
      <c r="I1965" s="44"/>
      <c r="J1965" s="45"/>
      <c r="K1965" s="45"/>
      <c r="L1965" s="45"/>
      <c r="M1965" s="44"/>
      <c r="N1965" s="44"/>
      <c r="O1965" s="44"/>
      <c r="P1965" s="44"/>
      <c r="Q1965" s="44"/>
    </row>
    <row r="1966" spans="8:17" x14ac:dyDescent="0.25">
      <c r="H1966" s="44"/>
      <c r="I1966" s="44"/>
      <c r="J1966" s="45"/>
      <c r="K1966" s="45"/>
      <c r="L1966" s="45"/>
      <c r="M1966" s="44"/>
      <c r="N1966" s="44"/>
      <c r="O1966" s="44"/>
      <c r="P1966" s="44"/>
      <c r="Q1966" s="44"/>
    </row>
    <row r="1967" spans="8:17" x14ac:dyDescent="0.25">
      <c r="H1967" s="44"/>
      <c r="I1967" s="44"/>
      <c r="J1967" s="45"/>
      <c r="K1967" s="45"/>
      <c r="L1967" s="45"/>
      <c r="M1967" s="44"/>
      <c r="N1967" s="44"/>
      <c r="O1967" s="44"/>
      <c r="P1967" s="44"/>
      <c r="Q1967" s="44"/>
    </row>
    <row r="1968" spans="8:17" x14ac:dyDescent="0.25">
      <c r="H1968" s="44"/>
      <c r="I1968" s="44"/>
      <c r="J1968" s="45"/>
      <c r="K1968" s="45"/>
      <c r="L1968" s="45"/>
      <c r="M1968" s="44"/>
      <c r="N1968" s="44"/>
      <c r="O1968" s="44"/>
      <c r="P1968" s="44"/>
      <c r="Q1968" s="44"/>
    </row>
    <row r="1969" spans="8:17" x14ac:dyDescent="0.25">
      <c r="H1969" s="44"/>
      <c r="I1969" s="44"/>
      <c r="J1969" s="45"/>
      <c r="K1969" s="45"/>
      <c r="L1969" s="45"/>
      <c r="M1969" s="44"/>
      <c r="N1969" s="44"/>
      <c r="O1969" s="44"/>
      <c r="P1969" s="44"/>
      <c r="Q1969" s="44"/>
    </row>
    <row r="1970" spans="8:17" x14ac:dyDescent="0.25">
      <c r="H1970" s="44"/>
      <c r="I1970" s="44"/>
      <c r="J1970" s="45"/>
      <c r="K1970" s="45"/>
      <c r="L1970" s="45"/>
      <c r="M1970" s="44"/>
      <c r="N1970" s="44"/>
      <c r="O1970" s="44"/>
      <c r="P1970" s="44"/>
      <c r="Q1970" s="44"/>
    </row>
    <row r="1971" spans="8:17" x14ac:dyDescent="0.25">
      <c r="H1971" s="44"/>
      <c r="I1971" s="44"/>
      <c r="J1971" s="45"/>
      <c r="K1971" s="45"/>
      <c r="L1971" s="45"/>
      <c r="M1971" s="44"/>
      <c r="N1971" s="44"/>
      <c r="O1971" s="44"/>
      <c r="P1971" s="44"/>
      <c r="Q1971" s="44"/>
    </row>
    <row r="1972" spans="8:17" x14ac:dyDescent="0.25">
      <c r="H1972" s="44"/>
      <c r="I1972" s="44"/>
      <c r="J1972" s="45"/>
      <c r="K1972" s="45"/>
      <c r="L1972" s="45"/>
      <c r="M1972" s="44"/>
      <c r="N1972" s="44"/>
      <c r="O1972" s="44"/>
      <c r="P1972" s="44"/>
      <c r="Q1972" s="44"/>
    </row>
    <row r="1973" spans="8:17" x14ac:dyDescent="0.25">
      <c r="H1973" s="44"/>
      <c r="I1973" s="44"/>
      <c r="J1973" s="45"/>
      <c r="K1973" s="45"/>
      <c r="L1973" s="45"/>
      <c r="M1973" s="44"/>
      <c r="N1973" s="44"/>
      <c r="O1973" s="44"/>
      <c r="P1973" s="44"/>
      <c r="Q1973" s="44"/>
    </row>
    <row r="1974" spans="8:17" x14ac:dyDescent="0.25">
      <c r="H1974" s="44"/>
      <c r="I1974" s="44"/>
      <c r="J1974" s="45"/>
      <c r="K1974" s="45"/>
      <c r="L1974" s="45"/>
      <c r="M1974" s="44"/>
      <c r="N1974" s="44"/>
      <c r="O1974" s="44"/>
      <c r="P1974" s="44"/>
      <c r="Q1974" s="44"/>
    </row>
    <row r="1975" spans="8:17" x14ac:dyDescent="0.25">
      <c r="H1975" s="44"/>
      <c r="I1975" s="44"/>
      <c r="J1975" s="45"/>
      <c r="K1975" s="45"/>
      <c r="L1975" s="45"/>
      <c r="M1975" s="44"/>
      <c r="N1975" s="44"/>
      <c r="O1975" s="44"/>
      <c r="P1975" s="44"/>
      <c r="Q1975" s="44"/>
    </row>
    <row r="1976" spans="8:17" x14ac:dyDescent="0.25">
      <c r="H1976" s="44"/>
      <c r="I1976" s="44"/>
      <c r="J1976" s="45"/>
      <c r="K1976" s="45"/>
      <c r="L1976" s="45"/>
      <c r="M1976" s="44"/>
      <c r="N1976" s="44"/>
      <c r="O1976" s="44"/>
      <c r="P1976" s="44"/>
      <c r="Q1976" s="44"/>
    </row>
    <row r="1977" spans="8:17" x14ac:dyDescent="0.25">
      <c r="H1977" s="44"/>
      <c r="I1977" s="44"/>
      <c r="J1977" s="45"/>
      <c r="K1977" s="45"/>
      <c r="L1977" s="45"/>
      <c r="M1977" s="44"/>
      <c r="N1977" s="44"/>
      <c r="O1977" s="44"/>
      <c r="P1977" s="44"/>
      <c r="Q1977" s="44"/>
    </row>
    <row r="1978" spans="8:17" x14ac:dyDescent="0.25">
      <c r="H1978" s="44"/>
      <c r="I1978" s="44"/>
      <c r="J1978" s="45"/>
      <c r="K1978" s="45"/>
      <c r="L1978" s="45"/>
      <c r="M1978" s="44"/>
      <c r="N1978" s="44"/>
      <c r="O1978" s="44"/>
      <c r="P1978" s="44"/>
      <c r="Q1978" s="44"/>
    </row>
    <row r="1979" spans="8:17" x14ac:dyDescent="0.25">
      <c r="H1979" s="44"/>
      <c r="I1979" s="44"/>
      <c r="J1979" s="45"/>
      <c r="K1979" s="45"/>
      <c r="L1979" s="45"/>
      <c r="M1979" s="44"/>
      <c r="N1979" s="44"/>
      <c r="O1979" s="44"/>
      <c r="P1979" s="44"/>
      <c r="Q1979" s="44"/>
    </row>
    <row r="1980" spans="8:17" x14ac:dyDescent="0.25">
      <c r="H1980" s="44"/>
      <c r="I1980" s="44"/>
      <c r="J1980" s="45"/>
      <c r="K1980" s="45"/>
      <c r="L1980" s="45"/>
      <c r="M1980" s="44"/>
      <c r="N1980" s="44"/>
      <c r="O1980" s="44"/>
      <c r="P1980" s="44"/>
      <c r="Q1980" s="44"/>
    </row>
    <row r="1981" spans="8:17" x14ac:dyDescent="0.25">
      <c r="H1981" s="44"/>
      <c r="I1981" s="44"/>
      <c r="J1981" s="45"/>
      <c r="K1981" s="45"/>
      <c r="L1981" s="45"/>
      <c r="M1981" s="44"/>
      <c r="N1981" s="44"/>
      <c r="O1981" s="44"/>
      <c r="P1981" s="44"/>
      <c r="Q1981" s="44"/>
    </row>
    <row r="1982" spans="8:17" x14ac:dyDescent="0.25">
      <c r="H1982" s="44"/>
      <c r="I1982" s="44"/>
      <c r="J1982" s="45"/>
      <c r="K1982" s="45"/>
      <c r="L1982" s="45"/>
      <c r="M1982" s="44"/>
      <c r="N1982" s="44"/>
      <c r="O1982" s="44"/>
      <c r="P1982" s="44"/>
      <c r="Q1982" s="44"/>
    </row>
    <row r="1983" spans="8:17" x14ac:dyDescent="0.25">
      <c r="H1983" s="44"/>
      <c r="I1983" s="44"/>
      <c r="J1983" s="45"/>
      <c r="K1983" s="45"/>
      <c r="L1983" s="45"/>
      <c r="M1983" s="44"/>
      <c r="N1983" s="44"/>
      <c r="O1983" s="44"/>
      <c r="P1983" s="44"/>
      <c r="Q1983" s="44"/>
    </row>
    <row r="1984" spans="8:17" x14ac:dyDescent="0.25">
      <c r="H1984" s="44"/>
      <c r="I1984" s="44"/>
      <c r="J1984" s="45"/>
      <c r="K1984" s="45"/>
      <c r="L1984" s="45"/>
      <c r="M1984" s="44"/>
      <c r="N1984" s="44"/>
      <c r="O1984" s="44"/>
      <c r="P1984" s="44"/>
      <c r="Q1984" s="44"/>
    </row>
    <row r="1985" spans="8:17" x14ac:dyDescent="0.25">
      <c r="H1985" s="44"/>
      <c r="I1985" s="44"/>
      <c r="J1985" s="45"/>
      <c r="K1985" s="45"/>
      <c r="L1985" s="45"/>
      <c r="M1985" s="44"/>
      <c r="N1985" s="44"/>
      <c r="O1985" s="44"/>
      <c r="P1985" s="44"/>
      <c r="Q1985" s="44"/>
    </row>
    <row r="1986" spans="8:17" x14ac:dyDescent="0.25">
      <c r="H1986" s="44"/>
      <c r="I1986" s="44"/>
      <c r="J1986" s="45"/>
      <c r="K1986" s="45"/>
      <c r="L1986" s="45"/>
      <c r="M1986" s="44"/>
      <c r="N1986" s="44"/>
      <c r="O1986" s="44"/>
      <c r="P1986" s="44"/>
      <c r="Q1986" s="44"/>
    </row>
    <row r="1987" spans="8:17" x14ac:dyDescent="0.25">
      <c r="H1987" s="44"/>
      <c r="I1987" s="44"/>
      <c r="J1987" s="45"/>
      <c r="K1987" s="45"/>
      <c r="L1987" s="45"/>
      <c r="M1987" s="44"/>
      <c r="N1987" s="44"/>
      <c r="O1987" s="44"/>
      <c r="P1987" s="44"/>
      <c r="Q1987" s="44"/>
    </row>
    <row r="1988" spans="8:17" x14ac:dyDescent="0.25">
      <c r="H1988" s="44"/>
      <c r="I1988" s="44"/>
      <c r="J1988" s="45"/>
      <c r="K1988" s="45"/>
      <c r="L1988" s="45"/>
      <c r="M1988" s="44"/>
      <c r="N1988" s="44"/>
      <c r="O1988" s="44"/>
      <c r="P1988" s="44"/>
      <c r="Q1988" s="44"/>
    </row>
    <row r="1989" spans="8:17" x14ac:dyDescent="0.25">
      <c r="H1989" s="44"/>
      <c r="I1989" s="44"/>
      <c r="J1989" s="45"/>
      <c r="K1989" s="45"/>
      <c r="L1989" s="45"/>
      <c r="M1989" s="44"/>
      <c r="N1989" s="44"/>
      <c r="O1989" s="44"/>
      <c r="P1989" s="44"/>
      <c r="Q1989" s="44"/>
    </row>
    <row r="1990" spans="8:17" x14ac:dyDescent="0.25">
      <c r="H1990" s="44"/>
      <c r="I1990" s="44"/>
      <c r="J1990" s="45"/>
      <c r="K1990" s="45"/>
      <c r="L1990" s="45"/>
      <c r="M1990" s="44"/>
      <c r="N1990" s="44"/>
      <c r="O1990" s="44"/>
      <c r="P1990" s="44"/>
      <c r="Q1990" s="44"/>
    </row>
    <row r="1991" spans="8:17" x14ac:dyDescent="0.25">
      <c r="H1991" s="44"/>
      <c r="I1991" s="44"/>
      <c r="J1991" s="45"/>
      <c r="K1991" s="45"/>
      <c r="L1991" s="45"/>
      <c r="M1991" s="44"/>
      <c r="N1991" s="44"/>
      <c r="O1991" s="44"/>
      <c r="P1991" s="44"/>
      <c r="Q1991" s="44"/>
    </row>
    <row r="1992" spans="8:17" x14ac:dyDescent="0.25">
      <c r="H1992" s="44"/>
      <c r="I1992" s="44"/>
      <c r="J1992" s="44"/>
      <c r="K1992" s="44"/>
      <c r="L1992" s="44"/>
      <c r="M1992" s="44"/>
      <c r="N1992" s="44"/>
      <c r="O1992" s="44"/>
      <c r="P1992" s="44"/>
      <c r="Q1992" s="44"/>
    </row>
    <row r="1993" spans="8:17" x14ac:dyDescent="0.25">
      <c r="H1993" s="44"/>
      <c r="I1993" s="44"/>
      <c r="J1993" s="44"/>
      <c r="K1993" s="44"/>
      <c r="L1993" s="44"/>
      <c r="M1993" s="44"/>
      <c r="N1993" s="44"/>
      <c r="O1993" s="44"/>
      <c r="P1993" s="44"/>
      <c r="Q1993" s="44"/>
    </row>
    <row r="1994" spans="8:17" x14ac:dyDescent="0.25">
      <c r="H1994" s="44"/>
      <c r="I1994" s="44"/>
      <c r="J1994" s="44"/>
      <c r="K1994" s="44"/>
      <c r="L1994" s="44"/>
      <c r="M1994" s="44"/>
      <c r="N1994" s="44"/>
      <c r="O1994" s="44"/>
      <c r="P1994" s="44"/>
      <c r="Q1994" s="44"/>
    </row>
    <row r="1995" spans="8:17" x14ac:dyDescent="0.25">
      <c r="H1995" s="44"/>
      <c r="I1995" s="44"/>
      <c r="J1995" s="44"/>
      <c r="K1995" s="44"/>
      <c r="L1995" s="44"/>
      <c r="M1995" s="44"/>
      <c r="N1995" s="44"/>
      <c r="O1995" s="44"/>
      <c r="P1995" s="44"/>
      <c r="Q1995" s="44"/>
    </row>
    <row r="1996" spans="8:17" x14ac:dyDescent="0.25">
      <c r="H1996" s="44"/>
      <c r="I1996" s="44"/>
      <c r="J1996" s="44"/>
      <c r="K1996" s="44"/>
      <c r="L1996" s="44"/>
      <c r="M1996" s="44"/>
      <c r="N1996" s="44"/>
      <c r="O1996" s="44"/>
      <c r="P1996" s="44"/>
      <c r="Q1996" s="44"/>
    </row>
    <row r="1997" spans="8:17" x14ac:dyDescent="0.25">
      <c r="H1997" s="44"/>
      <c r="I1997" s="44"/>
      <c r="J1997" s="44"/>
      <c r="K1997" s="44"/>
      <c r="L1997" s="44"/>
      <c r="M1997" s="44"/>
      <c r="N1997" s="44"/>
      <c r="O1997" s="44"/>
      <c r="P1997" s="44"/>
      <c r="Q1997" s="44"/>
    </row>
    <row r="1998" spans="8:17" x14ac:dyDescent="0.25">
      <c r="H1998" s="44"/>
      <c r="I1998" s="44"/>
      <c r="J1998" s="44"/>
      <c r="K1998" s="44"/>
      <c r="L1998" s="44"/>
      <c r="M1998" s="44"/>
      <c r="N1998" s="44"/>
      <c r="O1998" s="44"/>
      <c r="P1998" s="44"/>
      <c r="Q1998" s="44"/>
    </row>
    <row r="1999" spans="8:17" x14ac:dyDescent="0.25">
      <c r="H1999" s="44"/>
      <c r="I1999" s="44"/>
      <c r="J1999" s="44"/>
      <c r="K1999" s="44"/>
      <c r="L1999" s="44"/>
      <c r="M1999" s="44"/>
      <c r="N1999" s="44"/>
      <c r="O1999" s="44"/>
      <c r="P1999" s="44"/>
      <c r="Q1999" s="44"/>
    </row>
    <row r="2000" spans="8:17" x14ac:dyDescent="0.25">
      <c r="H2000" s="44"/>
      <c r="I2000" s="44"/>
      <c r="J2000" s="44"/>
      <c r="K2000" s="44"/>
      <c r="L2000" s="44"/>
      <c r="M2000" s="44"/>
      <c r="N2000" s="44"/>
      <c r="O2000" s="44"/>
      <c r="P2000" s="44"/>
      <c r="Q2000" s="44"/>
    </row>
    <row r="2001" spans="8:17" x14ac:dyDescent="0.25">
      <c r="H2001" s="44"/>
      <c r="I2001" s="44"/>
      <c r="J2001" s="44"/>
      <c r="K2001" s="44"/>
      <c r="L2001" s="44"/>
      <c r="M2001" s="44"/>
      <c r="N2001" s="44"/>
      <c r="O2001" s="44"/>
      <c r="P2001" s="44"/>
      <c r="Q2001" s="44"/>
    </row>
    <row r="2002" spans="8:17" x14ac:dyDescent="0.25">
      <c r="H2002" s="44"/>
      <c r="I2002" s="44"/>
      <c r="J2002" s="44"/>
      <c r="K2002" s="44"/>
      <c r="L2002" s="44"/>
      <c r="M2002" s="44"/>
      <c r="N2002" s="44"/>
      <c r="O2002" s="44"/>
      <c r="P2002" s="44"/>
      <c r="Q2002" s="44"/>
    </row>
    <row r="2003" spans="8:17" x14ac:dyDescent="0.25">
      <c r="H2003" s="44"/>
      <c r="I2003" s="44"/>
      <c r="J2003" s="44"/>
      <c r="K2003" s="44"/>
      <c r="L2003" s="44"/>
      <c r="M2003" s="44"/>
      <c r="N2003" s="44"/>
      <c r="O2003" s="44"/>
      <c r="P2003" s="44"/>
      <c r="Q2003" s="44"/>
    </row>
    <row r="2004" spans="8:17" x14ac:dyDescent="0.25">
      <c r="H2004" s="44"/>
      <c r="I2004" s="44"/>
      <c r="J2004" s="44"/>
      <c r="K2004" s="44"/>
      <c r="L2004" s="44"/>
      <c r="M2004" s="44"/>
      <c r="N2004" s="44"/>
      <c r="O2004" s="44"/>
      <c r="P2004" s="44"/>
      <c r="Q2004" s="44"/>
    </row>
    <row r="2005" spans="8:17" x14ac:dyDescent="0.25">
      <c r="H2005" s="44"/>
      <c r="I2005" s="44"/>
      <c r="J2005" s="44"/>
      <c r="K2005" s="44"/>
      <c r="L2005" s="44"/>
      <c r="M2005" s="44"/>
      <c r="N2005" s="44"/>
      <c r="O2005" s="44"/>
      <c r="P2005" s="44"/>
      <c r="Q2005" s="44"/>
    </row>
    <row r="2006" spans="8:17" x14ac:dyDescent="0.25">
      <c r="H2006" s="44"/>
      <c r="I2006" s="44"/>
      <c r="J2006" s="44"/>
      <c r="K2006" s="44"/>
      <c r="L2006" s="44"/>
      <c r="M2006" s="44"/>
      <c r="N2006" s="44"/>
      <c r="O2006" s="44"/>
      <c r="P2006" s="44"/>
      <c r="Q2006" s="44"/>
    </row>
    <row r="2007" spans="8:17" x14ac:dyDescent="0.25">
      <c r="H2007" s="44"/>
      <c r="I2007" s="44"/>
      <c r="J2007" s="44"/>
      <c r="K2007" s="44"/>
      <c r="L2007" s="44"/>
      <c r="M2007" s="44"/>
      <c r="N2007" s="44"/>
      <c r="O2007" s="44"/>
      <c r="P2007" s="44"/>
      <c r="Q2007" s="44"/>
    </row>
    <row r="2008" spans="8:17" x14ac:dyDescent="0.25">
      <c r="H2008" s="44"/>
      <c r="I2008" s="44"/>
      <c r="J2008" s="44"/>
      <c r="K2008" s="44"/>
      <c r="L2008" s="44"/>
      <c r="M2008" s="44"/>
      <c r="N2008" s="44"/>
      <c r="O2008" s="44"/>
      <c r="P2008" s="44"/>
      <c r="Q2008" s="44"/>
    </row>
    <row r="2009" spans="8:17" x14ac:dyDescent="0.25">
      <c r="H2009" s="44"/>
      <c r="I2009" s="44"/>
      <c r="J2009" s="44"/>
      <c r="K2009" s="44"/>
      <c r="L2009" s="44"/>
      <c r="M2009" s="44"/>
      <c r="N2009" s="44"/>
      <c r="O2009" s="44"/>
      <c r="P2009" s="44"/>
      <c r="Q2009" s="44"/>
    </row>
    <row r="2010" spans="8:17" x14ac:dyDescent="0.25">
      <c r="H2010" s="44"/>
      <c r="I2010" s="44"/>
      <c r="J2010" s="44"/>
      <c r="K2010" s="44"/>
      <c r="L2010" s="44"/>
      <c r="M2010" s="44"/>
      <c r="N2010" s="44"/>
      <c r="O2010" s="44"/>
      <c r="P2010" s="44"/>
      <c r="Q2010" s="44"/>
    </row>
    <row r="2011" spans="8:17" x14ac:dyDescent="0.25">
      <c r="H2011" s="44"/>
      <c r="I2011" s="44"/>
      <c r="J2011" s="44"/>
      <c r="K2011" s="44"/>
      <c r="L2011" s="44"/>
      <c r="M2011" s="44"/>
      <c r="N2011" s="44"/>
      <c r="O2011" s="44"/>
      <c r="P2011" s="44"/>
      <c r="Q2011" s="44"/>
    </row>
    <row r="2012" spans="8:17" x14ac:dyDescent="0.25">
      <c r="H2012" s="44"/>
      <c r="I2012" s="44"/>
      <c r="J2012" s="44"/>
      <c r="K2012" s="44"/>
      <c r="L2012" s="44"/>
      <c r="M2012" s="44"/>
      <c r="N2012" s="44"/>
      <c r="O2012" s="44"/>
      <c r="P2012" s="44"/>
      <c r="Q2012" s="44"/>
    </row>
    <row r="2013" spans="8:17" x14ac:dyDescent="0.25">
      <c r="H2013" s="44"/>
      <c r="I2013" s="44"/>
      <c r="J2013" s="44"/>
      <c r="K2013" s="44"/>
      <c r="L2013" s="44"/>
      <c r="M2013" s="44"/>
      <c r="N2013" s="44"/>
      <c r="O2013" s="44"/>
      <c r="P2013" s="44"/>
      <c r="Q2013" s="44"/>
    </row>
    <row r="2014" spans="8:17" x14ac:dyDescent="0.25">
      <c r="H2014" s="44"/>
      <c r="I2014" s="44"/>
      <c r="J2014" s="44"/>
      <c r="K2014" s="44"/>
      <c r="L2014" s="44"/>
      <c r="M2014" s="44"/>
      <c r="N2014" s="44"/>
      <c r="O2014" s="44"/>
      <c r="P2014" s="44"/>
      <c r="Q2014" s="44"/>
    </row>
    <row r="2015" spans="8:17" x14ac:dyDescent="0.25">
      <c r="H2015" s="44"/>
      <c r="I2015" s="44"/>
      <c r="J2015" s="44"/>
      <c r="K2015" s="44"/>
      <c r="L2015" s="44"/>
      <c r="M2015" s="44"/>
      <c r="N2015" s="44"/>
      <c r="O2015" s="44"/>
      <c r="P2015" s="44"/>
      <c r="Q2015" s="44"/>
    </row>
    <row r="2016" spans="8:17" x14ac:dyDescent="0.25">
      <c r="H2016" s="44"/>
      <c r="I2016" s="44"/>
      <c r="J2016" s="44"/>
      <c r="K2016" s="44"/>
      <c r="L2016" s="44"/>
      <c r="M2016" s="44"/>
      <c r="N2016" s="44"/>
      <c r="O2016" s="44"/>
      <c r="P2016" s="44"/>
      <c r="Q2016" s="44"/>
    </row>
    <row r="2017" spans="8:17" x14ac:dyDescent="0.25">
      <c r="H2017" s="44"/>
      <c r="I2017" s="44"/>
      <c r="J2017" s="44"/>
      <c r="K2017" s="44"/>
      <c r="L2017" s="44"/>
      <c r="M2017" s="44"/>
      <c r="N2017" s="44"/>
      <c r="O2017" s="44"/>
      <c r="P2017" s="44"/>
      <c r="Q2017" s="44"/>
    </row>
    <row r="2018" spans="8:17" x14ac:dyDescent="0.25">
      <c r="H2018" s="44"/>
      <c r="I2018" s="44"/>
      <c r="J2018" s="44"/>
      <c r="K2018" s="44"/>
      <c r="L2018" s="44"/>
      <c r="M2018" s="44"/>
      <c r="N2018" s="44"/>
      <c r="O2018" s="44"/>
      <c r="P2018" s="44"/>
      <c r="Q2018" s="44"/>
    </row>
    <row r="2019" spans="8:17" x14ac:dyDescent="0.25">
      <c r="H2019" s="44"/>
      <c r="I2019" s="44"/>
      <c r="J2019" s="44"/>
      <c r="K2019" s="44"/>
      <c r="L2019" s="44"/>
      <c r="M2019" s="44"/>
      <c r="N2019" s="44"/>
      <c r="O2019" s="44"/>
      <c r="P2019" s="44"/>
      <c r="Q2019" s="44"/>
    </row>
    <row r="2020" spans="8:17" x14ac:dyDescent="0.25">
      <c r="H2020" s="44"/>
      <c r="I2020" s="44"/>
      <c r="J2020" s="44"/>
      <c r="K2020" s="44"/>
      <c r="L2020" s="44"/>
      <c r="M2020" s="44"/>
      <c r="N2020" s="44"/>
      <c r="O2020" s="44"/>
      <c r="P2020" s="44"/>
      <c r="Q2020" s="44"/>
    </row>
    <row r="2021" spans="8:17" x14ac:dyDescent="0.25">
      <c r="H2021" s="44"/>
      <c r="I2021" s="44"/>
      <c r="J2021" s="44"/>
      <c r="K2021" s="44"/>
      <c r="L2021" s="44"/>
      <c r="M2021" s="44"/>
      <c r="N2021" s="44"/>
      <c r="O2021" s="44"/>
      <c r="P2021" s="44"/>
      <c r="Q2021" s="44"/>
    </row>
    <row r="2022" spans="8:17" x14ac:dyDescent="0.25">
      <c r="H2022" s="44"/>
      <c r="I2022" s="44"/>
      <c r="J2022" s="44"/>
      <c r="K2022" s="44"/>
      <c r="L2022" s="44"/>
      <c r="M2022" s="44"/>
      <c r="N2022" s="44"/>
      <c r="O2022" s="44"/>
      <c r="P2022" s="44"/>
      <c r="Q2022" s="44"/>
    </row>
    <row r="2023" spans="8:17" x14ac:dyDescent="0.25">
      <c r="H2023" s="44"/>
      <c r="I2023" s="44"/>
      <c r="J2023" s="44"/>
      <c r="K2023" s="44"/>
      <c r="L2023" s="44"/>
      <c r="M2023" s="44"/>
      <c r="N2023" s="44"/>
      <c r="O2023" s="44"/>
      <c r="P2023" s="44"/>
      <c r="Q2023" s="44"/>
    </row>
    <row r="2024" spans="8:17" x14ac:dyDescent="0.25">
      <c r="H2024" s="44"/>
      <c r="I2024" s="44"/>
      <c r="J2024" s="44"/>
      <c r="K2024" s="44"/>
      <c r="L2024" s="44"/>
      <c r="M2024" s="44"/>
      <c r="N2024" s="44"/>
      <c r="O2024" s="44"/>
      <c r="P2024" s="44"/>
      <c r="Q2024" s="44"/>
    </row>
    <row r="2025" spans="8:17" x14ac:dyDescent="0.25">
      <c r="H2025" s="44"/>
      <c r="I2025" s="44"/>
      <c r="J2025" s="44"/>
      <c r="K2025" s="44"/>
      <c r="L2025" s="44"/>
      <c r="M2025" s="44"/>
      <c r="N2025" s="44"/>
      <c r="O2025" s="44"/>
      <c r="P2025" s="44"/>
      <c r="Q2025" s="44"/>
    </row>
    <row r="2026" spans="8:17" x14ac:dyDescent="0.25">
      <c r="H2026" s="44"/>
      <c r="I2026" s="44"/>
      <c r="J2026" s="44"/>
      <c r="K2026" s="44"/>
      <c r="L2026" s="44"/>
      <c r="M2026" s="44"/>
      <c r="N2026" s="44"/>
      <c r="O2026" s="44"/>
      <c r="P2026" s="44"/>
      <c r="Q2026" s="44"/>
    </row>
    <row r="2027" spans="8:17" x14ac:dyDescent="0.25">
      <c r="H2027" s="44"/>
      <c r="I2027" s="44"/>
      <c r="J2027" s="44"/>
      <c r="K2027" s="44"/>
      <c r="L2027" s="44"/>
      <c r="M2027" s="44"/>
      <c r="N2027" s="44"/>
      <c r="O2027" s="44"/>
      <c r="P2027" s="44"/>
      <c r="Q2027" s="44"/>
    </row>
    <row r="2028" spans="8:17" x14ac:dyDescent="0.25">
      <c r="H2028" s="44"/>
      <c r="I2028" s="44"/>
      <c r="J2028" s="44"/>
      <c r="K2028" s="44"/>
      <c r="L2028" s="44"/>
      <c r="M2028" s="44"/>
      <c r="N2028" s="44"/>
      <c r="O2028" s="44"/>
      <c r="P2028" s="44"/>
      <c r="Q2028" s="44"/>
    </row>
    <row r="2029" spans="8:17" x14ac:dyDescent="0.25">
      <c r="H2029" s="44"/>
      <c r="I2029" s="44"/>
      <c r="J2029" s="44"/>
      <c r="K2029" s="44"/>
      <c r="L2029" s="44"/>
      <c r="M2029" s="44"/>
      <c r="N2029" s="44"/>
      <c r="O2029" s="44"/>
      <c r="P2029" s="44"/>
      <c r="Q2029" s="44"/>
    </row>
    <row r="2030" spans="8:17" x14ac:dyDescent="0.25">
      <c r="H2030" s="44"/>
      <c r="I2030" s="44"/>
      <c r="J2030" s="44"/>
      <c r="K2030" s="44"/>
      <c r="L2030" s="44"/>
      <c r="M2030" s="44"/>
      <c r="N2030" s="44"/>
      <c r="O2030" s="44"/>
      <c r="P2030" s="44"/>
      <c r="Q2030" s="44"/>
    </row>
    <row r="2031" spans="8:17" x14ac:dyDescent="0.25">
      <c r="H2031" s="44"/>
      <c r="I2031" s="44"/>
      <c r="J2031" s="44"/>
      <c r="K2031" s="44"/>
      <c r="L2031" s="44"/>
      <c r="M2031" s="44"/>
      <c r="N2031" s="44"/>
      <c r="O2031" s="44"/>
      <c r="P2031" s="44"/>
      <c r="Q2031" s="44"/>
    </row>
    <row r="2032" spans="8:17" x14ac:dyDescent="0.25">
      <c r="H2032" s="44"/>
      <c r="I2032" s="44"/>
      <c r="J2032" s="44"/>
      <c r="K2032" s="44"/>
      <c r="L2032" s="44"/>
      <c r="M2032" s="44"/>
      <c r="N2032" s="44"/>
      <c r="O2032" s="44"/>
      <c r="P2032" s="44"/>
      <c r="Q2032" s="44"/>
    </row>
    <row r="2033" spans="8:17" x14ac:dyDescent="0.25">
      <c r="H2033" s="44"/>
      <c r="I2033" s="44"/>
      <c r="J2033" s="44"/>
      <c r="K2033" s="44"/>
      <c r="L2033" s="44"/>
      <c r="M2033" s="44"/>
      <c r="N2033" s="44"/>
      <c r="O2033" s="44"/>
      <c r="P2033" s="44"/>
      <c r="Q2033" s="44"/>
    </row>
    <row r="2034" spans="8:17" x14ac:dyDescent="0.25">
      <c r="H2034" s="44"/>
      <c r="I2034" s="44"/>
      <c r="J2034" s="44"/>
      <c r="K2034" s="44"/>
      <c r="L2034" s="44"/>
      <c r="M2034" s="44"/>
      <c r="N2034" s="44"/>
      <c r="O2034" s="44"/>
      <c r="P2034" s="44"/>
      <c r="Q2034" s="44"/>
    </row>
    <row r="2035" spans="8:17" x14ac:dyDescent="0.25">
      <c r="H2035" s="44"/>
      <c r="I2035" s="44"/>
      <c r="J2035" s="44"/>
      <c r="K2035" s="44"/>
      <c r="L2035" s="44"/>
      <c r="M2035" s="44"/>
      <c r="N2035" s="44"/>
      <c r="O2035" s="44"/>
      <c r="P2035" s="44"/>
      <c r="Q2035" s="44"/>
    </row>
    <row r="2036" spans="8:17" x14ac:dyDescent="0.25">
      <c r="H2036" s="44"/>
      <c r="I2036" s="44"/>
      <c r="J2036" s="44"/>
      <c r="K2036" s="44"/>
      <c r="L2036" s="44"/>
      <c r="M2036" s="44"/>
      <c r="N2036" s="44"/>
      <c r="O2036" s="44"/>
      <c r="P2036" s="44"/>
      <c r="Q2036" s="44"/>
    </row>
    <row r="2037" spans="8:17" x14ac:dyDescent="0.25">
      <c r="H2037" s="44"/>
      <c r="I2037" s="44"/>
      <c r="J2037" s="44"/>
      <c r="K2037" s="44"/>
      <c r="L2037" s="44"/>
      <c r="M2037" s="44"/>
      <c r="N2037" s="44"/>
      <c r="O2037" s="44"/>
      <c r="P2037" s="44"/>
      <c r="Q2037" s="44"/>
    </row>
    <row r="2038" spans="8:17" x14ac:dyDescent="0.25">
      <c r="H2038" s="44"/>
      <c r="I2038" s="44"/>
      <c r="J2038" s="44"/>
      <c r="K2038" s="44"/>
      <c r="L2038" s="44"/>
      <c r="M2038" s="44"/>
      <c r="N2038" s="44"/>
      <c r="O2038" s="44"/>
      <c r="P2038" s="44"/>
      <c r="Q2038" s="44"/>
    </row>
    <row r="2039" spans="8:17" x14ac:dyDescent="0.25">
      <c r="H2039" s="44"/>
      <c r="I2039" s="44"/>
      <c r="J2039" s="44"/>
      <c r="K2039" s="44"/>
      <c r="L2039" s="44"/>
      <c r="M2039" s="44"/>
      <c r="N2039" s="44"/>
      <c r="O2039" s="44"/>
      <c r="P2039" s="44"/>
      <c r="Q2039" s="44"/>
    </row>
    <row r="2040" spans="8:17" x14ac:dyDescent="0.25">
      <c r="H2040" s="44"/>
      <c r="I2040" s="44"/>
      <c r="J2040" s="44"/>
      <c r="K2040" s="44"/>
      <c r="L2040" s="44"/>
      <c r="M2040" s="44"/>
      <c r="N2040" s="44"/>
      <c r="O2040" s="44"/>
      <c r="P2040" s="44"/>
      <c r="Q2040" s="44"/>
    </row>
    <row r="2041" spans="8:17" x14ac:dyDescent="0.25">
      <c r="H2041" s="44"/>
      <c r="I2041" s="44"/>
      <c r="J2041" s="44"/>
      <c r="K2041" s="44"/>
      <c r="L2041" s="44"/>
      <c r="M2041" s="44"/>
      <c r="N2041" s="44"/>
      <c r="O2041" s="44"/>
      <c r="P2041" s="44"/>
      <c r="Q2041" s="44"/>
    </row>
    <row r="2042" spans="8:17" x14ac:dyDescent="0.25">
      <c r="H2042" s="44"/>
      <c r="I2042" s="44"/>
      <c r="J2042" s="44"/>
      <c r="K2042" s="44"/>
      <c r="L2042" s="44"/>
      <c r="M2042" s="44"/>
      <c r="N2042" s="44"/>
      <c r="O2042" s="44"/>
      <c r="P2042" s="44"/>
      <c r="Q2042" s="44"/>
    </row>
    <row r="2043" spans="8:17" x14ac:dyDescent="0.25">
      <c r="H2043" s="44"/>
      <c r="I2043" s="44"/>
      <c r="J2043" s="44"/>
      <c r="K2043" s="44"/>
      <c r="L2043" s="44"/>
      <c r="M2043" s="44"/>
      <c r="N2043" s="44"/>
      <c r="O2043" s="44"/>
      <c r="P2043" s="44"/>
      <c r="Q2043" s="44"/>
    </row>
    <row r="2044" spans="8:17" x14ac:dyDescent="0.25">
      <c r="H2044" s="44"/>
      <c r="I2044" s="44"/>
      <c r="J2044" s="44"/>
      <c r="K2044" s="44"/>
      <c r="L2044" s="44"/>
      <c r="M2044" s="44"/>
      <c r="N2044" s="44"/>
      <c r="O2044" s="44"/>
      <c r="P2044" s="44"/>
      <c r="Q2044" s="44"/>
    </row>
    <row r="2045" spans="8:17" x14ac:dyDescent="0.25">
      <c r="H2045" s="44"/>
      <c r="I2045" s="44"/>
      <c r="J2045" s="44"/>
      <c r="K2045" s="44"/>
      <c r="L2045" s="44"/>
      <c r="M2045" s="44"/>
      <c r="N2045" s="44"/>
      <c r="O2045" s="44"/>
      <c r="P2045" s="44"/>
      <c r="Q2045" s="44"/>
    </row>
    <row r="2046" spans="8:17" x14ac:dyDescent="0.25">
      <c r="H2046" s="44"/>
      <c r="I2046" s="44"/>
      <c r="J2046" s="44"/>
      <c r="K2046" s="44"/>
      <c r="L2046" s="44"/>
      <c r="M2046" s="44"/>
      <c r="N2046" s="44"/>
      <c r="O2046" s="44"/>
      <c r="P2046" s="44"/>
      <c r="Q2046" s="44"/>
    </row>
    <row r="2047" spans="8:17" x14ac:dyDescent="0.25">
      <c r="H2047" s="44"/>
      <c r="I2047" s="44"/>
      <c r="J2047" s="44"/>
      <c r="K2047" s="44"/>
      <c r="L2047" s="44"/>
      <c r="M2047" s="44"/>
      <c r="N2047" s="44"/>
      <c r="O2047" s="44"/>
      <c r="P2047" s="44"/>
      <c r="Q2047" s="44"/>
    </row>
    <row r="2048" spans="8:17" x14ac:dyDescent="0.25">
      <c r="H2048" s="44"/>
      <c r="I2048" s="44"/>
      <c r="J2048" s="44"/>
      <c r="K2048" s="44"/>
      <c r="L2048" s="44"/>
      <c r="M2048" s="44"/>
      <c r="N2048" s="44"/>
      <c r="O2048" s="44"/>
      <c r="P2048" s="44"/>
      <c r="Q2048" s="44"/>
    </row>
    <row r="2049" spans="8:17" x14ac:dyDescent="0.25">
      <c r="H2049" s="44"/>
      <c r="I2049" s="44"/>
      <c r="J2049" s="44"/>
      <c r="K2049" s="44"/>
      <c r="L2049" s="44"/>
      <c r="M2049" s="44"/>
      <c r="N2049" s="44"/>
      <c r="O2049" s="44"/>
      <c r="P2049" s="44"/>
      <c r="Q2049" s="44"/>
    </row>
    <row r="2050" spans="8:17" x14ac:dyDescent="0.25">
      <c r="H2050" s="44"/>
      <c r="I2050" s="44"/>
      <c r="J2050" s="44"/>
      <c r="K2050" s="44"/>
      <c r="L2050" s="44"/>
      <c r="M2050" s="44"/>
      <c r="N2050" s="44"/>
      <c r="O2050" s="44"/>
      <c r="P2050" s="44"/>
      <c r="Q2050" s="44"/>
    </row>
    <row r="2051" spans="8:17" x14ac:dyDescent="0.25">
      <c r="H2051" s="44"/>
      <c r="I2051" s="44"/>
      <c r="J2051" s="44"/>
      <c r="K2051" s="44"/>
      <c r="L2051" s="44"/>
      <c r="M2051" s="44"/>
      <c r="N2051" s="44"/>
      <c r="O2051" s="44"/>
      <c r="P2051" s="44"/>
      <c r="Q2051" s="44"/>
    </row>
    <row r="2052" spans="8:17" x14ac:dyDescent="0.25">
      <c r="H2052" s="44"/>
      <c r="I2052" s="44"/>
      <c r="J2052" s="44"/>
      <c r="K2052" s="44"/>
      <c r="L2052" s="44"/>
      <c r="M2052" s="44"/>
      <c r="N2052" s="44"/>
      <c r="O2052" s="44"/>
      <c r="P2052" s="44"/>
      <c r="Q2052" s="44"/>
    </row>
    <row r="2053" spans="8:17" x14ac:dyDescent="0.25">
      <c r="H2053" s="44"/>
      <c r="I2053" s="44"/>
      <c r="J2053" s="44"/>
      <c r="K2053" s="44"/>
      <c r="L2053" s="44"/>
      <c r="M2053" s="44"/>
      <c r="N2053" s="44"/>
      <c r="O2053" s="44"/>
      <c r="P2053" s="44"/>
      <c r="Q2053" s="44"/>
    </row>
    <row r="2054" spans="8:17" x14ac:dyDescent="0.25">
      <c r="H2054" s="44"/>
      <c r="I2054" s="44"/>
      <c r="J2054" s="44"/>
      <c r="K2054" s="44"/>
      <c r="L2054" s="44"/>
      <c r="M2054" s="44"/>
      <c r="N2054" s="44"/>
      <c r="O2054" s="44"/>
      <c r="P2054" s="44"/>
      <c r="Q2054" s="44"/>
    </row>
    <row r="2055" spans="8:17" x14ac:dyDescent="0.25">
      <c r="H2055" s="44"/>
      <c r="I2055" s="44"/>
      <c r="J2055" s="44"/>
      <c r="K2055" s="44"/>
      <c r="L2055" s="44"/>
      <c r="M2055" s="44"/>
      <c r="N2055" s="44"/>
      <c r="O2055" s="44"/>
      <c r="P2055" s="44"/>
      <c r="Q2055" s="44"/>
    </row>
    <row r="2056" spans="8:17" x14ac:dyDescent="0.25">
      <c r="H2056" s="44"/>
      <c r="I2056" s="44"/>
      <c r="J2056" s="44"/>
      <c r="K2056" s="44"/>
      <c r="L2056" s="44"/>
      <c r="M2056" s="44"/>
      <c r="N2056" s="44"/>
      <c r="O2056" s="44"/>
      <c r="P2056" s="44"/>
      <c r="Q2056" s="44"/>
    </row>
    <row r="2057" spans="8:17" x14ac:dyDescent="0.25">
      <c r="H2057" s="44"/>
      <c r="I2057" s="44"/>
      <c r="J2057" s="44"/>
      <c r="K2057" s="44"/>
      <c r="L2057" s="44"/>
      <c r="M2057" s="44"/>
      <c r="N2057" s="44"/>
      <c r="O2057" s="44"/>
      <c r="P2057" s="44"/>
      <c r="Q2057" s="44"/>
    </row>
    <row r="2058" spans="8:17" x14ac:dyDescent="0.25">
      <c r="H2058" s="44"/>
      <c r="I2058" s="44"/>
      <c r="J2058" s="44"/>
      <c r="K2058" s="44"/>
      <c r="L2058" s="44"/>
      <c r="M2058" s="44"/>
      <c r="N2058" s="44"/>
      <c r="O2058" s="44"/>
      <c r="P2058" s="44"/>
      <c r="Q2058" s="44"/>
    </row>
    <row r="2059" spans="8:17" x14ac:dyDescent="0.25">
      <c r="H2059" s="44"/>
      <c r="I2059" s="44"/>
      <c r="J2059" s="44"/>
      <c r="K2059" s="44"/>
      <c r="L2059" s="44"/>
      <c r="M2059" s="44"/>
      <c r="N2059" s="44"/>
      <c r="O2059" s="44"/>
      <c r="P2059" s="44"/>
      <c r="Q2059" s="44"/>
    </row>
    <row r="2060" spans="8:17" x14ac:dyDescent="0.25">
      <c r="H2060" s="44"/>
      <c r="I2060" s="44"/>
      <c r="J2060" s="44"/>
      <c r="K2060" s="44"/>
      <c r="L2060" s="44"/>
      <c r="M2060" s="44"/>
      <c r="N2060" s="44"/>
      <c r="O2060" s="44"/>
      <c r="P2060" s="44"/>
      <c r="Q2060" s="44"/>
    </row>
    <row r="2061" spans="8:17" x14ac:dyDescent="0.25">
      <c r="H2061" s="44"/>
      <c r="I2061" s="44"/>
      <c r="J2061" s="44"/>
      <c r="K2061" s="44"/>
      <c r="L2061" s="44"/>
      <c r="M2061" s="44"/>
      <c r="N2061" s="44"/>
      <c r="O2061" s="44"/>
      <c r="P2061" s="44"/>
      <c r="Q2061" s="44"/>
    </row>
    <row r="2062" spans="8:17" x14ac:dyDescent="0.25">
      <c r="H2062" s="44"/>
      <c r="I2062" s="44"/>
      <c r="J2062" s="44"/>
      <c r="K2062" s="44"/>
      <c r="L2062" s="44"/>
      <c r="M2062" s="44"/>
      <c r="N2062" s="44"/>
      <c r="O2062" s="44"/>
      <c r="P2062" s="44"/>
      <c r="Q2062" s="44"/>
    </row>
    <row r="2063" spans="8:17" x14ac:dyDescent="0.25">
      <c r="H2063" s="44"/>
      <c r="I2063" s="44"/>
      <c r="J2063" s="44"/>
      <c r="K2063" s="44"/>
      <c r="L2063" s="44"/>
      <c r="M2063" s="44"/>
      <c r="N2063" s="44"/>
      <c r="O2063" s="44"/>
      <c r="P2063" s="44"/>
      <c r="Q2063" s="44"/>
    </row>
    <row r="2064" spans="8:17" x14ac:dyDescent="0.25">
      <c r="H2064" s="44"/>
      <c r="I2064" s="44"/>
      <c r="J2064" s="44"/>
      <c r="K2064" s="44"/>
      <c r="L2064" s="44"/>
      <c r="M2064" s="44"/>
      <c r="N2064" s="44"/>
      <c r="O2064" s="44"/>
      <c r="P2064" s="44"/>
      <c r="Q2064" s="44"/>
    </row>
    <row r="2065" spans="8:17" x14ac:dyDescent="0.25">
      <c r="H2065" s="44"/>
      <c r="I2065" s="44"/>
      <c r="J2065" s="44"/>
      <c r="K2065" s="44"/>
      <c r="L2065" s="44"/>
      <c r="M2065" s="44"/>
      <c r="N2065" s="44"/>
      <c r="O2065" s="44"/>
      <c r="P2065" s="44"/>
      <c r="Q2065" s="44"/>
    </row>
    <row r="2066" spans="8:17" x14ac:dyDescent="0.25">
      <c r="H2066" s="44"/>
      <c r="I2066" s="44"/>
      <c r="J2066" s="44"/>
      <c r="K2066" s="44"/>
      <c r="L2066" s="44"/>
      <c r="M2066" s="44"/>
      <c r="N2066" s="44"/>
      <c r="O2066" s="44"/>
      <c r="P2066" s="44"/>
      <c r="Q2066" s="44"/>
    </row>
    <row r="2067" spans="8:17" x14ac:dyDescent="0.25">
      <c r="H2067" s="44"/>
      <c r="I2067" s="44"/>
      <c r="J2067" s="44"/>
      <c r="K2067" s="44"/>
      <c r="L2067" s="44"/>
      <c r="M2067" s="44"/>
      <c r="N2067" s="44"/>
      <c r="O2067" s="44"/>
      <c r="P2067" s="44"/>
      <c r="Q2067" s="44"/>
    </row>
    <row r="2068" spans="8:17" x14ac:dyDescent="0.25">
      <c r="H2068" s="44"/>
      <c r="I2068" s="44"/>
      <c r="J2068" s="44"/>
      <c r="K2068" s="44"/>
      <c r="L2068" s="44"/>
      <c r="M2068" s="44"/>
      <c r="N2068" s="44"/>
      <c r="O2068" s="44"/>
      <c r="P2068" s="44"/>
      <c r="Q2068" s="44"/>
    </row>
    <row r="2069" spans="8:17" x14ac:dyDescent="0.25">
      <c r="H2069" s="44"/>
      <c r="I2069" s="44"/>
      <c r="J2069" s="44"/>
      <c r="K2069" s="44"/>
      <c r="L2069" s="44"/>
      <c r="M2069" s="44"/>
      <c r="N2069" s="44"/>
      <c r="O2069" s="44"/>
      <c r="P2069" s="44"/>
      <c r="Q2069" s="44"/>
    </row>
    <row r="2070" spans="8:17" x14ac:dyDescent="0.25">
      <c r="H2070" s="44"/>
      <c r="I2070" s="44"/>
      <c r="J2070" s="44"/>
      <c r="K2070" s="44"/>
      <c r="L2070" s="44"/>
      <c r="M2070" s="44"/>
      <c r="N2070" s="44"/>
      <c r="O2070" s="44"/>
      <c r="P2070" s="44"/>
      <c r="Q2070" s="44"/>
    </row>
    <row r="2071" spans="8:17" x14ac:dyDescent="0.25">
      <c r="H2071" s="44"/>
      <c r="I2071" s="44"/>
      <c r="J2071" s="44"/>
      <c r="K2071" s="44"/>
      <c r="L2071" s="44"/>
      <c r="M2071" s="44"/>
      <c r="N2071" s="44"/>
      <c r="O2071" s="44"/>
      <c r="P2071" s="44"/>
      <c r="Q2071" s="44"/>
    </row>
    <row r="2072" spans="8:17" x14ac:dyDescent="0.25">
      <c r="H2072" s="44"/>
      <c r="I2072" s="44"/>
      <c r="J2072" s="44"/>
      <c r="K2072" s="44"/>
      <c r="L2072" s="44"/>
      <c r="M2072" s="44"/>
      <c r="N2072" s="44"/>
      <c r="O2072" s="44"/>
      <c r="P2072" s="44"/>
      <c r="Q2072" s="44"/>
    </row>
    <row r="2073" spans="8:17" x14ac:dyDescent="0.25">
      <c r="H2073" s="44"/>
      <c r="I2073" s="44"/>
      <c r="J2073" s="44"/>
      <c r="K2073" s="44"/>
      <c r="L2073" s="44"/>
      <c r="M2073" s="44"/>
      <c r="N2073" s="44"/>
      <c r="O2073" s="44"/>
      <c r="P2073" s="44"/>
      <c r="Q2073" s="44"/>
    </row>
    <row r="2074" spans="8:17" x14ac:dyDescent="0.25">
      <c r="H2074" s="44"/>
      <c r="I2074" s="44"/>
      <c r="J2074" s="44"/>
      <c r="K2074" s="44"/>
      <c r="L2074" s="44"/>
      <c r="M2074" s="44"/>
      <c r="N2074" s="44"/>
      <c r="O2074" s="44"/>
      <c r="P2074" s="44"/>
      <c r="Q2074" s="44"/>
    </row>
    <row r="2075" spans="8:17" x14ac:dyDescent="0.25">
      <c r="H2075" s="44"/>
      <c r="I2075" s="44"/>
      <c r="J2075" s="44"/>
      <c r="K2075" s="44"/>
      <c r="L2075" s="44"/>
      <c r="M2075" s="44"/>
      <c r="N2075" s="44"/>
      <c r="O2075" s="44"/>
      <c r="P2075" s="44"/>
      <c r="Q2075" s="44"/>
    </row>
    <row r="2076" spans="8:17" x14ac:dyDescent="0.25">
      <c r="H2076" s="44"/>
      <c r="I2076" s="44"/>
      <c r="J2076" s="44"/>
      <c r="K2076" s="44"/>
      <c r="L2076" s="44"/>
      <c r="M2076" s="44"/>
      <c r="N2076" s="44"/>
      <c r="O2076" s="44"/>
      <c r="P2076" s="44"/>
      <c r="Q2076" s="44"/>
    </row>
    <row r="2077" spans="8:17" x14ac:dyDescent="0.25">
      <c r="H2077" s="44"/>
      <c r="I2077" s="44"/>
      <c r="J2077" s="44"/>
      <c r="K2077" s="44"/>
      <c r="L2077" s="44"/>
      <c r="M2077" s="44"/>
      <c r="N2077" s="44"/>
      <c r="O2077" s="44"/>
      <c r="P2077" s="44"/>
      <c r="Q2077" s="44"/>
    </row>
    <row r="2078" spans="8:17" x14ac:dyDescent="0.25">
      <c r="H2078" s="44"/>
      <c r="I2078" s="44"/>
      <c r="J2078" s="44"/>
      <c r="K2078" s="44"/>
      <c r="L2078" s="44"/>
      <c r="M2078" s="44"/>
      <c r="N2078" s="44"/>
      <c r="O2078" s="44"/>
      <c r="P2078" s="44"/>
      <c r="Q2078" s="44"/>
    </row>
    <row r="2079" spans="8:17" x14ac:dyDescent="0.25">
      <c r="H2079" s="44"/>
      <c r="I2079" s="44"/>
      <c r="J2079" s="44"/>
      <c r="K2079" s="44"/>
      <c r="L2079" s="44"/>
      <c r="M2079" s="44"/>
      <c r="N2079" s="44"/>
      <c r="O2079" s="44"/>
      <c r="P2079" s="44"/>
      <c r="Q2079" s="44"/>
    </row>
    <row r="2080" spans="8:17" x14ac:dyDescent="0.25">
      <c r="H2080" s="44"/>
      <c r="I2080" s="44"/>
      <c r="J2080" s="44"/>
      <c r="K2080" s="44"/>
      <c r="L2080" s="44"/>
      <c r="M2080" s="44"/>
      <c r="N2080" s="44"/>
      <c r="O2080" s="44"/>
      <c r="P2080" s="44"/>
      <c r="Q2080" s="44"/>
    </row>
    <row r="2081" spans="8:17" x14ac:dyDescent="0.25">
      <c r="H2081" s="44"/>
      <c r="I2081" s="44"/>
      <c r="J2081" s="44"/>
      <c r="K2081" s="44"/>
      <c r="L2081" s="44"/>
      <c r="M2081" s="44"/>
      <c r="N2081" s="44"/>
      <c r="O2081" s="44"/>
      <c r="P2081" s="44"/>
      <c r="Q2081" s="44"/>
    </row>
    <row r="2082" spans="8:17" x14ac:dyDescent="0.25">
      <c r="H2082" s="44"/>
      <c r="I2082" s="44"/>
      <c r="J2082" s="44"/>
      <c r="K2082" s="44"/>
      <c r="L2082" s="44"/>
      <c r="M2082" s="44"/>
      <c r="N2082" s="44"/>
      <c r="O2082" s="44"/>
      <c r="P2082" s="44"/>
      <c r="Q2082" s="44"/>
    </row>
    <row r="2083" spans="8:17" x14ac:dyDescent="0.25">
      <c r="H2083" s="44"/>
      <c r="I2083" s="44"/>
      <c r="J2083" s="44"/>
      <c r="K2083" s="44"/>
      <c r="L2083" s="44"/>
      <c r="M2083" s="44"/>
      <c r="N2083" s="44"/>
      <c r="O2083" s="44"/>
      <c r="P2083" s="44"/>
      <c r="Q2083" s="44"/>
    </row>
    <row r="2084" spans="8:17" x14ac:dyDescent="0.25">
      <c r="H2084" s="44"/>
      <c r="I2084" s="44"/>
      <c r="J2084" s="44"/>
      <c r="K2084" s="44"/>
      <c r="L2084" s="44"/>
      <c r="M2084" s="44"/>
      <c r="N2084" s="44"/>
      <c r="O2084" s="44"/>
      <c r="P2084" s="44"/>
      <c r="Q2084" s="44"/>
    </row>
    <row r="2085" spans="8:17" x14ac:dyDescent="0.25">
      <c r="H2085" s="44"/>
      <c r="I2085" s="44"/>
      <c r="J2085" s="44"/>
      <c r="K2085" s="44"/>
      <c r="L2085" s="44"/>
      <c r="M2085" s="44"/>
      <c r="N2085" s="44"/>
      <c r="O2085" s="44"/>
      <c r="P2085" s="44"/>
      <c r="Q2085" s="44"/>
    </row>
    <row r="2086" spans="8:17" x14ac:dyDescent="0.25">
      <c r="H2086" s="44"/>
      <c r="I2086" s="44"/>
      <c r="J2086" s="44"/>
      <c r="K2086" s="44"/>
      <c r="L2086" s="44"/>
      <c r="M2086" s="44"/>
      <c r="N2086" s="44"/>
      <c r="O2086" s="44"/>
      <c r="P2086" s="44"/>
      <c r="Q2086" s="44"/>
    </row>
    <row r="2087" spans="8:17" x14ac:dyDescent="0.25">
      <c r="H2087" s="44"/>
      <c r="I2087" s="44"/>
      <c r="J2087" s="44"/>
      <c r="K2087" s="44"/>
      <c r="L2087" s="44"/>
      <c r="M2087" s="44"/>
      <c r="N2087" s="44"/>
      <c r="O2087" s="44"/>
      <c r="P2087" s="44"/>
      <c r="Q2087" s="44"/>
    </row>
    <row r="2088" spans="8:17" x14ac:dyDescent="0.25">
      <c r="H2088" s="44"/>
      <c r="I2088" s="44"/>
      <c r="J2088" s="44"/>
      <c r="K2088" s="44"/>
      <c r="L2088" s="44"/>
      <c r="M2088" s="44"/>
      <c r="N2088" s="44"/>
      <c r="O2088" s="44"/>
      <c r="P2088" s="44"/>
      <c r="Q2088" s="44"/>
    </row>
    <row r="2089" spans="8:17" x14ac:dyDescent="0.25">
      <c r="H2089" s="44"/>
      <c r="I2089" s="44"/>
      <c r="J2089" s="44"/>
      <c r="K2089" s="44"/>
      <c r="L2089" s="44"/>
      <c r="M2089" s="44"/>
      <c r="N2089" s="44"/>
      <c r="O2089" s="44"/>
      <c r="P2089" s="44"/>
      <c r="Q2089" s="44"/>
    </row>
    <row r="2090" spans="8:17" x14ac:dyDescent="0.25">
      <c r="H2090" s="44"/>
      <c r="I2090" s="44"/>
      <c r="J2090" s="44"/>
      <c r="K2090" s="44"/>
      <c r="L2090" s="44"/>
      <c r="M2090" s="44"/>
      <c r="N2090" s="44"/>
      <c r="O2090" s="44"/>
      <c r="P2090" s="44"/>
      <c r="Q2090" s="44"/>
    </row>
    <row r="2091" spans="8:17" x14ac:dyDescent="0.25">
      <c r="H2091" s="44"/>
      <c r="I2091" s="44"/>
      <c r="J2091" s="44"/>
      <c r="K2091" s="44"/>
      <c r="L2091" s="44"/>
      <c r="M2091" s="44"/>
      <c r="N2091" s="44"/>
      <c r="O2091" s="44"/>
      <c r="P2091" s="44"/>
      <c r="Q2091" s="44"/>
    </row>
    <row r="2092" spans="8:17" x14ac:dyDescent="0.25">
      <c r="H2092" s="44"/>
      <c r="I2092" s="44"/>
      <c r="J2092" s="44"/>
      <c r="K2092" s="44"/>
      <c r="L2092" s="44"/>
      <c r="M2092" s="44"/>
      <c r="N2092" s="44"/>
      <c r="O2092" s="44"/>
      <c r="P2092" s="44"/>
      <c r="Q2092" s="44"/>
    </row>
    <row r="2093" spans="8:17" x14ac:dyDescent="0.25">
      <c r="H2093" s="44"/>
      <c r="I2093" s="44"/>
      <c r="J2093" s="44"/>
      <c r="K2093" s="44"/>
      <c r="L2093" s="44"/>
      <c r="M2093" s="44"/>
      <c r="N2093" s="44"/>
      <c r="O2093" s="44"/>
      <c r="P2093" s="44"/>
      <c r="Q2093" s="44"/>
    </row>
    <row r="2094" spans="8:17" x14ac:dyDescent="0.25">
      <c r="H2094" s="44"/>
      <c r="I2094" s="44"/>
      <c r="J2094" s="44"/>
      <c r="K2094" s="44"/>
      <c r="L2094" s="44"/>
      <c r="M2094" s="44"/>
      <c r="N2094" s="44"/>
      <c r="O2094" s="44"/>
      <c r="P2094" s="44"/>
      <c r="Q2094" s="44"/>
    </row>
    <row r="2095" spans="8:17" x14ac:dyDescent="0.25">
      <c r="H2095" s="44"/>
      <c r="I2095" s="44"/>
      <c r="J2095" s="44"/>
      <c r="K2095" s="44"/>
      <c r="L2095" s="44"/>
      <c r="M2095" s="44"/>
      <c r="N2095" s="44"/>
      <c r="O2095" s="44"/>
      <c r="P2095" s="44"/>
      <c r="Q2095" s="44"/>
    </row>
    <row r="2096" spans="8:17" x14ac:dyDescent="0.25">
      <c r="H2096" s="44"/>
      <c r="I2096" s="44"/>
      <c r="J2096" s="44"/>
      <c r="K2096" s="44"/>
      <c r="L2096" s="44"/>
      <c r="M2096" s="44"/>
      <c r="N2096" s="44"/>
      <c r="O2096" s="44"/>
      <c r="P2096" s="44"/>
      <c r="Q2096" s="44"/>
    </row>
    <row r="2097" spans="8:17" x14ac:dyDescent="0.25">
      <c r="H2097" s="44"/>
      <c r="I2097" s="44"/>
      <c r="J2097" s="44"/>
      <c r="K2097" s="44"/>
      <c r="L2097" s="44"/>
      <c r="M2097" s="44"/>
      <c r="N2097" s="44"/>
      <c r="O2097" s="44"/>
      <c r="P2097" s="44"/>
      <c r="Q2097" s="44"/>
    </row>
    <row r="2098" spans="8:17" x14ac:dyDescent="0.25">
      <c r="H2098" s="44"/>
      <c r="I2098" s="44"/>
      <c r="J2098" s="44"/>
      <c r="K2098" s="44"/>
      <c r="L2098" s="44"/>
      <c r="M2098" s="44"/>
      <c r="N2098" s="44"/>
      <c r="O2098" s="44"/>
      <c r="P2098" s="44"/>
      <c r="Q2098" s="44"/>
    </row>
    <row r="2099" spans="8:17" x14ac:dyDescent="0.25">
      <c r="H2099" s="44"/>
      <c r="I2099" s="44"/>
      <c r="J2099" s="44"/>
      <c r="K2099" s="44"/>
      <c r="L2099" s="44"/>
      <c r="M2099" s="44"/>
      <c r="N2099" s="44"/>
      <c r="O2099" s="44"/>
      <c r="P2099" s="44"/>
      <c r="Q2099" s="44"/>
    </row>
    <row r="2100" spans="8:17" x14ac:dyDescent="0.25">
      <c r="H2100" s="44"/>
      <c r="I2100" s="44"/>
      <c r="J2100" s="44"/>
      <c r="K2100" s="44"/>
      <c r="L2100" s="44"/>
      <c r="M2100" s="44"/>
      <c r="N2100" s="44"/>
      <c r="O2100" s="44"/>
      <c r="P2100" s="44"/>
      <c r="Q2100" s="44"/>
    </row>
    <row r="2101" spans="8:17" x14ac:dyDescent="0.25">
      <c r="H2101" s="44"/>
      <c r="I2101" s="44"/>
      <c r="J2101" s="44"/>
      <c r="K2101" s="44"/>
      <c r="L2101" s="44"/>
      <c r="M2101" s="44"/>
      <c r="N2101" s="44"/>
      <c r="O2101" s="44"/>
      <c r="P2101" s="44"/>
      <c r="Q2101" s="44"/>
    </row>
    <row r="2102" spans="8:17" x14ac:dyDescent="0.25">
      <c r="H2102" s="44"/>
      <c r="I2102" s="44"/>
      <c r="J2102" s="44"/>
      <c r="K2102" s="44"/>
      <c r="L2102" s="44"/>
      <c r="M2102" s="44"/>
      <c r="N2102" s="44"/>
      <c r="O2102" s="44"/>
      <c r="P2102" s="44"/>
      <c r="Q2102" s="44"/>
    </row>
    <row r="2103" spans="8:17" x14ac:dyDescent="0.25">
      <c r="H2103" s="44"/>
      <c r="I2103" s="44"/>
      <c r="J2103" s="44"/>
      <c r="K2103" s="44"/>
      <c r="L2103" s="44"/>
      <c r="M2103" s="44"/>
      <c r="N2103" s="44"/>
      <c r="O2103" s="44"/>
      <c r="P2103" s="44"/>
      <c r="Q2103" s="44"/>
    </row>
    <row r="2104" spans="8:17" x14ac:dyDescent="0.25">
      <c r="H2104" s="44"/>
      <c r="I2104" s="44"/>
      <c r="J2104" s="44"/>
      <c r="K2104" s="44"/>
      <c r="L2104" s="44"/>
      <c r="M2104" s="44"/>
      <c r="N2104" s="44"/>
      <c r="O2104" s="44"/>
      <c r="P2104" s="44"/>
      <c r="Q2104" s="44"/>
    </row>
    <row r="2105" spans="8:17" x14ac:dyDescent="0.25">
      <c r="H2105" s="44"/>
      <c r="I2105" s="44"/>
      <c r="J2105" s="44"/>
      <c r="K2105" s="44"/>
      <c r="L2105" s="44"/>
      <c r="M2105" s="44"/>
      <c r="N2105" s="44"/>
      <c r="O2105" s="44"/>
      <c r="P2105" s="44"/>
      <c r="Q2105" s="44"/>
    </row>
    <row r="2106" spans="8:17" x14ac:dyDescent="0.25">
      <c r="H2106" s="44"/>
      <c r="I2106" s="44"/>
      <c r="J2106" s="44"/>
      <c r="K2106" s="44"/>
      <c r="L2106" s="44"/>
      <c r="M2106" s="44"/>
      <c r="N2106" s="44"/>
      <c r="O2106" s="44"/>
      <c r="P2106" s="44"/>
      <c r="Q2106" s="44"/>
    </row>
    <row r="2107" spans="8:17" x14ac:dyDescent="0.25">
      <c r="H2107" s="44"/>
      <c r="I2107" s="44"/>
      <c r="J2107" s="44"/>
      <c r="K2107" s="44"/>
      <c r="L2107" s="44"/>
      <c r="M2107" s="44"/>
      <c r="N2107" s="44"/>
      <c r="O2107" s="44"/>
      <c r="P2107" s="44"/>
      <c r="Q2107" s="44"/>
    </row>
    <row r="2108" spans="8:17" x14ac:dyDescent="0.25">
      <c r="H2108" s="44"/>
      <c r="I2108" s="44"/>
      <c r="J2108" s="44"/>
      <c r="K2108" s="44"/>
      <c r="L2108" s="44"/>
      <c r="M2108" s="44"/>
      <c r="N2108" s="44"/>
      <c r="O2108" s="44"/>
      <c r="P2108" s="44"/>
      <c r="Q2108" s="44"/>
    </row>
    <row r="2109" spans="8:17" x14ac:dyDescent="0.25">
      <c r="H2109" s="44"/>
      <c r="I2109" s="44"/>
      <c r="J2109" s="44"/>
      <c r="K2109" s="44"/>
      <c r="L2109" s="44"/>
      <c r="M2109" s="44"/>
      <c r="N2109" s="44"/>
      <c r="O2109" s="44"/>
      <c r="P2109" s="44"/>
      <c r="Q2109" s="44"/>
    </row>
    <row r="2110" spans="8:17" x14ac:dyDescent="0.25">
      <c r="H2110" s="44"/>
      <c r="I2110" s="44"/>
      <c r="J2110" s="44"/>
      <c r="K2110" s="44"/>
      <c r="L2110" s="44"/>
      <c r="M2110" s="44"/>
      <c r="N2110" s="44"/>
      <c r="O2110" s="44"/>
      <c r="P2110" s="44"/>
      <c r="Q2110" s="44"/>
    </row>
    <row r="2111" spans="8:17" x14ac:dyDescent="0.25">
      <c r="H2111" s="44"/>
      <c r="I2111" s="44"/>
      <c r="J2111" s="44"/>
      <c r="K2111" s="44"/>
      <c r="L2111" s="44"/>
      <c r="M2111" s="44"/>
      <c r="N2111" s="44"/>
      <c r="O2111" s="44"/>
      <c r="P2111" s="44"/>
      <c r="Q2111" s="44"/>
    </row>
    <row r="2112" spans="8:17" x14ac:dyDescent="0.25">
      <c r="H2112" s="44"/>
      <c r="I2112" s="44"/>
      <c r="J2112" s="44"/>
      <c r="K2112" s="44"/>
      <c r="L2112" s="44"/>
      <c r="M2112" s="44"/>
      <c r="N2112" s="44"/>
      <c r="O2112" s="44"/>
      <c r="P2112" s="44"/>
      <c r="Q2112" s="44"/>
    </row>
    <row r="2113" spans="8:17" x14ac:dyDescent="0.25">
      <c r="H2113" s="44"/>
      <c r="I2113" s="44"/>
      <c r="J2113" s="44"/>
      <c r="K2113" s="44"/>
      <c r="L2113" s="44"/>
      <c r="M2113" s="44"/>
      <c r="N2113" s="44"/>
      <c r="O2113" s="44"/>
      <c r="P2113" s="44"/>
      <c r="Q2113" s="44"/>
    </row>
    <row r="2114" spans="8:17" x14ac:dyDescent="0.25">
      <c r="H2114" s="44"/>
      <c r="I2114" s="44"/>
      <c r="J2114" s="44"/>
      <c r="K2114" s="44"/>
      <c r="L2114" s="44"/>
      <c r="M2114" s="44"/>
      <c r="N2114" s="44"/>
      <c r="O2114" s="44"/>
      <c r="P2114" s="44"/>
      <c r="Q2114" s="44"/>
    </row>
    <row r="2115" spans="8:17" x14ac:dyDescent="0.25">
      <c r="H2115" s="44"/>
      <c r="I2115" s="44"/>
      <c r="J2115" s="44"/>
      <c r="K2115" s="44"/>
      <c r="L2115" s="44"/>
      <c r="M2115" s="44"/>
      <c r="N2115" s="44"/>
      <c r="O2115" s="44"/>
      <c r="P2115" s="44"/>
      <c r="Q2115" s="44"/>
    </row>
    <row r="2116" spans="8:17" x14ac:dyDescent="0.25">
      <c r="H2116" s="44"/>
      <c r="I2116" s="44"/>
      <c r="J2116" s="44"/>
      <c r="K2116" s="44"/>
      <c r="L2116" s="44"/>
      <c r="M2116" s="44"/>
      <c r="N2116" s="44"/>
      <c r="O2116" s="44"/>
      <c r="P2116" s="44"/>
      <c r="Q2116" s="44"/>
    </row>
    <row r="2117" spans="8:17" x14ac:dyDescent="0.25">
      <c r="H2117" s="44"/>
      <c r="I2117" s="44"/>
      <c r="J2117" s="44"/>
      <c r="K2117" s="44"/>
      <c r="L2117" s="44"/>
      <c r="M2117" s="44"/>
      <c r="N2117" s="44"/>
      <c r="O2117" s="44"/>
      <c r="P2117" s="44"/>
      <c r="Q2117" s="44"/>
    </row>
    <row r="2118" spans="8:17" x14ac:dyDescent="0.25">
      <c r="H2118" s="44"/>
      <c r="I2118" s="44"/>
      <c r="J2118" s="44"/>
      <c r="K2118" s="44"/>
      <c r="L2118" s="44"/>
      <c r="M2118" s="44"/>
      <c r="N2118" s="44"/>
      <c r="O2118" s="44"/>
      <c r="P2118" s="44"/>
      <c r="Q2118" s="44"/>
    </row>
    <row r="2119" spans="8:17" x14ac:dyDescent="0.25">
      <c r="H2119" s="44"/>
      <c r="I2119" s="44"/>
      <c r="J2119" s="44"/>
      <c r="K2119" s="44"/>
      <c r="L2119" s="44"/>
      <c r="M2119" s="44"/>
      <c r="N2119" s="44"/>
      <c r="O2119" s="44"/>
      <c r="P2119" s="44"/>
      <c r="Q2119" s="44"/>
    </row>
    <row r="2120" spans="8:17" x14ac:dyDescent="0.25">
      <c r="H2120" s="44"/>
      <c r="I2120" s="44"/>
      <c r="J2120" s="44"/>
      <c r="K2120" s="44"/>
      <c r="L2120" s="44"/>
      <c r="M2120" s="44"/>
      <c r="N2120" s="44"/>
      <c r="O2120" s="44"/>
      <c r="P2120" s="44"/>
      <c r="Q2120" s="44"/>
    </row>
    <row r="2121" spans="8:17" x14ac:dyDescent="0.25">
      <c r="H2121" s="44"/>
      <c r="I2121" s="44"/>
      <c r="J2121" s="44"/>
      <c r="K2121" s="44"/>
      <c r="L2121" s="44"/>
      <c r="M2121" s="44"/>
      <c r="N2121" s="44"/>
      <c r="O2121" s="44"/>
      <c r="P2121" s="44"/>
      <c r="Q2121" s="44"/>
    </row>
    <row r="2122" spans="8:17" x14ac:dyDescent="0.25">
      <c r="H2122" s="44"/>
      <c r="I2122" s="44"/>
      <c r="J2122" s="44"/>
      <c r="K2122" s="44"/>
      <c r="L2122" s="44"/>
      <c r="M2122" s="44"/>
      <c r="N2122" s="44"/>
      <c r="O2122" s="44"/>
      <c r="P2122" s="44"/>
      <c r="Q2122" s="44"/>
    </row>
    <row r="2123" spans="8:17" x14ac:dyDescent="0.25">
      <c r="H2123" s="44"/>
      <c r="I2123" s="44"/>
      <c r="J2123" s="44"/>
      <c r="K2123" s="44"/>
      <c r="L2123" s="44"/>
      <c r="M2123" s="44"/>
      <c r="N2123" s="44"/>
      <c r="O2123" s="44"/>
      <c r="P2123" s="44"/>
      <c r="Q2123" s="44"/>
    </row>
    <row r="2124" spans="8:17" x14ac:dyDescent="0.25">
      <c r="H2124" s="44"/>
      <c r="I2124" s="44"/>
      <c r="J2124" s="44"/>
      <c r="K2124" s="44"/>
      <c r="L2124" s="44"/>
      <c r="M2124" s="44"/>
      <c r="N2124" s="44"/>
      <c r="O2124" s="44"/>
      <c r="P2124" s="44"/>
      <c r="Q2124" s="44"/>
    </row>
    <row r="2125" spans="8:17" x14ac:dyDescent="0.25">
      <c r="H2125" s="44"/>
      <c r="I2125" s="44"/>
      <c r="J2125" s="44"/>
      <c r="K2125" s="44"/>
      <c r="L2125" s="44"/>
      <c r="M2125" s="44"/>
      <c r="N2125" s="44"/>
      <c r="O2125" s="44"/>
      <c r="P2125" s="44"/>
      <c r="Q2125" s="44"/>
    </row>
    <row r="2126" spans="8:17" x14ac:dyDescent="0.25">
      <c r="H2126" s="44"/>
      <c r="I2126" s="44"/>
      <c r="J2126" s="44"/>
      <c r="K2126" s="44"/>
      <c r="L2126" s="44"/>
      <c r="M2126" s="44"/>
      <c r="N2126" s="44"/>
      <c r="O2126" s="44"/>
      <c r="P2126" s="44"/>
      <c r="Q2126" s="44"/>
    </row>
    <row r="2127" spans="8:17" x14ac:dyDescent="0.25">
      <c r="H2127" s="44"/>
      <c r="I2127" s="44"/>
      <c r="J2127" s="44"/>
      <c r="K2127" s="44"/>
      <c r="L2127" s="44"/>
      <c r="M2127" s="44"/>
      <c r="N2127" s="44"/>
      <c r="O2127" s="44"/>
      <c r="P2127" s="44"/>
      <c r="Q2127" s="44"/>
    </row>
    <row r="2128" spans="8:17" x14ac:dyDescent="0.25">
      <c r="H2128" s="44"/>
      <c r="I2128" s="44"/>
      <c r="J2128" s="44"/>
      <c r="K2128" s="44"/>
      <c r="L2128" s="44"/>
      <c r="M2128" s="44"/>
      <c r="N2128" s="44"/>
      <c r="O2128" s="44"/>
      <c r="P2128" s="44"/>
      <c r="Q2128" s="44"/>
    </row>
    <row r="2129" spans="8:17" x14ac:dyDescent="0.25">
      <c r="H2129" s="44"/>
      <c r="I2129" s="44"/>
      <c r="J2129" s="44"/>
      <c r="K2129" s="44"/>
      <c r="L2129" s="44"/>
      <c r="M2129" s="44"/>
      <c r="N2129" s="44"/>
      <c r="O2129" s="44"/>
      <c r="P2129" s="44"/>
      <c r="Q2129" s="44"/>
    </row>
    <row r="2130" spans="8:17" x14ac:dyDescent="0.25">
      <c r="H2130" s="44"/>
      <c r="I2130" s="44"/>
      <c r="J2130" s="44"/>
      <c r="K2130" s="44"/>
      <c r="L2130" s="44"/>
      <c r="M2130" s="44"/>
      <c r="N2130" s="44"/>
      <c r="O2130" s="44"/>
      <c r="P2130" s="44"/>
      <c r="Q2130" s="44"/>
    </row>
    <row r="2131" spans="8:17" x14ac:dyDescent="0.25">
      <c r="H2131" s="44"/>
      <c r="I2131" s="44"/>
      <c r="J2131" s="44"/>
      <c r="K2131" s="44"/>
      <c r="L2131" s="44"/>
      <c r="M2131" s="44"/>
      <c r="N2131" s="44"/>
      <c r="O2131" s="44"/>
      <c r="P2131" s="44"/>
      <c r="Q2131" s="44"/>
    </row>
    <row r="2132" spans="8:17" x14ac:dyDescent="0.25">
      <c r="H2132" s="44"/>
      <c r="I2132" s="44"/>
      <c r="J2132" s="44"/>
      <c r="K2132" s="44"/>
      <c r="L2132" s="44"/>
      <c r="M2132" s="44"/>
      <c r="N2132" s="44"/>
      <c r="O2132" s="44"/>
      <c r="P2132" s="44"/>
      <c r="Q2132" s="44"/>
    </row>
    <row r="2133" spans="8:17" x14ac:dyDescent="0.25">
      <c r="H2133" s="44"/>
      <c r="I2133" s="44"/>
      <c r="J2133" s="44"/>
      <c r="K2133" s="44"/>
      <c r="L2133" s="44"/>
      <c r="M2133" s="44"/>
      <c r="N2133" s="44"/>
      <c r="O2133" s="44"/>
      <c r="P2133" s="44"/>
      <c r="Q2133" s="44"/>
    </row>
    <row r="2134" spans="8:17" x14ac:dyDescent="0.25">
      <c r="H2134" s="44"/>
      <c r="I2134" s="44"/>
      <c r="J2134" s="44"/>
      <c r="K2134" s="44"/>
      <c r="L2134" s="44"/>
      <c r="M2134" s="44"/>
      <c r="N2134" s="44"/>
      <c r="O2134" s="44"/>
      <c r="P2134" s="44"/>
      <c r="Q2134" s="44"/>
    </row>
    <row r="2135" spans="8:17" x14ac:dyDescent="0.25">
      <c r="H2135" s="44"/>
      <c r="I2135" s="44"/>
      <c r="J2135" s="44"/>
      <c r="K2135" s="44"/>
      <c r="L2135" s="44"/>
      <c r="M2135" s="44"/>
      <c r="N2135" s="44"/>
      <c r="O2135" s="44"/>
      <c r="P2135" s="44"/>
      <c r="Q2135" s="44"/>
    </row>
    <row r="2136" spans="8:17" x14ac:dyDescent="0.25">
      <c r="H2136" s="44"/>
      <c r="I2136" s="44"/>
      <c r="J2136" s="44"/>
      <c r="K2136" s="44"/>
      <c r="L2136" s="44"/>
      <c r="M2136" s="44"/>
      <c r="N2136" s="44"/>
      <c r="O2136" s="44"/>
      <c r="P2136" s="44"/>
      <c r="Q2136" s="44"/>
    </row>
    <row r="2137" spans="8:17" x14ac:dyDescent="0.25">
      <c r="H2137" s="44"/>
      <c r="I2137" s="44"/>
      <c r="J2137" s="44"/>
      <c r="K2137" s="44"/>
      <c r="L2137" s="44"/>
      <c r="M2137" s="44"/>
      <c r="N2137" s="44"/>
      <c r="O2137" s="44"/>
      <c r="P2137" s="44"/>
      <c r="Q2137" s="44"/>
    </row>
    <row r="2138" spans="8:17" x14ac:dyDescent="0.25">
      <c r="H2138" s="44"/>
      <c r="I2138" s="44"/>
      <c r="J2138" s="44"/>
      <c r="K2138" s="44"/>
      <c r="L2138" s="44"/>
      <c r="M2138" s="44"/>
      <c r="N2138" s="44"/>
      <c r="O2138" s="44"/>
      <c r="P2138" s="44"/>
      <c r="Q2138" s="44"/>
    </row>
    <row r="2139" spans="8:17" x14ac:dyDescent="0.25">
      <c r="H2139" s="44"/>
      <c r="I2139" s="44"/>
      <c r="J2139" s="44"/>
      <c r="K2139" s="44"/>
      <c r="L2139" s="44"/>
      <c r="M2139" s="44"/>
      <c r="N2139" s="44"/>
      <c r="O2139" s="44"/>
      <c r="P2139" s="44"/>
      <c r="Q2139" s="44"/>
    </row>
    <row r="2140" spans="8:17" x14ac:dyDescent="0.25">
      <c r="H2140" s="44"/>
      <c r="I2140" s="44"/>
      <c r="J2140" s="44"/>
      <c r="K2140" s="44"/>
      <c r="L2140" s="44"/>
      <c r="M2140" s="44"/>
      <c r="N2140" s="44"/>
      <c r="O2140" s="44"/>
      <c r="P2140" s="44"/>
      <c r="Q2140" s="44"/>
    </row>
    <row r="2141" spans="8:17" x14ac:dyDescent="0.25">
      <c r="H2141" s="44"/>
      <c r="I2141" s="44"/>
      <c r="J2141" s="44"/>
      <c r="K2141" s="44"/>
      <c r="L2141" s="44"/>
      <c r="M2141" s="44"/>
      <c r="N2141" s="44"/>
      <c r="O2141" s="44"/>
      <c r="P2141" s="44"/>
      <c r="Q2141" s="44"/>
    </row>
    <row r="2142" spans="8:17" x14ac:dyDescent="0.25">
      <c r="H2142" s="44"/>
      <c r="I2142" s="44"/>
      <c r="J2142" s="44"/>
      <c r="K2142" s="44"/>
      <c r="L2142" s="44"/>
      <c r="M2142" s="44"/>
      <c r="N2142" s="44"/>
      <c r="O2142" s="44"/>
      <c r="P2142" s="44"/>
      <c r="Q2142" s="44"/>
    </row>
    <row r="2143" spans="8:17" x14ac:dyDescent="0.25">
      <c r="H2143" s="44"/>
      <c r="I2143" s="44"/>
      <c r="J2143" s="44"/>
      <c r="K2143" s="44"/>
      <c r="L2143" s="44"/>
      <c r="M2143" s="44"/>
      <c r="N2143" s="44"/>
      <c r="O2143" s="44"/>
      <c r="P2143" s="44"/>
      <c r="Q2143" s="44"/>
    </row>
    <row r="2144" spans="8:17" x14ac:dyDescent="0.25">
      <c r="H2144" s="44"/>
      <c r="I2144" s="44"/>
      <c r="J2144" s="44"/>
      <c r="K2144" s="44"/>
      <c r="L2144" s="44"/>
      <c r="M2144" s="44"/>
      <c r="N2144" s="44"/>
      <c r="O2144" s="44"/>
      <c r="P2144" s="44"/>
      <c r="Q2144" s="44"/>
    </row>
    <row r="2145" spans="8:17" x14ac:dyDescent="0.25">
      <c r="H2145" s="44"/>
      <c r="I2145" s="44"/>
      <c r="J2145" s="44"/>
      <c r="K2145" s="44"/>
      <c r="L2145" s="44"/>
      <c r="M2145" s="44"/>
      <c r="N2145" s="44"/>
      <c r="O2145" s="44"/>
      <c r="P2145" s="44"/>
      <c r="Q2145" s="44"/>
    </row>
    <row r="2146" spans="8:17" x14ac:dyDescent="0.25">
      <c r="H2146" s="44"/>
      <c r="I2146" s="44"/>
      <c r="J2146" s="44"/>
      <c r="K2146" s="44"/>
      <c r="L2146" s="44"/>
      <c r="M2146" s="44"/>
      <c r="N2146" s="44"/>
      <c r="O2146" s="44"/>
      <c r="P2146" s="44"/>
      <c r="Q2146" s="44"/>
    </row>
    <row r="2147" spans="8:17" x14ac:dyDescent="0.25">
      <c r="H2147" s="44"/>
      <c r="I2147" s="44"/>
      <c r="J2147" s="44"/>
      <c r="K2147" s="44"/>
      <c r="L2147" s="44"/>
      <c r="M2147" s="44"/>
      <c r="N2147" s="44"/>
      <c r="O2147" s="44"/>
      <c r="P2147" s="44"/>
      <c r="Q2147" s="44"/>
    </row>
    <row r="2148" spans="8:17" x14ac:dyDescent="0.25">
      <c r="H2148" s="44"/>
      <c r="I2148" s="44"/>
      <c r="J2148" s="44"/>
      <c r="K2148" s="44"/>
      <c r="L2148" s="44"/>
      <c r="M2148" s="44"/>
      <c r="N2148" s="44"/>
      <c r="O2148" s="44"/>
      <c r="P2148" s="44"/>
      <c r="Q2148" s="44"/>
    </row>
    <row r="2149" spans="8:17" x14ac:dyDescent="0.25">
      <c r="H2149" s="44"/>
      <c r="I2149" s="44"/>
      <c r="J2149" s="44"/>
      <c r="K2149" s="44"/>
      <c r="L2149" s="44"/>
      <c r="M2149" s="44"/>
      <c r="N2149" s="44"/>
      <c r="O2149" s="44"/>
      <c r="P2149" s="44"/>
      <c r="Q2149" s="44"/>
    </row>
    <row r="2150" spans="8:17" x14ac:dyDescent="0.25">
      <c r="H2150" s="44"/>
      <c r="I2150" s="44"/>
      <c r="J2150" s="44"/>
      <c r="K2150" s="44"/>
      <c r="L2150" s="44"/>
      <c r="M2150" s="44"/>
      <c r="N2150" s="44"/>
      <c r="O2150" s="44"/>
      <c r="P2150" s="44"/>
      <c r="Q2150" s="44"/>
    </row>
    <row r="2151" spans="8:17" x14ac:dyDescent="0.25">
      <c r="H2151" s="44"/>
      <c r="I2151" s="44"/>
      <c r="J2151" s="44"/>
      <c r="K2151" s="44"/>
      <c r="L2151" s="44"/>
      <c r="M2151" s="44"/>
      <c r="N2151" s="44"/>
      <c r="O2151" s="44"/>
      <c r="P2151" s="44"/>
      <c r="Q2151" s="44"/>
    </row>
    <row r="2152" spans="8:17" x14ac:dyDescent="0.25">
      <c r="H2152" s="44"/>
      <c r="I2152" s="44"/>
      <c r="J2152" s="44"/>
      <c r="K2152" s="44"/>
      <c r="L2152" s="44"/>
      <c r="M2152" s="44"/>
      <c r="N2152" s="44"/>
      <c r="O2152" s="44"/>
      <c r="P2152" s="44"/>
      <c r="Q2152" s="44"/>
    </row>
    <row r="2153" spans="8:17" x14ac:dyDescent="0.25">
      <c r="H2153" s="44"/>
      <c r="I2153" s="44"/>
      <c r="J2153" s="44"/>
      <c r="K2153" s="44"/>
      <c r="L2153" s="44"/>
      <c r="M2153" s="44"/>
      <c r="N2153" s="44"/>
      <c r="O2153" s="44"/>
      <c r="P2153" s="44"/>
      <c r="Q2153" s="44"/>
    </row>
    <row r="2154" spans="8:17" x14ac:dyDescent="0.25">
      <c r="H2154" s="44"/>
      <c r="I2154" s="44"/>
      <c r="J2154" s="44"/>
      <c r="K2154" s="44"/>
      <c r="L2154" s="44"/>
      <c r="M2154" s="44"/>
      <c r="N2154" s="44"/>
      <c r="O2154" s="44"/>
      <c r="P2154" s="44"/>
      <c r="Q2154" s="44"/>
    </row>
    <row r="2155" spans="8:17" x14ac:dyDescent="0.25">
      <c r="H2155" s="44"/>
      <c r="I2155" s="44"/>
      <c r="J2155" s="44"/>
      <c r="K2155" s="44"/>
      <c r="L2155" s="44"/>
      <c r="M2155" s="44"/>
      <c r="N2155" s="44"/>
      <c r="O2155" s="44"/>
      <c r="P2155" s="44"/>
      <c r="Q2155" s="44"/>
    </row>
    <row r="2156" spans="8:17" x14ac:dyDescent="0.25">
      <c r="H2156" s="44"/>
      <c r="I2156" s="44"/>
      <c r="J2156" s="44"/>
      <c r="K2156" s="44"/>
      <c r="L2156" s="44"/>
      <c r="M2156" s="44"/>
      <c r="N2156" s="44"/>
      <c r="O2156" s="44"/>
      <c r="P2156" s="44"/>
      <c r="Q2156" s="44"/>
    </row>
    <row r="2157" spans="8:17" x14ac:dyDescent="0.25">
      <c r="H2157" s="44"/>
      <c r="I2157" s="44"/>
      <c r="J2157" s="44"/>
      <c r="K2157" s="44"/>
      <c r="L2157" s="44"/>
      <c r="M2157" s="44"/>
      <c r="N2157" s="44"/>
      <c r="O2157" s="44"/>
      <c r="P2157" s="44"/>
      <c r="Q2157" s="44"/>
    </row>
    <row r="2158" spans="8:17" x14ac:dyDescent="0.25">
      <c r="H2158" s="44"/>
      <c r="I2158" s="44"/>
      <c r="J2158" s="44"/>
      <c r="K2158" s="44"/>
      <c r="L2158" s="44"/>
      <c r="M2158" s="44"/>
      <c r="N2158" s="44"/>
      <c r="O2158" s="44"/>
      <c r="P2158" s="44"/>
      <c r="Q2158" s="44"/>
    </row>
    <row r="2159" spans="8:17" x14ac:dyDescent="0.25">
      <c r="H2159" s="44"/>
      <c r="I2159" s="44"/>
      <c r="J2159" s="44"/>
      <c r="K2159" s="44"/>
      <c r="L2159" s="44"/>
      <c r="M2159" s="44"/>
      <c r="N2159" s="44"/>
      <c r="O2159" s="44"/>
      <c r="P2159" s="44"/>
      <c r="Q2159" s="44"/>
    </row>
    <row r="2160" spans="8:17" x14ac:dyDescent="0.25">
      <c r="H2160" s="44"/>
      <c r="I2160" s="44"/>
      <c r="J2160" s="44"/>
      <c r="K2160" s="44"/>
      <c r="L2160" s="44"/>
      <c r="M2160" s="44"/>
      <c r="N2160" s="44"/>
      <c r="O2160" s="44"/>
      <c r="P2160" s="44"/>
      <c r="Q2160" s="44"/>
    </row>
    <row r="2161" spans="8:17" x14ac:dyDescent="0.25">
      <c r="H2161" s="44"/>
      <c r="I2161" s="44"/>
      <c r="J2161" s="44"/>
      <c r="K2161" s="44"/>
      <c r="L2161" s="44"/>
      <c r="M2161" s="44"/>
      <c r="N2161" s="44"/>
      <c r="O2161" s="44"/>
      <c r="P2161" s="44"/>
      <c r="Q2161" s="44"/>
    </row>
    <row r="2162" spans="8:17" x14ac:dyDescent="0.25">
      <c r="H2162" s="44"/>
      <c r="I2162" s="44"/>
      <c r="J2162" s="44"/>
      <c r="K2162" s="44"/>
      <c r="L2162" s="44"/>
      <c r="M2162" s="44"/>
      <c r="N2162" s="44"/>
      <c r="O2162" s="44"/>
      <c r="P2162" s="44"/>
      <c r="Q2162" s="44"/>
    </row>
    <row r="2163" spans="8:17" x14ac:dyDescent="0.25">
      <c r="H2163" s="44"/>
      <c r="I2163" s="44"/>
      <c r="J2163" s="44"/>
      <c r="K2163" s="44"/>
      <c r="L2163" s="44"/>
      <c r="M2163" s="44"/>
      <c r="N2163" s="44"/>
      <c r="O2163" s="44"/>
      <c r="P2163" s="44"/>
      <c r="Q2163" s="44"/>
    </row>
    <row r="2164" spans="8:17" x14ac:dyDescent="0.25">
      <c r="H2164" s="44"/>
      <c r="I2164" s="44"/>
      <c r="J2164" s="44"/>
      <c r="K2164" s="44"/>
      <c r="L2164" s="44"/>
      <c r="M2164" s="44"/>
      <c r="N2164" s="44"/>
      <c r="O2164" s="44"/>
      <c r="P2164" s="44"/>
      <c r="Q2164" s="44"/>
    </row>
    <row r="2165" spans="8:17" x14ac:dyDescent="0.25">
      <c r="H2165" s="44"/>
      <c r="I2165" s="44"/>
      <c r="J2165" s="44"/>
      <c r="K2165" s="44"/>
      <c r="L2165" s="44"/>
      <c r="M2165" s="44"/>
      <c r="N2165" s="44"/>
      <c r="O2165" s="44"/>
      <c r="P2165" s="44"/>
      <c r="Q2165" s="44"/>
    </row>
    <row r="2166" spans="8:17" x14ac:dyDescent="0.25">
      <c r="H2166" s="44"/>
      <c r="I2166" s="44"/>
      <c r="J2166" s="44"/>
      <c r="K2166" s="44"/>
      <c r="L2166" s="44"/>
      <c r="M2166" s="44"/>
      <c r="N2166" s="44"/>
      <c r="O2166" s="44"/>
      <c r="P2166" s="44"/>
      <c r="Q2166" s="44"/>
    </row>
    <row r="2167" spans="8:17" x14ac:dyDescent="0.25">
      <c r="H2167" s="44"/>
      <c r="I2167" s="44"/>
      <c r="J2167" s="44"/>
      <c r="K2167" s="44"/>
      <c r="L2167" s="44"/>
      <c r="M2167" s="44"/>
      <c r="N2167" s="44"/>
      <c r="O2167" s="44"/>
      <c r="P2167" s="44"/>
      <c r="Q2167" s="44"/>
    </row>
    <row r="2168" spans="8:17" x14ac:dyDescent="0.25">
      <c r="H2168" s="44"/>
      <c r="I2168" s="44"/>
      <c r="J2168" s="44"/>
      <c r="K2168" s="44"/>
      <c r="L2168" s="44"/>
      <c r="M2168" s="44"/>
      <c r="N2168" s="44"/>
      <c r="O2168" s="44"/>
      <c r="P2168" s="44"/>
      <c r="Q2168" s="44"/>
    </row>
    <row r="2169" spans="8:17" x14ac:dyDescent="0.25">
      <c r="H2169" s="44"/>
      <c r="I2169" s="44"/>
      <c r="J2169" s="44"/>
      <c r="K2169" s="44"/>
      <c r="L2169" s="44"/>
      <c r="M2169" s="44"/>
      <c r="N2169" s="44"/>
      <c r="O2169" s="44"/>
      <c r="P2169" s="44"/>
      <c r="Q2169" s="44"/>
    </row>
    <row r="2170" spans="8:17" x14ac:dyDescent="0.25">
      <c r="H2170" s="44"/>
      <c r="I2170" s="44"/>
      <c r="J2170" s="44"/>
      <c r="K2170" s="44"/>
      <c r="L2170" s="44"/>
      <c r="M2170" s="44"/>
      <c r="N2170" s="44"/>
      <c r="O2170" s="44"/>
      <c r="P2170" s="44"/>
      <c r="Q2170" s="44"/>
    </row>
    <row r="2171" spans="8:17" x14ac:dyDescent="0.25">
      <c r="H2171" s="44"/>
      <c r="I2171" s="44"/>
      <c r="J2171" s="44"/>
      <c r="K2171" s="44"/>
      <c r="L2171" s="44"/>
      <c r="M2171" s="44"/>
      <c r="N2171" s="44"/>
      <c r="O2171" s="44"/>
      <c r="P2171" s="44"/>
      <c r="Q2171" s="44"/>
    </row>
    <row r="2172" spans="8:17" x14ac:dyDescent="0.25">
      <c r="H2172" s="44"/>
      <c r="I2172" s="44"/>
      <c r="J2172" s="44"/>
      <c r="K2172" s="44"/>
      <c r="L2172" s="44"/>
      <c r="M2172" s="44"/>
      <c r="N2172" s="44"/>
      <c r="O2172" s="44"/>
      <c r="P2172" s="44"/>
      <c r="Q2172" s="44"/>
    </row>
    <row r="2173" spans="8:17" x14ac:dyDescent="0.25">
      <c r="H2173" s="44"/>
      <c r="I2173" s="44"/>
      <c r="J2173" s="44"/>
      <c r="K2173" s="44"/>
      <c r="L2173" s="44"/>
      <c r="M2173" s="44"/>
      <c r="N2173" s="44"/>
      <c r="O2173" s="44"/>
      <c r="P2173" s="44"/>
      <c r="Q2173" s="44"/>
    </row>
    <row r="2174" spans="8:17" x14ac:dyDescent="0.25">
      <c r="H2174" s="44"/>
      <c r="I2174" s="44"/>
      <c r="J2174" s="44"/>
      <c r="K2174" s="44"/>
      <c r="L2174" s="44"/>
      <c r="M2174" s="44"/>
      <c r="N2174" s="44"/>
      <c r="O2174" s="44"/>
      <c r="P2174" s="44"/>
      <c r="Q2174" s="44"/>
    </row>
    <row r="2175" spans="8:17" x14ac:dyDescent="0.25">
      <c r="H2175" s="44"/>
      <c r="I2175" s="44"/>
      <c r="J2175" s="44"/>
      <c r="K2175" s="44"/>
      <c r="L2175" s="44"/>
      <c r="M2175" s="44"/>
      <c r="N2175" s="44"/>
      <c r="O2175" s="44"/>
      <c r="P2175" s="44"/>
      <c r="Q2175" s="44"/>
    </row>
    <row r="2176" spans="8:17" x14ac:dyDescent="0.25">
      <c r="H2176" s="44"/>
      <c r="I2176" s="44"/>
      <c r="J2176" s="44"/>
      <c r="K2176" s="44"/>
      <c r="L2176" s="44"/>
      <c r="M2176" s="44"/>
      <c r="N2176" s="44"/>
      <c r="O2176" s="44"/>
      <c r="P2176" s="44"/>
      <c r="Q2176" s="44"/>
    </row>
    <row r="2177" spans="8:17" x14ac:dyDescent="0.25">
      <c r="H2177" s="44"/>
      <c r="I2177" s="44"/>
      <c r="J2177" s="44"/>
      <c r="K2177" s="44"/>
      <c r="L2177" s="44"/>
      <c r="M2177" s="44"/>
      <c r="N2177" s="44"/>
      <c r="O2177" s="44"/>
      <c r="P2177" s="44"/>
      <c r="Q2177" s="44"/>
    </row>
    <row r="2178" spans="8:17" x14ac:dyDescent="0.25">
      <c r="H2178" s="44"/>
      <c r="I2178" s="44"/>
      <c r="J2178" s="44"/>
      <c r="K2178" s="44"/>
      <c r="L2178" s="44"/>
      <c r="M2178" s="44"/>
      <c r="N2178" s="44"/>
      <c r="O2178" s="44"/>
      <c r="P2178" s="44"/>
      <c r="Q2178" s="44"/>
    </row>
    <row r="2179" spans="8:17" x14ac:dyDescent="0.25">
      <c r="H2179" s="44"/>
      <c r="I2179" s="44"/>
      <c r="J2179" s="44"/>
      <c r="K2179" s="44"/>
      <c r="L2179" s="44"/>
      <c r="M2179" s="44"/>
      <c r="N2179" s="44"/>
      <c r="O2179" s="44"/>
      <c r="P2179" s="44"/>
      <c r="Q2179" s="44"/>
    </row>
    <row r="2180" spans="8:17" x14ac:dyDescent="0.25">
      <c r="H2180" s="44"/>
      <c r="I2180" s="44"/>
      <c r="J2180" s="44"/>
      <c r="K2180" s="44"/>
      <c r="L2180" s="44"/>
      <c r="M2180" s="44"/>
      <c r="N2180" s="44"/>
      <c r="O2180" s="44"/>
      <c r="P2180" s="44"/>
      <c r="Q2180" s="44"/>
    </row>
    <row r="2181" spans="8:17" x14ac:dyDescent="0.25">
      <c r="H2181" s="44"/>
      <c r="I2181" s="44"/>
      <c r="J2181" s="44"/>
      <c r="K2181" s="44"/>
      <c r="L2181" s="44"/>
      <c r="M2181" s="44"/>
      <c r="N2181" s="44"/>
      <c r="O2181" s="44"/>
      <c r="P2181" s="44"/>
      <c r="Q2181" s="44"/>
    </row>
    <row r="2182" spans="8:17" x14ac:dyDescent="0.25">
      <c r="H2182" s="44"/>
      <c r="I2182" s="44"/>
      <c r="J2182" s="44"/>
      <c r="K2182" s="44"/>
      <c r="L2182" s="44"/>
      <c r="M2182" s="44"/>
      <c r="N2182" s="44"/>
      <c r="O2182" s="44"/>
      <c r="P2182" s="44"/>
      <c r="Q2182" s="44"/>
    </row>
    <row r="2183" spans="8:17" x14ac:dyDescent="0.25">
      <c r="H2183" s="44"/>
      <c r="I2183" s="44"/>
      <c r="J2183" s="44"/>
      <c r="K2183" s="44"/>
      <c r="L2183" s="44"/>
      <c r="M2183" s="44"/>
      <c r="N2183" s="44"/>
      <c r="O2183" s="44"/>
      <c r="P2183" s="44"/>
      <c r="Q2183" s="44"/>
    </row>
    <row r="2184" spans="8:17" x14ac:dyDescent="0.25">
      <c r="H2184" s="44"/>
      <c r="I2184" s="44"/>
      <c r="J2184" s="44"/>
      <c r="K2184" s="44"/>
      <c r="L2184" s="44"/>
      <c r="M2184" s="44"/>
      <c r="N2184" s="44"/>
      <c r="O2184" s="44"/>
      <c r="P2184" s="44"/>
      <c r="Q2184" s="44"/>
    </row>
    <row r="2185" spans="8:17" x14ac:dyDescent="0.25">
      <c r="H2185" s="44"/>
      <c r="I2185" s="44"/>
      <c r="J2185" s="44"/>
      <c r="K2185" s="44"/>
      <c r="L2185" s="44"/>
      <c r="M2185" s="44"/>
      <c r="N2185" s="44"/>
      <c r="O2185" s="44"/>
      <c r="P2185" s="44"/>
      <c r="Q2185" s="44"/>
    </row>
    <row r="2186" spans="8:17" x14ac:dyDescent="0.25">
      <c r="H2186" s="44"/>
      <c r="I2186" s="44"/>
      <c r="J2186" s="44"/>
      <c r="K2186" s="44"/>
      <c r="L2186" s="44"/>
      <c r="M2186" s="44"/>
      <c r="N2186" s="44"/>
      <c r="O2186" s="44"/>
      <c r="P2186" s="44"/>
      <c r="Q2186" s="44"/>
    </row>
    <row r="2187" spans="8:17" x14ac:dyDescent="0.25">
      <c r="H2187" s="44"/>
      <c r="I2187" s="44"/>
      <c r="J2187" s="44"/>
      <c r="K2187" s="44"/>
      <c r="L2187" s="44"/>
      <c r="M2187" s="44"/>
      <c r="N2187" s="44"/>
      <c r="O2187" s="44"/>
      <c r="P2187" s="44"/>
      <c r="Q2187" s="44"/>
    </row>
    <row r="2188" spans="8:17" x14ac:dyDescent="0.25">
      <c r="H2188" s="44"/>
      <c r="I2188" s="44"/>
      <c r="J2188" s="44"/>
      <c r="K2188" s="44"/>
      <c r="L2188" s="44"/>
      <c r="M2188" s="44"/>
      <c r="N2188" s="44"/>
      <c r="O2188" s="44"/>
      <c r="P2188" s="44"/>
      <c r="Q2188" s="44"/>
    </row>
    <row r="2189" spans="8:17" x14ac:dyDescent="0.25">
      <c r="H2189" s="44"/>
      <c r="I2189" s="44"/>
      <c r="J2189" s="44"/>
      <c r="K2189" s="44"/>
      <c r="L2189" s="44"/>
      <c r="M2189" s="44"/>
      <c r="N2189" s="44"/>
      <c r="O2189" s="44"/>
      <c r="P2189" s="44"/>
      <c r="Q2189" s="44"/>
    </row>
    <row r="2190" spans="8:17" x14ac:dyDescent="0.25">
      <c r="H2190" s="44"/>
      <c r="I2190" s="44"/>
      <c r="J2190" s="44"/>
      <c r="K2190" s="44"/>
      <c r="L2190" s="44"/>
      <c r="M2190" s="44"/>
      <c r="N2190" s="44"/>
      <c r="O2190" s="44"/>
      <c r="P2190" s="44"/>
      <c r="Q2190" s="44"/>
    </row>
    <row r="2191" spans="8:17" x14ac:dyDescent="0.25">
      <c r="H2191" s="44"/>
      <c r="I2191" s="44"/>
      <c r="J2191" s="44"/>
      <c r="K2191" s="44"/>
      <c r="L2191" s="44"/>
      <c r="M2191" s="44"/>
      <c r="N2191" s="44"/>
      <c r="O2191" s="44"/>
      <c r="P2191" s="44"/>
      <c r="Q2191" s="44"/>
    </row>
    <row r="2192" spans="8:17" x14ac:dyDescent="0.25">
      <c r="H2192" s="44"/>
      <c r="I2192" s="44"/>
      <c r="J2192" s="44"/>
      <c r="K2192" s="44"/>
      <c r="L2192" s="44"/>
      <c r="M2192" s="44"/>
      <c r="N2192" s="44"/>
      <c r="O2192" s="44"/>
      <c r="P2192" s="44"/>
      <c r="Q2192" s="44"/>
    </row>
    <row r="2193" spans="8:17" x14ac:dyDescent="0.25">
      <c r="H2193" s="44"/>
      <c r="I2193" s="44"/>
      <c r="J2193" s="44"/>
      <c r="K2193" s="44"/>
      <c r="L2193" s="44"/>
      <c r="M2193" s="44"/>
      <c r="N2193" s="44"/>
      <c r="O2193" s="44"/>
      <c r="P2193" s="44"/>
      <c r="Q2193" s="44"/>
    </row>
    <row r="2194" spans="8:17" x14ac:dyDescent="0.25">
      <c r="H2194" s="44"/>
      <c r="I2194" s="44"/>
      <c r="J2194" s="44"/>
      <c r="K2194" s="44"/>
      <c r="L2194" s="44"/>
      <c r="M2194" s="44"/>
      <c r="N2194" s="44"/>
      <c r="O2194" s="44"/>
      <c r="P2194" s="44"/>
      <c r="Q2194" s="44"/>
    </row>
    <row r="2195" spans="8:17" x14ac:dyDescent="0.25">
      <c r="H2195" s="44"/>
      <c r="I2195" s="44"/>
      <c r="J2195" s="44"/>
      <c r="K2195" s="44"/>
      <c r="L2195" s="44"/>
      <c r="M2195" s="44"/>
      <c r="N2195" s="44"/>
      <c r="O2195" s="44"/>
      <c r="P2195" s="44"/>
      <c r="Q2195" s="44"/>
    </row>
    <row r="2196" spans="8:17" x14ac:dyDescent="0.25">
      <c r="H2196" s="44"/>
      <c r="I2196" s="44"/>
      <c r="J2196" s="44"/>
      <c r="K2196" s="44"/>
      <c r="L2196" s="44"/>
      <c r="M2196" s="44"/>
      <c r="N2196" s="44"/>
      <c r="O2196" s="44"/>
      <c r="P2196" s="44"/>
      <c r="Q2196" s="44"/>
    </row>
    <row r="2197" spans="8:17" x14ac:dyDescent="0.25">
      <c r="H2197" s="44"/>
      <c r="I2197" s="44"/>
      <c r="J2197" s="44"/>
      <c r="K2197" s="44"/>
      <c r="L2197" s="44"/>
      <c r="M2197" s="44"/>
      <c r="N2197" s="44"/>
      <c r="O2197" s="44"/>
      <c r="P2197" s="44"/>
      <c r="Q2197" s="44"/>
    </row>
    <row r="2198" spans="8:17" x14ac:dyDescent="0.25">
      <c r="H2198" s="44"/>
      <c r="I2198" s="44"/>
      <c r="J2198" s="44"/>
      <c r="K2198" s="44"/>
      <c r="L2198" s="44"/>
      <c r="M2198" s="44"/>
      <c r="N2198" s="44"/>
      <c r="O2198" s="44"/>
      <c r="P2198" s="44"/>
      <c r="Q2198" s="44"/>
    </row>
    <row r="2199" spans="8:17" x14ac:dyDescent="0.25">
      <c r="H2199" s="44"/>
      <c r="I2199" s="44"/>
      <c r="J2199" s="44"/>
      <c r="K2199" s="44"/>
      <c r="L2199" s="44"/>
      <c r="M2199" s="44"/>
      <c r="N2199" s="44"/>
      <c r="O2199" s="44"/>
      <c r="P2199" s="44"/>
      <c r="Q2199" s="44"/>
    </row>
    <row r="2200" spans="8:17" x14ac:dyDescent="0.25">
      <c r="H2200" s="44"/>
      <c r="I2200" s="44"/>
      <c r="J2200" s="44"/>
      <c r="K2200" s="44"/>
      <c r="L2200" s="44"/>
      <c r="M2200" s="44"/>
      <c r="N2200" s="44"/>
      <c r="O2200" s="44"/>
      <c r="P2200" s="44"/>
      <c r="Q2200" s="44"/>
    </row>
    <row r="2201" spans="8:17" x14ac:dyDescent="0.25">
      <c r="H2201" s="44"/>
      <c r="I2201" s="44"/>
      <c r="J2201" s="44"/>
      <c r="K2201" s="44"/>
      <c r="L2201" s="44"/>
      <c r="M2201" s="44"/>
      <c r="N2201" s="44"/>
      <c r="O2201" s="44"/>
      <c r="P2201" s="44"/>
      <c r="Q2201" s="44"/>
    </row>
    <row r="2202" spans="8:17" x14ac:dyDescent="0.25">
      <c r="H2202" s="44"/>
      <c r="I2202" s="44"/>
      <c r="J2202" s="44"/>
      <c r="K2202" s="44"/>
      <c r="L2202" s="44"/>
      <c r="M2202" s="44"/>
      <c r="N2202" s="44"/>
      <c r="O2202" s="44"/>
      <c r="P2202" s="44"/>
      <c r="Q2202" s="44"/>
    </row>
    <row r="2203" spans="8:17" x14ac:dyDescent="0.25">
      <c r="H2203" s="44"/>
      <c r="I2203" s="44"/>
      <c r="J2203" s="44"/>
      <c r="K2203" s="44"/>
      <c r="L2203" s="44"/>
      <c r="M2203" s="44"/>
      <c r="N2203" s="44"/>
      <c r="O2203" s="44"/>
      <c r="P2203" s="44"/>
      <c r="Q2203" s="44"/>
    </row>
    <row r="2204" spans="8:17" x14ac:dyDescent="0.25">
      <c r="H2204" s="44"/>
      <c r="I2204" s="44"/>
      <c r="J2204" s="44"/>
      <c r="K2204" s="44"/>
      <c r="L2204" s="44"/>
      <c r="M2204" s="44"/>
      <c r="N2204" s="44"/>
      <c r="O2204" s="44"/>
      <c r="P2204" s="44"/>
      <c r="Q2204" s="44"/>
    </row>
    <row r="2205" spans="8:17" x14ac:dyDescent="0.25">
      <c r="H2205" s="44"/>
      <c r="I2205" s="44"/>
      <c r="J2205" s="44"/>
      <c r="K2205" s="44"/>
      <c r="L2205" s="44"/>
      <c r="M2205" s="44"/>
      <c r="N2205" s="44"/>
      <c r="O2205" s="44"/>
      <c r="P2205" s="44"/>
      <c r="Q2205" s="44"/>
    </row>
    <row r="2206" spans="8:17" x14ac:dyDescent="0.25">
      <c r="H2206" s="44"/>
      <c r="I2206" s="44"/>
      <c r="J2206" s="44"/>
      <c r="K2206" s="44"/>
      <c r="L2206" s="44"/>
      <c r="M2206" s="44"/>
      <c r="N2206" s="44"/>
      <c r="O2206" s="44"/>
      <c r="P2206" s="44"/>
      <c r="Q2206" s="44"/>
    </row>
    <row r="2207" spans="8:17" x14ac:dyDescent="0.25">
      <c r="H2207" s="44"/>
      <c r="I2207" s="44"/>
      <c r="J2207" s="44"/>
      <c r="K2207" s="44"/>
      <c r="L2207" s="44"/>
      <c r="M2207" s="44"/>
      <c r="N2207" s="44"/>
      <c r="O2207" s="44"/>
      <c r="P2207" s="44"/>
      <c r="Q2207" s="44"/>
    </row>
    <row r="2208" spans="8:17" x14ac:dyDescent="0.25">
      <c r="H2208" s="44"/>
      <c r="I2208" s="44"/>
      <c r="J2208" s="44"/>
      <c r="K2208" s="44"/>
      <c r="L2208" s="44"/>
      <c r="M2208" s="44"/>
      <c r="N2208" s="44"/>
      <c r="O2208" s="44"/>
      <c r="P2208" s="44"/>
      <c r="Q2208" s="44"/>
    </row>
    <row r="2209" spans="8:17" x14ac:dyDescent="0.25">
      <c r="H2209" s="44"/>
      <c r="I2209" s="44"/>
      <c r="J2209" s="44"/>
      <c r="K2209" s="44"/>
      <c r="L2209" s="44"/>
      <c r="M2209" s="44"/>
      <c r="N2209" s="44"/>
      <c r="O2209" s="44"/>
      <c r="P2209" s="44"/>
      <c r="Q2209" s="44"/>
    </row>
    <row r="2210" spans="8:17" x14ac:dyDescent="0.25">
      <c r="H2210" s="44"/>
      <c r="I2210" s="44"/>
      <c r="J2210" s="44"/>
      <c r="K2210" s="44"/>
      <c r="L2210" s="44"/>
      <c r="M2210" s="44"/>
      <c r="N2210" s="44"/>
      <c r="O2210" s="44"/>
      <c r="P2210" s="44"/>
      <c r="Q2210" s="44"/>
    </row>
    <row r="2211" spans="8:17" x14ac:dyDescent="0.25">
      <c r="H2211" s="44"/>
      <c r="I2211" s="44"/>
      <c r="J2211" s="44"/>
      <c r="K2211" s="44"/>
      <c r="L2211" s="44"/>
      <c r="M2211" s="44"/>
      <c r="N2211" s="44"/>
      <c r="O2211" s="44"/>
      <c r="P2211" s="44"/>
      <c r="Q2211" s="44"/>
    </row>
    <row r="2212" spans="8:17" x14ac:dyDescent="0.25">
      <c r="H2212" s="44"/>
      <c r="I2212" s="44"/>
      <c r="J2212" s="44"/>
      <c r="K2212" s="44"/>
      <c r="L2212" s="44"/>
      <c r="M2212" s="44"/>
      <c r="N2212" s="44"/>
      <c r="O2212" s="44"/>
      <c r="P2212" s="44"/>
      <c r="Q2212" s="44"/>
    </row>
    <row r="2213" spans="8:17" x14ac:dyDescent="0.25">
      <c r="H2213" s="44"/>
      <c r="I2213" s="44"/>
      <c r="J2213" s="44"/>
      <c r="K2213" s="44"/>
      <c r="L2213" s="44"/>
      <c r="M2213" s="44"/>
      <c r="N2213" s="44"/>
      <c r="O2213" s="44"/>
      <c r="P2213" s="44"/>
      <c r="Q2213" s="44"/>
    </row>
    <row r="2214" spans="8:17" x14ac:dyDescent="0.25">
      <c r="H2214" s="44"/>
      <c r="I2214" s="44"/>
      <c r="J2214" s="44"/>
      <c r="K2214" s="44"/>
      <c r="L2214" s="44"/>
      <c r="M2214" s="44"/>
      <c r="N2214" s="44"/>
      <c r="O2214" s="44"/>
      <c r="P2214" s="44"/>
      <c r="Q2214" s="44"/>
    </row>
    <row r="2215" spans="8:17" x14ac:dyDescent="0.25">
      <c r="H2215" s="44"/>
      <c r="I2215" s="44"/>
      <c r="J2215" s="44"/>
      <c r="K2215" s="44"/>
      <c r="L2215" s="44"/>
      <c r="M2215" s="44"/>
      <c r="N2215" s="44"/>
      <c r="O2215" s="44"/>
      <c r="P2215" s="44"/>
      <c r="Q2215" s="44"/>
    </row>
    <row r="2216" spans="8:17" x14ac:dyDescent="0.25">
      <c r="H2216" s="44"/>
      <c r="I2216" s="44"/>
      <c r="J2216" s="44"/>
      <c r="K2216" s="44"/>
      <c r="L2216" s="44"/>
      <c r="M2216" s="44"/>
      <c r="N2216" s="44"/>
      <c r="O2216" s="44"/>
      <c r="P2216" s="44"/>
      <c r="Q2216" s="44"/>
    </row>
    <row r="2217" spans="8:17" x14ac:dyDescent="0.25">
      <c r="H2217" s="44"/>
      <c r="I2217" s="44"/>
      <c r="J2217" s="44"/>
      <c r="K2217" s="44"/>
      <c r="L2217" s="44"/>
      <c r="M2217" s="44"/>
      <c r="N2217" s="44"/>
      <c r="O2217" s="44"/>
      <c r="P2217" s="44"/>
      <c r="Q2217" s="44"/>
    </row>
    <row r="2218" spans="8:17" x14ac:dyDescent="0.25">
      <c r="H2218" s="44"/>
      <c r="I2218" s="44"/>
      <c r="J2218" s="44"/>
      <c r="K2218" s="44"/>
      <c r="L2218" s="44"/>
      <c r="M2218" s="44"/>
      <c r="N2218" s="44"/>
      <c r="O2218" s="44"/>
      <c r="P2218" s="44"/>
      <c r="Q2218" s="44"/>
    </row>
    <row r="2219" spans="8:17" x14ac:dyDescent="0.25">
      <c r="H2219" s="44"/>
      <c r="I2219" s="44"/>
      <c r="J2219" s="44"/>
      <c r="K2219" s="44"/>
      <c r="L2219" s="44"/>
      <c r="M2219" s="44"/>
      <c r="N2219" s="44"/>
      <c r="O2219" s="44"/>
      <c r="P2219" s="44"/>
      <c r="Q2219" s="44"/>
    </row>
    <row r="2220" spans="8:17" x14ac:dyDescent="0.25">
      <c r="H2220" s="44"/>
      <c r="I2220" s="44"/>
      <c r="J2220" s="44"/>
      <c r="K2220" s="44"/>
      <c r="L2220" s="44"/>
      <c r="M2220" s="44"/>
      <c r="N2220" s="44"/>
      <c r="O2220" s="44"/>
      <c r="P2220" s="44"/>
      <c r="Q2220" s="44"/>
    </row>
    <row r="2221" spans="8:17" x14ac:dyDescent="0.25">
      <c r="H2221" s="44"/>
      <c r="I2221" s="44"/>
      <c r="J2221" s="44"/>
      <c r="K2221" s="44"/>
      <c r="L2221" s="44"/>
      <c r="M2221" s="44"/>
      <c r="N2221" s="44"/>
      <c r="O2221" s="44"/>
      <c r="P2221" s="44"/>
      <c r="Q2221" s="44"/>
    </row>
    <row r="2222" spans="8:17" x14ac:dyDescent="0.25">
      <c r="H2222" s="44"/>
      <c r="I2222" s="44"/>
      <c r="J2222" s="44"/>
      <c r="K2222" s="44"/>
      <c r="L2222" s="44"/>
      <c r="M2222" s="44"/>
      <c r="N2222" s="44"/>
      <c r="O2222" s="44"/>
      <c r="P2222" s="44"/>
      <c r="Q2222" s="44"/>
    </row>
    <row r="2223" spans="8:17" x14ac:dyDescent="0.25">
      <c r="H2223" s="44"/>
      <c r="I2223" s="44"/>
      <c r="J2223" s="44"/>
      <c r="K2223" s="44"/>
      <c r="L2223" s="44"/>
      <c r="M2223" s="44"/>
      <c r="N2223" s="44"/>
      <c r="O2223" s="44"/>
      <c r="P2223" s="44"/>
      <c r="Q2223" s="44"/>
    </row>
    <row r="2224" spans="8:17" x14ac:dyDescent="0.25">
      <c r="H2224" s="44"/>
      <c r="I2224" s="44"/>
      <c r="J2224" s="44"/>
      <c r="K2224" s="44"/>
      <c r="L2224" s="44"/>
      <c r="M2224" s="44"/>
      <c r="N2224" s="44"/>
      <c r="O2224" s="44"/>
      <c r="P2224" s="44"/>
      <c r="Q2224" s="44"/>
    </row>
    <row r="2225" spans="8:17" x14ac:dyDescent="0.25">
      <c r="H2225" s="44"/>
      <c r="I2225" s="44"/>
      <c r="J2225" s="44"/>
      <c r="K2225" s="44"/>
      <c r="L2225" s="44"/>
      <c r="M2225" s="44"/>
      <c r="N2225" s="44"/>
      <c r="O2225" s="44"/>
      <c r="P2225" s="44"/>
      <c r="Q2225" s="44"/>
    </row>
    <row r="2226" spans="8:17" x14ac:dyDescent="0.25">
      <c r="H2226" s="44"/>
      <c r="I2226" s="44"/>
      <c r="J2226" s="44"/>
      <c r="K2226" s="44"/>
      <c r="L2226" s="44"/>
      <c r="M2226" s="44"/>
      <c r="N2226" s="44"/>
      <c r="O2226" s="44"/>
      <c r="P2226" s="44"/>
      <c r="Q2226" s="44"/>
    </row>
    <row r="2227" spans="8:17" x14ac:dyDescent="0.25">
      <c r="H2227" s="44"/>
      <c r="I2227" s="44"/>
      <c r="J2227" s="44"/>
      <c r="K2227" s="44"/>
      <c r="L2227" s="44"/>
      <c r="M2227" s="44"/>
      <c r="N2227" s="44"/>
      <c r="O2227" s="44"/>
      <c r="P2227" s="44"/>
      <c r="Q2227" s="44"/>
    </row>
    <row r="2228" spans="8:17" x14ac:dyDescent="0.25">
      <c r="H2228" s="44"/>
      <c r="I2228" s="44"/>
      <c r="J2228" s="44"/>
      <c r="K2228" s="44"/>
      <c r="L2228" s="44"/>
      <c r="M2228" s="44"/>
      <c r="N2228" s="44"/>
      <c r="O2228" s="44"/>
      <c r="P2228" s="44"/>
      <c r="Q2228" s="44"/>
    </row>
    <row r="2229" spans="8:17" x14ac:dyDescent="0.25">
      <c r="H2229" s="44"/>
      <c r="I2229" s="44"/>
      <c r="J2229" s="44"/>
      <c r="K2229" s="44"/>
      <c r="L2229" s="44"/>
      <c r="M2229" s="44"/>
      <c r="N2229" s="44"/>
      <c r="O2229" s="44"/>
      <c r="P2229" s="44"/>
      <c r="Q2229" s="44"/>
    </row>
    <row r="2230" spans="8:17" x14ac:dyDescent="0.25">
      <c r="H2230" s="44"/>
      <c r="I2230" s="44"/>
      <c r="J2230" s="44"/>
      <c r="K2230" s="44"/>
      <c r="L2230" s="44"/>
      <c r="M2230" s="44"/>
      <c r="N2230" s="44"/>
      <c r="O2230" s="44"/>
      <c r="P2230" s="44"/>
      <c r="Q2230" s="44"/>
    </row>
    <row r="2231" spans="8:17" x14ac:dyDescent="0.25">
      <c r="H2231" s="44"/>
      <c r="I2231" s="44"/>
      <c r="J2231" s="44"/>
      <c r="K2231" s="44"/>
      <c r="L2231" s="44"/>
      <c r="M2231" s="44"/>
      <c r="N2231" s="44"/>
      <c r="O2231" s="44"/>
      <c r="P2231" s="44"/>
      <c r="Q2231" s="44"/>
    </row>
    <row r="2232" spans="8:17" x14ac:dyDescent="0.25">
      <c r="H2232" s="44"/>
      <c r="I2232" s="44"/>
      <c r="J2232" s="44"/>
      <c r="K2232" s="44"/>
      <c r="L2232" s="44"/>
      <c r="M2232" s="44"/>
      <c r="N2232" s="44"/>
      <c r="O2232" s="44"/>
      <c r="P2232" s="44"/>
      <c r="Q2232" s="44"/>
    </row>
    <row r="2233" spans="8:17" x14ac:dyDescent="0.25">
      <c r="H2233" s="44"/>
      <c r="I2233" s="44"/>
      <c r="J2233" s="44"/>
      <c r="K2233" s="44"/>
      <c r="L2233" s="44"/>
      <c r="M2233" s="44"/>
      <c r="N2233" s="44"/>
      <c r="O2233" s="44"/>
      <c r="P2233" s="44"/>
      <c r="Q2233" s="44"/>
    </row>
    <row r="2234" spans="8:17" x14ac:dyDescent="0.25">
      <c r="H2234" s="44"/>
      <c r="I2234" s="44"/>
      <c r="J2234" s="44"/>
      <c r="K2234" s="44"/>
      <c r="L2234" s="44"/>
      <c r="M2234" s="44"/>
      <c r="N2234" s="44"/>
      <c r="O2234" s="44"/>
      <c r="P2234" s="44"/>
      <c r="Q2234" s="44"/>
    </row>
    <row r="2235" spans="8:17" x14ac:dyDescent="0.25">
      <c r="H2235" s="44"/>
      <c r="I2235" s="44"/>
      <c r="J2235" s="44"/>
      <c r="K2235" s="44"/>
      <c r="L2235" s="44"/>
      <c r="M2235" s="44"/>
      <c r="N2235" s="44"/>
      <c r="O2235" s="44"/>
      <c r="P2235" s="44"/>
      <c r="Q2235" s="44"/>
    </row>
    <row r="2236" spans="8:17" x14ac:dyDescent="0.25">
      <c r="H2236" s="44"/>
      <c r="I2236" s="44"/>
      <c r="J2236" s="44"/>
      <c r="K2236" s="44"/>
      <c r="L2236" s="44"/>
      <c r="M2236" s="44"/>
      <c r="N2236" s="44"/>
      <c r="O2236" s="44"/>
      <c r="P2236" s="44"/>
      <c r="Q2236" s="44"/>
    </row>
    <row r="2237" spans="8:17" x14ac:dyDescent="0.25">
      <c r="H2237" s="44"/>
      <c r="I2237" s="44"/>
      <c r="J2237" s="44"/>
      <c r="K2237" s="44"/>
      <c r="L2237" s="44"/>
      <c r="M2237" s="44"/>
      <c r="N2237" s="44"/>
      <c r="O2237" s="44"/>
      <c r="P2237" s="44"/>
      <c r="Q2237" s="44"/>
    </row>
    <row r="2238" spans="8:17" x14ac:dyDescent="0.25">
      <c r="H2238" s="44"/>
      <c r="I2238" s="44"/>
      <c r="J2238" s="44"/>
      <c r="K2238" s="44"/>
      <c r="L2238" s="44"/>
      <c r="M2238" s="44"/>
      <c r="N2238" s="44"/>
      <c r="O2238" s="44"/>
      <c r="P2238" s="44"/>
      <c r="Q2238" s="44"/>
    </row>
    <row r="2239" spans="8:17" x14ac:dyDescent="0.25">
      <c r="H2239" s="44"/>
      <c r="I2239" s="44"/>
      <c r="J2239" s="44"/>
      <c r="K2239" s="44"/>
      <c r="L2239" s="44"/>
      <c r="M2239" s="44"/>
      <c r="N2239" s="44"/>
      <c r="O2239" s="44"/>
      <c r="P2239" s="44"/>
      <c r="Q2239" s="44"/>
    </row>
    <row r="2240" spans="8:17" x14ac:dyDescent="0.25">
      <c r="H2240" s="44"/>
      <c r="I2240" s="44"/>
      <c r="J2240" s="44"/>
      <c r="K2240" s="44"/>
      <c r="L2240" s="44"/>
      <c r="M2240" s="44"/>
      <c r="N2240" s="44"/>
      <c r="O2240" s="44"/>
      <c r="P2240" s="44"/>
      <c r="Q2240" s="44"/>
    </row>
    <row r="2241" spans="8:17" x14ac:dyDescent="0.25">
      <c r="H2241" s="44"/>
      <c r="I2241" s="44"/>
      <c r="J2241" s="44"/>
      <c r="K2241" s="44"/>
      <c r="L2241" s="44"/>
      <c r="M2241" s="44"/>
      <c r="N2241" s="44"/>
      <c r="O2241" s="44"/>
      <c r="P2241" s="44"/>
      <c r="Q2241" s="44"/>
    </row>
    <row r="2242" spans="8:17" x14ac:dyDescent="0.25">
      <c r="H2242" s="44"/>
      <c r="I2242" s="44"/>
      <c r="J2242" s="44"/>
      <c r="K2242" s="44"/>
      <c r="L2242" s="44"/>
      <c r="M2242" s="44"/>
      <c r="N2242" s="44"/>
      <c r="O2242" s="44"/>
      <c r="P2242" s="44"/>
      <c r="Q2242" s="44"/>
    </row>
    <row r="2243" spans="8:17" x14ac:dyDescent="0.25">
      <c r="H2243" s="44"/>
      <c r="I2243" s="44"/>
      <c r="J2243" s="44"/>
      <c r="K2243" s="44"/>
      <c r="L2243" s="44"/>
      <c r="M2243" s="44"/>
      <c r="N2243" s="44"/>
      <c r="O2243" s="44"/>
      <c r="P2243" s="44"/>
      <c r="Q2243" s="44"/>
    </row>
    <row r="2244" spans="8:17" x14ac:dyDescent="0.25">
      <c r="H2244" s="44"/>
      <c r="I2244" s="44"/>
      <c r="J2244" s="44"/>
      <c r="K2244" s="44"/>
      <c r="L2244" s="44"/>
      <c r="M2244" s="44"/>
      <c r="N2244" s="44"/>
      <c r="O2244" s="44"/>
      <c r="P2244" s="44"/>
      <c r="Q2244" s="44"/>
    </row>
    <row r="2245" spans="8:17" x14ac:dyDescent="0.25">
      <c r="H2245" s="44"/>
      <c r="I2245" s="44"/>
      <c r="J2245" s="44"/>
      <c r="K2245" s="44"/>
      <c r="L2245" s="44"/>
      <c r="M2245" s="44"/>
      <c r="N2245" s="44"/>
      <c r="O2245" s="44"/>
      <c r="P2245" s="44"/>
      <c r="Q2245" s="44"/>
    </row>
    <row r="2246" spans="8:17" x14ac:dyDescent="0.25">
      <c r="H2246" s="44"/>
      <c r="I2246" s="44"/>
      <c r="J2246" s="44"/>
      <c r="K2246" s="44"/>
      <c r="L2246" s="44"/>
      <c r="M2246" s="44"/>
      <c r="N2246" s="44"/>
      <c r="O2246" s="44"/>
      <c r="P2246" s="44"/>
      <c r="Q2246" s="44"/>
    </row>
    <row r="2247" spans="8:17" x14ac:dyDescent="0.25">
      <c r="H2247" s="44"/>
      <c r="I2247" s="44"/>
      <c r="J2247" s="44"/>
      <c r="K2247" s="44"/>
      <c r="L2247" s="44"/>
      <c r="M2247" s="44"/>
      <c r="N2247" s="44"/>
      <c r="O2247" s="44"/>
      <c r="P2247" s="44"/>
      <c r="Q2247" s="44"/>
    </row>
    <row r="2248" spans="8:17" x14ac:dyDescent="0.25">
      <c r="H2248" s="44"/>
      <c r="I2248" s="44"/>
      <c r="J2248" s="44"/>
      <c r="K2248" s="44"/>
      <c r="L2248" s="44"/>
      <c r="M2248" s="44"/>
      <c r="N2248" s="44"/>
      <c r="O2248" s="44"/>
      <c r="P2248" s="44"/>
      <c r="Q2248" s="44"/>
    </row>
    <row r="2249" spans="8:17" x14ac:dyDescent="0.25">
      <c r="H2249" s="44"/>
      <c r="I2249" s="44"/>
      <c r="J2249" s="44"/>
      <c r="K2249" s="44"/>
      <c r="L2249" s="44"/>
      <c r="M2249" s="44"/>
      <c r="N2249" s="44"/>
      <c r="O2249" s="44"/>
      <c r="P2249" s="44"/>
      <c r="Q2249" s="44"/>
    </row>
    <row r="2250" spans="8:17" x14ac:dyDescent="0.25">
      <c r="H2250" s="44"/>
      <c r="I2250" s="44"/>
      <c r="J2250" s="44"/>
      <c r="K2250" s="44"/>
      <c r="L2250" s="44"/>
      <c r="M2250" s="44"/>
      <c r="N2250" s="44"/>
      <c r="O2250" s="44"/>
      <c r="P2250" s="44"/>
      <c r="Q2250" s="44"/>
    </row>
    <row r="2251" spans="8:17" x14ac:dyDescent="0.25">
      <c r="H2251" s="44"/>
      <c r="I2251" s="44"/>
      <c r="J2251" s="44"/>
      <c r="K2251" s="44"/>
      <c r="L2251" s="44"/>
      <c r="M2251" s="44"/>
      <c r="N2251" s="44"/>
      <c r="O2251" s="44"/>
      <c r="P2251" s="44"/>
      <c r="Q2251" s="44"/>
    </row>
    <row r="2252" spans="8:17" x14ac:dyDescent="0.25">
      <c r="H2252" s="44"/>
      <c r="I2252" s="44"/>
      <c r="J2252" s="44"/>
      <c r="K2252" s="44"/>
      <c r="L2252" s="44"/>
      <c r="M2252" s="44"/>
      <c r="N2252" s="44"/>
      <c r="O2252" s="44"/>
      <c r="P2252" s="44"/>
      <c r="Q2252" s="44"/>
    </row>
    <row r="2253" spans="8:17" x14ac:dyDescent="0.25">
      <c r="H2253" s="44"/>
      <c r="I2253" s="44"/>
      <c r="J2253" s="44"/>
      <c r="K2253" s="44"/>
      <c r="L2253" s="44"/>
      <c r="M2253" s="44"/>
      <c r="N2253" s="44"/>
      <c r="O2253" s="44"/>
      <c r="P2253" s="44"/>
      <c r="Q2253" s="44"/>
    </row>
    <row r="2254" spans="8:17" x14ac:dyDescent="0.25">
      <c r="H2254" s="44"/>
      <c r="I2254" s="44"/>
      <c r="J2254" s="44"/>
      <c r="K2254" s="44"/>
      <c r="L2254" s="44"/>
      <c r="M2254" s="44"/>
      <c r="N2254" s="44"/>
      <c r="O2254" s="44"/>
      <c r="P2254" s="44"/>
      <c r="Q2254" s="44"/>
    </row>
    <row r="2255" spans="8:17" x14ac:dyDescent="0.25">
      <c r="H2255" s="44"/>
      <c r="I2255" s="44"/>
      <c r="J2255" s="44"/>
      <c r="K2255" s="44"/>
      <c r="L2255" s="44"/>
      <c r="M2255" s="44"/>
      <c r="N2255" s="44"/>
      <c r="O2255" s="44"/>
      <c r="P2255" s="44"/>
      <c r="Q2255" s="44"/>
    </row>
    <row r="2256" spans="8:17" x14ac:dyDescent="0.25">
      <c r="H2256" s="44"/>
      <c r="I2256" s="44"/>
      <c r="J2256" s="44"/>
      <c r="K2256" s="44"/>
      <c r="L2256" s="44"/>
      <c r="M2256" s="44"/>
      <c r="N2256" s="44"/>
      <c r="O2256" s="44"/>
      <c r="P2256" s="44"/>
      <c r="Q2256" s="44"/>
    </row>
    <row r="2257" spans="8:17" x14ac:dyDescent="0.25">
      <c r="H2257" s="44"/>
      <c r="I2257" s="44"/>
      <c r="J2257" s="44"/>
      <c r="K2257" s="44"/>
      <c r="L2257" s="44"/>
      <c r="M2257" s="44"/>
      <c r="N2257" s="44"/>
      <c r="O2257" s="44"/>
      <c r="P2257" s="44"/>
      <c r="Q2257" s="44"/>
    </row>
    <row r="2258" spans="8:17" x14ac:dyDescent="0.25">
      <c r="H2258" s="44"/>
      <c r="I2258" s="44"/>
      <c r="J2258" s="44"/>
      <c r="K2258" s="44"/>
      <c r="L2258" s="44"/>
      <c r="M2258" s="44"/>
      <c r="N2258" s="44"/>
      <c r="O2258" s="44"/>
      <c r="P2258" s="44"/>
      <c r="Q2258" s="44"/>
    </row>
    <row r="2259" spans="8:17" x14ac:dyDescent="0.25">
      <c r="H2259" s="44"/>
      <c r="I2259" s="44"/>
      <c r="J2259" s="44"/>
      <c r="K2259" s="44"/>
      <c r="L2259" s="44"/>
      <c r="M2259" s="44"/>
      <c r="N2259" s="44"/>
      <c r="O2259" s="44"/>
      <c r="P2259" s="44"/>
      <c r="Q2259" s="44"/>
    </row>
    <row r="2260" spans="8:17" x14ac:dyDescent="0.25">
      <c r="H2260" s="44"/>
      <c r="I2260" s="44"/>
      <c r="J2260" s="44"/>
      <c r="K2260" s="44"/>
      <c r="L2260" s="44"/>
      <c r="M2260" s="44"/>
      <c r="N2260" s="44"/>
      <c r="O2260" s="44"/>
      <c r="P2260" s="44"/>
      <c r="Q2260" s="44"/>
    </row>
    <row r="2261" spans="8:17" x14ac:dyDescent="0.25">
      <c r="H2261" s="44"/>
      <c r="I2261" s="44"/>
      <c r="J2261" s="44"/>
      <c r="K2261" s="44"/>
      <c r="L2261" s="44"/>
      <c r="M2261" s="44"/>
      <c r="N2261" s="44"/>
      <c r="O2261" s="44"/>
      <c r="P2261" s="44"/>
      <c r="Q2261" s="44"/>
    </row>
    <row r="2262" spans="8:17" x14ac:dyDescent="0.25">
      <c r="H2262" s="44"/>
      <c r="I2262" s="44"/>
      <c r="J2262" s="44"/>
      <c r="K2262" s="44"/>
      <c r="L2262" s="44"/>
      <c r="M2262" s="44"/>
      <c r="N2262" s="44"/>
      <c r="O2262" s="44"/>
      <c r="P2262" s="44"/>
      <c r="Q2262" s="44"/>
    </row>
    <row r="2263" spans="8:17" x14ac:dyDescent="0.25">
      <c r="H2263" s="44"/>
      <c r="I2263" s="44"/>
      <c r="J2263" s="44"/>
      <c r="K2263" s="44"/>
      <c r="L2263" s="44"/>
      <c r="M2263" s="44"/>
      <c r="N2263" s="44"/>
      <c r="O2263" s="44"/>
      <c r="P2263" s="44"/>
      <c r="Q2263" s="44"/>
    </row>
    <row r="2264" spans="8:17" x14ac:dyDescent="0.25">
      <c r="H2264" s="44"/>
      <c r="I2264" s="44"/>
      <c r="J2264" s="44"/>
      <c r="K2264" s="44"/>
      <c r="L2264" s="44"/>
      <c r="M2264" s="44"/>
      <c r="N2264" s="44"/>
      <c r="O2264" s="44"/>
      <c r="P2264" s="44"/>
      <c r="Q2264" s="44"/>
    </row>
    <row r="2265" spans="8:17" x14ac:dyDescent="0.25">
      <c r="H2265" s="44"/>
      <c r="I2265" s="44"/>
      <c r="J2265" s="44"/>
      <c r="K2265" s="44"/>
      <c r="L2265" s="44"/>
      <c r="M2265" s="44"/>
      <c r="N2265" s="44"/>
      <c r="O2265" s="44"/>
      <c r="P2265" s="44"/>
      <c r="Q2265" s="44"/>
    </row>
    <row r="2266" spans="8:17" x14ac:dyDescent="0.25">
      <c r="H2266" s="44"/>
      <c r="I2266" s="44"/>
      <c r="J2266" s="44"/>
      <c r="K2266" s="44"/>
      <c r="L2266" s="44"/>
      <c r="M2266" s="44"/>
      <c r="N2266" s="44"/>
      <c r="O2266" s="44"/>
      <c r="P2266" s="44"/>
      <c r="Q2266" s="44"/>
    </row>
    <row r="2267" spans="8:17" x14ac:dyDescent="0.25">
      <c r="H2267" s="44"/>
      <c r="I2267" s="44"/>
      <c r="J2267" s="44"/>
      <c r="K2267" s="44"/>
      <c r="L2267" s="44"/>
      <c r="M2267" s="44"/>
      <c r="N2267" s="44"/>
      <c r="O2267" s="44"/>
      <c r="P2267" s="44"/>
      <c r="Q2267" s="44"/>
    </row>
    <row r="2268" spans="8:17" x14ac:dyDescent="0.25">
      <c r="H2268" s="44"/>
      <c r="I2268" s="44"/>
      <c r="J2268" s="44"/>
      <c r="K2268" s="44"/>
      <c r="L2268" s="44"/>
      <c r="M2268" s="44"/>
      <c r="N2268" s="44"/>
      <c r="O2268" s="44"/>
      <c r="P2268" s="44"/>
      <c r="Q2268" s="44"/>
    </row>
    <row r="2269" spans="8:17" x14ac:dyDescent="0.25">
      <c r="H2269" s="44"/>
      <c r="I2269" s="44"/>
      <c r="J2269" s="44"/>
      <c r="K2269" s="44"/>
      <c r="L2269" s="44"/>
      <c r="M2269" s="44"/>
      <c r="N2269" s="44"/>
      <c r="O2269" s="44"/>
      <c r="P2269" s="44"/>
      <c r="Q2269" s="44"/>
    </row>
    <row r="2270" spans="8:17" x14ac:dyDescent="0.25">
      <c r="H2270" s="44"/>
      <c r="I2270" s="44"/>
      <c r="J2270" s="44"/>
      <c r="K2270" s="44"/>
      <c r="L2270" s="44"/>
      <c r="M2270" s="44"/>
      <c r="N2270" s="44"/>
      <c r="O2270" s="44"/>
      <c r="P2270" s="44"/>
      <c r="Q2270" s="44"/>
    </row>
    <row r="2271" spans="8:17" x14ac:dyDescent="0.25">
      <c r="H2271" s="44"/>
      <c r="I2271" s="44"/>
      <c r="J2271" s="44"/>
      <c r="K2271" s="44"/>
      <c r="L2271" s="44"/>
      <c r="M2271" s="44"/>
      <c r="N2271" s="44"/>
      <c r="O2271" s="44"/>
      <c r="P2271" s="44"/>
      <c r="Q2271" s="44"/>
    </row>
    <row r="2272" spans="8:17" x14ac:dyDescent="0.25">
      <c r="H2272" s="44"/>
      <c r="I2272" s="44"/>
      <c r="J2272" s="44"/>
      <c r="K2272" s="44"/>
      <c r="L2272" s="44"/>
      <c r="M2272" s="44"/>
      <c r="N2272" s="44"/>
      <c r="O2272" s="44"/>
      <c r="P2272" s="44"/>
      <c r="Q2272" s="44"/>
    </row>
    <row r="2273" spans="8:17" x14ac:dyDescent="0.25">
      <c r="H2273" s="44"/>
      <c r="I2273" s="44"/>
      <c r="J2273" s="44"/>
      <c r="K2273" s="44"/>
      <c r="L2273" s="44"/>
      <c r="M2273" s="44"/>
      <c r="N2273" s="44"/>
      <c r="O2273" s="44"/>
      <c r="P2273" s="44"/>
      <c r="Q2273" s="44"/>
    </row>
    <row r="2274" spans="8:17" x14ac:dyDescent="0.25">
      <c r="H2274" s="44"/>
      <c r="I2274" s="44"/>
      <c r="J2274" s="44"/>
      <c r="K2274" s="44"/>
      <c r="L2274" s="44"/>
      <c r="M2274" s="44"/>
      <c r="N2274" s="44"/>
      <c r="O2274" s="44"/>
      <c r="P2274" s="44"/>
      <c r="Q2274" s="44"/>
    </row>
    <row r="2275" spans="8:17" x14ac:dyDescent="0.25">
      <c r="H2275" s="44"/>
      <c r="I2275" s="44"/>
      <c r="J2275" s="44"/>
      <c r="K2275" s="44"/>
      <c r="L2275" s="44"/>
      <c r="M2275" s="44"/>
      <c r="N2275" s="44"/>
      <c r="O2275" s="44"/>
      <c r="P2275" s="44"/>
      <c r="Q2275" s="44"/>
    </row>
    <row r="2276" spans="8:17" x14ac:dyDescent="0.25">
      <c r="H2276" s="44"/>
      <c r="I2276" s="44"/>
      <c r="J2276" s="44"/>
      <c r="K2276" s="44"/>
      <c r="L2276" s="44"/>
      <c r="M2276" s="44"/>
      <c r="N2276" s="44"/>
      <c r="O2276" s="44"/>
      <c r="P2276" s="44"/>
      <c r="Q2276" s="44"/>
    </row>
    <row r="2277" spans="8:17" x14ac:dyDescent="0.25">
      <c r="H2277" s="44"/>
      <c r="I2277" s="44"/>
      <c r="J2277" s="44"/>
      <c r="K2277" s="44"/>
      <c r="L2277" s="44"/>
      <c r="M2277" s="44"/>
      <c r="N2277" s="44"/>
      <c r="O2277" s="44"/>
      <c r="P2277" s="44"/>
      <c r="Q2277" s="44"/>
    </row>
    <row r="2278" spans="8:17" x14ac:dyDescent="0.25">
      <c r="H2278" s="44"/>
      <c r="I2278" s="44"/>
      <c r="J2278" s="44"/>
      <c r="K2278" s="44"/>
      <c r="L2278" s="44"/>
      <c r="M2278" s="44"/>
      <c r="N2278" s="44"/>
      <c r="O2278" s="44"/>
      <c r="P2278" s="44"/>
      <c r="Q2278" s="44"/>
    </row>
    <row r="2279" spans="8:17" x14ac:dyDescent="0.25">
      <c r="H2279" s="44"/>
      <c r="I2279" s="44"/>
      <c r="J2279" s="44"/>
      <c r="K2279" s="44"/>
      <c r="L2279" s="44"/>
      <c r="M2279" s="44"/>
      <c r="N2279" s="44"/>
      <c r="O2279" s="44"/>
      <c r="P2279" s="44"/>
      <c r="Q2279" s="44"/>
    </row>
    <row r="2280" spans="8:17" x14ac:dyDescent="0.25">
      <c r="H2280" s="44"/>
      <c r="I2280" s="44"/>
      <c r="J2280" s="44"/>
      <c r="K2280" s="44"/>
      <c r="L2280" s="44"/>
      <c r="M2280" s="44"/>
      <c r="N2280" s="44"/>
      <c r="O2280" s="44"/>
      <c r="P2280" s="44"/>
      <c r="Q2280" s="44"/>
    </row>
    <row r="2281" spans="8:17" x14ac:dyDescent="0.25">
      <c r="H2281" s="44"/>
      <c r="I2281" s="44"/>
      <c r="J2281" s="44"/>
      <c r="K2281" s="44"/>
      <c r="L2281" s="44"/>
      <c r="M2281" s="44"/>
      <c r="N2281" s="44"/>
      <c r="O2281" s="44"/>
      <c r="P2281" s="44"/>
      <c r="Q2281" s="44"/>
    </row>
    <row r="2282" spans="8:17" x14ac:dyDescent="0.25">
      <c r="H2282" s="44"/>
      <c r="I2282" s="44"/>
      <c r="J2282" s="44"/>
      <c r="K2282" s="44"/>
      <c r="L2282" s="44"/>
      <c r="M2282" s="44"/>
      <c r="N2282" s="44"/>
      <c r="O2282" s="44"/>
      <c r="P2282" s="44"/>
      <c r="Q2282" s="44"/>
    </row>
    <row r="2283" spans="8:17" x14ac:dyDescent="0.25">
      <c r="H2283" s="44"/>
      <c r="I2283" s="44"/>
      <c r="J2283" s="44"/>
      <c r="K2283" s="44"/>
      <c r="L2283" s="44"/>
      <c r="M2283" s="44"/>
      <c r="N2283" s="44"/>
      <c r="O2283" s="44"/>
      <c r="P2283" s="44"/>
      <c r="Q2283" s="44"/>
    </row>
    <row r="2284" spans="8:17" x14ac:dyDescent="0.25">
      <c r="H2284" s="44"/>
      <c r="I2284" s="44"/>
      <c r="J2284" s="44"/>
      <c r="K2284" s="44"/>
      <c r="L2284" s="44"/>
      <c r="M2284" s="44"/>
      <c r="N2284" s="44"/>
      <c r="O2284" s="44"/>
      <c r="P2284" s="44"/>
      <c r="Q2284" s="44"/>
    </row>
    <row r="2285" spans="8:17" x14ac:dyDescent="0.25">
      <c r="H2285" s="44"/>
      <c r="I2285" s="44"/>
      <c r="J2285" s="44"/>
      <c r="K2285" s="44"/>
      <c r="L2285" s="44"/>
      <c r="M2285" s="44"/>
      <c r="N2285" s="44"/>
      <c r="O2285" s="44"/>
      <c r="P2285" s="44"/>
      <c r="Q2285" s="44"/>
    </row>
    <row r="2286" spans="8:17" x14ac:dyDescent="0.25">
      <c r="H2286" s="44"/>
      <c r="I2286" s="44"/>
      <c r="J2286" s="44"/>
      <c r="K2286" s="44"/>
      <c r="L2286" s="44"/>
      <c r="M2286" s="44"/>
      <c r="N2286" s="44"/>
      <c r="O2286" s="44"/>
      <c r="P2286" s="44"/>
      <c r="Q2286" s="44"/>
    </row>
    <row r="2287" spans="8:17" x14ac:dyDescent="0.25">
      <c r="H2287" s="44"/>
      <c r="I2287" s="44"/>
      <c r="J2287" s="44"/>
      <c r="K2287" s="44"/>
      <c r="L2287" s="44"/>
      <c r="M2287" s="44"/>
      <c r="N2287" s="44"/>
      <c r="O2287" s="44"/>
      <c r="P2287" s="44"/>
      <c r="Q2287" s="44"/>
    </row>
    <row r="2288" spans="8:17" x14ac:dyDescent="0.25">
      <c r="H2288" s="44"/>
      <c r="I2288" s="44"/>
      <c r="J2288" s="44"/>
      <c r="K2288" s="44"/>
      <c r="L2288" s="44"/>
      <c r="M2288" s="44"/>
      <c r="N2288" s="44"/>
      <c r="O2288" s="44"/>
      <c r="P2288" s="44"/>
      <c r="Q2288" s="44"/>
    </row>
    <row r="2289" spans="8:17" x14ac:dyDescent="0.25">
      <c r="H2289" s="44"/>
      <c r="I2289" s="44"/>
      <c r="J2289" s="44"/>
      <c r="K2289" s="44"/>
      <c r="L2289" s="44"/>
      <c r="M2289" s="44"/>
      <c r="N2289" s="44"/>
      <c r="O2289" s="44"/>
      <c r="P2289" s="44"/>
      <c r="Q2289" s="44"/>
    </row>
    <row r="2290" spans="8:17" x14ac:dyDescent="0.25">
      <c r="H2290" s="44"/>
      <c r="I2290" s="44"/>
      <c r="J2290" s="44"/>
      <c r="K2290" s="44"/>
      <c r="L2290" s="44"/>
      <c r="M2290" s="44"/>
      <c r="N2290" s="44"/>
      <c r="O2290" s="44"/>
      <c r="P2290" s="44"/>
      <c r="Q2290" s="44"/>
    </row>
    <row r="2291" spans="8:17" x14ac:dyDescent="0.25">
      <c r="H2291" s="44"/>
      <c r="I2291" s="44"/>
      <c r="J2291" s="44"/>
      <c r="K2291" s="44"/>
      <c r="L2291" s="44"/>
      <c r="M2291" s="44"/>
      <c r="N2291" s="44"/>
      <c r="O2291" s="44"/>
      <c r="P2291" s="44"/>
      <c r="Q2291" s="44"/>
    </row>
    <row r="2292" spans="8:17" x14ac:dyDescent="0.25">
      <c r="H2292" s="44"/>
      <c r="I2292" s="44"/>
      <c r="J2292" s="44"/>
      <c r="K2292" s="44"/>
      <c r="L2292" s="44"/>
      <c r="M2292" s="44"/>
      <c r="N2292" s="44"/>
      <c r="O2292" s="44"/>
      <c r="P2292" s="44"/>
      <c r="Q2292" s="44"/>
    </row>
    <row r="2293" spans="8:17" x14ac:dyDescent="0.25">
      <c r="H2293" s="44"/>
      <c r="I2293" s="44"/>
      <c r="J2293" s="44"/>
      <c r="K2293" s="44"/>
      <c r="L2293" s="44"/>
      <c r="M2293" s="44"/>
      <c r="N2293" s="44"/>
      <c r="O2293" s="44"/>
      <c r="P2293" s="44"/>
      <c r="Q2293" s="44"/>
    </row>
    <row r="2294" spans="8:17" x14ac:dyDescent="0.25">
      <c r="H2294" s="44"/>
      <c r="I2294" s="44"/>
      <c r="J2294" s="44"/>
      <c r="K2294" s="44"/>
      <c r="L2294" s="44"/>
      <c r="M2294" s="44"/>
      <c r="N2294" s="44"/>
      <c r="O2294" s="44"/>
      <c r="P2294" s="44"/>
      <c r="Q2294" s="44"/>
    </row>
    <row r="2295" spans="8:17" x14ac:dyDescent="0.25">
      <c r="H2295" s="44"/>
      <c r="I2295" s="44"/>
      <c r="J2295" s="44"/>
      <c r="K2295" s="44"/>
      <c r="L2295" s="44"/>
      <c r="M2295" s="44"/>
      <c r="N2295" s="44"/>
      <c r="O2295" s="44"/>
      <c r="P2295" s="44"/>
      <c r="Q2295" s="44"/>
    </row>
    <row r="2296" spans="8:17" x14ac:dyDescent="0.25">
      <c r="H2296" s="44"/>
      <c r="I2296" s="44"/>
      <c r="J2296" s="44"/>
      <c r="K2296" s="44"/>
      <c r="L2296" s="44"/>
      <c r="M2296" s="44"/>
      <c r="N2296" s="44"/>
      <c r="O2296" s="44"/>
      <c r="P2296" s="44"/>
      <c r="Q2296" s="44"/>
    </row>
    <row r="2297" spans="8:17" x14ac:dyDescent="0.25">
      <c r="H2297" s="44"/>
      <c r="I2297" s="44"/>
      <c r="J2297" s="44"/>
      <c r="K2297" s="44"/>
      <c r="L2297" s="44"/>
      <c r="M2297" s="44"/>
      <c r="N2297" s="44"/>
      <c r="O2297" s="44"/>
      <c r="P2297" s="44"/>
      <c r="Q2297" s="44"/>
    </row>
    <row r="2298" spans="8:17" x14ac:dyDescent="0.25">
      <c r="H2298" s="44"/>
      <c r="I2298" s="44"/>
      <c r="J2298" s="44"/>
      <c r="K2298" s="44"/>
      <c r="L2298" s="44"/>
      <c r="M2298" s="44"/>
      <c r="N2298" s="44"/>
      <c r="O2298" s="44"/>
      <c r="P2298" s="44"/>
      <c r="Q2298" s="44"/>
    </row>
    <row r="2299" spans="8:17" x14ac:dyDescent="0.25">
      <c r="H2299" s="44"/>
      <c r="I2299" s="44"/>
      <c r="J2299" s="44"/>
      <c r="K2299" s="44"/>
      <c r="L2299" s="44"/>
      <c r="M2299" s="44"/>
      <c r="N2299" s="44"/>
      <c r="O2299" s="44"/>
      <c r="P2299" s="44"/>
      <c r="Q2299" s="44"/>
    </row>
    <row r="2300" spans="8:17" x14ac:dyDescent="0.25">
      <c r="H2300" s="44"/>
      <c r="I2300" s="44"/>
      <c r="J2300" s="44"/>
      <c r="K2300" s="44"/>
      <c r="L2300" s="44"/>
      <c r="M2300" s="44"/>
      <c r="N2300" s="44"/>
      <c r="O2300" s="44"/>
      <c r="P2300" s="44"/>
      <c r="Q2300" s="44"/>
    </row>
    <row r="2301" spans="8:17" x14ac:dyDescent="0.25">
      <c r="H2301" s="44"/>
      <c r="I2301" s="44"/>
      <c r="J2301" s="44"/>
      <c r="K2301" s="44"/>
      <c r="L2301" s="44"/>
      <c r="M2301" s="44"/>
      <c r="N2301" s="44"/>
      <c r="O2301" s="44"/>
      <c r="P2301" s="44"/>
      <c r="Q2301" s="44"/>
    </row>
    <row r="2302" spans="8:17" x14ac:dyDescent="0.25">
      <c r="H2302" s="44"/>
      <c r="I2302" s="44"/>
      <c r="J2302" s="44"/>
      <c r="K2302" s="44"/>
      <c r="L2302" s="44"/>
      <c r="M2302" s="44"/>
      <c r="N2302" s="44"/>
      <c r="O2302" s="44"/>
      <c r="P2302" s="44"/>
      <c r="Q2302" s="44"/>
    </row>
    <row r="2303" spans="8:17" x14ac:dyDescent="0.25">
      <c r="H2303" s="44"/>
      <c r="I2303" s="44"/>
      <c r="J2303" s="44"/>
      <c r="K2303" s="44"/>
      <c r="L2303" s="44"/>
      <c r="M2303" s="44"/>
      <c r="N2303" s="44"/>
      <c r="O2303" s="44"/>
      <c r="P2303" s="44"/>
      <c r="Q2303" s="44"/>
    </row>
    <row r="2304" spans="8:17" x14ac:dyDescent="0.25">
      <c r="H2304" s="44"/>
      <c r="I2304" s="44"/>
      <c r="J2304" s="44"/>
      <c r="K2304" s="44"/>
      <c r="L2304" s="44"/>
      <c r="M2304" s="44"/>
      <c r="N2304" s="44"/>
      <c r="O2304" s="44"/>
      <c r="P2304" s="44"/>
      <c r="Q2304" s="44"/>
    </row>
    <row r="2305" spans="8:17" x14ac:dyDescent="0.25">
      <c r="H2305" s="44"/>
      <c r="I2305" s="44"/>
      <c r="J2305" s="44"/>
      <c r="K2305" s="44"/>
      <c r="L2305" s="44"/>
      <c r="M2305" s="44"/>
      <c r="N2305" s="44"/>
      <c r="O2305" s="44"/>
      <c r="P2305" s="44"/>
      <c r="Q2305" s="44"/>
    </row>
    <row r="2306" spans="8:17" x14ac:dyDescent="0.25">
      <c r="H2306" s="44"/>
      <c r="I2306" s="44"/>
      <c r="J2306" s="44"/>
      <c r="K2306" s="44"/>
      <c r="L2306" s="44"/>
      <c r="M2306" s="44"/>
      <c r="N2306" s="44"/>
      <c r="O2306" s="44"/>
      <c r="P2306" s="44"/>
      <c r="Q2306" s="44"/>
    </row>
    <row r="2307" spans="8:17" x14ac:dyDescent="0.25">
      <c r="H2307" s="44"/>
      <c r="I2307" s="44"/>
      <c r="J2307" s="44"/>
      <c r="K2307" s="44"/>
      <c r="L2307" s="44"/>
      <c r="M2307" s="44"/>
      <c r="N2307" s="44"/>
      <c r="O2307" s="44"/>
      <c r="P2307" s="44"/>
      <c r="Q2307" s="44"/>
    </row>
    <row r="2308" spans="8:17" x14ac:dyDescent="0.25">
      <c r="H2308" s="44"/>
      <c r="I2308" s="44"/>
      <c r="J2308" s="44"/>
      <c r="K2308" s="44"/>
      <c r="L2308" s="44"/>
      <c r="M2308" s="44"/>
      <c r="N2308" s="44"/>
      <c r="O2308" s="44"/>
      <c r="P2308" s="44"/>
      <c r="Q2308" s="44"/>
    </row>
    <row r="2309" spans="8:17" x14ac:dyDescent="0.25">
      <c r="H2309" s="44"/>
      <c r="I2309" s="44"/>
      <c r="J2309" s="44"/>
      <c r="K2309" s="44"/>
      <c r="L2309" s="44"/>
      <c r="M2309" s="44"/>
      <c r="N2309" s="44"/>
      <c r="O2309" s="44"/>
      <c r="P2309" s="44"/>
      <c r="Q2309" s="44"/>
    </row>
    <row r="2310" spans="8:17" x14ac:dyDescent="0.25">
      <c r="H2310" s="44"/>
      <c r="I2310" s="44"/>
      <c r="J2310" s="44"/>
      <c r="K2310" s="44"/>
      <c r="L2310" s="44"/>
      <c r="M2310" s="44"/>
      <c r="N2310" s="44"/>
      <c r="O2310" s="44"/>
      <c r="P2310" s="44"/>
      <c r="Q2310" s="44"/>
    </row>
    <row r="2311" spans="8:17" x14ac:dyDescent="0.25">
      <c r="H2311" s="44"/>
      <c r="I2311" s="44"/>
      <c r="J2311" s="44"/>
      <c r="K2311" s="44"/>
      <c r="L2311" s="44"/>
      <c r="M2311" s="44"/>
      <c r="N2311" s="44"/>
      <c r="O2311" s="44"/>
      <c r="P2311" s="44"/>
      <c r="Q2311" s="44"/>
    </row>
    <row r="2312" spans="8:17" x14ac:dyDescent="0.25">
      <c r="H2312" s="44"/>
      <c r="I2312" s="44"/>
      <c r="J2312" s="44"/>
      <c r="K2312" s="44"/>
      <c r="L2312" s="44"/>
      <c r="M2312" s="44"/>
      <c r="N2312" s="44"/>
      <c r="O2312" s="44"/>
      <c r="P2312" s="44"/>
      <c r="Q2312" s="44"/>
    </row>
    <row r="2313" spans="8:17" x14ac:dyDescent="0.25">
      <c r="H2313" s="44"/>
      <c r="I2313" s="44"/>
      <c r="J2313" s="44"/>
      <c r="K2313" s="44"/>
      <c r="L2313" s="44"/>
      <c r="M2313" s="44"/>
      <c r="N2313" s="44"/>
      <c r="O2313" s="44"/>
      <c r="P2313" s="44"/>
      <c r="Q2313" s="44"/>
    </row>
    <row r="2314" spans="8:17" x14ac:dyDescent="0.25">
      <c r="H2314" s="44"/>
      <c r="I2314" s="44"/>
      <c r="J2314" s="44"/>
      <c r="K2314" s="44"/>
      <c r="L2314" s="44"/>
      <c r="M2314" s="44"/>
      <c r="N2314" s="44"/>
      <c r="O2314" s="44"/>
      <c r="P2314" s="44"/>
      <c r="Q2314" s="44"/>
    </row>
    <row r="2315" spans="8:17" x14ac:dyDescent="0.25">
      <c r="H2315" s="44"/>
      <c r="I2315" s="44"/>
      <c r="J2315" s="44"/>
      <c r="K2315" s="44"/>
      <c r="L2315" s="44"/>
      <c r="M2315" s="44"/>
      <c r="N2315" s="44"/>
      <c r="O2315" s="44"/>
      <c r="P2315" s="44"/>
      <c r="Q2315" s="44"/>
    </row>
    <row r="2316" spans="8:17" x14ac:dyDescent="0.25">
      <c r="H2316" s="44"/>
      <c r="I2316" s="44"/>
      <c r="J2316" s="44"/>
      <c r="K2316" s="44"/>
      <c r="L2316" s="44"/>
      <c r="M2316" s="44"/>
      <c r="N2316" s="44"/>
      <c r="O2316" s="44"/>
      <c r="P2316" s="44"/>
      <c r="Q2316" s="44"/>
    </row>
    <row r="2317" spans="8:17" x14ac:dyDescent="0.25">
      <c r="H2317" s="44"/>
      <c r="I2317" s="44"/>
      <c r="J2317" s="44"/>
      <c r="K2317" s="44"/>
      <c r="L2317" s="44"/>
      <c r="M2317" s="44"/>
      <c r="N2317" s="44"/>
      <c r="O2317" s="44"/>
      <c r="P2317" s="44"/>
      <c r="Q2317" s="44"/>
    </row>
    <row r="2318" spans="8:17" x14ac:dyDescent="0.25">
      <c r="H2318" s="44"/>
      <c r="I2318" s="44"/>
      <c r="J2318" s="44"/>
      <c r="K2318" s="44"/>
      <c r="L2318" s="44"/>
      <c r="M2318" s="44"/>
      <c r="N2318" s="44"/>
      <c r="O2318" s="44"/>
      <c r="P2318" s="44"/>
      <c r="Q2318" s="44"/>
    </row>
    <row r="2319" spans="8:17" x14ac:dyDescent="0.25">
      <c r="H2319" s="44"/>
      <c r="I2319" s="44"/>
      <c r="J2319" s="44"/>
      <c r="K2319" s="44"/>
      <c r="L2319" s="44"/>
      <c r="M2319" s="44"/>
      <c r="N2319" s="44"/>
      <c r="O2319" s="44"/>
      <c r="P2319" s="44"/>
      <c r="Q2319" s="44"/>
    </row>
    <row r="2320" spans="8:17" x14ac:dyDescent="0.25">
      <c r="H2320" s="44"/>
      <c r="I2320" s="44"/>
      <c r="J2320" s="44"/>
      <c r="K2320" s="44"/>
      <c r="L2320" s="44"/>
      <c r="M2320" s="44"/>
      <c r="N2320" s="44"/>
      <c r="O2320" s="44"/>
      <c r="P2320" s="44"/>
      <c r="Q2320" s="44"/>
    </row>
    <row r="2321" spans="8:17" x14ac:dyDescent="0.25">
      <c r="H2321" s="44"/>
      <c r="I2321" s="44"/>
      <c r="J2321" s="44"/>
      <c r="K2321" s="44"/>
      <c r="L2321" s="44"/>
      <c r="M2321" s="44"/>
      <c r="N2321" s="44"/>
      <c r="O2321" s="44"/>
      <c r="P2321" s="44"/>
      <c r="Q2321" s="44"/>
    </row>
    <row r="2322" spans="8:17" x14ac:dyDescent="0.25">
      <c r="H2322" s="44"/>
      <c r="I2322" s="44"/>
      <c r="J2322" s="44"/>
      <c r="K2322" s="44"/>
      <c r="L2322" s="44"/>
      <c r="M2322" s="44"/>
      <c r="N2322" s="44"/>
      <c r="O2322" s="44"/>
      <c r="P2322" s="44"/>
      <c r="Q2322" s="44"/>
    </row>
    <row r="2323" spans="8:17" x14ac:dyDescent="0.25">
      <c r="H2323" s="44"/>
      <c r="I2323" s="44"/>
      <c r="J2323" s="44"/>
      <c r="K2323" s="44"/>
      <c r="L2323" s="44"/>
      <c r="M2323" s="44"/>
      <c r="N2323" s="44"/>
      <c r="O2323" s="44"/>
      <c r="P2323" s="44"/>
      <c r="Q2323" s="44"/>
    </row>
    <row r="2324" spans="8:17" x14ac:dyDescent="0.25">
      <c r="H2324" s="44"/>
      <c r="I2324" s="44"/>
      <c r="J2324" s="44"/>
      <c r="K2324" s="44"/>
      <c r="L2324" s="44"/>
      <c r="M2324" s="44"/>
      <c r="N2324" s="44"/>
      <c r="O2324" s="44"/>
      <c r="P2324" s="44"/>
      <c r="Q2324" s="44"/>
    </row>
    <row r="2325" spans="8:17" x14ac:dyDescent="0.25">
      <c r="H2325" s="44"/>
      <c r="I2325" s="44"/>
      <c r="J2325" s="44"/>
      <c r="K2325" s="44"/>
      <c r="L2325" s="44"/>
      <c r="M2325" s="44"/>
      <c r="N2325" s="44"/>
      <c r="O2325" s="44"/>
      <c r="P2325" s="44"/>
      <c r="Q2325" s="44"/>
    </row>
    <row r="2326" spans="8:17" x14ac:dyDescent="0.25">
      <c r="H2326" s="44"/>
      <c r="I2326" s="44"/>
      <c r="J2326" s="44"/>
      <c r="K2326" s="44"/>
      <c r="L2326" s="44"/>
      <c r="M2326" s="44"/>
      <c r="N2326" s="44"/>
      <c r="O2326" s="44"/>
      <c r="P2326" s="44"/>
      <c r="Q2326" s="44"/>
    </row>
    <row r="2327" spans="8:17" x14ac:dyDescent="0.25">
      <c r="H2327" s="44"/>
      <c r="I2327" s="44"/>
      <c r="J2327" s="44"/>
      <c r="K2327" s="44"/>
      <c r="L2327" s="44"/>
      <c r="M2327" s="44"/>
      <c r="N2327" s="44"/>
      <c r="O2327" s="44"/>
      <c r="P2327" s="44"/>
      <c r="Q2327" s="44"/>
    </row>
    <row r="2328" spans="8:17" x14ac:dyDescent="0.25">
      <c r="H2328" s="44"/>
      <c r="I2328" s="44"/>
      <c r="J2328" s="44"/>
      <c r="K2328" s="44"/>
      <c r="L2328" s="44"/>
      <c r="M2328" s="44"/>
      <c r="N2328" s="44"/>
      <c r="O2328" s="44"/>
      <c r="P2328" s="44"/>
      <c r="Q2328" s="44"/>
    </row>
    <row r="2329" spans="8:17" x14ac:dyDescent="0.25">
      <c r="H2329" s="44"/>
      <c r="I2329" s="44"/>
      <c r="J2329" s="44"/>
      <c r="K2329" s="44"/>
      <c r="L2329" s="44"/>
      <c r="M2329" s="44"/>
      <c r="N2329" s="44"/>
      <c r="O2329" s="44"/>
      <c r="P2329" s="44"/>
      <c r="Q2329" s="44"/>
    </row>
    <row r="2330" spans="8:17" x14ac:dyDescent="0.25">
      <c r="H2330" s="44"/>
      <c r="I2330" s="44"/>
      <c r="J2330" s="44"/>
      <c r="K2330" s="44"/>
      <c r="L2330" s="44"/>
      <c r="M2330" s="44"/>
      <c r="N2330" s="44"/>
      <c r="O2330" s="44"/>
      <c r="P2330" s="44"/>
      <c r="Q2330" s="44"/>
    </row>
    <row r="2331" spans="8:17" x14ac:dyDescent="0.25">
      <c r="H2331" s="44"/>
      <c r="I2331" s="44"/>
      <c r="J2331" s="44"/>
      <c r="K2331" s="44"/>
      <c r="L2331" s="44"/>
      <c r="M2331" s="44"/>
      <c r="N2331" s="44"/>
      <c r="O2331" s="44"/>
      <c r="P2331" s="44"/>
      <c r="Q2331" s="44"/>
    </row>
    <row r="2332" spans="8:17" x14ac:dyDescent="0.25">
      <c r="H2332" s="44"/>
      <c r="I2332" s="44"/>
      <c r="J2332" s="44"/>
      <c r="K2332" s="44"/>
      <c r="L2332" s="44"/>
      <c r="M2332" s="44"/>
      <c r="N2332" s="44"/>
      <c r="O2332" s="44"/>
      <c r="P2332" s="44"/>
      <c r="Q2332" s="44"/>
    </row>
    <row r="2333" spans="8:17" x14ac:dyDescent="0.25">
      <c r="H2333" s="44"/>
      <c r="I2333" s="44"/>
      <c r="J2333" s="44"/>
      <c r="K2333" s="44"/>
      <c r="L2333" s="44"/>
      <c r="M2333" s="44"/>
      <c r="N2333" s="44"/>
      <c r="O2333" s="44"/>
      <c r="P2333" s="44"/>
      <c r="Q2333" s="44"/>
    </row>
    <row r="2334" spans="8:17" x14ac:dyDescent="0.25">
      <c r="H2334" s="44"/>
      <c r="I2334" s="44"/>
      <c r="J2334" s="44"/>
      <c r="K2334" s="44"/>
      <c r="L2334" s="44"/>
      <c r="M2334" s="44"/>
      <c r="N2334" s="44"/>
      <c r="O2334" s="44"/>
      <c r="P2334" s="44"/>
      <c r="Q2334" s="44"/>
    </row>
    <row r="2335" spans="8:17" x14ac:dyDescent="0.25">
      <c r="H2335" s="44"/>
      <c r="I2335" s="44"/>
      <c r="J2335" s="44"/>
      <c r="K2335" s="44"/>
      <c r="L2335" s="44"/>
      <c r="M2335" s="44"/>
      <c r="N2335" s="44"/>
      <c r="O2335" s="44"/>
      <c r="P2335" s="44"/>
      <c r="Q2335" s="44"/>
    </row>
    <row r="2336" spans="8:17" x14ac:dyDescent="0.25">
      <c r="H2336" s="44"/>
      <c r="I2336" s="44"/>
      <c r="J2336" s="44"/>
      <c r="K2336" s="44"/>
      <c r="L2336" s="44"/>
      <c r="M2336" s="44"/>
      <c r="N2336" s="44"/>
      <c r="O2336" s="44"/>
      <c r="P2336" s="44"/>
      <c r="Q2336" s="44"/>
    </row>
    <row r="2337" spans="8:17" x14ac:dyDescent="0.25">
      <c r="H2337" s="44"/>
      <c r="I2337" s="44"/>
      <c r="J2337" s="44"/>
      <c r="K2337" s="44"/>
      <c r="L2337" s="44"/>
      <c r="M2337" s="44"/>
      <c r="N2337" s="44"/>
      <c r="O2337" s="44"/>
      <c r="P2337" s="44"/>
      <c r="Q2337" s="44"/>
    </row>
    <row r="2338" spans="8:17" x14ac:dyDescent="0.25">
      <c r="H2338" s="44"/>
      <c r="I2338" s="44"/>
      <c r="J2338" s="44"/>
      <c r="K2338" s="44"/>
      <c r="L2338" s="44"/>
      <c r="M2338" s="44"/>
      <c r="N2338" s="44"/>
      <c r="O2338" s="44"/>
      <c r="P2338" s="44"/>
      <c r="Q2338" s="44"/>
    </row>
    <row r="2339" spans="8:17" x14ac:dyDescent="0.25">
      <c r="H2339" s="44"/>
      <c r="I2339" s="44"/>
      <c r="J2339" s="44"/>
      <c r="K2339" s="44"/>
      <c r="L2339" s="44"/>
      <c r="M2339" s="44"/>
      <c r="N2339" s="44"/>
      <c r="O2339" s="44"/>
      <c r="P2339" s="44"/>
      <c r="Q2339" s="44"/>
    </row>
    <row r="2340" spans="8:17" x14ac:dyDescent="0.25">
      <c r="H2340" s="44"/>
      <c r="I2340" s="44"/>
      <c r="J2340" s="44"/>
      <c r="K2340" s="44"/>
      <c r="L2340" s="44"/>
      <c r="M2340" s="44"/>
      <c r="N2340" s="44"/>
      <c r="O2340" s="44"/>
      <c r="P2340" s="44"/>
      <c r="Q2340" s="44"/>
    </row>
    <row r="2341" spans="8:17" x14ac:dyDescent="0.25">
      <c r="H2341" s="44"/>
      <c r="I2341" s="44"/>
      <c r="J2341" s="44"/>
      <c r="K2341" s="44"/>
      <c r="L2341" s="44"/>
      <c r="M2341" s="44"/>
      <c r="N2341" s="44"/>
      <c r="O2341" s="44"/>
      <c r="P2341" s="44"/>
      <c r="Q2341" s="44"/>
    </row>
    <row r="2342" spans="8:17" x14ac:dyDescent="0.25">
      <c r="H2342" s="44"/>
      <c r="I2342" s="44"/>
      <c r="J2342" s="44"/>
      <c r="K2342" s="44"/>
      <c r="L2342" s="44"/>
      <c r="M2342" s="44"/>
      <c r="N2342" s="44"/>
      <c r="O2342" s="44"/>
      <c r="P2342" s="44"/>
      <c r="Q2342" s="44"/>
    </row>
    <row r="2343" spans="8:17" x14ac:dyDescent="0.25">
      <c r="H2343" s="44"/>
      <c r="I2343" s="44"/>
      <c r="J2343" s="44"/>
      <c r="K2343" s="44"/>
      <c r="L2343" s="44"/>
      <c r="M2343" s="44"/>
      <c r="N2343" s="44"/>
      <c r="O2343" s="44"/>
      <c r="P2343" s="44"/>
      <c r="Q2343" s="44"/>
    </row>
    <row r="2344" spans="8:17" x14ac:dyDescent="0.25">
      <c r="H2344" s="44"/>
      <c r="I2344" s="44"/>
      <c r="J2344" s="44"/>
      <c r="K2344" s="44"/>
      <c r="L2344" s="44"/>
      <c r="M2344" s="44"/>
      <c r="N2344" s="44"/>
      <c r="O2344" s="44"/>
      <c r="P2344" s="44"/>
      <c r="Q2344" s="44"/>
    </row>
    <row r="2345" spans="8:17" x14ac:dyDescent="0.25">
      <c r="H2345" s="44"/>
      <c r="I2345" s="44"/>
      <c r="J2345" s="44"/>
      <c r="K2345" s="44"/>
      <c r="L2345" s="44"/>
      <c r="M2345" s="44"/>
      <c r="N2345" s="44"/>
      <c r="O2345" s="44"/>
      <c r="P2345" s="44"/>
      <c r="Q2345" s="44"/>
    </row>
    <row r="2346" spans="8:17" x14ac:dyDescent="0.25">
      <c r="H2346" s="44"/>
      <c r="I2346" s="44"/>
      <c r="J2346" s="44"/>
      <c r="K2346" s="44"/>
      <c r="L2346" s="44"/>
      <c r="M2346" s="44"/>
      <c r="N2346" s="44"/>
      <c r="O2346" s="44"/>
      <c r="P2346" s="44"/>
      <c r="Q2346" s="44"/>
    </row>
    <row r="2347" spans="8:17" x14ac:dyDescent="0.25">
      <c r="H2347" s="44"/>
      <c r="I2347" s="44"/>
      <c r="J2347" s="44"/>
      <c r="K2347" s="44"/>
      <c r="L2347" s="44"/>
      <c r="M2347" s="44"/>
      <c r="N2347" s="44"/>
      <c r="O2347" s="44"/>
      <c r="P2347" s="44"/>
      <c r="Q2347" s="44"/>
    </row>
    <row r="2348" spans="8:17" x14ac:dyDescent="0.25">
      <c r="H2348" s="44"/>
      <c r="I2348" s="44"/>
      <c r="J2348" s="44"/>
      <c r="K2348" s="44"/>
      <c r="L2348" s="44"/>
      <c r="M2348" s="44"/>
      <c r="N2348" s="44"/>
      <c r="O2348" s="44"/>
      <c r="P2348" s="44"/>
      <c r="Q2348" s="44"/>
    </row>
    <row r="2349" spans="8:17" x14ac:dyDescent="0.25">
      <c r="H2349" s="44"/>
      <c r="I2349" s="44"/>
      <c r="J2349" s="44"/>
      <c r="K2349" s="44"/>
      <c r="L2349" s="44"/>
      <c r="M2349" s="44"/>
      <c r="N2349" s="44"/>
      <c r="O2349" s="44"/>
      <c r="P2349" s="44"/>
      <c r="Q2349" s="44"/>
    </row>
    <row r="2350" spans="8:17" x14ac:dyDescent="0.25">
      <c r="H2350" s="44"/>
      <c r="I2350" s="44"/>
      <c r="J2350" s="44"/>
      <c r="K2350" s="44"/>
      <c r="L2350" s="44"/>
      <c r="M2350" s="44"/>
      <c r="N2350" s="44"/>
      <c r="O2350" s="44"/>
      <c r="P2350" s="44"/>
      <c r="Q2350" s="44"/>
    </row>
    <row r="2351" spans="8:17" x14ac:dyDescent="0.25">
      <c r="H2351" s="44"/>
      <c r="I2351" s="44"/>
      <c r="J2351" s="44"/>
      <c r="K2351" s="44"/>
      <c r="L2351" s="44"/>
      <c r="M2351" s="44"/>
      <c r="N2351" s="44"/>
      <c r="O2351" s="44"/>
      <c r="P2351" s="44"/>
      <c r="Q2351" s="44"/>
    </row>
    <row r="2352" spans="8:17" x14ac:dyDescent="0.25">
      <c r="H2352" s="44"/>
      <c r="I2352" s="44"/>
      <c r="J2352" s="44"/>
      <c r="K2352" s="44"/>
      <c r="L2352" s="44"/>
      <c r="M2352" s="44"/>
      <c r="N2352" s="44"/>
      <c r="O2352" s="44"/>
      <c r="P2352" s="44"/>
      <c r="Q2352" s="44"/>
    </row>
    <row r="2353" spans="8:17" x14ac:dyDescent="0.25">
      <c r="H2353" s="44"/>
      <c r="I2353" s="44"/>
      <c r="J2353" s="44"/>
      <c r="K2353" s="44"/>
      <c r="L2353" s="44"/>
      <c r="M2353" s="44"/>
      <c r="N2353" s="44"/>
      <c r="O2353" s="44"/>
      <c r="P2353" s="44"/>
      <c r="Q2353" s="44"/>
    </row>
    <row r="2354" spans="8:17" x14ac:dyDescent="0.25">
      <c r="H2354" s="44"/>
      <c r="I2354" s="44"/>
      <c r="J2354" s="44"/>
      <c r="K2354" s="44"/>
      <c r="L2354" s="44"/>
      <c r="M2354" s="44"/>
      <c r="N2354" s="44"/>
      <c r="O2354" s="44"/>
      <c r="P2354" s="44"/>
      <c r="Q2354" s="44"/>
    </row>
    <row r="2355" spans="8:17" x14ac:dyDescent="0.25">
      <c r="H2355" s="44"/>
      <c r="I2355" s="44"/>
      <c r="J2355" s="44"/>
      <c r="K2355" s="44"/>
      <c r="L2355" s="44"/>
      <c r="M2355" s="44"/>
      <c r="N2355" s="44"/>
      <c r="O2355" s="44"/>
      <c r="P2355" s="44"/>
      <c r="Q2355" s="44"/>
    </row>
    <row r="2356" spans="8:17" x14ac:dyDescent="0.25">
      <c r="O2356" s="20"/>
    </row>
    <row r="2357" spans="8:17" x14ac:dyDescent="0.25">
      <c r="O2357" s="20"/>
    </row>
    <row r="2358" spans="8:17" x14ac:dyDescent="0.25">
      <c r="O2358" s="20"/>
    </row>
    <row r="2359" spans="8:17" x14ac:dyDescent="0.25">
      <c r="O2359" s="20"/>
    </row>
    <row r="2360" spans="8:17" x14ac:dyDescent="0.25">
      <c r="O2360" s="20"/>
    </row>
    <row r="2361" spans="8:17" x14ac:dyDescent="0.25">
      <c r="O2361" s="20"/>
    </row>
  </sheetData>
  <mergeCells count="8">
    <mergeCell ref="O2:Q2"/>
    <mergeCell ref="O25:P25"/>
    <mergeCell ref="I7:I8"/>
    <mergeCell ref="I4:I5"/>
    <mergeCell ref="I10:I11"/>
    <mergeCell ref="I13:I14"/>
    <mergeCell ref="I16:I17"/>
    <mergeCell ref="I2:M2"/>
  </mergeCell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0C37D-E830-4496-A0B0-AB22EB7C785C}">
  <dimension ref="B2:O105"/>
  <sheetViews>
    <sheetView zoomScale="90" zoomScaleNormal="90" workbookViewId="0">
      <selection activeCell="F14" sqref="F14"/>
    </sheetView>
  </sheetViews>
  <sheetFormatPr defaultRowHeight="13.2" x14ac:dyDescent="0.25"/>
  <cols>
    <col min="2" max="3" width="25.109375" customWidth="1"/>
    <col min="4" max="4" width="8.88671875" customWidth="1"/>
    <col min="5" max="6" width="25.109375" customWidth="1"/>
    <col min="8" max="9" width="25.109375" customWidth="1"/>
    <col min="11" max="12" width="25.109375" customWidth="1"/>
    <col min="14" max="15" width="25.109375" customWidth="1"/>
  </cols>
  <sheetData>
    <row r="2" spans="2:15" ht="39.6" customHeight="1" x14ac:dyDescent="0.25">
      <c r="B2" s="58" t="s">
        <v>62</v>
      </c>
      <c r="C2" s="40" t="s">
        <v>65</v>
      </c>
      <c r="E2" s="49" t="s">
        <v>70</v>
      </c>
      <c r="F2" s="49"/>
      <c r="H2" s="49" t="s">
        <v>73</v>
      </c>
      <c r="I2" s="49"/>
      <c r="K2" s="49" t="s">
        <v>75</v>
      </c>
      <c r="L2" s="49"/>
      <c r="N2" s="49" t="s">
        <v>84</v>
      </c>
      <c r="O2" s="49"/>
    </row>
    <row r="3" spans="2:15" x14ac:dyDescent="0.25">
      <c r="B3" s="22" t="s">
        <v>24</v>
      </c>
      <c r="C3" s="6"/>
      <c r="E3" s="57" t="s">
        <v>66</v>
      </c>
      <c r="F3" s="57" t="s">
        <v>67</v>
      </c>
      <c r="H3" s="57" t="s">
        <v>66</v>
      </c>
      <c r="I3" s="57" t="s">
        <v>67</v>
      </c>
      <c r="L3" s="61"/>
    </row>
    <row r="4" spans="2:15" x14ac:dyDescent="0.25">
      <c r="B4" s="23" t="s">
        <v>17</v>
      </c>
      <c r="C4" s="6">
        <f>SUMIFS(Данные!L3:L1893,Данные!N3:N1893,'Вариант 2'!$B$3,Данные!K3:K1893,'Вариант 2'!B4)</f>
        <v>3782</v>
      </c>
      <c r="E4" s="46" t="s">
        <v>7</v>
      </c>
      <c r="F4" s="60">
        <f>SUMIFS(Данные!$AB$3:$AB$1893,Данные!$AA$3:$AA$1893,1,Данные!$I$3:$I$1893,'Вариант 2'!E4)/COUNTIFS(Данные!$I$3:$I$1893,'Вариант 2'!E4,Данные!$AA$3:$AA$1893,1)</f>
        <v>47.416666666666664</v>
      </c>
      <c r="H4" s="46" t="s">
        <v>7</v>
      </c>
      <c r="I4" s="60">
        <f>SUMIFS(Данные!$AE$3:$AE$1893,Данные!$I$3:$I$1893,'Вариант 2'!H4)</f>
        <v>-79</v>
      </c>
      <c r="K4" s="67" t="s">
        <v>66</v>
      </c>
      <c r="L4" s="66" t="str">
        <f>INDEX(Данные!I3:I1893,MATCH(MIN(Данные!AF3:AF1893),Данные!AF3:AF1893,0))</f>
        <v>Джен</v>
      </c>
      <c r="N4" s="67" t="s">
        <v>86</v>
      </c>
      <c r="O4" s="28" t="str">
        <f>INDEX(N102:N105,MATCH(MAX(O102:O105),O102:O105,0))</f>
        <v>ср. запад</v>
      </c>
    </row>
    <row r="5" spans="2:15" x14ac:dyDescent="0.25">
      <c r="B5" s="23" t="s">
        <v>19</v>
      </c>
      <c r="C5" s="6">
        <f>SUMIFS(Данные!L4:L1894,Данные!N4:N1894,'Вариант 2'!$B$3,Данные!K4:K1894,'Вариант 2'!B5)</f>
        <v>1922</v>
      </c>
      <c r="E5" s="59" t="s">
        <v>14</v>
      </c>
      <c r="F5" s="60">
        <f>SUMIFS(Данные!$AB$3:$AB$1893,Данные!$AA$3:$AA$1893,1,Данные!$I$3:$I$1893,'Вариант 2'!E5)/COUNTIFS(Данные!$I$3:$I$1893,'Вариант 2'!E5,Данные!$AA$3:$AA$1893,1)</f>
        <v>36.292682926829265</v>
      </c>
      <c r="H5" s="59" t="s">
        <v>14</v>
      </c>
      <c r="I5" s="60">
        <f>SUMIFS(Данные!$AE$3:$AE$1893,Данные!$I$3:$I$1893,'Вариант 2'!H5)</f>
        <v>-95</v>
      </c>
      <c r="K5" s="48" t="s">
        <v>76</v>
      </c>
      <c r="L5" s="66" t="str">
        <f>INDEX(Данные!K3:K1893,MATCH(MIN(Данные!AF3:AF1893),Данные!AF3:AF1893,0))</f>
        <v>карандаш для глаз</v>
      </c>
    </row>
    <row r="6" spans="2:15" x14ac:dyDescent="0.25">
      <c r="B6" s="23" t="s">
        <v>16</v>
      </c>
      <c r="C6" s="6">
        <f>SUMIFS(Данные!L5:L1895,Данные!N5:N1895,'Вариант 2'!$B$3,Данные!K5:K1895,'Вариант 2'!B6)</f>
        <v>5004</v>
      </c>
      <c r="E6" s="59" t="s">
        <v>10</v>
      </c>
      <c r="F6" s="60">
        <f>SUMIFS(Данные!$AB$3:$AB$1893,Данные!$AA$3:$AA$1893,1,Данные!$I$3:$I$1893,'Вариант 2'!E6)/COUNTIFS(Данные!$I$3:$I$1893,'Вариант 2'!E6,Данные!$AA$3:$AA$1893,1)</f>
        <v>44.638888888888886</v>
      </c>
      <c r="H6" s="59" t="s">
        <v>10</v>
      </c>
      <c r="I6" s="60">
        <f>SUMIFS(Данные!$AE$3:$AE$1893,Данные!$I$3:$I$1893,'Вариант 2'!H6)</f>
        <v>-112</v>
      </c>
      <c r="K6" s="68" t="s">
        <v>77</v>
      </c>
      <c r="L6" s="18">
        <f>INDEX(Данные!J3:J1893,MATCH(MIN(Данные!AF3:AF1893),Данные!AF3:AF1893,0))</f>
        <v>38474</v>
      </c>
      <c r="N6" s="46" t="s">
        <v>85</v>
      </c>
      <c r="O6" s="7">
        <f>COUNTIF(Данные!AG3:AG1893,"&gt;0")</f>
        <v>603</v>
      </c>
    </row>
    <row r="7" spans="2:15" x14ac:dyDescent="0.25">
      <c r="B7" s="23" t="s">
        <v>18</v>
      </c>
      <c r="C7" s="6">
        <f>SUMIFS(Данные!L6:L1896,Данные!N6:N1896,'Вариант 2'!$B$3,Данные!K6:K1896,'Вариант 2'!B7)</f>
        <v>3998</v>
      </c>
      <c r="E7" s="59" t="s">
        <v>11</v>
      </c>
      <c r="F7" s="60">
        <f>SUMIFS(Данные!$AB$3:$AB$1893,Данные!$AA$3:$AA$1893,1,Данные!$I$3:$I$1893,'Вариант 2'!E7)/COUNTIFS(Данные!$I$3:$I$1893,'Вариант 2'!E7,Данные!$AA$3:$AA$1893,1)</f>
        <v>39.10526315789474</v>
      </c>
      <c r="H7" s="59" t="s">
        <v>11</v>
      </c>
      <c r="I7" s="60">
        <f>SUMIFS(Данные!$AE$3:$AE$1893,Данные!$I$3:$I$1893,'Вариант 2'!H7)</f>
        <v>-155</v>
      </c>
      <c r="K7" s="63"/>
      <c r="L7" s="62"/>
      <c r="N7" s="46" t="s">
        <v>82</v>
      </c>
      <c r="O7" s="7">
        <f>O6/100*15</f>
        <v>90.45</v>
      </c>
    </row>
    <row r="8" spans="2:15" x14ac:dyDescent="0.25">
      <c r="B8" s="23" t="s">
        <v>20</v>
      </c>
      <c r="C8" s="6">
        <f>SUMIFS(Данные!L7:L1897,Данные!N7:N1897,'Вариант 2'!$B$3,Данные!K7:K1897,'Вариант 2'!B8)</f>
        <v>4112</v>
      </c>
      <c r="E8" s="59" t="s">
        <v>12</v>
      </c>
      <c r="F8" s="60">
        <f>SUMIFS(Данные!$AB$3:$AB$1893,Данные!$AA$3:$AA$1893,1,Данные!$I$3:$I$1893,'Вариант 2'!E8)/COUNTIFS(Данные!$I$3:$I$1893,'Вариант 2'!E8,Данные!$AA$3:$AA$1893,1)</f>
        <v>43.517241379310342</v>
      </c>
      <c r="H8" s="59" t="s">
        <v>12</v>
      </c>
      <c r="I8" s="60">
        <f>SUMIFS(Данные!$AE$3:$AE$1893,Данные!$I$3:$I$1893,'Вариант 2'!H8)</f>
        <v>-89</v>
      </c>
      <c r="K8" s="63"/>
      <c r="L8" s="62"/>
    </row>
    <row r="9" spans="2:15" x14ac:dyDescent="0.25">
      <c r="B9" s="22" t="s">
        <v>23</v>
      </c>
      <c r="C9" s="6"/>
      <c r="E9" s="59" t="s">
        <v>15</v>
      </c>
      <c r="F9" s="60">
        <f>SUMIFS(Данные!$AB$3:$AB$1893,Данные!$AA$3:$AA$1893,1,Данные!$I$3:$I$1893,'Вариант 2'!E9)/COUNTIFS(Данные!$I$3:$I$1893,'Вариант 2'!E9,Данные!$AA$3:$AA$1893,1)</f>
        <v>45.352941176470587</v>
      </c>
      <c r="H9" s="59" t="s">
        <v>15</v>
      </c>
      <c r="I9" s="60">
        <f>SUMIFS(Данные!$AE$3:$AE$1893,Данные!$I$3:$I$1893,'Вариант 2'!H9)</f>
        <v>-137</v>
      </c>
      <c r="K9" s="63"/>
      <c r="L9" s="62"/>
      <c r="N9" s="21" t="s">
        <v>87</v>
      </c>
      <c r="O9" s="21" t="s">
        <v>83</v>
      </c>
    </row>
    <row r="10" spans="2:15" x14ac:dyDescent="0.25">
      <c r="B10" s="23" t="s">
        <v>17</v>
      </c>
      <c r="C10" s="6">
        <f>SUMIFS(Данные!L9:L1899,Данные!N9:N1899,'Вариант 2'!$B$9,Данные!K9:K1899,'Вариант 2'!B10)</f>
        <v>4556</v>
      </c>
      <c r="E10" s="59" t="s">
        <v>8</v>
      </c>
      <c r="F10" s="60">
        <f>SUMIFS(Данные!$AB$3:$AB$1893,Данные!$AA$3:$AA$1893,1,Данные!$I$3:$I$1893,'Вариант 2'!E10)/COUNTIFS(Данные!$I$3:$I$1893,'Вариант 2'!E10,Данные!$AA$3:$AA$1893,1)</f>
        <v>40.74285714285714</v>
      </c>
      <c r="H10" s="59" t="s">
        <v>8</v>
      </c>
      <c r="I10" s="60">
        <f>SUMIFS(Данные!$AE$3:$AE$1893,Данные!$I$3:$I$1893,'Вариант 2'!H10)</f>
        <v>-57</v>
      </c>
      <c r="K10" s="63"/>
      <c r="L10" s="62"/>
      <c r="N10" s="7">
        <v>1</v>
      </c>
      <c r="O10" s="7" t="str">
        <f>INDEX(Данные!$N$3:$N$1893,MATCH(N10,Данные!$AH$3:$AH$1893,0))</f>
        <v>ср. запад</v>
      </c>
    </row>
    <row r="11" spans="2:15" x14ac:dyDescent="0.25">
      <c r="B11" s="23" t="s">
        <v>19</v>
      </c>
      <c r="C11" s="6">
        <f>SUMIFS(Данные!L10:L1900,Данные!N10:N1900,'Вариант 2'!$B$9,Данные!K10:K1900,'Вариант 2'!B11)</f>
        <v>2441</v>
      </c>
      <c r="E11" s="59" t="s">
        <v>13</v>
      </c>
      <c r="F11" s="60">
        <f>SUMIFS(Данные!$AB$3:$AB$1893,Данные!$AA$3:$AA$1893,1,Данные!$I$3:$I$1893,'Вариант 2'!E11)/COUNTIFS(Данные!$I$3:$I$1893,'Вариант 2'!E11,Данные!$AA$3:$AA$1893,1)</f>
        <v>46.6</v>
      </c>
      <c r="H11" s="59" t="s">
        <v>13</v>
      </c>
      <c r="I11" s="60">
        <f>SUMIFS(Данные!$AE$3:$AE$1893,Данные!$I$3:$I$1893,'Вариант 2'!H11)</f>
        <v>-110</v>
      </c>
      <c r="K11" s="63"/>
      <c r="L11" s="62"/>
      <c r="N11" s="7">
        <v>2</v>
      </c>
      <c r="O11" s="7" t="str">
        <f>INDEX(Данные!$N$3:$N$1893,MATCH(N11,Данные!$AH$3:$AH$1893,0))</f>
        <v>ср. запад</v>
      </c>
    </row>
    <row r="12" spans="2:15" x14ac:dyDescent="0.25">
      <c r="B12" s="23" t="s">
        <v>16</v>
      </c>
      <c r="C12" s="6">
        <f>SUMIFS(Данные!L11:L1901,Данные!N11:N1901,'Вариант 2'!$B$9,Данные!K11:K1901,'Вариант 2'!B12)</f>
        <v>4742</v>
      </c>
      <c r="E12" s="59" t="s">
        <v>9</v>
      </c>
      <c r="F12" s="60">
        <f>SUMIFS(Данные!$AB$3:$AB$1893,Данные!$AA$3:$AA$1893,1,Данные!$I$3:$I$1893,'Вариант 2'!E12)/COUNTIFS(Данные!$I$3:$I$1893,'Вариант 2'!E12,Данные!$AA$3:$AA$1893,1)</f>
        <v>50.088235294117645</v>
      </c>
      <c r="H12" s="59" t="s">
        <v>9</v>
      </c>
      <c r="I12" s="60">
        <f>SUMIFS(Данные!$AE$3:$AE$1893,Данные!$I$3:$I$1893,'Вариант 2'!H12)</f>
        <v>-84</v>
      </c>
      <c r="K12" s="63"/>
      <c r="L12" s="62"/>
      <c r="N12" s="7">
        <v>3</v>
      </c>
      <c r="O12" s="7" t="str">
        <f>INDEX(Данные!$N$3:$N$1893,MATCH(N12,Данные!$AH$3:$AH$1893,0))</f>
        <v>запад</v>
      </c>
    </row>
    <row r="13" spans="2:15" x14ac:dyDescent="0.25">
      <c r="B13" s="23" t="s">
        <v>18</v>
      </c>
      <c r="C13" s="6">
        <f>SUMIFS(Данные!L12:L1902,Данные!N12:N1902,'Вариант 2'!$B$9,Данные!K12:K1902,'Вариант 2'!B13)</f>
        <v>4655</v>
      </c>
      <c r="K13" s="64"/>
      <c r="L13" s="64"/>
      <c r="N13" s="7">
        <v>4</v>
      </c>
      <c r="O13" s="7" t="str">
        <f>INDEX(Данные!$N$3:$N$1893,MATCH(N13,Данные!$AH$3:$AH$1893,0))</f>
        <v>восток</v>
      </c>
    </row>
    <row r="14" spans="2:15" x14ac:dyDescent="0.25">
      <c r="B14" s="23" t="s">
        <v>20</v>
      </c>
      <c r="C14" s="6">
        <f>SUMIFS(Данные!L13:L1903,Данные!N13:N1903,'Вариант 2'!$B$9,Данные!K13:K1903,'Вариант 2'!B14)</f>
        <v>4372</v>
      </c>
      <c r="E14" s="48" t="s">
        <v>71</v>
      </c>
      <c r="F14" s="60" t="str">
        <f>INDEX(E4:E12,MATCH(MAX(F4:F12),F4:F12,0))</f>
        <v>Эшли</v>
      </c>
      <c r="H14" s="48" t="s">
        <v>71</v>
      </c>
      <c r="I14" s="60" t="str">
        <f>INDEX(H4:H12,MATCH(MIN(I4:I12),I4:I12,0))</f>
        <v>Колин</v>
      </c>
      <c r="K14" s="65"/>
      <c r="L14" s="62"/>
      <c r="N14" s="7">
        <v>5</v>
      </c>
      <c r="O14" s="7" t="str">
        <f>INDEX(Данные!$N$3:$N$1893,MATCH(N14,Данные!$AH$3:$AH$1893,0))</f>
        <v>запад</v>
      </c>
    </row>
    <row r="15" spans="2:15" x14ac:dyDescent="0.25">
      <c r="B15" s="22" t="s">
        <v>22</v>
      </c>
      <c r="C15" s="6"/>
      <c r="N15" s="7">
        <v>6</v>
      </c>
      <c r="O15" s="7" t="str">
        <f>INDEX(Данные!$N$3:$N$1893,MATCH(N15,Данные!$AH$3:$AH$1893,0))</f>
        <v>ср. запад</v>
      </c>
    </row>
    <row r="16" spans="2:15" x14ac:dyDescent="0.25">
      <c r="B16" s="23" t="s">
        <v>17</v>
      </c>
      <c r="C16" s="6">
        <f>SUMIFS(Данные!L15:L1905,Данные!N15:N1905,'Вариант 2'!$B$15,Данные!K15:K1905,'Вариант 2'!B16)</f>
        <v>3277</v>
      </c>
      <c r="N16" s="7">
        <v>7</v>
      </c>
      <c r="O16" s="7" t="str">
        <f>INDEX(Данные!$N$3:$N$1893,MATCH(N16,Данные!$AH$3:$AH$1893,0))</f>
        <v>ср. запад</v>
      </c>
    </row>
    <row r="17" spans="2:15" ht="13.2" customHeight="1" x14ac:dyDescent="0.25">
      <c r="B17" s="23" t="s">
        <v>19</v>
      </c>
      <c r="C17" s="6">
        <f>SUMIFS(Данные!L16:L1906,Данные!N16:N1906,'Вариант 2'!$B$15,Данные!K16:K1906,'Вариант 2'!B17)</f>
        <v>2366</v>
      </c>
      <c r="E17" s="49" t="s">
        <v>72</v>
      </c>
      <c r="F17" s="49"/>
      <c r="N17" s="7">
        <v>8</v>
      </c>
      <c r="O17" s="7" t="str">
        <f>INDEX(Данные!$N$3:$N$1893,MATCH(N17,Данные!$AH$3:$AH$1893,0))</f>
        <v>юг</v>
      </c>
    </row>
    <row r="18" spans="2:15" x14ac:dyDescent="0.25">
      <c r="B18" s="23" t="s">
        <v>16</v>
      </c>
      <c r="C18" s="6">
        <f>SUMIFS(Данные!L17:L1907,Данные!N17:N1907,'Вариант 2'!$B$15,Данные!K17:K1907,'Вариант 2'!B18)</f>
        <v>4192</v>
      </c>
      <c r="E18" s="57" t="s">
        <v>66</v>
      </c>
      <c r="F18" s="57" t="s">
        <v>67</v>
      </c>
      <c r="N18" s="7">
        <v>9</v>
      </c>
      <c r="O18" s="7" t="str">
        <f>INDEX(Данные!$N$3:$N$1893,MATCH(N18,Данные!$AH$3:$AH$1893,0))</f>
        <v>восток</v>
      </c>
    </row>
    <row r="19" spans="2:15" x14ac:dyDescent="0.25">
      <c r="B19" s="23" t="s">
        <v>18</v>
      </c>
      <c r="C19" s="6">
        <f>SUMIFS(Данные!L18:L1908,Данные!N18:N1908,'Вариант 2'!$B$15,Данные!K18:K1908,'Вариант 2'!B19)</f>
        <v>3927</v>
      </c>
      <c r="E19" s="46" t="s">
        <v>7</v>
      </c>
      <c r="F19" s="60">
        <f>SUMIFS(Данные!$AD$3:$AD$1893,Данные!$AC$3:$AC$1893,1,Данные!$I$3:$I$1893,'Вариант 2'!E19)/COUNTIFS(Данные!$I$3:$I$1893,'Вариант 2'!E19,Данные!$AC$3:$AC$1893,1)</f>
        <v>50.43333333333333</v>
      </c>
      <c r="N19" s="7">
        <v>10</v>
      </c>
      <c r="O19" s="7" t="str">
        <f>INDEX(Данные!$N$3:$N$1893,MATCH(N19,Данные!$AH$3:$AH$1893,0))</f>
        <v>восток</v>
      </c>
    </row>
    <row r="20" spans="2:15" x14ac:dyDescent="0.25">
      <c r="B20" s="23" t="s">
        <v>20</v>
      </c>
      <c r="C20" s="6">
        <f>SUMIFS(Данные!L19:L1909,Данные!N19:N1909,'Вариант 2'!$B$15,Данные!K19:K1909,'Вариант 2'!B20)</f>
        <v>3983</v>
      </c>
      <c r="E20" s="59" t="s">
        <v>14</v>
      </c>
      <c r="F20" s="60">
        <f>SUMIFS(Данные!$AB$3:$AB$1893,Данные!$AA$3:$AA$1893,1,Данные!$I$3:$I$1893,'Вариант 2'!E20)/COUNTIFS(Данные!$I$3:$I$1893,'Вариант 2'!E20,Данные!$AA$3:$AA$1893,1)</f>
        <v>36.292682926829265</v>
      </c>
      <c r="N20" s="7">
        <v>11</v>
      </c>
      <c r="O20" s="7" t="str">
        <f>INDEX(Данные!$N$3:$N$1893,MATCH(N20,Данные!$AH$3:$AH$1893,0))</f>
        <v>ср. запад</v>
      </c>
    </row>
    <row r="21" spans="2:15" x14ac:dyDescent="0.25">
      <c r="B21" s="22" t="s">
        <v>21</v>
      </c>
      <c r="C21" s="6"/>
      <c r="E21" s="59" t="s">
        <v>10</v>
      </c>
      <c r="F21" s="60">
        <f>SUMIFS(Данные!$AB$3:$AB$1893,Данные!$AA$3:$AA$1893,1,Данные!$I$3:$I$1893,'Вариант 2'!E21)/COUNTIFS(Данные!$I$3:$I$1893,'Вариант 2'!E21,Данные!$AA$3:$AA$1893,1)</f>
        <v>44.638888888888886</v>
      </c>
      <c r="N21" s="7">
        <v>12</v>
      </c>
      <c r="O21" s="7" t="str">
        <f>INDEX(Данные!$N$3:$N$1893,MATCH(N21,Данные!$AH$3:$AH$1893,0))</f>
        <v>запад</v>
      </c>
    </row>
    <row r="22" spans="2:15" x14ac:dyDescent="0.25">
      <c r="B22" s="23" t="s">
        <v>17</v>
      </c>
      <c r="C22" s="6">
        <f>SUMIFS(Данные!L21:L1911,Данные!N21:N1911,'Вариант 2'!$B$21,Данные!K21:K1911,'Вариант 2'!B22)</f>
        <v>4495</v>
      </c>
      <c r="E22" s="59" t="s">
        <v>11</v>
      </c>
      <c r="F22" s="60">
        <f>SUMIFS(Данные!$AB$3:$AB$1893,Данные!$AA$3:$AA$1893,1,Данные!$I$3:$I$1893,'Вариант 2'!E22)/COUNTIFS(Данные!$I$3:$I$1893,'Вариант 2'!E22,Данные!$AA$3:$AA$1893,1)</f>
        <v>39.10526315789474</v>
      </c>
      <c r="N22" s="7">
        <v>13</v>
      </c>
      <c r="O22" s="7" t="str">
        <f>INDEX(Данные!$N$3:$N$1893,MATCH(N22,Данные!$AH$3:$AH$1893,0))</f>
        <v>ср. запад</v>
      </c>
    </row>
    <row r="23" spans="2:15" x14ac:dyDescent="0.25">
      <c r="B23" s="23" t="s">
        <v>19</v>
      </c>
      <c r="C23" s="6">
        <f>SUMIFS(Данные!L22:L1912,Данные!N22:N1912,'Вариант 2'!$B$21,Данные!K22:K1912,'Вариант 2'!B23)</f>
        <v>2085</v>
      </c>
      <c r="E23" s="59" t="s">
        <v>12</v>
      </c>
      <c r="F23" s="60">
        <f>SUMIFS(Данные!$AB$3:$AB$1893,Данные!$AA$3:$AA$1893,1,Данные!$I$3:$I$1893,'Вариант 2'!E23)/COUNTIFS(Данные!$I$3:$I$1893,'Вариант 2'!E23,Данные!$AA$3:$AA$1893,1)</f>
        <v>43.517241379310342</v>
      </c>
      <c r="N23" s="7">
        <v>14</v>
      </c>
      <c r="O23" s="7" t="str">
        <f>INDEX(Данные!$N$3:$N$1893,MATCH(N23,Данные!$AH$3:$AH$1893,0))</f>
        <v>юг</v>
      </c>
    </row>
    <row r="24" spans="2:15" x14ac:dyDescent="0.25">
      <c r="B24" s="23" t="s">
        <v>16</v>
      </c>
      <c r="C24" s="6">
        <f>SUMIFS(Данные!L23:L1913,Данные!N23:N1913,'Вариант 2'!$B$21,Данные!K23:K1913,'Вариант 2'!B24)</f>
        <v>4330</v>
      </c>
      <c r="E24" s="59" t="s">
        <v>15</v>
      </c>
      <c r="F24" s="60">
        <f>SUMIFS(Данные!$AB$3:$AB$1893,Данные!$AA$3:$AA$1893,1,Данные!$I$3:$I$1893,'Вариант 2'!E24)/COUNTIFS(Данные!$I$3:$I$1893,'Вариант 2'!E24,Данные!$AA$3:$AA$1893,1)</f>
        <v>45.352941176470587</v>
      </c>
      <c r="N24" s="7">
        <v>15</v>
      </c>
      <c r="O24" s="7" t="str">
        <f>INDEX(Данные!$N$3:$N$1893,MATCH(N24,Данные!$AH$3:$AH$1893,0))</f>
        <v>запад</v>
      </c>
    </row>
    <row r="25" spans="2:15" x14ac:dyDescent="0.25">
      <c r="B25" s="23" t="s">
        <v>18</v>
      </c>
      <c r="C25" s="6">
        <f>SUMIFS(Данные!L24:L1914,Данные!N24:N1914,'Вариант 2'!$B$21,Данные!K24:K1914,'Вариант 2'!B25)</f>
        <v>5397</v>
      </c>
      <c r="E25" s="59" t="s">
        <v>8</v>
      </c>
      <c r="F25" s="60">
        <f>SUMIFS(Данные!$AB$3:$AB$1893,Данные!$AA$3:$AA$1893,1,Данные!$I$3:$I$1893,'Вариант 2'!E25)/COUNTIFS(Данные!$I$3:$I$1893,'Вариант 2'!E25,Данные!$AA$3:$AA$1893,1)</f>
        <v>40.74285714285714</v>
      </c>
      <c r="N25" s="7">
        <v>16</v>
      </c>
      <c r="O25" s="7" t="str">
        <f>INDEX(Данные!$N$3:$N$1893,MATCH(N25,Данные!$AH$3:$AH$1893,0))</f>
        <v>ср. запад</v>
      </c>
    </row>
    <row r="26" spans="2:15" x14ac:dyDescent="0.25">
      <c r="B26" s="23" t="s">
        <v>20</v>
      </c>
      <c r="C26" s="6">
        <f>SUMIFS(Данные!L25:L1915,Данные!N25:N1915,'Вариант 2'!$B$21,Данные!K25:K1915,'Вариант 2'!B26)</f>
        <v>4494</v>
      </c>
      <c r="E26" s="59" t="s">
        <v>13</v>
      </c>
      <c r="F26" s="60">
        <f>SUMIFS(Данные!$AB$3:$AB$1893,Данные!$AA$3:$AA$1893,1,Данные!$I$3:$I$1893,'Вариант 2'!E26)/COUNTIFS(Данные!$I$3:$I$1893,'Вариант 2'!E26,Данные!$AA$3:$AA$1893,1)</f>
        <v>46.6</v>
      </c>
      <c r="N26" s="7">
        <v>17</v>
      </c>
      <c r="O26" s="7" t="str">
        <f>INDEX(Данные!$N$3:$N$1893,MATCH(N26,Данные!$AH$3:$AH$1893,0))</f>
        <v>юг</v>
      </c>
    </row>
    <row r="27" spans="2:15" x14ac:dyDescent="0.25">
      <c r="B27" s="54" t="s">
        <v>25</v>
      </c>
      <c r="E27" s="59" t="s">
        <v>9</v>
      </c>
      <c r="F27" s="60">
        <f>SUMIFS(Данные!$AB$3:$AB$1893,Данные!$AA$3:$AA$1893,1,Данные!$I$3:$I$1893,'Вариант 2'!E27)/COUNTIFS(Данные!$I$3:$I$1893,'Вариант 2'!E27,Данные!$AA$3:$AA$1893,1)</f>
        <v>50.088235294117645</v>
      </c>
      <c r="N27" s="7">
        <v>18</v>
      </c>
      <c r="O27" s="7" t="str">
        <f>INDEX(Данные!$N$3:$N$1893,MATCH(N27,Данные!$AH$3:$AH$1893,0))</f>
        <v>восток</v>
      </c>
    </row>
    <row r="28" spans="2:15" x14ac:dyDescent="0.25">
      <c r="N28" s="7">
        <v>19</v>
      </c>
      <c r="O28" s="7" t="str">
        <f>INDEX(Данные!$N$3:$N$1893,MATCH(N28,Данные!$AH$3:$AH$1893,0))</f>
        <v>юг</v>
      </c>
    </row>
    <row r="29" spans="2:15" x14ac:dyDescent="0.25">
      <c r="E29" s="48" t="s">
        <v>71</v>
      </c>
      <c r="F29" s="60" t="str">
        <f>INDEX(E19:E27,MATCH(MAX(F19:F27),F19:F27,0))</f>
        <v>Бетси</v>
      </c>
      <c r="N29" s="7">
        <v>20</v>
      </c>
      <c r="O29" s="7" t="str">
        <f>INDEX(Данные!$N$3:$N$1893,MATCH(N29,Данные!$AH$3:$AH$1893,0))</f>
        <v>ср. запад</v>
      </c>
    </row>
    <row r="30" spans="2:15" x14ac:dyDescent="0.25">
      <c r="N30" s="7">
        <v>21</v>
      </c>
      <c r="O30" s="7" t="str">
        <f>INDEX(Данные!$N$3:$N$1893,MATCH(N30,Данные!$AH$3:$AH$1893,0))</f>
        <v>юг</v>
      </c>
    </row>
    <row r="31" spans="2:15" x14ac:dyDescent="0.25">
      <c r="N31" s="7">
        <v>22</v>
      </c>
      <c r="O31" s="7" t="str">
        <f>INDEX(Данные!$N$3:$N$1893,MATCH(N31,Данные!$AH$3:$AH$1893,0))</f>
        <v>восток</v>
      </c>
    </row>
    <row r="32" spans="2:15" x14ac:dyDescent="0.25">
      <c r="N32" s="7">
        <v>23</v>
      </c>
      <c r="O32" s="7" t="str">
        <f>INDEX(Данные!$N$3:$N$1893,MATCH(N32,Данные!$AH$3:$AH$1893,0))</f>
        <v>восток</v>
      </c>
    </row>
    <row r="33" spans="14:15" x14ac:dyDescent="0.25">
      <c r="N33" s="7">
        <v>24</v>
      </c>
      <c r="O33" s="7" t="str">
        <f>INDEX(Данные!$N$3:$N$1893,MATCH(N33,Данные!$AH$3:$AH$1893,0))</f>
        <v>юг</v>
      </c>
    </row>
    <row r="34" spans="14:15" x14ac:dyDescent="0.25">
      <c r="N34" s="7">
        <v>25</v>
      </c>
      <c r="O34" s="7" t="str">
        <f>INDEX(Данные!$N$3:$N$1893,MATCH(N34,Данные!$AH$3:$AH$1893,0))</f>
        <v>восток</v>
      </c>
    </row>
    <row r="35" spans="14:15" x14ac:dyDescent="0.25">
      <c r="N35" s="7">
        <v>26</v>
      </c>
      <c r="O35" s="7" t="str">
        <f>INDEX(Данные!$N$3:$N$1893,MATCH(N35,Данные!$AH$3:$AH$1893,0))</f>
        <v>ср. запад</v>
      </c>
    </row>
    <row r="36" spans="14:15" x14ac:dyDescent="0.25">
      <c r="N36" s="7">
        <v>27</v>
      </c>
      <c r="O36" s="7" t="str">
        <f>INDEX(Данные!$N$3:$N$1893,MATCH(N36,Данные!$AH$3:$AH$1893,0))</f>
        <v>юг</v>
      </c>
    </row>
    <row r="37" spans="14:15" x14ac:dyDescent="0.25">
      <c r="N37" s="7">
        <v>28</v>
      </c>
      <c r="O37" s="7" t="str">
        <f>INDEX(Данные!$N$3:$N$1893,MATCH(N37,Данные!$AH$3:$AH$1893,0))</f>
        <v>юг</v>
      </c>
    </row>
    <row r="38" spans="14:15" x14ac:dyDescent="0.25">
      <c r="N38" s="7">
        <v>29</v>
      </c>
      <c r="O38" s="7" t="str">
        <f>INDEX(Данные!$N$3:$N$1893,MATCH(N38,Данные!$AH$3:$AH$1893,0))</f>
        <v>юг</v>
      </c>
    </row>
    <row r="39" spans="14:15" x14ac:dyDescent="0.25">
      <c r="N39" s="7">
        <v>30</v>
      </c>
      <c r="O39" s="7" t="str">
        <f>INDEX(Данные!$N$3:$N$1893,MATCH(N39,Данные!$AH$3:$AH$1893,0))</f>
        <v>ср. запад</v>
      </c>
    </row>
    <row r="40" spans="14:15" x14ac:dyDescent="0.25">
      <c r="N40" s="7">
        <v>31</v>
      </c>
      <c r="O40" s="7" t="str">
        <f>INDEX(Данные!$N$3:$N$1893,MATCH(N40,Данные!$AH$3:$AH$1893,0))</f>
        <v>восток</v>
      </c>
    </row>
    <row r="41" spans="14:15" x14ac:dyDescent="0.25">
      <c r="N41" s="7">
        <v>32</v>
      </c>
      <c r="O41" s="7" t="str">
        <f>INDEX(Данные!$N$3:$N$1893,MATCH(N41,Данные!$AH$3:$AH$1893,0))</f>
        <v>ср. запад</v>
      </c>
    </row>
    <row r="42" spans="14:15" x14ac:dyDescent="0.25">
      <c r="N42" s="7">
        <v>33</v>
      </c>
      <c r="O42" s="7" t="str">
        <f>INDEX(Данные!$N$3:$N$1893,MATCH(N42,Данные!$AH$3:$AH$1893,0))</f>
        <v>восток</v>
      </c>
    </row>
    <row r="43" spans="14:15" x14ac:dyDescent="0.25">
      <c r="N43" s="7">
        <v>34</v>
      </c>
      <c r="O43" s="7" t="str">
        <f>INDEX(Данные!$N$3:$N$1893,MATCH(N43,Данные!$AH$3:$AH$1893,0))</f>
        <v>восток</v>
      </c>
    </row>
    <row r="44" spans="14:15" x14ac:dyDescent="0.25">
      <c r="N44" s="7">
        <v>35</v>
      </c>
      <c r="O44" s="7" t="str">
        <f>INDEX(Данные!$N$3:$N$1893,MATCH(N44,Данные!$AH$3:$AH$1893,0))</f>
        <v>восток</v>
      </c>
    </row>
    <row r="45" spans="14:15" x14ac:dyDescent="0.25">
      <c r="N45" s="7">
        <v>36</v>
      </c>
      <c r="O45" s="7" t="str">
        <f>INDEX(Данные!$N$3:$N$1893,MATCH(N45,Данные!$AH$3:$AH$1893,0))</f>
        <v>восток</v>
      </c>
    </row>
    <row r="46" spans="14:15" x14ac:dyDescent="0.25">
      <c r="N46" s="7">
        <v>37</v>
      </c>
      <c r="O46" s="7" t="str">
        <f>INDEX(Данные!$N$3:$N$1893,MATCH(N46,Данные!$AH$3:$AH$1893,0))</f>
        <v>ср. запад</v>
      </c>
    </row>
    <row r="47" spans="14:15" x14ac:dyDescent="0.25">
      <c r="N47" s="7">
        <v>38</v>
      </c>
      <c r="O47" s="7" t="str">
        <f>INDEX(Данные!$N$3:$N$1893,MATCH(N47,Данные!$AH$3:$AH$1893,0))</f>
        <v>ср. запад</v>
      </c>
    </row>
    <row r="48" spans="14:15" x14ac:dyDescent="0.25">
      <c r="N48" s="7">
        <v>39</v>
      </c>
      <c r="O48" s="7" t="str">
        <f>INDEX(Данные!$N$3:$N$1893,MATCH(N48,Данные!$AH$3:$AH$1893,0))</f>
        <v>ср. запад</v>
      </c>
    </row>
    <row r="49" spans="14:15" x14ac:dyDescent="0.25">
      <c r="N49" s="7">
        <v>40</v>
      </c>
      <c r="O49" s="7" t="str">
        <f>INDEX(Данные!$N$3:$N$1893,MATCH(N49,Данные!$AH$3:$AH$1893,0))</f>
        <v>юг</v>
      </c>
    </row>
    <row r="50" spans="14:15" x14ac:dyDescent="0.25">
      <c r="N50" s="7">
        <v>41</v>
      </c>
      <c r="O50" s="7" t="str">
        <f>INDEX(Данные!$N$3:$N$1893,MATCH(N50,Данные!$AH$3:$AH$1893,0))</f>
        <v>восток</v>
      </c>
    </row>
    <row r="51" spans="14:15" x14ac:dyDescent="0.25">
      <c r="N51" s="7">
        <v>42</v>
      </c>
      <c r="O51" s="7" t="str">
        <f>INDEX(Данные!$N$3:$N$1893,MATCH(N51,Данные!$AH$3:$AH$1893,0))</f>
        <v>запад</v>
      </c>
    </row>
    <row r="52" spans="14:15" x14ac:dyDescent="0.25">
      <c r="N52" s="7">
        <v>43</v>
      </c>
      <c r="O52" s="7" t="str">
        <f>INDEX(Данные!$N$3:$N$1893,MATCH(N52,Данные!$AH$3:$AH$1893,0))</f>
        <v>восток</v>
      </c>
    </row>
    <row r="53" spans="14:15" x14ac:dyDescent="0.25">
      <c r="N53" s="7">
        <v>44</v>
      </c>
      <c r="O53" s="7" t="str">
        <f>INDEX(Данные!$N$3:$N$1893,MATCH(N53,Данные!$AH$3:$AH$1893,0))</f>
        <v>запад</v>
      </c>
    </row>
    <row r="54" spans="14:15" x14ac:dyDescent="0.25">
      <c r="N54" s="7">
        <v>45</v>
      </c>
      <c r="O54" s="7" t="str">
        <f>INDEX(Данные!$N$3:$N$1893,MATCH(N54,Данные!$AH$3:$AH$1893,0))</f>
        <v>юг</v>
      </c>
    </row>
    <row r="55" spans="14:15" x14ac:dyDescent="0.25">
      <c r="N55" s="7">
        <v>46</v>
      </c>
      <c r="O55" s="7" t="str">
        <f>INDEX(Данные!$N$3:$N$1893,MATCH(N55,Данные!$AH$3:$AH$1893,0))</f>
        <v>юг</v>
      </c>
    </row>
    <row r="56" spans="14:15" x14ac:dyDescent="0.25">
      <c r="N56" s="7">
        <v>47</v>
      </c>
      <c r="O56" s="7" t="str">
        <f>INDEX(Данные!$N$3:$N$1893,MATCH(N56,Данные!$AH$3:$AH$1893,0))</f>
        <v>ср. запад</v>
      </c>
    </row>
    <row r="57" spans="14:15" x14ac:dyDescent="0.25">
      <c r="N57" s="7">
        <v>48</v>
      </c>
      <c r="O57" s="7" t="str">
        <f>INDEX(Данные!$N$3:$N$1893,MATCH(N57,Данные!$AH$3:$AH$1893,0))</f>
        <v>восток</v>
      </c>
    </row>
    <row r="58" spans="14:15" x14ac:dyDescent="0.25">
      <c r="N58" s="7">
        <v>49</v>
      </c>
      <c r="O58" s="7" t="str">
        <f>INDEX(Данные!$N$3:$N$1893,MATCH(N58,Данные!$AH$3:$AH$1893,0))</f>
        <v>восток</v>
      </c>
    </row>
    <row r="59" spans="14:15" x14ac:dyDescent="0.25">
      <c r="N59" s="7">
        <v>50</v>
      </c>
      <c r="O59" s="7" t="str">
        <f>INDEX(Данные!$N$3:$N$1893,MATCH(N59,Данные!$AH$3:$AH$1893,0))</f>
        <v>ср. запад</v>
      </c>
    </row>
    <row r="60" spans="14:15" x14ac:dyDescent="0.25">
      <c r="N60" s="7">
        <v>51</v>
      </c>
      <c r="O60" s="7" t="str">
        <f>INDEX(Данные!$N$3:$N$1893,MATCH(N60,Данные!$AH$3:$AH$1893,0))</f>
        <v>ср. запад</v>
      </c>
    </row>
    <row r="61" spans="14:15" x14ac:dyDescent="0.25">
      <c r="N61" s="7">
        <v>52</v>
      </c>
      <c r="O61" s="7" t="str">
        <f>INDEX(Данные!$N$3:$N$1893,MATCH(N61,Данные!$AH$3:$AH$1893,0))</f>
        <v>ср. запад</v>
      </c>
    </row>
    <row r="62" spans="14:15" x14ac:dyDescent="0.25">
      <c r="N62" s="7">
        <v>53</v>
      </c>
      <c r="O62" s="7" t="str">
        <f>INDEX(Данные!$N$3:$N$1893,MATCH(N62,Данные!$AH$3:$AH$1893,0))</f>
        <v>юг</v>
      </c>
    </row>
    <row r="63" spans="14:15" x14ac:dyDescent="0.25">
      <c r="N63" s="7">
        <v>54</v>
      </c>
      <c r="O63" s="7" t="str">
        <f>INDEX(Данные!$N$3:$N$1893,MATCH(N63,Данные!$AH$3:$AH$1893,0))</f>
        <v>запад</v>
      </c>
    </row>
    <row r="64" spans="14:15" x14ac:dyDescent="0.25">
      <c r="N64" s="7">
        <v>55</v>
      </c>
      <c r="O64" s="7" t="str">
        <f>INDEX(Данные!$N$3:$N$1893,MATCH(N64,Данные!$AH$3:$AH$1893,0))</f>
        <v>запад</v>
      </c>
    </row>
    <row r="65" spans="14:15" x14ac:dyDescent="0.25">
      <c r="N65" s="7">
        <v>56</v>
      </c>
      <c r="O65" s="7" t="str">
        <f>INDEX(Данные!$N$3:$N$1893,MATCH(N65,Данные!$AH$3:$AH$1893,0))</f>
        <v>восток</v>
      </c>
    </row>
    <row r="66" spans="14:15" x14ac:dyDescent="0.25">
      <c r="N66" s="7">
        <v>57</v>
      </c>
      <c r="O66" s="7" t="str">
        <f>INDEX(Данные!$N$3:$N$1893,MATCH(N66,Данные!$AH$3:$AH$1893,0))</f>
        <v>ср. запад</v>
      </c>
    </row>
    <row r="67" spans="14:15" x14ac:dyDescent="0.25">
      <c r="N67" s="7">
        <v>58</v>
      </c>
      <c r="O67" s="7" t="str">
        <f>INDEX(Данные!$N$3:$N$1893,MATCH(N67,Данные!$AH$3:$AH$1893,0))</f>
        <v>ср. запад</v>
      </c>
    </row>
    <row r="68" spans="14:15" x14ac:dyDescent="0.25">
      <c r="N68" s="7">
        <v>59</v>
      </c>
      <c r="O68" s="7" t="str">
        <f>INDEX(Данные!$N$3:$N$1893,MATCH(N68,Данные!$AH$3:$AH$1893,0))</f>
        <v>восток</v>
      </c>
    </row>
    <row r="69" spans="14:15" x14ac:dyDescent="0.25">
      <c r="N69" s="7">
        <v>60</v>
      </c>
      <c r="O69" s="7" t="str">
        <f>INDEX(Данные!$N$3:$N$1893,MATCH(N69,Данные!$AH$3:$AH$1893,0))</f>
        <v>юг</v>
      </c>
    </row>
    <row r="70" spans="14:15" x14ac:dyDescent="0.25">
      <c r="N70" s="7">
        <v>61</v>
      </c>
      <c r="O70" s="7" t="str">
        <f>INDEX(Данные!$N$3:$N$1893,MATCH(N70,Данные!$AH$3:$AH$1893,0))</f>
        <v>восток</v>
      </c>
    </row>
    <row r="71" spans="14:15" x14ac:dyDescent="0.25">
      <c r="N71" s="7">
        <v>62</v>
      </c>
      <c r="O71" s="7" t="str">
        <f>INDEX(Данные!$N$3:$N$1893,MATCH(N71,Данные!$AH$3:$AH$1893,0))</f>
        <v>восток</v>
      </c>
    </row>
    <row r="72" spans="14:15" x14ac:dyDescent="0.25">
      <c r="N72" s="7">
        <v>63</v>
      </c>
      <c r="O72" s="7" t="str">
        <f>INDEX(Данные!$N$3:$N$1893,MATCH(N72,Данные!$AH$3:$AH$1893,0))</f>
        <v>ср. запад</v>
      </c>
    </row>
    <row r="73" spans="14:15" x14ac:dyDescent="0.25">
      <c r="N73" s="7">
        <v>64</v>
      </c>
      <c r="O73" s="7" t="str">
        <f>INDEX(Данные!$N$3:$N$1893,MATCH(N73,Данные!$AH$3:$AH$1893,0))</f>
        <v>ср. запад</v>
      </c>
    </row>
    <row r="74" spans="14:15" x14ac:dyDescent="0.25">
      <c r="N74" s="7">
        <v>65</v>
      </c>
      <c r="O74" s="7" t="str">
        <f>INDEX(Данные!$N$3:$N$1893,MATCH(N74,Данные!$AH$3:$AH$1893,0))</f>
        <v>юг</v>
      </c>
    </row>
    <row r="75" spans="14:15" x14ac:dyDescent="0.25">
      <c r="N75" s="7">
        <v>66</v>
      </c>
      <c r="O75" s="7" t="str">
        <f>INDEX(Данные!$N$3:$N$1893,MATCH(N75,Данные!$AH$3:$AH$1893,0))</f>
        <v>юг</v>
      </c>
    </row>
    <row r="76" spans="14:15" x14ac:dyDescent="0.25">
      <c r="N76" s="7">
        <v>67</v>
      </c>
      <c r="O76" s="7" t="str">
        <f>INDEX(Данные!$N$3:$N$1893,MATCH(N76,Данные!$AH$3:$AH$1893,0))</f>
        <v>ср. запад</v>
      </c>
    </row>
    <row r="77" spans="14:15" x14ac:dyDescent="0.25">
      <c r="N77" s="7">
        <v>68</v>
      </c>
      <c r="O77" s="7" t="str">
        <f>INDEX(Данные!$N$3:$N$1893,MATCH(N77,Данные!$AH$3:$AH$1893,0))</f>
        <v>ср. запад</v>
      </c>
    </row>
    <row r="78" spans="14:15" x14ac:dyDescent="0.25">
      <c r="N78" s="7">
        <v>69</v>
      </c>
      <c r="O78" s="7" t="str">
        <f>INDEX(Данные!$N$3:$N$1893,MATCH(N78,Данные!$AH$3:$AH$1893,0))</f>
        <v>юг</v>
      </c>
    </row>
    <row r="79" spans="14:15" x14ac:dyDescent="0.25">
      <c r="N79" s="7">
        <v>70</v>
      </c>
      <c r="O79" s="7" t="str">
        <f>INDEX(Данные!$N$3:$N$1893,MATCH(N79,Данные!$AH$3:$AH$1893,0))</f>
        <v>юг</v>
      </c>
    </row>
    <row r="80" spans="14:15" x14ac:dyDescent="0.25">
      <c r="N80" s="7">
        <v>71</v>
      </c>
      <c r="O80" s="7" t="str">
        <f>INDEX(Данные!$N$3:$N$1893,MATCH(N80,Данные!$AH$3:$AH$1893,0))</f>
        <v>запад</v>
      </c>
    </row>
    <row r="81" spans="14:15" x14ac:dyDescent="0.25">
      <c r="N81" s="7">
        <v>72</v>
      </c>
      <c r="O81" s="7" t="str">
        <f>INDEX(Данные!$N$3:$N$1893,MATCH(N81,Данные!$AH$3:$AH$1893,0))</f>
        <v>восток</v>
      </c>
    </row>
    <row r="82" spans="14:15" x14ac:dyDescent="0.25">
      <c r="N82" s="7">
        <v>73</v>
      </c>
      <c r="O82" s="7" t="str">
        <f>INDEX(Данные!$N$3:$N$1893,MATCH(N82,Данные!$AH$3:$AH$1893,0))</f>
        <v>ср. запад</v>
      </c>
    </row>
    <row r="83" spans="14:15" x14ac:dyDescent="0.25">
      <c r="N83" s="7">
        <v>74</v>
      </c>
      <c r="O83" s="7" t="str">
        <f>INDEX(Данные!$N$3:$N$1893,MATCH(N83,Данные!$AH$3:$AH$1893,0))</f>
        <v>юг</v>
      </c>
    </row>
    <row r="84" spans="14:15" x14ac:dyDescent="0.25">
      <c r="N84" s="7">
        <v>75</v>
      </c>
      <c r="O84" s="7" t="str">
        <f>INDEX(Данные!$N$3:$N$1893,MATCH(N84,Данные!$AH$3:$AH$1893,0))</f>
        <v>восток</v>
      </c>
    </row>
    <row r="85" spans="14:15" x14ac:dyDescent="0.25">
      <c r="N85" s="7">
        <v>76</v>
      </c>
      <c r="O85" s="7" t="str">
        <f>INDEX(Данные!$N$3:$N$1893,MATCH(N85,Данные!$AH$3:$AH$1893,0))</f>
        <v>запад</v>
      </c>
    </row>
    <row r="86" spans="14:15" x14ac:dyDescent="0.25">
      <c r="N86" s="7">
        <v>77</v>
      </c>
      <c r="O86" s="7" t="str">
        <f>INDEX(Данные!$N$3:$N$1893,MATCH(N86,Данные!$AH$3:$AH$1893,0))</f>
        <v>восток</v>
      </c>
    </row>
    <row r="87" spans="14:15" x14ac:dyDescent="0.25">
      <c r="N87" s="7">
        <v>78</v>
      </c>
      <c r="O87" s="7" t="str">
        <f>INDEX(Данные!$N$3:$N$1893,MATCH(N87,Данные!$AH$3:$AH$1893,0))</f>
        <v>запад</v>
      </c>
    </row>
    <row r="88" spans="14:15" x14ac:dyDescent="0.25">
      <c r="N88" s="7">
        <v>79</v>
      </c>
      <c r="O88" s="7" t="str">
        <f>INDEX(Данные!$N$3:$N$1893,MATCH(N88,Данные!$AH$3:$AH$1893,0))</f>
        <v>запад</v>
      </c>
    </row>
    <row r="89" spans="14:15" x14ac:dyDescent="0.25">
      <c r="N89" s="7">
        <v>80</v>
      </c>
      <c r="O89" s="7" t="str">
        <f>INDEX(Данные!$N$3:$N$1893,MATCH(N89,Данные!$AH$3:$AH$1893,0))</f>
        <v>восток</v>
      </c>
    </row>
    <row r="90" spans="14:15" x14ac:dyDescent="0.25">
      <c r="N90" s="7">
        <v>81</v>
      </c>
      <c r="O90" s="7" t="str">
        <f>INDEX(Данные!$N$3:$N$1893,MATCH(N90,Данные!$AH$3:$AH$1893,0))</f>
        <v>юг</v>
      </c>
    </row>
    <row r="91" spans="14:15" x14ac:dyDescent="0.25">
      <c r="N91" s="7">
        <v>82</v>
      </c>
      <c r="O91" s="7" t="str">
        <f>INDEX(Данные!$N$3:$N$1893,MATCH(N91,Данные!$AH$3:$AH$1893,0))</f>
        <v>запад</v>
      </c>
    </row>
    <row r="92" spans="14:15" x14ac:dyDescent="0.25">
      <c r="N92" s="7">
        <v>83</v>
      </c>
      <c r="O92" s="7" t="str">
        <f>INDEX(Данные!$N$3:$N$1893,MATCH(N92,Данные!$AH$3:$AH$1893,0))</f>
        <v>юг</v>
      </c>
    </row>
    <row r="93" spans="14:15" x14ac:dyDescent="0.25">
      <c r="N93" s="7">
        <v>84</v>
      </c>
      <c r="O93" s="7" t="str">
        <f>INDEX(Данные!$N$3:$N$1893,MATCH(N93,Данные!$AH$3:$AH$1893,0))</f>
        <v>юг</v>
      </c>
    </row>
    <row r="94" spans="14:15" x14ac:dyDescent="0.25">
      <c r="N94" s="7">
        <v>85</v>
      </c>
      <c r="O94" s="7" t="str">
        <f>INDEX(Данные!$N$3:$N$1893,MATCH(N94,Данные!$AH$3:$AH$1893,0))</f>
        <v>ср. запад</v>
      </c>
    </row>
    <row r="95" spans="14:15" x14ac:dyDescent="0.25">
      <c r="N95" s="7">
        <v>86</v>
      </c>
      <c r="O95" s="7" t="str">
        <f>INDEX(Данные!$N$3:$N$1893,MATCH(N95,Данные!$AH$3:$AH$1893,0))</f>
        <v>ср. запад</v>
      </c>
    </row>
    <row r="96" spans="14:15" x14ac:dyDescent="0.25">
      <c r="N96" s="7">
        <v>87</v>
      </c>
      <c r="O96" s="7" t="str">
        <f>INDEX(Данные!$N$3:$N$1893,MATCH(N96,Данные!$AH$3:$AH$1893,0))</f>
        <v>юг</v>
      </c>
    </row>
    <row r="97" spans="14:15" x14ac:dyDescent="0.25">
      <c r="N97" s="7">
        <v>88</v>
      </c>
      <c r="O97" s="7" t="str">
        <f>INDEX(Данные!$N$3:$N$1893,MATCH(N97,Данные!$AH$3:$AH$1893,0))</f>
        <v>запад</v>
      </c>
    </row>
    <row r="98" spans="14:15" x14ac:dyDescent="0.25">
      <c r="N98" s="7">
        <v>89</v>
      </c>
      <c r="O98" s="7" t="str">
        <f>INDEX(Данные!$N$3:$N$1893,MATCH(N98,Данные!$AH$3:$AH$1893,0))</f>
        <v>ср. запад</v>
      </c>
    </row>
    <row r="99" spans="14:15" x14ac:dyDescent="0.25">
      <c r="N99" s="7">
        <v>90</v>
      </c>
      <c r="O99" s="7" t="str">
        <f>INDEX(Данные!$N$3:$N$1893,MATCH(N99,Данные!$AH$3:$AH$1893,0))</f>
        <v>запад</v>
      </c>
    </row>
    <row r="101" spans="14:15" x14ac:dyDescent="0.25">
      <c r="N101" s="21" t="s">
        <v>83</v>
      </c>
      <c r="O101" s="21" t="s">
        <v>81</v>
      </c>
    </row>
    <row r="102" spans="14:15" x14ac:dyDescent="0.25">
      <c r="N102" s="56" t="s">
        <v>24</v>
      </c>
      <c r="O102" s="28">
        <f>COUNTIF($O$10:$O$99,N102)</f>
        <v>24</v>
      </c>
    </row>
    <row r="103" spans="14:15" x14ac:dyDescent="0.25">
      <c r="N103" s="56" t="s">
        <v>23</v>
      </c>
      <c r="O103" s="28">
        <f>COUNTIF($O$10:$O$99,N103)</f>
        <v>15</v>
      </c>
    </row>
    <row r="104" spans="14:15" x14ac:dyDescent="0.25">
      <c r="N104" s="56" t="s">
        <v>22</v>
      </c>
      <c r="O104" s="28">
        <f>COUNTIF($O$10:$O$99,N104)</f>
        <v>28</v>
      </c>
    </row>
    <row r="105" spans="14:15" x14ac:dyDescent="0.25">
      <c r="N105" s="56" t="s">
        <v>21</v>
      </c>
      <c r="O105" s="28">
        <f>COUNTIF($O$10:$O$99,N105)</f>
        <v>23</v>
      </c>
    </row>
  </sheetData>
  <mergeCells count="5">
    <mergeCell ref="N2:O2"/>
    <mergeCell ref="E2:F2"/>
    <mergeCell ref="E17:F17"/>
    <mergeCell ref="H2:I2"/>
    <mergeCell ref="K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Данные</vt:lpstr>
      <vt:lpstr>Вариант 1</vt:lpstr>
      <vt:lpstr>Вариант 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Nikita Gordeev</dc:creator>
  <cp:keywords/>
  <dc:description/>
  <cp:lastModifiedBy>Nikita Gordeev</cp:lastModifiedBy>
  <cp:revision/>
  <dcterms:created xsi:type="dcterms:W3CDTF">2004-07-23T06:50:43Z</dcterms:created>
  <dcterms:modified xsi:type="dcterms:W3CDTF">2021-12-19T14:00:00Z</dcterms:modified>
  <cp:category/>
</cp:coreProperties>
</file>